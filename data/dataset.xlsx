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" sheetId="1" state="visible" r:id="rId3"/>
    <sheet name="data_anual" sheetId="2" state="visible" r:id="rId4"/>
    <sheet name="conversiones" sheetId="3" state="visible" r:id="rId5"/>
    <sheet name="Ciclo" sheetId="4" state="visible" r:id="rId6"/>
    <sheet name="Hoja3" sheetId="5" state="visible" r:id="rId7"/>
  </sheets>
  <definedNames>
    <definedName function="false" hidden="true" localSheetId="1" name="_xlnm._FilterDatabase" vbProcedure="false">data_anual!$A$1:$N$277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<sst xmlns="http://schemas.openxmlformats.org/spreadsheetml/2006/main" count="14203" uniqueCount="87">
  <si>
    <t xml:space="preserve">Fecha</t>
  </si>
  <si>
    <t xml:space="preserve">Rubro</t>
  </si>
  <si>
    <t xml:space="preserve">Cosecha/Tarea</t>
  </si>
  <si>
    <t xml:space="preserve">Frecuencia</t>
  </si>
  <si>
    <t xml:space="preserve">Cosecha Mensual</t>
  </si>
  <si>
    <t xml:space="preserve">Producción</t>
  </si>
  <si>
    <t xml:space="preserve">Unidad de producción</t>
  </si>
  <si>
    <t xml:space="preserve">Productividad</t>
  </si>
  <si>
    <t xml:space="preserve">Productividad (kg/TAS)</t>
  </si>
  <si>
    <t xml:space="preserve">Precio</t>
  </si>
  <si>
    <t xml:space="preserve">Unidad de precio</t>
  </si>
  <si>
    <t xml:space="preserve">Precio por kg</t>
  </si>
  <si>
    <t xml:space="preserve">Costos (En RD$/Tarea)</t>
  </si>
  <si>
    <t xml:space="preserve">Beneficio Neto  (En RD$/Tarea)</t>
  </si>
  <si>
    <t xml:space="preserve">Rentabilidad (%)</t>
  </si>
  <si>
    <t xml:space="preserve">Rentabilidad Mensual (%)</t>
  </si>
  <si>
    <t xml:space="preserve">Arroz</t>
  </si>
  <si>
    <t xml:space="preserve">Mensual</t>
  </si>
  <si>
    <t xml:space="preserve">Quintal</t>
  </si>
  <si>
    <t xml:space="preserve">Fanela</t>
  </si>
  <si>
    <t xml:space="preserve">Maíz</t>
  </si>
  <si>
    <t xml:space="preserve">Batata</t>
  </si>
  <si>
    <t xml:space="preserve">Ñame</t>
  </si>
  <si>
    <t xml:space="preserve">Papa</t>
  </si>
  <si>
    <t xml:space="preserve">Yautía</t>
  </si>
  <si>
    <t xml:space="preserve">Yuca</t>
  </si>
  <si>
    <t xml:space="preserve">Auyama</t>
  </si>
  <si>
    <t xml:space="preserve">Berenjena</t>
  </si>
  <si>
    <t xml:space="preserve">Aguacate</t>
  </si>
  <si>
    <t xml:space="preserve">Millar Aguacate</t>
  </si>
  <si>
    <t xml:space="preserve">Guineo</t>
  </si>
  <si>
    <t xml:space="preserve">Annual</t>
  </si>
  <si>
    <t xml:space="preserve">Racimo</t>
  </si>
  <si>
    <t xml:space="preserve">Plátano</t>
  </si>
  <si>
    <t xml:space="preserve">Millar Platano</t>
  </si>
  <si>
    <t xml:space="preserve">Año</t>
  </si>
  <si>
    <t xml:space="preserve">Unidad de Produccion</t>
  </si>
  <si>
    <t xml:space="preserve">Productividad kg/tarea</t>
  </si>
  <si>
    <t xml:space="preserve">Unidad de Precio</t>
  </si>
  <si>
    <t xml:space="preserve">Precio kg</t>
  </si>
  <si>
    <t xml:space="preserve">Costos (En RD$)</t>
  </si>
  <si>
    <t xml:space="preserve">Ciclo (YearFrac)</t>
  </si>
  <si>
    <t xml:space="preserve">Beneficio</t>
  </si>
  <si>
    <t xml:space="preserve">Rentabilidad</t>
  </si>
  <si>
    <t xml:space="preserve">Rentabilidad Anual</t>
  </si>
  <si>
    <t xml:space="preserve">Medida</t>
  </si>
  <si>
    <t xml:space="preserve">Equivalencia en Kg</t>
  </si>
  <si>
    <t xml:space="preserve">Ciclo</t>
  </si>
  <si>
    <t xml:space="preserve">Meses</t>
  </si>
  <si>
    <t xml:space="preserve">YearFrac</t>
  </si>
  <si>
    <t xml:space="preserve">Fecha de siembra</t>
  </si>
  <si>
    <t xml:space="preserve">Fecha de cosecha</t>
  </si>
  <si>
    <t xml:space="preserve">Todo el año</t>
  </si>
  <si>
    <t xml:space="preserve">**</t>
  </si>
  <si>
    <t xml:space="preserve">en racimos</t>
  </si>
  <si>
    <t xml:space="preserve">*</t>
  </si>
  <si>
    <t xml:space="preserve">millares</t>
  </si>
  <si>
    <t xml:space="preserve">En QQ a partir de 2015</t>
  </si>
  <si>
    <t xml:space="preserve">Peso promedio plátano (lb)</t>
  </si>
  <si>
    <t xml:space="preserve">Peso promedio guineo (lb)</t>
  </si>
  <si>
    <t xml:space="preserve">Peso promedio plátano (kg)</t>
  </si>
  <si>
    <t xml:space="preserve">Peso promedio guineo (kg)</t>
  </si>
  <si>
    <t xml:space="preserve">Peso promedio del racimo de plátano (Supuesto)</t>
  </si>
  <si>
    <t xml:space="preserve">kg</t>
  </si>
  <si>
    <t xml:space="preserve">30-50 kg</t>
  </si>
  <si>
    <t xml:space="preserve">1 lb</t>
  </si>
  <si>
    <t xml:space="preserve">Racimo de guineo (lb)</t>
  </si>
  <si>
    <t xml:space="preserve">Racimo de guineo (kg)</t>
  </si>
  <si>
    <t xml:space="preserve">Peso promedio del aguacate(lb)</t>
  </si>
  <si>
    <t xml:space="preserve">Peso promedio del aguacate(kg)</t>
  </si>
  <si>
    <t xml:space="preserve"> Arroz Cáscara</t>
  </si>
  <si>
    <t xml:space="preserve">Fan. 110 kg</t>
  </si>
  <si>
    <t xml:space="preserve">Se divide entre 110</t>
  </si>
  <si>
    <t xml:space="preserve">Se divide por 45.36</t>
  </si>
  <si>
    <t xml:space="preserve">Se divide por 45.37</t>
  </si>
  <si>
    <t xml:space="preserve">Se divide por 45.38</t>
  </si>
  <si>
    <t xml:space="preserve">Papa blanca</t>
  </si>
  <si>
    <t xml:space="preserve">Se divide por 45.39</t>
  </si>
  <si>
    <t xml:space="preserve">Se divide por 45.40</t>
  </si>
  <si>
    <t xml:space="preserve">Se divide por 45.41</t>
  </si>
  <si>
    <t xml:space="preserve">Dulce</t>
  </si>
  <si>
    <t xml:space="preserve">Se divide por 45.42</t>
  </si>
  <si>
    <t xml:space="preserve">Se divide por 45.43</t>
  </si>
  <si>
    <t xml:space="preserve">Millar</t>
  </si>
  <si>
    <t xml:space="preserve">1000 y luego 0.56234</t>
  </si>
  <si>
    <t xml:space="preserve">se divide entre 27.21</t>
  </si>
  <si>
    <t xml:space="preserve">1000 y luego 0.40815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</si>
</sst>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* #,##0.00_);_(* \(#,##0.00\);_(* \-??_);_(@_)"/>
    <numFmt numFmtId="166" formatCode="m/d/yyyy"/>
    <numFmt numFmtId="167" formatCode="_(\$* #,##0.00_);_(\$* \(#,##0.00\);_(\$* \-??_);_(@_)"/>
    <numFmt numFmtId="168" formatCode="0%"/>
    <numFmt numFmtId="169" formatCode="0.000%"/>
    <numFmt numFmtId="170" formatCode="#,##0"/>
    <numFmt numFmtId="171" formatCode="0.00%"/>
    <numFmt numFmtId="172" formatCode="mm/dd/yy"/>
    <numFmt numFmtId="173" formatCode="[$-409]General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Aptos Narrow"/>
      <family val="2"/>
      <charset val="1"/>
    </font>
    <font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theme="1"/>
      <name val="Aptos Narrow"/>
      <family val="0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0080"/>
        <bgColor rgb="FF000080"/>
      </patternFill>
    </fill>
    <fill>
      <patternFill patternType="solid">
        <fgColor rgb="FF4D4D4D"/>
        <bgColor rgb="FF666699"/>
      </patternFill>
    </fill>
    <fill>
      <patternFill patternType="solid">
        <fgColor rgb="FFFFFFFF"/>
        <bgColor rgb="FFFFFFCC"/>
      </patternFill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6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6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ares 2" xfId="20"/>
    <cellStyle name="Millares 3" xfId="21"/>
  </cellStyles>
  <dxfs count="8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0080"/>
          <bgColor rgb="FF000000"/>
        </patternFill>
      </fill>
    </dxf>
    <dxf>
      <fill>
        <patternFill patternType="solid">
          <fgColor rgb="FF4D4D4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CCC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D4D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584280</xdr:colOff>
      <xdr:row>4</xdr:row>
      <xdr:rowOff>139680</xdr:rowOff>
    </xdr:from>
    <xdr:to>
      <xdr:col>5</xdr:col>
      <xdr:colOff>589680</xdr:colOff>
      <xdr:row>10</xdr:row>
      <xdr:rowOff>151200</xdr:rowOff>
    </xdr:to>
    <xdr:sp>
      <xdr:nvSpPr>
        <xdr:cNvPr id="0" name="CuadroTexto 1"/>
        <xdr:cNvSpPr/>
      </xdr:nvSpPr>
      <xdr:spPr>
        <a:xfrm>
          <a:off x="4422960" y="863640"/>
          <a:ext cx="4722120" cy="109728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es-DO" sz="1100" strike="noStrike" u="none">
              <a:solidFill>
                <a:schemeClr val="dk1"/>
              </a:solidFill>
              <a:uFillTx/>
              <a:latin typeface="Aptos Narrow"/>
            </a:rPr>
            <a:t>La productividad de todos los productos se expresaran en kg/TAS. Se sabe que una lb = 0.4536 y que un quintal es 100 lb, con esto, se procede a calcular la productividad por tarea que sería Quintal/tarea * 45.36</a:t>
          </a: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s-DO" sz="1100" strike="noStrike" u="none">
              <a:solidFill>
                <a:schemeClr val="dk1"/>
              </a:solidFill>
              <a:uFillTx/>
              <a:latin typeface="Aptos Narrow"/>
            </a:rPr>
            <a:t>Los precios se expresarán en kg </a:t>
          </a:r>
          <a:endParaRPr b="0" lang="en-US" sz="1100" strike="noStrike" u="none">
            <a:uFillTx/>
            <a:latin typeface="Times New Roman"/>
          </a:endParaRPr>
        </a:p>
      </xdr:txBody>
    </xdr:sp>
    <xdr:clientData/>
  </xdr:twoCellAnchor>
  <xdr:twoCellAnchor editAs="twoCell">
    <xdr:from>
      <xdr:col>4</xdr:col>
      <xdr:colOff>579960</xdr:colOff>
      <xdr:row>19</xdr:row>
      <xdr:rowOff>165600</xdr:rowOff>
    </xdr:from>
    <xdr:to>
      <xdr:col>11</xdr:col>
      <xdr:colOff>509760</xdr:colOff>
      <xdr:row>28</xdr:row>
      <xdr:rowOff>95400</xdr:rowOff>
    </xdr:to>
    <xdr:sp>
      <xdr:nvSpPr>
        <xdr:cNvPr id="1" name="CuadroTexto 2"/>
        <xdr:cNvSpPr/>
      </xdr:nvSpPr>
      <xdr:spPr>
        <a:xfrm>
          <a:off x="8198640" y="3603960"/>
          <a:ext cx="6486120" cy="155880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es-DO" sz="1100" strike="noStrike" u="none">
              <a:solidFill>
                <a:schemeClr val="dk1"/>
              </a:solidFill>
              <a:uFillTx/>
              <a:latin typeface="Aptos Narrow"/>
            </a:rPr>
            <a:t>Para septiembre, octubre y noviembre del año 2004, se ulizó el promedio del precio de la auyama en ese año para rellenarlo en los meses faltantes.</a:t>
          </a:r>
          <a:endParaRPr b="0" lang="en-US" sz="1100" strike="noStrike" u="none">
            <a:uFillTx/>
            <a:latin typeface="Times New Roman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1" name="Tabla1" displayName="Tabla1" ref="A1:C13" headerRowCount="1" totalsRowCount="0" totalsRowShown="0">
  <autoFilter ref="A1:C13"/>
  <tableColumns count="3">
    <tableColumn id="1" name="Rubro"/>
    <tableColumn id="2" name="Ciclo"/>
    <tableColumn id="3" name="Meses"/>
  </tableColumns>
</table>
</file>

<file path=xl/tables/table2.xml><?xml version="1.0" encoding="utf-8"?>
<table xmlns="http://schemas.openxmlformats.org/spreadsheetml/2006/main" id="2" name="Tabla2" displayName="Tabla2" ref="A1:P3313" headerRowCount="1" totalsRowCount="0" totalsRowShown="0">
  <tableColumns count="16">
    <tableColumn id="1" name="Fecha"/>
    <tableColumn id="2" name="Rubro"/>
    <tableColumn id="3" name="Cosecha/Tarea"/>
    <tableColumn id="4" name="Frecuencia"/>
    <tableColumn id="5" name="Cosecha Mensual"/>
    <tableColumn id="6" name="Producción"/>
    <tableColumn id="7" name="Unidad de producción"/>
    <tableColumn id="8" name="Productividad"/>
    <tableColumn id="9" name="Productividad (kg/TAS)"/>
    <tableColumn id="10" name="Precio"/>
    <tableColumn id="11" name="Unidad de precio"/>
    <tableColumn id="12" name="Precio por kg"/>
    <tableColumn id="13" name="Costos (En RD$/Tarea)"/>
    <tableColumn id="14" name="Beneficio Neto  (En RD$/Tarea)"/>
    <tableColumn id="15" name="Rentabilidad (%)"/>
    <tableColumn id="16" name="Rentabilidad Mensual (%)"/>
  </tableColumns>
</table>
</file>

<file path=xl/tables/table3.xml><?xml version="1.0" encoding="utf-8"?>
<table xmlns="http://schemas.openxmlformats.org/spreadsheetml/2006/main" id="3" name="Tabla3" displayName="Tabla3" ref="A1:B6" headerRowCount="1" totalsRowCount="0" totalsRowShown="0">
  <autoFilter ref="A1:B6"/>
  <tableColumns count="2">
    <tableColumn id="1" name="Medida"/>
    <tableColumn id="2" name="Equivalencia en Kg"/>
  </tableColumns>
</table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13"/>
  <sheetViews>
    <sheetView showFormulas="false" showGridLines="true" showRowColHeaders="true" showZeros="true" rightToLeft="false" tabSelected="false" showOutlineSymbols="true" defaultGridColor="true" view="normal" topLeftCell="A1" colorId="64" zoomScale="93" zoomScaleNormal="93" zoomScalePageLayoutView="100" workbookViewId="0">
      <selection pane="topLeft" activeCell="I3" activeCellId="1" sqref="C258:C259 I3"/>
    </sheetView>
  </sheetViews>
  <sheetFormatPr defaultColWidth="10.5390625" defaultRowHeight="14.25" zeroHeight="false" outlineLevelRow="0" outlineLevelCol="0"/>
  <cols>
    <col collapsed="false" customWidth="true" hidden="false" outlineLevel="0" max="1" min="1" style="1" width="10.91"/>
    <col collapsed="false" customWidth="true" hidden="false" outlineLevel="0" max="2" min="2" style="2" width="9"/>
    <col collapsed="false" customWidth="true" hidden="false" outlineLevel="0" max="4" min="3" style="3" width="15.73"/>
    <col collapsed="false" customWidth="true" hidden="false" outlineLevel="0" max="5" min="5" style="3" width="19.18"/>
    <col collapsed="false" customWidth="true" hidden="false" outlineLevel="0" max="6" min="6" style="3" width="14"/>
    <col collapsed="false" customWidth="true" hidden="false" outlineLevel="0" max="7" min="7" style="2" width="21.64"/>
    <col collapsed="false" customWidth="true" hidden="false" outlineLevel="0" max="8" min="8" style="2" width="15.81"/>
    <col collapsed="false" customWidth="true" hidden="false" outlineLevel="0" max="9" min="9" style="2" width="22.27"/>
    <col collapsed="false" customWidth="true" hidden="false" outlineLevel="0" max="10" min="10" style="2" width="11.81"/>
    <col collapsed="false" customWidth="true" hidden="false" outlineLevel="0" max="11" min="11" style="2" width="17.27"/>
    <col collapsed="false" customWidth="true" hidden="false" outlineLevel="0" max="12" min="12" style="2" width="13.73"/>
    <col collapsed="false" customWidth="true" hidden="false" outlineLevel="0" max="13" min="13" style="2" width="21.73"/>
    <col collapsed="false" customWidth="true" hidden="false" outlineLevel="0" max="14" min="14" style="3" width="28.73"/>
    <col collapsed="false" customWidth="true" hidden="false" outlineLevel="0" max="15" min="15" style="2" width="17.09"/>
    <col collapsed="false" customWidth="true" hidden="false" outlineLevel="0" max="16" min="16" style="2" width="24.73"/>
  </cols>
  <sheetData>
    <row r="1" customFormat="false" ht="14.25" hidden="false" customHeight="false" outlineLevel="0" collapsed="false">
      <c r="A1" s="4" t="s">
        <v>0</v>
      </c>
      <c r="B1" s="5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3" t="s">
        <v>13</v>
      </c>
      <c r="O1" s="5" t="s">
        <v>14</v>
      </c>
      <c r="P1" s="7" t="s">
        <v>15</v>
      </c>
    </row>
    <row r="2" customFormat="false" ht="14.25" hidden="false" customHeight="false" outlineLevel="0" collapsed="false">
      <c r="A2" s="1" t="n">
        <v>36526</v>
      </c>
      <c r="B2" s="2" t="s">
        <v>16</v>
      </c>
      <c r="C2" s="8" t="n">
        <v>67860</v>
      </c>
      <c r="D2" s="8" t="s">
        <v>17</v>
      </c>
      <c r="E2" s="8" t="n">
        <f aca="false">IF(Tabla2[[#This Row],[Frecuencia]]="Annual", Tabla2[[#This Row],[Cosecha/Tarea]]/12,Tabla2[[#This Row],[Cosecha/Tarea]])</f>
        <v>67860</v>
      </c>
      <c r="F2" s="3" t="n">
        <v>170243</v>
      </c>
      <c r="G2" s="2" t="s">
        <v>18</v>
      </c>
      <c r="H2" s="2" t="n">
        <f aca="false">F2/Tabla2[[#This Row],[Cosecha Mensual]]</f>
        <v>2.50873857942823</v>
      </c>
      <c r="I2" s="2" t="n">
        <f aca="false">H2*_xlfn.XLOOKUP(Tabla2[[#This Row],[Unidad de producción]],Tabla3[Medida],Tabla3[Equivalencia en Kg],"ELVIS",0)</f>
        <v>113.796381962865</v>
      </c>
      <c r="J2" s="2" t="n">
        <v>1066.86688668867</v>
      </c>
      <c r="K2" s="2" t="s">
        <v>19</v>
      </c>
      <c r="L2" s="2" t="n">
        <f aca="false">J2/_xlfn.XLOOKUP(Tabla2[[#This Row],[Unidad de precio]],Tabla3[Medida],Tabla3[Equivalencia en Kg],"ELVIS",0)</f>
        <v>9.69878987898791</v>
      </c>
      <c r="N2" s="3" t="n">
        <f aca="false">(Tabla2[[#This Row],[Productividad (kg/TAS)]]*Tabla2[[#This Row],[Precio por kg]]-Tabla2[[#This Row],[Costos (En RD$/Tarea)]])</f>
        <v>1103.68719764687</v>
      </c>
      <c r="O2" s="9" t="n">
        <f aca="false">IF(Tabla2[[#This Row],[Costos (En RD$/Tarea)]]=0,0,Tabla2[[#This Row],[Beneficio Neto  (En RD$/Tarea)]]/Tabla2[[#This Row],[Costos (En RD$/Tarea)]])</f>
        <v>0</v>
      </c>
      <c r="P2" s="7" t="n">
        <f aca="false">Tabla2[[#This Row],[Rentabilidad (%)]]/12</f>
        <v>0</v>
      </c>
    </row>
    <row r="3" customFormat="false" ht="14.25" hidden="false" customHeight="false" outlineLevel="0" collapsed="false">
      <c r="A3" s="1" t="n">
        <v>36526</v>
      </c>
      <c r="B3" s="2" t="s">
        <v>20</v>
      </c>
      <c r="C3" s="3" t="n">
        <v>28486</v>
      </c>
      <c r="D3" s="8" t="s">
        <v>17</v>
      </c>
      <c r="E3" s="3" t="n">
        <f aca="false">IF(Tabla2[[#This Row],[Frecuencia]]="Annual", Tabla2[[#This Row],[Cosecha/Tarea]]/12,Tabla2[[#This Row],[Cosecha/Tarea]])</f>
        <v>28486</v>
      </c>
      <c r="F3" s="3" t="n">
        <v>47296</v>
      </c>
      <c r="G3" s="2" t="s">
        <v>18</v>
      </c>
      <c r="H3" s="2" t="n">
        <f aca="false">F3/Tabla2[[#This Row],[Cosecha Mensual]]</f>
        <v>1.6603243698659</v>
      </c>
      <c r="I3" s="2" t="n">
        <f aca="false">H3*_xlfn.XLOOKUP(Tabla2[[#This Row],[Unidad de producción]],Tabla3[Medida],Tabla3[Equivalencia en Kg],"ELVIS",0)</f>
        <v>75.3123134171172</v>
      </c>
      <c r="J3" s="2" t="n">
        <v>102.7445</v>
      </c>
      <c r="K3" s="2" t="s">
        <v>18</v>
      </c>
      <c r="L3" s="2" t="n">
        <f aca="false">J3/_xlfn.XLOOKUP(Tabla2[[#This Row],[Unidad de precio]],Tabla3[Medida],Tabla3[Equivalencia en Kg],"ELVIS",0)</f>
        <v>2.26509038800705</v>
      </c>
      <c r="N3" s="3" t="n">
        <f aca="false">(Tabla2[[#This Row],[Productividad (kg/TAS)]]*Tabla2[[#This Row],[Precio por kg]]-Tabla2[[#This Row],[Costos (En RD$/Tarea)]])</f>
        <v>170.589197219687</v>
      </c>
      <c r="O3" s="9" t="n">
        <f aca="false">IF(Tabla2[[#This Row],[Costos (En RD$/Tarea)]]=0,0,Tabla2[[#This Row],[Beneficio Neto  (En RD$/Tarea)]]/Tabla2[[#This Row],[Costos (En RD$/Tarea)]])</f>
        <v>0</v>
      </c>
      <c r="P3" s="7" t="n">
        <f aca="false">Tabla2[[#This Row],[Rentabilidad (%)]]/12</f>
        <v>0</v>
      </c>
    </row>
    <row r="4" customFormat="false" ht="14.25" hidden="false" customHeight="false" outlineLevel="0" collapsed="false">
      <c r="A4" s="1" t="n">
        <v>36526</v>
      </c>
      <c r="B4" s="2" t="s">
        <v>21</v>
      </c>
      <c r="C4" s="3" t="n">
        <v>9640</v>
      </c>
      <c r="D4" s="8" t="s">
        <v>17</v>
      </c>
      <c r="E4" s="3" t="n">
        <f aca="false">IF(Tabla2[[#This Row],[Frecuencia]]="Annual", Tabla2[[#This Row],[Cosecha/Tarea]]/12,Tabla2[[#This Row],[Cosecha/Tarea]])</f>
        <v>9640</v>
      </c>
      <c r="F4" s="3" t="n">
        <v>84657</v>
      </c>
      <c r="G4" s="2" t="s">
        <v>18</v>
      </c>
      <c r="H4" s="2" t="n">
        <f aca="false">F4/Tabla2[[#This Row],[Cosecha Mensual]]</f>
        <v>8.78184647302905</v>
      </c>
      <c r="I4" s="2" t="n">
        <f aca="false">H4*_xlfn.XLOOKUP(Tabla2[[#This Row],[Unidad de producción]],Tabla3[Medida],Tabla3[Equivalencia en Kg],"ELVIS",0)</f>
        <v>398.344556016598</v>
      </c>
      <c r="J4" s="2" t="n">
        <v>115.5</v>
      </c>
      <c r="K4" s="2" t="s">
        <v>18</v>
      </c>
      <c r="L4" s="2" t="n">
        <f aca="false">J4/_xlfn.XLOOKUP(Tabla2[[#This Row],[Unidad de precio]],Tabla3[Medida],Tabla3[Equivalencia en Kg],"ELVIS",0)</f>
        <v>2.5462962962963</v>
      </c>
      <c r="N4" s="3" t="n">
        <f aca="false">(Tabla2[[#This Row],[Productividad (kg/TAS)]]*Tabla2[[#This Row],[Precio por kg]]-Tabla2[[#This Row],[Costos (En RD$/Tarea)]])</f>
        <v>1014.30326763485</v>
      </c>
      <c r="O4" s="9" t="n">
        <f aca="false">IF(Tabla2[[#This Row],[Costos (En RD$/Tarea)]]=0,0,Tabla2[[#This Row],[Beneficio Neto  (En RD$/Tarea)]]/Tabla2[[#This Row],[Costos (En RD$/Tarea)]])</f>
        <v>0</v>
      </c>
      <c r="P4" s="7" t="n">
        <f aca="false">Tabla2[[#This Row],[Rentabilidad (%)]]/12</f>
        <v>0</v>
      </c>
    </row>
    <row r="5" customFormat="false" ht="14.25" hidden="false" customHeight="false" outlineLevel="0" collapsed="false">
      <c r="A5" s="1" t="n">
        <v>36526</v>
      </c>
      <c r="B5" s="2" t="s">
        <v>22</v>
      </c>
      <c r="C5" s="3" t="n">
        <v>3329</v>
      </c>
      <c r="D5" s="8" t="s">
        <v>17</v>
      </c>
      <c r="E5" s="3" t="n">
        <f aca="false">IF(Tabla2[[#This Row],[Frecuencia]]="Annual", Tabla2[[#This Row],[Cosecha/Tarea]]/12,Tabla2[[#This Row],[Cosecha/Tarea]])</f>
        <v>3329</v>
      </c>
      <c r="F5" s="3" t="n">
        <v>27225</v>
      </c>
      <c r="G5" s="2" t="s">
        <v>18</v>
      </c>
      <c r="H5" s="2" t="n">
        <f aca="false">F5/Tabla2[[#This Row],[Cosecha Mensual]]</f>
        <v>8.17813157104236</v>
      </c>
      <c r="I5" s="2" t="n">
        <f aca="false">H5*_xlfn.XLOOKUP(Tabla2[[#This Row],[Unidad de producción]],Tabla3[Medida],Tabla3[Equivalencia en Kg],"ELVIS",0)</f>
        <v>370.960048062481</v>
      </c>
      <c r="J5" s="2" t="n">
        <v>403.125</v>
      </c>
      <c r="K5" s="2" t="s">
        <v>18</v>
      </c>
      <c r="L5" s="2" t="n">
        <f aca="false">J5/_xlfn.XLOOKUP(Tabla2[[#This Row],[Unidad de precio]],Tabla3[Medida],Tabla3[Equivalencia en Kg],"ELVIS",0)</f>
        <v>8.88723544973545</v>
      </c>
      <c r="N5" s="3" t="n">
        <f aca="false">(Tabla2[[#This Row],[Productividad (kg/TAS)]]*Tabla2[[#This Row],[Precio por kg]]-Tabla2[[#This Row],[Costos (En RD$/Tarea)]])</f>
        <v>3296.80928957645</v>
      </c>
      <c r="O5" s="9" t="n">
        <f aca="false">IF(Tabla2[[#This Row],[Costos (En RD$/Tarea)]]=0,0,Tabla2[[#This Row],[Beneficio Neto  (En RD$/Tarea)]]/Tabla2[[#This Row],[Costos (En RD$/Tarea)]])</f>
        <v>0</v>
      </c>
      <c r="P5" s="7" t="n">
        <f aca="false">Tabla2[[#This Row],[Rentabilidad (%)]]/12</f>
        <v>0</v>
      </c>
    </row>
    <row r="6" customFormat="false" ht="14.25" hidden="false" customHeight="false" outlineLevel="0" collapsed="false">
      <c r="A6" s="1" t="n">
        <v>36526</v>
      </c>
      <c r="B6" s="2" t="s">
        <v>23</v>
      </c>
      <c r="C6" s="3" t="n">
        <v>2767</v>
      </c>
      <c r="D6" s="8" t="s">
        <v>17</v>
      </c>
      <c r="E6" s="3" t="n">
        <f aca="false">IF(Tabla2[[#This Row],[Frecuencia]]="Annual", Tabla2[[#This Row],[Cosecha/Tarea]]/12,Tabla2[[#This Row],[Cosecha/Tarea]])</f>
        <v>2767</v>
      </c>
      <c r="F6" s="3" t="n">
        <v>41293</v>
      </c>
      <c r="G6" s="2" t="s">
        <v>18</v>
      </c>
      <c r="H6" s="2" t="n">
        <f aca="false">F6/Tabla2[[#This Row],[Cosecha Mensual]]</f>
        <v>14.9233827249729</v>
      </c>
      <c r="I6" s="2" t="n">
        <f aca="false">H6*_xlfn.XLOOKUP(Tabla2[[#This Row],[Unidad de producción]],Tabla3[Medida],Tabla3[Equivalencia en Kg],"ELVIS",0)</f>
        <v>676.924640404771</v>
      </c>
      <c r="J6" s="2" t="n">
        <v>307.5</v>
      </c>
      <c r="K6" s="2" t="s">
        <v>18</v>
      </c>
      <c r="L6" s="2" t="n">
        <f aca="false">J6/_xlfn.XLOOKUP(Tabla2[[#This Row],[Unidad de precio]],Tabla3[Medida],Tabla3[Equivalencia en Kg],"ELVIS",0)</f>
        <v>6.77910052910053</v>
      </c>
      <c r="N6" s="3" t="n">
        <f aca="false">(Tabla2[[#This Row],[Productividad (kg/TAS)]]*Tabla2[[#This Row],[Precio por kg]]-Tabla2[[#This Row],[Costos (En RD$/Tarea)]])</f>
        <v>4588.94018792916</v>
      </c>
      <c r="O6" s="9" t="n">
        <f aca="false">IF(Tabla2[[#This Row],[Costos (En RD$/Tarea)]]=0,0,Tabla2[[#This Row],[Beneficio Neto  (En RD$/Tarea)]]/Tabla2[[#This Row],[Costos (En RD$/Tarea)]])</f>
        <v>0</v>
      </c>
      <c r="P6" s="7" t="n">
        <f aca="false">Tabla2[[#This Row],[Rentabilidad (%)]]/12</f>
        <v>0</v>
      </c>
    </row>
    <row r="7" customFormat="false" ht="14.25" hidden="false" customHeight="false" outlineLevel="0" collapsed="false">
      <c r="A7" s="1" t="n">
        <v>36526</v>
      </c>
      <c r="B7" s="2" t="s">
        <v>24</v>
      </c>
      <c r="C7" s="3" t="n">
        <v>9454</v>
      </c>
      <c r="D7" s="8" t="s">
        <v>17</v>
      </c>
      <c r="E7" s="3" t="n">
        <f aca="false">IF(Tabla2[[#This Row],[Frecuencia]]="Annual", Tabla2[[#This Row],[Cosecha/Tarea]]/12,Tabla2[[#This Row],[Cosecha/Tarea]])</f>
        <v>9454</v>
      </c>
      <c r="F7" s="3" t="n">
        <v>139054</v>
      </c>
      <c r="G7" s="2" t="s">
        <v>18</v>
      </c>
      <c r="H7" s="2" t="n">
        <f aca="false">F7/Tabla2[[#This Row],[Cosecha Mensual]]</f>
        <v>14.708483181722</v>
      </c>
      <c r="I7" s="2" t="n">
        <f aca="false">H7*_xlfn.XLOOKUP(Tabla2[[#This Row],[Unidad de producción]],Tabla3[Medida],Tabla3[Equivalencia en Kg],"ELVIS",0)</f>
        <v>667.176797122911</v>
      </c>
      <c r="J7" s="2" t="n">
        <v>359.5</v>
      </c>
      <c r="K7" s="2" t="s">
        <v>18</v>
      </c>
      <c r="L7" s="2" t="n">
        <f aca="false">J7/_xlfn.XLOOKUP(Tabla2[[#This Row],[Unidad de precio]],Tabla3[Medida],Tabla3[Equivalencia en Kg],"ELVIS",0)</f>
        <v>7.92548500881834</v>
      </c>
      <c r="N7" s="3" t="n">
        <f aca="false">(Tabla2[[#This Row],[Productividad (kg/TAS)]]*Tabla2[[#This Row],[Precio por kg]]-Tabla2[[#This Row],[Costos (En RD$/Tarea)]])</f>
        <v>5287.69970382907</v>
      </c>
      <c r="O7" s="9" t="n">
        <f aca="false">IF(Tabla2[[#This Row],[Costos (En RD$/Tarea)]]=0,0,Tabla2[[#This Row],[Beneficio Neto  (En RD$/Tarea)]]/Tabla2[[#This Row],[Costos (En RD$/Tarea)]])</f>
        <v>0</v>
      </c>
      <c r="P7" s="7" t="n">
        <f aca="false">Tabla2[[#This Row],[Rentabilidad (%)]]/12</f>
        <v>0</v>
      </c>
    </row>
    <row r="8" customFormat="false" ht="14.25" hidden="false" customHeight="false" outlineLevel="0" collapsed="false">
      <c r="A8" s="1" t="n">
        <v>36526</v>
      </c>
      <c r="B8" s="2" t="s">
        <v>25</v>
      </c>
      <c r="C8" s="3" t="n">
        <v>30974</v>
      </c>
      <c r="D8" s="8" t="s">
        <v>17</v>
      </c>
      <c r="E8" s="3" t="n">
        <f aca="false">IF(Tabla2[[#This Row],[Frecuencia]]="Annual", Tabla2[[#This Row],[Cosecha/Tarea]]/12,Tabla2[[#This Row],[Cosecha/Tarea]])</f>
        <v>30974</v>
      </c>
      <c r="F8" s="3" t="n">
        <v>265622</v>
      </c>
      <c r="G8" s="2" t="s">
        <v>18</v>
      </c>
      <c r="H8" s="2" t="n">
        <f aca="false">F8/Tabla2[[#This Row],[Cosecha Mensual]]</f>
        <v>8.57564408859043</v>
      </c>
      <c r="I8" s="2" t="n">
        <f aca="false">H8*_xlfn.XLOOKUP(Tabla2[[#This Row],[Unidad de producción]],Tabla3[Medida],Tabla3[Equivalencia en Kg],"ELVIS",0)</f>
        <v>388.991215858462</v>
      </c>
      <c r="J8" s="2" t="n">
        <v>117.5975</v>
      </c>
      <c r="K8" s="2" t="s">
        <v>18</v>
      </c>
      <c r="L8" s="2" t="n">
        <f aca="false">J8/_xlfn.XLOOKUP(Tabla2[[#This Row],[Unidad de precio]],Tabla3[Medida],Tabla3[Equivalencia en Kg],"ELVIS",0)</f>
        <v>2.59253747795415</v>
      </c>
      <c r="N8" s="3" t="n">
        <f aca="false">(Tabla2[[#This Row],[Productividad (kg/TAS)]]*Tabla2[[#This Row],[Precio por kg]]-Tabla2[[#This Row],[Costos (En RD$/Tarea)]])</f>
        <v>1008.47430570801</v>
      </c>
      <c r="O8" s="9" t="n">
        <f aca="false">IF(Tabla2[[#This Row],[Costos (En RD$/Tarea)]]=0,0,Tabla2[[#This Row],[Beneficio Neto  (En RD$/Tarea)]]/Tabla2[[#This Row],[Costos (En RD$/Tarea)]])</f>
        <v>0</v>
      </c>
      <c r="P8" s="7" t="n">
        <f aca="false">Tabla2[[#This Row],[Rentabilidad (%)]]/12</f>
        <v>0</v>
      </c>
    </row>
    <row r="9" customFormat="false" ht="14.25" hidden="false" customHeight="false" outlineLevel="0" collapsed="false">
      <c r="A9" s="1" t="n">
        <v>36526</v>
      </c>
      <c r="B9" s="2" t="s">
        <v>26</v>
      </c>
      <c r="C9" s="3" t="n">
        <v>6739</v>
      </c>
      <c r="D9" s="8" t="s">
        <v>17</v>
      </c>
      <c r="E9" s="3" t="n">
        <f aca="false">IF(Tabla2[[#This Row],[Frecuencia]]="Annual", Tabla2[[#This Row],[Cosecha/Tarea]]/12,Tabla2[[#This Row],[Cosecha/Tarea]])</f>
        <v>6739</v>
      </c>
      <c r="F9" s="3" t="n">
        <v>36842</v>
      </c>
      <c r="G9" s="2" t="s">
        <v>18</v>
      </c>
      <c r="H9" s="2" t="n">
        <f aca="false">F9/Tabla2[[#This Row],[Cosecha Mensual]]</f>
        <v>5.46698323193352</v>
      </c>
      <c r="I9" s="2" t="n">
        <f aca="false">H9*_xlfn.XLOOKUP(Tabla2[[#This Row],[Unidad de producción]],Tabla3[Medida],Tabla3[Equivalencia en Kg],"ELVIS",0)</f>
        <v>247.982359400505</v>
      </c>
      <c r="J9" s="2" t="n">
        <v>220.85</v>
      </c>
      <c r="K9" s="2" t="s">
        <v>18</v>
      </c>
      <c r="L9" s="2" t="n">
        <f aca="false">J9/_xlfn.XLOOKUP(Tabla2[[#This Row],[Unidad de precio]],Tabla3[Medida],Tabla3[Equivalencia en Kg],"ELVIS",0)</f>
        <v>4.86882716049383</v>
      </c>
      <c r="N9" s="3" t="n">
        <f aca="false">(Tabla2[[#This Row],[Productividad (kg/TAS)]]*Tabla2[[#This Row],[Precio por kg]]-Tabla2[[#This Row],[Costos (En RD$/Tarea)]])</f>
        <v>1207.38324677252</v>
      </c>
      <c r="O9" s="9" t="n">
        <f aca="false">IF(Tabla2[[#This Row],[Costos (En RD$/Tarea)]]=0,0,Tabla2[[#This Row],[Beneficio Neto  (En RD$/Tarea)]]/Tabla2[[#This Row],[Costos (En RD$/Tarea)]])</f>
        <v>0</v>
      </c>
      <c r="P9" s="7" t="n">
        <f aca="false">Tabla2[[#This Row],[Rentabilidad (%)]]/12</f>
        <v>0</v>
      </c>
    </row>
    <row r="10" customFormat="false" ht="14.25" hidden="false" customHeight="false" outlineLevel="0" collapsed="false">
      <c r="A10" s="1" t="n">
        <v>36526</v>
      </c>
      <c r="B10" s="2" t="s">
        <v>27</v>
      </c>
      <c r="C10" s="3" t="n">
        <v>2017</v>
      </c>
      <c r="D10" s="8" t="s">
        <v>17</v>
      </c>
      <c r="E10" s="3" t="n">
        <f aca="false">IF(Tabla2[[#This Row],[Frecuencia]]="Annual", Tabla2[[#This Row],[Cosecha/Tarea]]/12,Tabla2[[#This Row],[Cosecha/Tarea]])</f>
        <v>2017</v>
      </c>
      <c r="F10" s="3" t="n">
        <v>14764</v>
      </c>
      <c r="G10" s="2" t="s">
        <v>18</v>
      </c>
      <c r="H10" s="2" t="n">
        <f aca="false">F10/Tabla2[[#This Row],[Cosecha Mensual]]</f>
        <v>7.31978185423897</v>
      </c>
      <c r="I10" s="2" t="n">
        <f aca="false">H10*_xlfn.XLOOKUP(Tabla2[[#This Row],[Unidad de producción]],Tabla3[Medida],Tabla3[Equivalencia en Kg],"ELVIS",0)</f>
        <v>332.02530490828</v>
      </c>
      <c r="J10" s="2" t="n">
        <v>146.75</v>
      </c>
      <c r="K10" s="2" t="s">
        <v>18</v>
      </c>
      <c r="L10" s="2" t="n">
        <f aca="false">J10/_xlfn.XLOOKUP(Tabla2[[#This Row],[Unidad de precio]],Tabla3[Medida],Tabla3[Equivalencia en Kg],"ELVIS",0)</f>
        <v>3.23522927689594</v>
      </c>
      <c r="N10" s="3" t="n">
        <f aca="false">(Tabla2[[#This Row],[Productividad (kg/TAS)]]*Tabla2[[#This Row],[Precio por kg]]-Tabla2[[#This Row],[Costos (En RD$/Tarea)]])</f>
        <v>1074.17798710957</v>
      </c>
      <c r="O10" s="9" t="n">
        <f aca="false">IF(Tabla2[[#This Row],[Costos (En RD$/Tarea)]]=0,0,Tabla2[[#This Row],[Beneficio Neto  (En RD$/Tarea)]]/Tabla2[[#This Row],[Costos (En RD$/Tarea)]])</f>
        <v>0</v>
      </c>
      <c r="P10" s="7" t="n">
        <f aca="false">Tabla2[[#This Row],[Rentabilidad (%)]]/12</f>
        <v>0</v>
      </c>
    </row>
    <row r="11" customFormat="false" ht="14.25" hidden="false" customHeight="false" outlineLevel="0" collapsed="false">
      <c r="A11" s="1" t="n">
        <v>36526</v>
      </c>
      <c r="B11" s="2" t="s">
        <v>28</v>
      </c>
      <c r="C11" s="3" t="n">
        <v>6878</v>
      </c>
      <c r="D11" s="8" t="s">
        <v>17</v>
      </c>
      <c r="E11" s="3" t="n">
        <f aca="false">IF(Tabla2[[#This Row],[Frecuencia]]="Annual", Tabla2[[#This Row],[Cosecha/Tarea]]/12,Tabla2[[#This Row],[Cosecha/Tarea]])</f>
        <v>6878</v>
      </c>
      <c r="F11" s="3" t="n">
        <v>7434</v>
      </c>
      <c r="G11" s="2" t="s">
        <v>18</v>
      </c>
      <c r="H11" s="2" t="n">
        <f aca="false">F11/Tabla2[[#This Row],[Cosecha Mensual]]</f>
        <v>1.08083745274789</v>
      </c>
      <c r="I11" s="2" t="n">
        <f aca="false">H11*_xlfn.XLOOKUP(Tabla2[[#This Row],[Unidad de producción]],Tabla3[Medida],Tabla3[Equivalencia en Kg],"ELVIS",0)</f>
        <v>49.0267868566444</v>
      </c>
      <c r="J11" s="2" t="n">
        <v>1262.5</v>
      </c>
      <c r="K11" s="2" t="s">
        <v>29</v>
      </c>
      <c r="L11" s="2" t="n">
        <f aca="false">J11/_xlfn.XLOOKUP(Tabla2[[#This Row],[Unidad de precio]],Tabla3[Medida],Tabla3[Equivalencia en Kg],"ELVIS",0)</f>
        <v>2.24508304584415</v>
      </c>
      <c r="N11" s="3" t="n">
        <f aca="false">(Tabla2[[#This Row],[Productividad (kg/TAS)]]*Tabla2[[#This Row],[Precio por kg]]-Tabla2[[#This Row],[Costos (En RD$/Tarea)]])</f>
        <v>110.069207964067</v>
      </c>
      <c r="O11" s="9" t="n">
        <f aca="false">IF(Tabla2[[#This Row],[Costos (En RD$/Tarea)]]=0,0,Tabla2[[#This Row],[Beneficio Neto  (En RD$/Tarea)]]/Tabla2[[#This Row],[Costos (En RD$/Tarea)]])</f>
        <v>0</v>
      </c>
      <c r="P11" s="7" t="n">
        <f aca="false">Tabla2[[#This Row],[Rentabilidad (%)]]/12</f>
        <v>0</v>
      </c>
    </row>
    <row r="12" customFormat="false" ht="14.25" hidden="false" customHeight="false" outlineLevel="0" collapsed="false">
      <c r="A12" s="1" t="n">
        <v>36526</v>
      </c>
      <c r="B12" s="2" t="s">
        <v>30</v>
      </c>
      <c r="C12" s="3" t="n">
        <v>213160</v>
      </c>
      <c r="D12" s="3" t="s">
        <v>31</v>
      </c>
      <c r="E12" s="3" t="n">
        <f aca="false">IF(Tabla2[[#This Row],[Frecuencia]]="Annual", Tabla2[[#This Row],[Cosecha/Tarea]]/12,Tabla2[[#This Row],[Cosecha/Tarea]])</f>
        <v>17763.3333333333</v>
      </c>
      <c r="F12" s="3" t="n">
        <v>1394241</v>
      </c>
      <c r="G12" s="2" t="s">
        <v>32</v>
      </c>
      <c r="H12" s="2" t="n">
        <f aca="false">F12/Tabla2[[#This Row],[Cosecha Mensual]]</f>
        <v>78.4898292362545</v>
      </c>
      <c r="I12" s="2" t="n">
        <f aca="false">H12*_xlfn.XLOOKUP(Tabla2[[#This Row],[Unidad de producción]],Tabla3[Medida],Tabla3[Equivalencia en Kg],"ELVIS",0)</f>
        <v>2135.70825351848</v>
      </c>
      <c r="J12" s="2" t="n">
        <v>18.625</v>
      </c>
      <c r="K12" s="2" t="s">
        <v>32</v>
      </c>
      <c r="L12" s="2" t="n">
        <f aca="false">J12/_xlfn.XLOOKUP(Tabla2[[#This Row],[Unidad de precio]],Tabla3[Medida],Tabla3[Equivalencia en Kg],"ELVIS",0)</f>
        <v>0.684490995957369</v>
      </c>
      <c r="M12" s="3"/>
      <c r="N12" s="3" t="n">
        <f aca="false">(Tabla2[[#This Row],[Productividad (kg/TAS)]]*Tabla2[[#This Row],[Precio por kg]]-Tabla2[[#This Row],[Costos (En RD$/Tarea)]])</f>
        <v>1461.87306952524</v>
      </c>
      <c r="O12" s="9" t="n">
        <f aca="false">IF(Tabla2[[#This Row],[Costos (En RD$/Tarea)]]=0,0,Tabla2[[#This Row],[Beneficio Neto  (En RD$/Tarea)]]/Tabla2[[#This Row],[Costos (En RD$/Tarea)]])</f>
        <v>0</v>
      </c>
      <c r="P12" s="7" t="n">
        <f aca="false">Tabla2[[#This Row],[Rentabilidad (%)]]/12</f>
        <v>0</v>
      </c>
    </row>
    <row r="13" customFormat="false" ht="14.25" hidden="false" customHeight="false" outlineLevel="0" collapsed="false">
      <c r="A13" s="1" t="n">
        <v>36526</v>
      </c>
      <c r="B13" s="2" t="s">
        <v>33</v>
      </c>
      <c r="C13" s="3" t="n">
        <v>539995</v>
      </c>
      <c r="D13" s="3" t="s">
        <v>31</v>
      </c>
      <c r="E13" s="3" t="n">
        <f aca="false">IF(Tabla2[[#This Row],[Frecuencia]]="Annual", Tabla2[[#This Row],[Cosecha/Tarea]]/12,Tabla2[[#This Row],[Cosecha/Tarea]])</f>
        <v>44999.5833333333</v>
      </c>
      <c r="F13" s="3" t="n">
        <v>90274</v>
      </c>
      <c r="G13" s="2" t="s">
        <v>34</v>
      </c>
      <c r="H13" s="2" t="n">
        <f aca="false">F13/Tabla2[[#This Row],[Cosecha Mensual]]</f>
        <v>2.006107463958</v>
      </c>
      <c r="I13" s="2" t="n">
        <f aca="false">H13*_xlfn.XLOOKUP(Tabla2[[#This Row],[Unidad de producción]],Tabla3[Medida],Tabla3[Equivalencia en Kg],"ELVIS",0)</f>
        <v>818.792761414458</v>
      </c>
      <c r="J13" s="2" t="n">
        <v>918</v>
      </c>
      <c r="K13" s="2" t="s">
        <v>34</v>
      </c>
      <c r="L13" s="2" t="n">
        <f aca="false">J13/_xlfn.XLOOKUP(Tabla2[[#This Row],[Unidad de precio]],Tabla3[Medida],Tabla3[Equivalencia en Kg],"ELVIS",0)</f>
        <v>2.24917309812569</v>
      </c>
      <c r="M13" s="3"/>
      <c r="N13" s="3" t="n">
        <f aca="false">(Tabla2[[#This Row],[Productividad (kg/TAS)]]*Tabla2[[#This Row],[Precio por kg]]-Tabla2[[#This Row],[Costos (En RD$/Tarea)]])</f>
        <v>1841.60665191344</v>
      </c>
      <c r="O13" s="9" t="n">
        <f aca="false">IF(Tabla2[[#This Row],[Costos (En RD$/Tarea)]]=0,0,Tabla2[[#This Row],[Beneficio Neto  (En RD$/Tarea)]]/Tabla2[[#This Row],[Costos (En RD$/Tarea)]])</f>
        <v>0</v>
      </c>
      <c r="P13" s="7" t="n">
        <f aca="false">Tabla2[[#This Row],[Rentabilidad (%)]]/12</f>
        <v>0</v>
      </c>
    </row>
    <row r="14" customFormat="false" ht="14.25" hidden="false" customHeight="false" outlineLevel="0" collapsed="false">
      <c r="A14" s="1" t="n">
        <v>36557</v>
      </c>
      <c r="B14" s="2" t="s">
        <v>16</v>
      </c>
      <c r="C14" s="8" t="n">
        <v>15498</v>
      </c>
      <c r="D14" s="8" t="s">
        <v>17</v>
      </c>
      <c r="E14" s="8" t="n">
        <f aca="false">IF(Tabla2[[#This Row],[Frecuencia]]="Annual", Tabla2[[#This Row],[Cosecha/Tarea]]/12,Tabla2[[#This Row],[Cosecha/Tarea]])</f>
        <v>15498</v>
      </c>
      <c r="F14" s="3" t="n">
        <v>35642</v>
      </c>
      <c r="G14" s="2" t="s">
        <v>18</v>
      </c>
      <c r="H14" s="2" t="n">
        <f aca="false">F14/Tabla2[[#This Row],[Cosecha Mensual]]</f>
        <v>2.29978061685379</v>
      </c>
      <c r="I14" s="2" t="n">
        <f aca="false">H14*_xlfn.XLOOKUP(Tabla2[[#This Row],[Unidad de producción]],Tabla3[Medida],Tabla3[Equivalencia en Kg],"ELVIS",0)</f>
        <v>104.318048780488</v>
      </c>
      <c r="J14" s="2" t="n">
        <v>956.455445544554</v>
      </c>
      <c r="K14" s="2" t="s">
        <v>19</v>
      </c>
      <c r="L14" s="2" t="n">
        <f aca="false">J14/_xlfn.XLOOKUP(Tabla2[[#This Row],[Unidad de precio]],Tabla3[Medida],Tabla3[Equivalencia en Kg],"ELVIS",0)</f>
        <v>8.69504950495049</v>
      </c>
      <c r="N14" s="3" t="n">
        <f aca="false">(Tabla2[[#This Row],[Productividad (kg/TAS)]]*Tabla2[[#This Row],[Precio por kg]]-Tabla2[[#This Row],[Costos (En RD$/Tarea)]])</f>
        <v>907.050598406182</v>
      </c>
      <c r="O14" s="9" t="n">
        <f aca="false">IF(Tabla2[[#This Row],[Costos (En RD$/Tarea)]]=0,0,Tabla2[[#This Row],[Beneficio Neto  (En RD$/Tarea)]]/Tabla2[[#This Row],[Costos (En RD$/Tarea)]])</f>
        <v>0</v>
      </c>
      <c r="P14" s="7" t="n">
        <f aca="false">Tabla2[[#This Row],[Rentabilidad (%)]]/12</f>
        <v>0</v>
      </c>
    </row>
    <row r="15" customFormat="false" ht="14.25" hidden="false" customHeight="false" outlineLevel="0" collapsed="false">
      <c r="A15" s="1" t="n">
        <v>36557</v>
      </c>
      <c r="B15" s="2" t="s">
        <v>20</v>
      </c>
      <c r="C15" s="3" t="n">
        <v>32095</v>
      </c>
      <c r="D15" s="8" t="s">
        <v>17</v>
      </c>
      <c r="E15" s="3" t="n">
        <f aca="false">IF(Tabla2[[#This Row],[Frecuencia]]="Annual", Tabla2[[#This Row],[Cosecha/Tarea]]/12,Tabla2[[#This Row],[Cosecha/Tarea]])</f>
        <v>32095</v>
      </c>
      <c r="F15" s="3" t="n">
        <v>59991</v>
      </c>
      <c r="G15" s="2" t="s">
        <v>18</v>
      </c>
      <c r="H15" s="2" t="n">
        <f aca="false">F15/Tabla2[[#This Row],[Cosecha Mensual]]</f>
        <v>1.86916965259386</v>
      </c>
      <c r="I15" s="2" t="n">
        <f aca="false">H15*_xlfn.XLOOKUP(Tabla2[[#This Row],[Unidad de producción]],Tabla3[Medida],Tabla3[Equivalencia en Kg],"ELVIS",0)</f>
        <v>84.7855354416576</v>
      </c>
      <c r="J15" s="2" t="n">
        <v>117.713</v>
      </c>
      <c r="K15" s="2" t="s">
        <v>18</v>
      </c>
      <c r="L15" s="2" t="n">
        <f aca="false">J15/_xlfn.XLOOKUP(Tabla2[[#This Row],[Unidad de precio]],Tabla3[Medida],Tabla3[Equivalencia en Kg],"ELVIS",0)</f>
        <v>2.59508377425044</v>
      </c>
      <c r="N15" s="3" t="n">
        <f aca="false">(Tabla2[[#This Row],[Productividad (kg/TAS)]]*Tabla2[[#This Row],[Precio por kg]]-Tabla2[[#This Row],[Costos (En RD$/Tarea)]])</f>
        <v>220.025567315781</v>
      </c>
      <c r="O15" s="9" t="n">
        <f aca="false">IF(Tabla2[[#This Row],[Costos (En RD$/Tarea)]]=0,0,Tabla2[[#This Row],[Beneficio Neto  (En RD$/Tarea)]]/Tabla2[[#This Row],[Costos (En RD$/Tarea)]])</f>
        <v>0</v>
      </c>
      <c r="P15" s="7" t="n">
        <f aca="false">Tabla2[[#This Row],[Rentabilidad (%)]]/12</f>
        <v>0</v>
      </c>
    </row>
    <row r="16" customFormat="false" ht="14.25" hidden="false" customHeight="false" outlineLevel="0" collapsed="false">
      <c r="A16" s="1" t="n">
        <v>36557</v>
      </c>
      <c r="B16" s="2" t="s">
        <v>21</v>
      </c>
      <c r="C16" s="3" t="n">
        <v>11399</v>
      </c>
      <c r="D16" s="8" t="s">
        <v>17</v>
      </c>
      <c r="E16" s="3" t="n">
        <f aca="false">IF(Tabla2[[#This Row],[Frecuencia]]="Annual", Tabla2[[#This Row],[Cosecha/Tarea]]/12,Tabla2[[#This Row],[Cosecha/Tarea]])</f>
        <v>11399</v>
      </c>
      <c r="F16" s="3" t="n">
        <v>91106</v>
      </c>
      <c r="G16" s="2" t="s">
        <v>18</v>
      </c>
      <c r="H16" s="2" t="n">
        <f aca="false">F16/Tabla2[[#This Row],[Cosecha Mensual]]</f>
        <v>7.99245547855075</v>
      </c>
      <c r="I16" s="2" t="n">
        <f aca="false">H16*_xlfn.XLOOKUP(Tabla2[[#This Row],[Unidad de producción]],Tabla3[Medida],Tabla3[Equivalencia en Kg],"ELVIS",0)</f>
        <v>362.537780507062</v>
      </c>
      <c r="J16" s="2" t="n">
        <v>107.81875</v>
      </c>
      <c r="K16" s="2" t="s">
        <v>18</v>
      </c>
      <c r="L16" s="2" t="n">
        <f aca="false">J16/_xlfn.XLOOKUP(Tabla2[[#This Row],[Unidad de precio]],Tabla3[Medida],Tabla3[Equivalencia en Kg],"ELVIS",0)</f>
        <v>2.3769565696649</v>
      </c>
      <c r="N16" s="3" t="n">
        <f aca="false">(Tabla2[[#This Row],[Productividad (kg/TAS)]]*Tabla2[[#This Row],[Precio por kg]]-Tabla2[[#This Row],[Costos (En RD$/Tarea)]])</f>
        <v>861.736559127994</v>
      </c>
      <c r="O16" s="9" t="n">
        <f aca="false">IF(Tabla2[[#This Row],[Costos (En RD$/Tarea)]]=0,0,Tabla2[[#This Row],[Beneficio Neto  (En RD$/Tarea)]]/Tabla2[[#This Row],[Costos (En RD$/Tarea)]])</f>
        <v>0</v>
      </c>
      <c r="P16" s="7" t="n">
        <f aca="false">Tabla2[[#This Row],[Rentabilidad (%)]]/12</f>
        <v>0</v>
      </c>
    </row>
    <row r="17" customFormat="false" ht="14.25" hidden="false" customHeight="false" outlineLevel="0" collapsed="false">
      <c r="A17" s="1" t="n">
        <v>36557</v>
      </c>
      <c r="B17" s="2" t="s">
        <v>22</v>
      </c>
      <c r="C17" s="3" t="n">
        <v>2835</v>
      </c>
      <c r="D17" s="8" t="s">
        <v>17</v>
      </c>
      <c r="E17" s="3" t="n">
        <f aca="false">IF(Tabla2[[#This Row],[Frecuencia]]="Annual", Tabla2[[#This Row],[Cosecha/Tarea]]/12,Tabla2[[#This Row],[Cosecha/Tarea]])</f>
        <v>2835</v>
      </c>
      <c r="F17" s="3" t="n">
        <v>22330</v>
      </c>
      <c r="G17" s="2" t="s">
        <v>18</v>
      </c>
      <c r="H17" s="2" t="n">
        <f aca="false">F17/Tabla2[[#This Row],[Cosecha Mensual]]</f>
        <v>7.87654320987654</v>
      </c>
      <c r="I17" s="2" t="n">
        <f aca="false">H17*_xlfn.XLOOKUP(Tabla2[[#This Row],[Unidad de producción]],Tabla3[Medida],Tabla3[Equivalencia en Kg],"ELVIS",0)</f>
        <v>357.28</v>
      </c>
      <c r="J17" s="2" t="n">
        <v>276.514285714286</v>
      </c>
      <c r="K17" s="2" t="s">
        <v>18</v>
      </c>
      <c r="L17" s="2" t="n">
        <f aca="false">J17/_xlfn.XLOOKUP(Tabla2[[#This Row],[Unidad de precio]],Tabla3[Medida],Tabla3[Equivalencia en Kg],"ELVIS",0)</f>
        <v>6.09599395313682</v>
      </c>
      <c r="N17" s="3" t="n">
        <f aca="false">(Tabla2[[#This Row],[Productividad (kg/TAS)]]*Tabla2[[#This Row],[Precio por kg]]-Tabla2[[#This Row],[Costos (En RD$/Tarea)]])</f>
        <v>2177.97671957672</v>
      </c>
      <c r="O17" s="9" t="n">
        <f aca="false">IF(Tabla2[[#This Row],[Costos (En RD$/Tarea)]]=0,0,Tabla2[[#This Row],[Beneficio Neto  (En RD$/Tarea)]]/Tabla2[[#This Row],[Costos (En RD$/Tarea)]])</f>
        <v>0</v>
      </c>
      <c r="P17" s="7" t="n">
        <f aca="false">Tabla2[[#This Row],[Rentabilidad (%)]]/12</f>
        <v>0</v>
      </c>
    </row>
    <row r="18" customFormat="false" ht="14.25" hidden="false" customHeight="false" outlineLevel="0" collapsed="false">
      <c r="A18" s="1" t="n">
        <v>36557</v>
      </c>
      <c r="B18" s="2" t="s">
        <v>23</v>
      </c>
      <c r="C18" s="3" t="n">
        <v>5755</v>
      </c>
      <c r="D18" s="8" t="s">
        <v>17</v>
      </c>
      <c r="E18" s="3" t="n">
        <f aca="false">IF(Tabla2[[#This Row],[Frecuencia]]="Annual", Tabla2[[#This Row],[Cosecha/Tarea]]/12,Tabla2[[#This Row],[Cosecha/Tarea]])</f>
        <v>5755</v>
      </c>
      <c r="F18" s="3" t="n">
        <v>132689</v>
      </c>
      <c r="G18" s="2" t="s">
        <v>18</v>
      </c>
      <c r="H18" s="2" t="n">
        <f aca="false">F18/Tabla2[[#This Row],[Cosecha Mensual]]</f>
        <v>23.0562988705474</v>
      </c>
      <c r="I18" s="2" t="n">
        <f aca="false">H18*_xlfn.XLOOKUP(Tabla2[[#This Row],[Unidad de producción]],Tabla3[Medida],Tabla3[Equivalencia en Kg],"ELVIS",0)</f>
        <v>1045.83371676803</v>
      </c>
      <c r="J18" s="2" t="n">
        <v>332.8</v>
      </c>
      <c r="K18" s="2" t="s">
        <v>18</v>
      </c>
      <c r="L18" s="2" t="n">
        <f aca="false">J18/_xlfn.XLOOKUP(Tabla2[[#This Row],[Unidad de precio]],Tabla3[Medida],Tabla3[Equivalencia en Kg],"ELVIS",0)</f>
        <v>7.336860670194</v>
      </c>
      <c r="N18" s="3" t="n">
        <f aca="false">(Tabla2[[#This Row],[Productividad (kg/TAS)]]*Tabla2[[#This Row],[Precio por kg]]-Tabla2[[#This Row],[Costos (En RD$/Tarea)]])</f>
        <v>7673.13626411816</v>
      </c>
      <c r="O18" s="9" t="n">
        <f aca="false">IF(Tabla2[[#This Row],[Costos (En RD$/Tarea)]]=0,0,Tabla2[[#This Row],[Beneficio Neto  (En RD$/Tarea)]]/Tabla2[[#This Row],[Costos (En RD$/Tarea)]])</f>
        <v>0</v>
      </c>
      <c r="P18" s="7" t="n">
        <f aca="false">Tabla2[[#This Row],[Rentabilidad (%)]]/12</f>
        <v>0</v>
      </c>
    </row>
    <row r="19" customFormat="false" ht="14.25" hidden="false" customHeight="false" outlineLevel="0" collapsed="false">
      <c r="A19" s="1" t="n">
        <v>36557</v>
      </c>
      <c r="B19" s="2" t="s">
        <v>24</v>
      </c>
      <c r="C19" s="3" t="n">
        <v>10903</v>
      </c>
      <c r="D19" s="8" t="s">
        <v>17</v>
      </c>
      <c r="E19" s="3" t="n">
        <f aca="false">IF(Tabla2[[#This Row],[Frecuencia]]="Annual", Tabla2[[#This Row],[Cosecha/Tarea]]/12,Tabla2[[#This Row],[Cosecha/Tarea]])</f>
        <v>10903</v>
      </c>
      <c r="F19" s="3" t="n">
        <v>154124</v>
      </c>
      <c r="G19" s="2" t="s">
        <v>18</v>
      </c>
      <c r="H19" s="2" t="n">
        <f aca="false">F19/Tabla2[[#This Row],[Cosecha Mensual]]</f>
        <v>14.1359258919563</v>
      </c>
      <c r="I19" s="2" t="n">
        <f aca="false">H19*_xlfn.XLOOKUP(Tabla2[[#This Row],[Unidad de producción]],Tabla3[Medida],Tabla3[Equivalencia en Kg],"ELVIS",0)</f>
        <v>641.20559845914</v>
      </c>
      <c r="J19" s="2" t="n">
        <v>346.875714285714</v>
      </c>
      <c r="K19" s="2" t="s">
        <v>18</v>
      </c>
      <c r="L19" s="2" t="n">
        <f aca="false">J19/_xlfn.XLOOKUP(Tabla2[[#This Row],[Unidad de precio]],Tabla3[Medida],Tabla3[Equivalencia en Kg],"ELVIS",0)</f>
        <v>7.64717183169564</v>
      </c>
      <c r="N19" s="3" t="n">
        <f aca="false">(Tabla2[[#This Row],[Productividad (kg/TAS)]]*Tabla2[[#This Row],[Precio por kg]]-Tabla2[[#This Row],[Costos (En RD$/Tarea)]])</f>
        <v>4903.40939086228</v>
      </c>
      <c r="O19" s="9" t="n">
        <f aca="false">IF(Tabla2[[#This Row],[Costos (En RD$/Tarea)]]=0,0,Tabla2[[#This Row],[Beneficio Neto  (En RD$/Tarea)]]/Tabla2[[#This Row],[Costos (En RD$/Tarea)]])</f>
        <v>0</v>
      </c>
      <c r="P19" s="7" t="n">
        <f aca="false">Tabla2[[#This Row],[Rentabilidad (%)]]/12</f>
        <v>0</v>
      </c>
    </row>
    <row r="20" customFormat="false" ht="14.25" hidden="false" customHeight="false" outlineLevel="0" collapsed="false">
      <c r="A20" s="1" t="n">
        <v>36557</v>
      </c>
      <c r="B20" s="2" t="s">
        <v>25</v>
      </c>
      <c r="C20" s="3" t="n">
        <v>37142</v>
      </c>
      <c r="D20" s="8" t="s">
        <v>17</v>
      </c>
      <c r="E20" s="3" t="n">
        <f aca="false">IF(Tabla2[[#This Row],[Frecuencia]]="Annual", Tabla2[[#This Row],[Cosecha/Tarea]]/12,Tabla2[[#This Row],[Cosecha/Tarea]])</f>
        <v>37142</v>
      </c>
      <c r="F20" s="3" t="n">
        <v>338748</v>
      </c>
      <c r="G20" s="2" t="s">
        <v>18</v>
      </c>
      <c r="H20" s="2" t="n">
        <f aca="false">F20/Tabla2[[#This Row],[Cosecha Mensual]]</f>
        <v>9.12034893112918</v>
      </c>
      <c r="I20" s="2" t="n">
        <f aca="false">H20*_xlfn.XLOOKUP(Tabla2[[#This Row],[Unidad de producción]],Tabla3[Medida],Tabla3[Equivalencia en Kg],"ELVIS",0)</f>
        <v>413.69902751602</v>
      </c>
      <c r="J20" s="2" t="n">
        <v>115.8666875</v>
      </c>
      <c r="K20" s="2" t="s">
        <v>18</v>
      </c>
      <c r="L20" s="2" t="n">
        <f aca="false">J20/_xlfn.XLOOKUP(Tabla2[[#This Row],[Unidad de precio]],Tabla3[Medida],Tabla3[Equivalencia en Kg],"ELVIS",0)</f>
        <v>2.55438023589065</v>
      </c>
      <c r="N20" s="3" t="n">
        <f aca="false">(Tabla2[[#This Row],[Productividad (kg/TAS)]]*Tabla2[[#This Row],[Precio por kg]]-Tabla2[[#This Row],[Costos (En RD$/Tarea)]])</f>
        <v>1056.7446194941</v>
      </c>
      <c r="O20" s="9" t="n">
        <f aca="false">IF(Tabla2[[#This Row],[Costos (En RD$/Tarea)]]=0,0,Tabla2[[#This Row],[Beneficio Neto  (En RD$/Tarea)]]/Tabla2[[#This Row],[Costos (En RD$/Tarea)]])</f>
        <v>0</v>
      </c>
      <c r="P20" s="7" t="n">
        <f aca="false">Tabla2[[#This Row],[Rentabilidad (%)]]/12</f>
        <v>0</v>
      </c>
    </row>
    <row r="21" customFormat="false" ht="14.25" hidden="false" customHeight="false" outlineLevel="0" collapsed="false">
      <c r="A21" s="1" t="n">
        <v>36557</v>
      </c>
      <c r="B21" s="2" t="s">
        <v>26</v>
      </c>
      <c r="C21" s="3" t="n">
        <v>8155</v>
      </c>
      <c r="D21" s="8" t="s">
        <v>17</v>
      </c>
      <c r="E21" s="3" t="n">
        <f aca="false">IF(Tabla2[[#This Row],[Frecuencia]]="Annual", Tabla2[[#This Row],[Cosecha/Tarea]]/12,Tabla2[[#This Row],[Cosecha/Tarea]])</f>
        <v>8155</v>
      </c>
      <c r="F21" s="3" t="n">
        <v>67208</v>
      </c>
      <c r="G21" s="2" t="s">
        <v>18</v>
      </c>
      <c r="H21" s="2" t="n">
        <f aca="false">F21/Tabla2[[#This Row],[Cosecha Mensual]]</f>
        <v>8.24132434089516</v>
      </c>
      <c r="I21" s="2" t="n">
        <f aca="false">H21*_xlfn.XLOOKUP(Tabla2[[#This Row],[Unidad de producción]],Tabla3[Medida],Tabla3[Equivalencia en Kg],"ELVIS",0)</f>
        <v>373.826472103004</v>
      </c>
      <c r="J21" s="2" t="n">
        <v>259.9075</v>
      </c>
      <c r="K21" s="2" t="s">
        <v>18</v>
      </c>
      <c r="L21" s="2" t="n">
        <f aca="false">J21/_xlfn.XLOOKUP(Tabla2[[#This Row],[Unidad de precio]],Tabla3[Medida],Tabla3[Equivalencia en Kg],"ELVIS",0)</f>
        <v>5.72988315696649</v>
      </c>
      <c r="N21" s="3" t="n">
        <f aca="false">(Tabla2[[#This Row],[Productividad (kg/TAS)]]*Tabla2[[#This Row],[Precio por kg]]-Tabla2[[#This Row],[Costos (En RD$/Tarea)]])</f>
        <v>2141.98200613121</v>
      </c>
      <c r="O21" s="9" t="n">
        <f aca="false">IF(Tabla2[[#This Row],[Costos (En RD$/Tarea)]]=0,0,Tabla2[[#This Row],[Beneficio Neto  (En RD$/Tarea)]]/Tabla2[[#This Row],[Costos (En RD$/Tarea)]])</f>
        <v>0</v>
      </c>
      <c r="P21" s="7" t="n">
        <f aca="false">Tabla2[[#This Row],[Rentabilidad (%)]]/12</f>
        <v>0</v>
      </c>
    </row>
    <row r="22" customFormat="false" ht="14.25" hidden="false" customHeight="false" outlineLevel="0" collapsed="false">
      <c r="A22" s="1" t="n">
        <v>36557</v>
      </c>
      <c r="B22" s="2" t="s">
        <v>27</v>
      </c>
      <c r="C22" s="3" t="n">
        <v>2203</v>
      </c>
      <c r="D22" s="8" t="s">
        <v>17</v>
      </c>
      <c r="E22" s="3" t="n">
        <f aca="false">IF(Tabla2[[#This Row],[Frecuencia]]="Annual", Tabla2[[#This Row],[Cosecha/Tarea]]/12,Tabla2[[#This Row],[Cosecha/Tarea]])</f>
        <v>2203</v>
      </c>
      <c r="F22" s="3" t="n">
        <v>18654</v>
      </c>
      <c r="G22" s="2" t="s">
        <v>18</v>
      </c>
      <c r="H22" s="2" t="n">
        <f aca="false">F22/Tabla2[[#This Row],[Cosecha Mensual]]</f>
        <v>8.46754425783023</v>
      </c>
      <c r="I22" s="2" t="n">
        <f aca="false">H22*_xlfn.XLOOKUP(Tabla2[[#This Row],[Unidad de producción]],Tabla3[Medida],Tabla3[Equivalencia en Kg],"ELVIS",0)</f>
        <v>384.087807535179</v>
      </c>
      <c r="J22" s="2" t="n">
        <v>185.27375</v>
      </c>
      <c r="K22" s="2" t="s">
        <v>18</v>
      </c>
      <c r="L22" s="2" t="n">
        <f aca="false">J22/_xlfn.XLOOKUP(Tabla2[[#This Row],[Unidad de precio]],Tabla3[Medida],Tabla3[Equivalencia en Kg],"ELVIS",0)</f>
        <v>4.08451829805997</v>
      </c>
      <c r="N22" s="3" t="n">
        <f aca="false">(Tabla2[[#This Row],[Productividad (kg/TAS)]]*Tabla2[[#This Row],[Precio por kg]]-Tabla2[[#This Row],[Costos (En RD$/Tarea)]])</f>
        <v>1568.81367793917</v>
      </c>
      <c r="O22" s="9" t="n">
        <f aca="false">IF(Tabla2[[#This Row],[Costos (En RD$/Tarea)]]=0,0,Tabla2[[#This Row],[Beneficio Neto  (En RD$/Tarea)]]/Tabla2[[#This Row],[Costos (En RD$/Tarea)]])</f>
        <v>0</v>
      </c>
      <c r="P22" s="7" t="n">
        <f aca="false">Tabla2[[#This Row],[Rentabilidad (%)]]/12</f>
        <v>0</v>
      </c>
    </row>
    <row r="23" customFormat="false" ht="14.25" hidden="false" customHeight="false" outlineLevel="0" collapsed="false">
      <c r="A23" s="1" t="n">
        <v>36557</v>
      </c>
      <c r="B23" s="2" t="s">
        <v>28</v>
      </c>
      <c r="C23" s="3" t="n">
        <v>1157</v>
      </c>
      <c r="D23" s="8" t="s">
        <v>17</v>
      </c>
      <c r="E23" s="3" t="n">
        <f aca="false">IF(Tabla2[[#This Row],[Frecuencia]]="Annual", Tabla2[[#This Row],[Cosecha/Tarea]]/12,Tabla2[[#This Row],[Cosecha/Tarea]])</f>
        <v>1157</v>
      </c>
      <c r="F23" s="3" t="n">
        <v>1610</v>
      </c>
      <c r="G23" s="2" t="s">
        <v>18</v>
      </c>
      <c r="H23" s="2" t="n">
        <f aca="false">F23/Tabla2[[#This Row],[Cosecha Mensual]]</f>
        <v>1.39152981849611</v>
      </c>
      <c r="I23" s="2" t="n">
        <f aca="false">H23*_xlfn.XLOOKUP(Tabla2[[#This Row],[Unidad de producción]],Tabla3[Medida],Tabla3[Equivalencia en Kg],"ELVIS",0)</f>
        <v>63.1197925669836</v>
      </c>
      <c r="J23" s="2" t="n">
        <v>1840</v>
      </c>
      <c r="K23" s="2" t="s">
        <v>29</v>
      </c>
      <c r="L23" s="2" t="n">
        <f aca="false">J23/_xlfn.XLOOKUP(Tabla2[[#This Row],[Unidad de precio]],Tabla3[Medida],Tabla3[Equivalencia en Kg],"ELVIS",0)</f>
        <v>3.27204182523029</v>
      </c>
      <c r="N23" s="3" t="n">
        <f aca="false">(Tabla2[[#This Row],[Productividad (kg/TAS)]]*Tabla2[[#This Row],[Precio por kg]]-Tabla2[[#This Row],[Costos (En RD$/Tarea)]])</f>
        <v>206.53060127903</v>
      </c>
      <c r="O23" s="9" t="n">
        <f aca="false">IF(Tabla2[[#This Row],[Costos (En RD$/Tarea)]]=0,0,Tabla2[[#This Row],[Beneficio Neto  (En RD$/Tarea)]]/Tabla2[[#This Row],[Costos (En RD$/Tarea)]])</f>
        <v>0</v>
      </c>
      <c r="P23" s="7" t="n">
        <f aca="false">Tabla2[[#This Row],[Rentabilidad (%)]]/12</f>
        <v>0</v>
      </c>
    </row>
    <row r="24" customFormat="false" ht="14.25" hidden="false" customHeight="false" outlineLevel="0" collapsed="false">
      <c r="A24" s="1" t="n">
        <v>36557</v>
      </c>
      <c r="B24" s="2" t="s">
        <v>30</v>
      </c>
      <c r="C24" s="3" t="n">
        <v>212414</v>
      </c>
      <c r="D24" s="3" t="s">
        <v>31</v>
      </c>
      <c r="E24" s="3" t="n">
        <f aca="false">IF(Tabla2[[#This Row],[Frecuencia]]="Annual", Tabla2[[#This Row],[Cosecha/Tarea]]/12,Tabla2[[#This Row],[Cosecha/Tarea]])</f>
        <v>17701.1666666667</v>
      </c>
      <c r="F24" s="3" t="n">
        <v>1123980</v>
      </c>
      <c r="G24" s="2" t="s">
        <v>32</v>
      </c>
      <c r="H24" s="2" t="n">
        <f aca="false">F24/Tabla2[[#This Row],[Cosecha Mensual]]</f>
        <v>63.4975095803478</v>
      </c>
      <c r="I24" s="2" t="n">
        <f aca="false">H24*_xlfn.XLOOKUP(Tabla2[[#This Row],[Unidad de producción]],Tabla3[Medida],Tabla3[Equivalencia en Kg],"ELVIS",0)</f>
        <v>1727.76723568126</v>
      </c>
      <c r="J24" s="2" t="n">
        <v>21.46125</v>
      </c>
      <c r="K24" s="2" t="s">
        <v>32</v>
      </c>
      <c r="L24" s="2" t="n">
        <f aca="false">J24/_xlfn.XLOOKUP(Tabla2[[#This Row],[Unidad de precio]],Tabla3[Medida],Tabla3[Equivalencia en Kg],"ELVIS",0)</f>
        <v>0.788726571113561</v>
      </c>
      <c r="M24" s="3"/>
      <c r="N24" s="3" t="n">
        <f aca="false">(Tabla2[[#This Row],[Productividad (kg/TAS)]]*Tabla2[[#This Row],[Precio por kg]]-Tabla2[[#This Row],[Costos (En RD$/Tarea)]])</f>
        <v>1362.73592748124</v>
      </c>
      <c r="O24" s="9" t="n">
        <f aca="false">IF(Tabla2[[#This Row],[Costos (En RD$/Tarea)]]=0,0,Tabla2[[#This Row],[Beneficio Neto  (En RD$/Tarea)]]/Tabla2[[#This Row],[Costos (En RD$/Tarea)]])</f>
        <v>0</v>
      </c>
      <c r="P24" s="7" t="n">
        <f aca="false">Tabla2[[#This Row],[Rentabilidad (%)]]/12</f>
        <v>0</v>
      </c>
    </row>
    <row r="25" customFormat="false" ht="14.25" hidden="false" customHeight="false" outlineLevel="0" collapsed="false">
      <c r="A25" s="1" t="n">
        <v>36557</v>
      </c>
      <c r="B25" s="2" t="s">
        <v>33</v>
      </c>
      <c r="C25" s="3" t="n">
        <v>472088</v>
      </c>
      <c r="D25" s="3" t="s">
        <v>31</v>
      </c>
      <c r="E25" s="3" t="n">
        <f aca="false">IF(Tabla2[[#This Row],[Frecuencia]]="Annual", Tabla2[[#This Row],[Cosecha/Tarea]]/12,Tabla2[[#This Row],[Cosecha/Tarea]])</f>
        <v>39340.6666666667</v>
      </c>
      <c r="F25" s="3" t="n">
        <v>91179</v>
      </c>
      <c r="G25" s="2" t="s">
        <v>34</v>
      </c>
      <c r="H25" s="2" t="n">
        <f aca="false">F25/Tabla2[[#This Row],[Cosecha Mensual]]</f>
        <v>2.31767806002271</v>
      </c>
      <c r="I25" s="2" t="n">
        <f aca="false">H25*_xlfn.XLOOKUP(Tabla2[[#This Row],[Unidad de producción]],Tabla3[Medida],Tabla3[Equivalencia en Kg],"ELVIS",0)</f>
        <v>945.960300198268</v>
      </c>
      <c r="J25" s="2" t="n">
        <v>1075.31375</v>
      </c>
      <c r="K25" s="2" t="s">
        <v>34</v>
      </c>
      <c r="L25" s="2" t="n">
        <f aca="false">J25/_xlfn.XLOOKUP(Tabla2[[#This Row],[Unidad de precio]],Tabla3[Medida],Tabla3[Equivalencia en Kg],"ELVIS",0)</f>
        <v>2.63460431214015</v>
      </c>
      <c r="M25" s="3"/>
      <c r="N25" s="3" t="n">
        <f aca="false">(Tabla2[[#This Row],[Productividad (kg/TAS)]]*Tabla2[[#This Row],[Precio por kg]]-Tabla2[[#This Row],[Costos (En RD$/Tarea)]])</f>
        <v>2492.23108601574</v>
      </c>
      <c r="O25" s="9" t="n">
        <f aca="false">IF(Tabla2[[#This Row],[Costos (En RD$/Tarea)]]=0,0,Tabla2[[#This Row],[Beneficio Neto  (En RD$/Tarea)]]/Tabla2[[#This Row],[Costos (En RD$/Tarea)]])</f>
        <v>0</v>
      </c>
      <c r="P25" s="7" t="n">
        <f aca="false">Tabla2[[#This Row],[Rentabilidad (%)]]/12</f>
        <v>0</v>
      </c>
    </row>
    <row r="26" customFormat="false" ht="14.25" hidden="false" customHeight="false" outlineLevel="0" collapsed="false">
      <c r="A26" s="1" t="n">
        <v>36586</v>
      </c>
      <c r="B26" s="2" t="s">
        <v>16</v>
      </c>
      <c r="C26" s="8" t="n">
        <v>7902</v>
      </c>
      <c r="D26" s="8" t="s">
        <v>17</v>
      </c>
      <c r="E26" s="8" t="n">
        <f aca="false">IF(Tabla2[[#This Row],[Frecuencia]]="Annual", Tabla2[[#This Row],[Cosecha/Tarea]]/12,Tabla2[[#This Row],[Cosecha/Tarea]])</f>
        <v>7902</v>
      </c>
      <c r="F26" s="3" t="n">
        <v>23368</v>
      </c>
      <c r="G26" s="2" t="s">
        <v>18</v>
      </c>
      <c r="H26" s="2" t="n">
        <f aca="false">F26/Tabla2[[#This Row],[Cosecha Mensual]]</f>
        <v>2.95722601872944</v>
      </c>
      <c r="I26" s="2" t="n">
        <f aca="false">H26*_xlfn.XLOOKUP(Tabla2[[#This Row],[Unidad de producción]],Tabla3[Medida],Tabla3[Equivalencia en Kg],"ELVIS",0)</f>
        <v>134.139772209567</v>
      </c>
      <c r="J26" s="2" t="n">
        <v>1156.07700770077</v>
      </c>
      <c r="K26" s="2" t="s">
        <v>19</v>
      </c>
      <c r="L26" s="2" t="n">
        <f aca="false">J26/_xlfn.XLOOKUP(Tabla2[[#This Row],[Unidad de precio]],Tabla3[Medida],Tabla3[Equivalencia en Kg],"ELVIS",0)</f>
        <v>10.5097909790979</v>
      </c>
      <c r="N26" s="3" t="n">
        <f aca="false">(Tabla2[[#This Row],[Productividad (kg/TAS)]]*Tabla2[[#This Row],[Precio por kg]]-Tabla2[[#This Row],[Costos (En RD$/Tarea)]])</f>
        <v>1409.78096790636</v>
      </c>
      <c r="O26" s="9" t="n">
        <f aca="false">IF(Tabla2[[#This Row],[Costos (En RD$/Tarea)]]=0,0,Tabla2[[#This Row],[Beneficio Neto  (En RD$/Tarea)]]/Tabla2[[#This Row],[Costos (En RD$/Tarea)]])</f>
        <v>0</v>
      </c>
      <c r="P26" s="7" t="n">
        <f aca="false">Tabla2[[#This Row],[Rentabilidad (%)]]/12</f>
        <v>0</v>
      </c>
    </row>
    <row r="27" customFormat="false" ht="14.25" hidden="false" customHeight="false" outlineLevel="0" collapsed="false">
      <c r="A27" s="1" t="n">
        <v>36586</v>
      </c>
      <c r="B27" s="2" t="s">
        <v>20</v>
      </c>
      <c r="C27" s="8" t="n">
        <v>16370</v>
      </c>
      <c r="D27" s="8" t="s">
        <v>17</v>
      </c>
      <c r="E27" s="8" t="n">
        <f aca="false">IF(Tabla2[[#This Row],[Frecuencia]]="Annual", Tabla2[[#This Row],[Cosecha/Tarea]]/12,Tabla2[[#This Row],[Cosecha/Tarea]])</f>
        <v>16370</v>
      </c>
      <c r="F27" s="8" t="n">
        <v>28986</v>
      </c>
      <c r="G27" s="2" t="s">
        <v>18</v>
      </c>
      <c r="H27" s="2" t="n">
        <f aca="false">F27/Tabla2[[#This Row],[Cosecha Mensual]]</f>
        <v>1.77067806963958</v>
      </c>
      <c r="I27" s="2" t="n">
        <f aca="false">H27*_xlfn.XLOOKUP(Tabla2[[#This Row],[Unidad de producción]],Tabla3[Medida],Tabla3[Equivalencia en Kg],"ELVIS",0)</f>
        <v>80.3179572388516</v>
      </c>
      <c r="J27" s="2" t="n">
        <v>124.8009</v>
      </c>
      <c r="K27" s="2" t="s">
        <v>18</v>
      </c>
      <c r="L27" s="2" t="n">
        <f aca="false">J27/_xlfn.XLOOKUP(Tabla2[[#This Row],[Unidad de precio]],Tabla3[Medida],Tabla3[Equivalencia en Kg],"ELVIS",0)</f>
        <v>2.75134259259259</v>
      </c>
      <c r="N27" s="3" t="n">
        <f aca="false">(Tabla2[[#This Row],[Productividad (kg/TAS)]]*Tabla2[[#This Row],[Precio por kg]]-Tabla2[[#This Row],[Costos (En RD$/Tarea)]])</f>
        <v>220.982216701283</v>
      </c>
      <c r="O27" s="9" t="n">
        <f aca="false">IF(Tabla2[[#This Row],[Costos (En RD$/Tarea)]]=0,0,Tabla2[[#This Row],[Beneficio Neto  (En RD$/Tarea)]]/Tabla2[[#This Row],[Costos (En RD$/Tarea)]])</f>
        <v>0</v>
      </c>
      <c r="P27" s="7" t="n">
        <f aca="false">Tabla2[[#This Row],[Rentabilidad (%)]]/12</f>
        <v>0</v>
      </c>
    </row>
    <row r="28" customFormat="false" ht="14.25" hidden="false" customHeight="false" outlineLevel="0" collapsed="false">
      <c r="A28" s="1" t="n">
        <v>36586</v>
      </c>
      <c r="B28" s="2" t="s">
        <v>21</v>
      </c>
      <c r="C28" s="3" t="n">
        <v>13867</v>
      </c>
      <c r="D28" s="8" t="s">
        <v>17</v>
      </c>
      <c r="E28" s="3" t="n">
        <f aca="false">IF(Tabla2[[#This Row],[Frecuencia]]="Annual", Tabla2[[#This Row],[Cosecha/Tarea]]/12,Tabla2[[#This Row],[Cosecha/Tarea]])</f>
        <v>13867</v>
      </c>
      <c r="F28" s="3" t="n">
        <v>91297</v>
      </c>
      <c r="G28" s="2" t="s">
        <v>18</v>
      </c>
      <c r="H28" s="2" t="n">
        <f aca="false">F28/Tabla2[[#This Row],[Cosecha Mensual]]</f>
        <v>6.58376000576909</v>
      </c>
      <c r="I28" s="2" t="n">
        <f aca="false">H28*_xlfn.XLOOKUP(Tabla2[[#This Row],[Unidad de producción]],Tabla3[Medida],Tabla3[Equivalencia en Kg],"ELVIS",0)</f>
        <v>298.639353861686</v>
      </c>
      <c r="J28" s="2" t="n">
        <v>115.083333333333</v>
      </c>
      <c r="K28" s="2" t="s">
        <v>18</v>
      </c>
      <c r="L28" s="2" t="n">
        <f aca="false">J28/_xlfn.XLOOKUP(Tabla2[[#This Row],[Unidad de precio]],Tabla3[Medida],Tabla3[Equivalencia en Kg],"ELVIS",0)</f>
        <v>2.53711052322163</v>
      </c>
      <c r="N28" s="3" t="n">
        <f aca="false">(Tabla2[[#This Row],[Productividad (kg/TAS)]]*Tabla2[[#This Row],[Precio por kg]]-Tabla2[[#This Row],[Costos (En RD$/Tarea)]])</f>
        <v>757.681047330591</v>
      </c>
      <c r="O28" s="9" t="n">
        <f aca="false">IF(Tabla2[[#This Row],[Costos (En RD$/Tarea)]]=0,0,Tabla2[[#This Row],[Beneficio Neto  (En RD$/Tarea)]]/Tabla2[[#This Row],[Costos (En RD$/Tarea)]])</f>
        <v>0</v>
      </c>
      <c r="P28" s="7" t="n">
        <f aca="false">Tabla2[[#This Row],[Rentabilidad (%)]]/12</f>
        <v>0</v>
      </c>
    </row>
    <row r="29" customFormat="false" ht="14.25" hidden="false" customHeight="false" outlineLevel="0" collapsed="false">
      <c r="A29" s="1" t="n">
        <v>36586</v>
      </c>
      <c r="B29" s="2" t="s">
        <v>22</v>
      </c>
      <c r="C29" s="3" t="n">
        <v>3221</v>
      </c>
      <c r="D29" s="8" t="s">
        <v>17</v>
      </c>
      <c r="E29" s="3" t="n">
        <f aca="false">IF(Tabla2[[#This Row],[Frecuencia]]="Annual", Tabla2[[#This Row],[Cosecha/Tarea]]/12,Tabla2[[#This Row],[Cosecha/Tarea]])</f>
        <v>3221</v>
      </c>
      <c r="F29" s="3" t="n">
        <v>28232</v>
      </c>
      <c r="G29" s="2" t="s">
        <v>18</v>
      </c>
      <c r="H29" s="2" t="n">
        <f aca="false">F29/Tabla2[[#This Row],[Cosecha Mensual]]</f>
        <v>8.7649798199317</v>
      </c>
      <c r="I29" s="2" t="n">
        <f aca="false">H29*_xlfn.XLOOKUP(Tabla2[[#This Row],[Unidad de producción]],Tabla3[Medida],Tabla3[Equivalencia en Kg],"ELVIS",0)</f>
        <v>397.579484632102</v>
      </c>
      <c r="J29" s="2" t="n">
        <v>274.268</v>
      </c>
      <c r="K29" s="2" t="s">
        <v>18</v>
      </c>
      <c r="L29" s="2" t="n">
        <f aca="false">J29/_xlfn.XLOOKUP(Tabla2[[#This Row],[Unidad de precio]],Tabla3[Medida],Tabla3[Equivalencia en Kg],"ELVIS",0)</f>
        <v>6.04647266313933</v>
      </c>
      <c r="N29" s="3" t="n">
        <f aca="false">(Tabla2[[#This Row],[Productividad (kg/TAS)]]*Tabla2[[#This Row],[Precio por kg]]-Tabla2[[#This Row],[Costos (En RD$/Tarea)]])</f>
        <v>2403.95348525303</v>
      </c>
      <c r="O29" s="9" t="n">
        <f aca="false">IF(Tabla2[[#This Row],[Costos (En RD$/Tarea)]]=0,0,Tabla2[[#This Row],[Beneficio Neto  (En RD$/Tarea)]]/Tabla2[[#This Row],[Costos (En RD$/Tarea)]])</f>
        <v>0</v>
      </c>
      <c r="P29" s="7" t="n">
        <f aca="false">Tabla2[[#This Row],[Rentabilidad (%)]]/12</f>
        <v>0</v>
      </c>
    </row>
    <row r="30" customFormat="false" ht="14.25" hidden="false" customHeight="false" outlineLevel="0" collapsed="false">
      <c r="A30" s="1" t="n">
        <v>36586</v>
      </c>
      <c r="B30" s="2" t="s">
        <v>23</v>
      </c>
      <c r="C30" s="3" t="n">
        <v>1566</v>
      </c>
      <c r="D30" s="8" t="s">
        <v>17</v>
      </c>
      <c r="E30" s="3" t="n">
        <f aca="false">IF(Tabla2[[#This Row],[Frecuencia]]="Annual", Tabla2[[#This Row],[Cosecha/Tarea]]/12,Tabla2[[#This Row],[Cosecha/Tarea]])</f>
        <v>1566</v>
      </c>
      <c r="F30" s="3" t="n">
        <v>25493</v>
      </c>
      <c r="G30" s="2" t="s">
        <v>18</v>
      </c>
      <c r="H30" s="2" t="n">
        <f aca="false">F30/Tabla2[[#This Row],[Cosecha Mensual]]</f>
        <v>16.279054916986</v>
      </c>
      <c r="I30" s="2" t="n">
        <f aca="false">H30*_xlfn.XLOOKUP(Tabla2[[#This Row],[Unidad de producción]],Tabla3[Medida],Tabla3[Equivalencia en Kg],"ELVIS",0)</f>
        <v>738.417931034483</v>
      </c>
      <c r="J30" s="2" t="n">
        <v>288.225</v>
      </c>
      <c r="K30" s="2" t="s">
        <v>18</v>
      </c>
      <c r="L30" s="2" t="n">
        <f aca="false">J30/_xlfn.XLOOKUP(Tabla2[[#This Row],[Unidad de precio]],Tabla3[Medida],Tabla3[Equivalencia en Kg],"ELVIS",0)</f>
        <v>6.35416666666667</v>
      </c>
      <c r="N30" s="3" t="n">
        <f aca="false">(Tabla2[[#This Row],[Productividad (kg/TAS)]]*Tabla2[[#This Row],[Precio por kg]]-Tabla2[[#This Row],[Costos (En RD$/Tarea)]])</f>
        <v>4692.03060344828</v>
      </c>
      <c r="O30" s="9" t="n">
        <f aca="false">IF(Tabla2[[#This Row],[Costos (En RD$/Tarea)]]=0,0,Tabla2[[#This Row],[Beneficio Neto  (En RD$/Tarea)]]/Tabla2[[#This Row],[Costos (En RD$/Tarea)]])</f>
        <v>0</v>
      </c>
      <c r="P30" s="7" t="n">
        <f aca="false">Tabla2[[#This Row],[Rentabilidad (%)]]/12</f>
        <v>0</v>
      </c>
    </row>
    <row r="31" customFormat="false" ht="14.25" hidden="false" customHeight="false" outlineLevel="0" collapsed="false">
      <c r="A31" s="1" t="n">
        <v>36586</v>
      </c>
      <c r="B31" s="2" t="s">
        <v>24</v>
      </c>
      <c r="C31" s="3" t="n">
        <v>11749</v>
      </c>
      <c r="D31" s="8" t="s">
        <v>17</v>
      </c>
      <c r="E31" s="3" t="n">
        <f aca="false">IF(Tabla2[[#This Row],[Frecuencia]]="Annual", Tabla2[[#This Row],[Cosecha/Tarea]]/12,Tabla2[[#This Row],[Cosecha/Tarea]])</f>
        <v>11749</v>
      </c>
      <c r="F31" s="3" t="n">
        <v>92784</v>
      </c>
      <c r="G31" s="2" t="s">
        <v>18</v>
      </c>
      <c r="H31" s="2" t="n">
        <f aca="false">F31/Tabla2[[#This Row],[Cosecha Mensual]]</f>
        <v>7.89718273895651</v>
      </c>
      <c r="I31" s="2" t="n">
        <f aca="false">H31*_xlfn.XLOOKUP(Tabla2[[#This Row],[Unidad de producción]],Tabla3[Medida],Tabla3[Equivalencia en Kg],"ELVIS",0)</f>
        <v>358.216209039067</v>
      </c>
      <c r="J31" s="2" t="n">
        <v>298.6</v>
      </c>
      <c r="K31" s="2" t="s">
        <v>18</v>
      </c>
      <c r="L31" s="2" t="n">
        <f aca="false">J31/_xlfn.XLOOKUP(Tabla2[[#This Row],[Unidad de precio]],Tabla3[Medida],Tabla3[Equivalencia en Kg],"ELVIS",0)</f>
        <v>6.58289241622575</v>
      </c>
      <c r="N31" s="3" t="n">
        <f aca="false">(Tabla2[[#This Row],[Productividad (kg/TAS)]]*Tabla2[[#This Row],[Precio por kg]]-Tabla2[[#This Row],[Costos (En RD$/Tarea)]])</f>
        <v>2358.09876585241</v>
      </c>
      <c r="O31" s="9" t="n">
        <f aca="false">IF(Tabla2[[#This Row],[Costos (En RD$/Tarea)]]=0,0,Tabla2[[#This Row],[Beneficio Neto  (En RD$/Tarea)]]/Tabla2[[#This Row],[Costos (En RD$/Tarea)]])</f>
        <v>0</v>
      </c>
      <c r="P31" s="7" t="n">
        <f aca="false">Tabla2[[#This Row],[Rentabilidad (%)]]/12</f>
        <v>0</v>
      </c>
    </row>
    <row r="32" customFormat="false" ht="14.25" hidden="false" customHeight="false" outlineLevel="0" collapsed="false">
      <c r="A32" s="1" t="n">
        <v>36586</v>
      </c>
      <c r="B32" s="2" t="s">
        <v>25</v>
      </c>
      <c r="C32" s="3" t="n">
        <v>24871</v>
      </c>
      <c r="D32" s="8" t="s">
        <v>17</v>
      </c>
      <c r="E32" s="3" t="n">
        <f aca="false">IF(Tabla2[[#This Row],[Frecuencia]]="Annual", Tabla2[[#This Row],[Cosecha/Tarea]]/12,Tabla2[[#This Row],[Cosecha/Tarea]])</f>
        <v>24871</v>
      </c>
      <c r="F32" s="3" t="n">
        <v>221327</v>
      </c>
      <c r="G32" s="2" t="s">
        <v>18</v>
      </c>
      <c r="H32" s="2" t="n">
        <f aca="false">F32/Tabla2[[#This Row],[Cosecha Mensual]]</f>
        <v>8.89899883398335</v>
      </c>
      <c r="I32" s="2" t="n">
        <f aca="false">H32*_xlfn.XLOOKUP(Tabla2[[#This Row],[Unidad de producción]],Tabla3[Medida],Tabla3[Equivalencia en Kg],"ELVIS",0)</f>
        <v>403.658587109485</v>
      </c>
      <c r="J32" s="2" t="n">
        <v>119.53125</v>
      </c>
      <c r="K32" s="2" t="s">
        <v>18</v>
      </c>
      <c r="L32" s="2" t="n">
        <f aca="false">J32/_xlfn.XLOOKUP(Tabla2[[#This Row],[Unidad de precio]],Tabla3[Medida],Tabla3[Equivalencia en Kg],"ELVIS",0)</f>
        <v>2.63516865079365</v>
      </c>
      <c r="N32" s="3" t="n">
        <f aca="false">(Tabla2[[#This Row],[Productividad (kg/TAS)]]*Tabla2[[#This Row],[Precio por kg]]-Tabla2[[#This Row],[Costos (En RD$/Tarea)]])</f>
        <v>1063.70845437457</v>
      </c>
      <c r="O32" s="9" t="n">
        <f aca="false">IF(Tabla2[[#This Row],[Costos (En RD$/Tarea)]]=0,0,Tabla2[[#This Row],[Beneficio Neto  (En RD$/Tarea)]]/Tabla2[[#This Row],[Costos (En RD$/Tarea)]])</f>
        <v>0</v>
      </c>
      <c r="P32" s="7" t="n">
        <f aca="false">Tabla2[[#This Row],[Rentabilidad (%)]]/12</f>
        <v>0</v>
      </c>
    </row>
    <row r="33" customFormat="false" ht="14.25" hidden="false" customHeight="false" outlineLevel="0" collapsed="false">
      <c r="A33" s="1" t="n">
        <v>36586</v>
      </c>
      <c r="B33" s="2" t="s">
        <v>26</v>
      </c>
      <c r="C33" s="3" t="n">
        <v>7968</v>
      </c>
      <c r="D33" s="8" t="s">
        <v>17</v>
      </c>
      <c r="E33" s="3" t="n">
        <f aca="false">IF(Tabla2[[#This Row],[Frecuencia]]="Annual", Tabla2[[#This Row],[Cosecha/Tarea]]/12,Tabla2[[#This Row],[Cosecha/Tarea]])</f>
        <v>7968</v>
      </c>
      <c r="F33" s="3" t="n">
        <v>50813</v>
      </c>
      <c r="G33" s="2" t="s">
        <v>18</v>
      </c>
      <c r="H33" s="2" t="n">
        <f aca="false">F33/Tabla2[[#This Row],[Cosecha Mensual]]</f>
        <v>6.37713353413655</v>
      </c>
      <c r="I33" s="2" t="n">
        <f aca="false">H33*_xlfn.XLOOKUP(Tabla2[[#This Row],[Unidad de producción]],Tabla3[Medida],Tabla3[Equivalencia en Kg],"ELVIS",0)</f>
        <v>289.266777108434</v>
      </c>
      <c r="J33" s="2" t="n">
        <v>247.6</v>
      </c>
      <c r="K33" s="2" t="s">
        <v>18</v>
      </c>
      <c r="L33" s="2" t="n">
        <f aca="false">J33/_xlfn.XLOOKUP(Tabla2[[#This Row],[Unidad de precio]],Tabla3[Medida],Tabla3[Equivalencia en Kg],"ELVIS",0)</f>
        <v>5.45855379188713</v>
      </c>
      <c r="N33" s="3" t="n">
        <f aca="false">(Tabla2[[#This Row],[Productividad (kg/TAS)]]*Tabla2[[#This Row],[Precio por kg]]-Tabla2[[#This Row],[Costos (En RD$/Tarea)]])</f>
        <v>1578.97826305221</v>
      </c>
      <c r="O33" s="9" t="n">
        <f aca="false">IF(Tabla2[[#This Row],[Costos (En RD$/Tarea)]]=0,0,Tabla2[[#This Row],[Beneficio Neto  (En RD$/Tarea)]]/Tabla2[[#This Row],[Costos (En RD$/Tarea)]])</f>
        <v>0</v>
      </c>
      <c r="P33" s="7" t="n">
        <f aca="false">Tabla2[[#This Row],[Rentabilidad (%)]]/12</f>
        <v>0</v>
      </c>
    </row>
    <row r="34" customFormat="false" ht="14.25" hidden="false" customHeight="false" outlineLevel="0" collapsed="false">
      <c r="A34" s="1" t="n">
        <v>36586</v>
      </c>
      <c r="B34" s="2" t="s">
        <v>27</v>
      </c>
      <c r="C34" s="3" t="n">
        <v>2320</v>
      </c>
      <c r="D34" s="8" t="s">
        <v>17</v>
      </c>
      <c r="E34" s="3" t="n">
        <f aca="false">IF(Tabla2[[#This Row],[Frecuencia]]="Annual", Tabla2[[#This Row],[Cosecha/Tarea]]/12,Tabla2[[#This Row],[Cosecha/Tarea]])</f>
        <v>2320</v>
      </c>
      <c r="F34" s="3" t="n">
        <v>22697</v>
      </c>
      <c r="G34" s="2" t="s">
        <v>18</v>
      </c>
      <c r="H34" s="2" t="n">
        <f aca="false">F34/Tabla2[[#This Row],[Cosecha Mensual]]</f>
        <v>9.78318965517241</v>
      </c>
      <c r="I34" s="2" t="n">
        <f aca="false">H34*_xlfn.XLOOKUP(Tabla2[[#This Row],[Unidad de producción]],Tabla3[Medida],Tabla3[Equivalencia en Kg],"ELVIS",0)</f>
        <v>443.765482758621</v>
      </c>
      <c r="J34" s="2" t="n">
        <v>187.6</v>
      </c>
      <c r="K34" s="2" t="s">
        <v>18</v>
      </c>
      <c r="L34" s="2" t="n">
        <f aca="false">J34/_xlfn.XLOOKUP(Tabla2[[#This Row],[Unidad de precio]],Tabla3[Medida],Tabla3[Equivalencia en Kg],"ELVIS",0)</f>
        <v>4.1358024691358</v>
      </c>
      <c r="N34" s="3" t="n">
        <f aca="false">(Tabla2[[#This Row],[Productividad (kg/TAS)]]*Tabla2[[#This Row],[Precio por kg]]-Tabla2[[#This Row],[Costos (En RD$/Tarea)]])</f>
        <v>1835.32637931034</v>
      </c>
      <c r="O34" s="9" t="n">
        <f aca="false">IF(Tabla2[[#This Row],[Costos (En RD$/Tarea)]]=0,0,Tabla2[[#This Row],[Beneficio Neto  (En RD$/Tarea)]]/Tabla2[[#This Row],[Costos (En RD$/Tarea)]])</f>
        <v>0</v>
      </c>
      <c r="P34" s="7" t="n">
        <f aca="false">Tabla2[[#This Row],[Rentabilidad (%)]]/12</f>
        <v>0</v>
      </c>
    </row>
    <row r="35" customFormat="false" ht="14.25" hidden="false" customHeight="false" outlineLevel="0" collapsed="false">
      <c r="A35" s="1" t="n">
        <v>36586</v>
      </c>
      <c r="B35" s="2" t="s">
        <v>28</v>
      </c>
      <c r="C35" s="3" t="n">
        <v>356</v>
      </c>
      <c r="D35" s="8" t="s">
        <v>17</v>
      </c>
      <c r="E35" s="3" t="n">
        <f aca="false">IF(Tabla2[[#This Row],[Frecuencia]]="Annual", Tabla2[[#This Row],[Cosecha/Tarea]]/12,Tabla2[[#This Row],[Cosecha/Tarea]])</f>
        <v>356</v>
      </c>
      <c r="F35" s="3" t="n">
        <v>367</v>
      </c>
      <c r="G35" s="2" t="s">
        <v>18</v>
      </c>
      <c r="H35" s="2" t="n">
        <f aca="false">F35/Tabla2[[#This Row],[Cosecha Mensual]]</f>
        <v>1.03089887640449</v>
      </c>
      <c r="I35" s="2" t="n">
        <f aca="false">H35*_xlfn.XLOOKUP(Tabla2[[#This Row],[Unidad de producción]],Tabla3[Medida],Tabla3[Equivalencia en Kg],"ELVIS",0)</f>
        <v>46.7615730337079</v>
      </c>
      <c r="J35" s="2" t="n">
        <v>1917.38</v>
      </c>
      <c r="K35" s="2" t="s">
        <v>29</v>
      </c>
      <c r="L35" s="2" t="n">
        <f aca="false">J35/_xlfn.XLOOKUP(Tabla2[[#This Row],[Unidad de precio]],Tabla3[Medida],Tabla3[Equivalencia en Kg],"ELVIS",0)</f>
        <v>3.40964541025003</v>
      </c>
      <c r="N35" s="3" t="n">
        <f aca="false">(Tabla2[[#This Row],[Productividad (kg/TAS)]]*Tabla2[[#This Row],[Precio por kg]]-Tabla2[[#This Row],[Costos (En RD$/Tarea)]])</f>
        <v>159.440382870453</v>
      </c>
      <c r="O35" s="9" t="n">
        <f aca="false">IF(Tabla2[[#This Row],[Costos (En RD$/Tarea)]]=0,0,Tabla2[[#This Row],[Beneficio Neto  (En RD$/Tarea)]]/Tabla2[[#This Row],[Costos (En RD$/Tarea)]])</f>
        <v>0</v>
      </c>
      <c r="P35" s="7" t="n">
        <f aca="false">Tabla2[[#This Row],[Rentabilidad (%)]]/12</f>
        <v>0</v>
      </c>
    </row>
    <row r="36" customFormat="false" ht="14.25" hidden="false" customHeight="false" outlineLevel="0" collapsed="false">
      <c r="A36" s="1" t="n">
        <v>36586</v>
      </c>
      <c r="B36" s="2" t="s">
        <v>30</v>
      </c>
      <c r="C36" s="3" t="n">
        <v>207839</v>
      </c>
      <c r="D36" s="3" t="s">
        <v>31</v>
      </c>
      <c r="E36" s="3" t="n">
        <f aca="false">IF(Tabla2[[#This Row],[Frecuencia]]="Annual", Tabla2[[#This Row],[Cosecha/Tarea]]/12,Tabla2[[#This Row],[Cosecha/Tarea]])</f>
        <v>17319.9166666667</v>
      </c>
      <c r="F36" s="3" t="n">
        <v>1205187</v>
      </c>
      <c r="G36" s="2" t="s">
        <v>32</v>
      </c>
      <c r="H36" s="2" t="n">
        <f aca="false">F36/Tabla2[[#This Row],[Cosecha Mensual]]</f>
        <v>69.5838798300608</v>
      </c>
      <c r="I36" s="2" t="n">
        <f aca="false">H36*_xlfn.XLOOKUP(Tabla2[[#This Row],[Unidad de producción]],Tabla3[Medida],Tabla3[Equivalencia en Kg],"ELVIS",0)</f>
        <v>1893.37737017595</v>
      </c>
      <c r="J36" s="2" t="n">
        <v>21.4866666666667</v>
      </c>
      <c r="K36" s="2" t="s">
        <v>32</v>
      </c>
      <c r="L36" s="2" t="n">
        <f aca="false">J36/_xlfn.XLOOKUP(Tabla2[[#This Row],[Unidad de precio]],Tabla3[Medida],Tabla3[Equivalencia en Kg],"ELVIS",0)</f>
        <v>0.78966066397158</v>
      </c>
      <c r="M36" s="3"/>
      <c r="N36" s="3" t="n">
        <f aca="false">(Tabla2[[#This Row],[Productividad (kg/TAS)]]*Tabla2[[#This Row],[Precio por kg]]-Tabla2[[#This Row],[Costos (En RD$/Tarea)]])</f>
        <v>1495.12563128191</v>
      </c>
      <c r="O36" s="9" t="n">
        <f aca="false">IF(Tabla2[[#This Row],[Costos (En RD$/Tarea)]]=0,0,Tabla2[[#This Row],[Beneficio Neto  (En RD$/Tarea)]]/Tabla2[[#This Row],[Costos (En RD$/Tarea)]])</f>
        <v>0</v>
      </c>
      <c r="P36" s="7" t="n">
        <f aca="false">Tabla2[[#This Row],[Rentabilidad (%)]]/12</f>
        <v>0</v>
      </c>
    </row>
    <row r="37" customFormat="false" ht="14.25" hidden="false" customHeight="false" outlineLevel="0" collapsed="false">
      <c r="A37" s="1" t="n">
        <v>36586</v>
      </c>
      <c r="B37" s="2" t="s">
        <v>33</v>
      </c>
      <c r="C37" s="3" t="n">
        <v>556635</v>
      </c>
      <c r="D37" s="3" t="s">
        <v>31</v>
      </c>
      <c r="E37" s="3" t="n">
        <f aca="false">IF(Tabla2[[#This Row],[Frecuencia]]="Annual", Tabla2[[#This Row],[Cosecha/Tarea]]/12,Tabla2[[#This Row],[Cosecha/Tarea]])</f>
        <v>46386.25</v>
      </c>
      <c r="F37" s="3" t="n">
        <v>91839</v>
      </c>
      <c r="G37" s="2" t="s">
        <v>34</v>
      </c>
      <c r="H37" s="2" t="n">
        <f aca="false">F37/Tabla2[[#This Row],[Cosecha Mensual]]</f>
        <v>1.97987550189981</v>
      </c>
      <c r="I37" s="2" t="n">
        <f aca="false">H37*_xlfn.XLOOKUP(Tabla2[[#This Row],[Unidad de producción]],Tabla3[Medida],Tabla3[Equivalencia en Kg],"ELVIS",0)</f>
        <v>808.086186100407</v>
      </c>
      <c r="J37" s="2" t="n">
        <v>1229.86166666667</v>
      </c>
      <c r="K37" s="2" t="s">
        <v>34</v>
      </c>
      <c r="L37" s="2" t="n">
        <f aca="false">J37/_xlfn.XLOOKUP(Tabla2[[#This Row],[Unidad de precio]],Tabla3[Medida],Tabla3[Equivalencia en Kg],"ELVIS",0)</f>
        <v>3.01325901425131</v>
      </c>
      <c r="M37" s="3"/>
      <c r="N37" s="3" t="n">
        <f aca="false">(Tabla2[[#This Row],[Productividad (kg/TAS)]]*Tabla2[[#This Row],[Precio por kg]]-Tabla2[[#This Row],[Costos (En RD$/Tarea)]])</f>
        <v>2434.97298455901</v>
      </c>
      <c r="O37" s="9" t="n">
        <f aca="false">IF(Tabla2[[#This Row],[Costos (En RD$/Tarea)]]=0,0,Tabla2[[#This Row],[Beneficio Neto  (En RD$/Tarea)]]/Tabla2[[#This Row],[Costos (En RD$/Tarea)]])</f>
        <v>0</v>
      </c>
      <c r="P37" s="7" t="n">
        <f aca="false">Tabla2[[#This Row],[Rentabilidad (%)]]/12</f>
        <v>0</v>
      </c>
    </row>
    <row r="38" customFormat="false" ht="14.25" hidden="false" customHeight="false" outlineLevel="0" collapsed="false">
      <c r="A38" s="1" t="n">
        <v>36617</v>
      </c>
      <c r="B38" s="2" t="s">
        <v>16</v>
      </c>
      <c r="C38" s="8" t="n">
        <v>37236</v>
      </c>
      <c r="D38" s="8" t="s">
        <v>17</v>
      </c>
      <c r="E38" s="8" t="n">
        <f aca="false">IF(Tabla2[[#This Row],[Frecuencia]]="Annual", Tabla2[[#This Row],[Cosecha/Tarea]]/12,Tabla2[[#This Row],[Cosecha/Tarea]])</f>
        <v>37236</v>
      </c>
      <c r="F38" s="3" t="n">
        <v>139693</v>
      </c>
      <c r="G38" s="2" t="s">
        <v>18</v>
      </c>
      <c r="H38" s="2" t="n">
        <f aca="false">F38/Tabla2[[#This Row],[Cosecha Mensual]]</f>
        <v>3.75155763239875</v>
      </c>
      <c r="I38" s="2" t="n">
        <f aca="false">H38*_xlfn.XLOOKUP(Tabla2[[#This Row],[Unidad de producción]],Tabla3[Medida],Tabla3[Equivalencia en Kg],"ELVIS",0)</f>
        <v>170.170654205607</v>
      </c>
      <c r="J38" s="2" t="n">
        <v>1093.4895489549</v>
      </c>
      <c r="K38" s="2" t="s">
        <v>19</v>
      </c>
      <c r="L38" s="2" t="n">
        <f aca="false">J38/_xlfn.XLOOKUP(Tabla2[[#This Row],[Unidad de precio]],Tabla3[Medida],Tabla3[Equivalencia en Kg],"ELVIS",0)</f>
        <v>9.94081408140818</v>
      </c>
      <c r="N38" s="3" t="n">
        <f aca="false">(Tabla2[[#This Row],[Productividad (kg/TAS)]]*Tabla2[[#This Row],[Precio por kg]]-Tabla2[[#This Row],[Costos (En RD$/Tarea)]])</f>
        <v>1691.63483556955</v>
      </c>
      <c r="O38" s="9" t="n">
        <f aca="false">IF(Tabla2[[#This Row],[Costos (En RD$/Tarea)]]=0,0,Tabla2[[#This Row],[Beneficio Neto  (En RD$/Tarea)]]/Tabla2[[#This Row],[Costos (En RD$/Tarea)]])</f>
        <v>0</v>
      </c>
      <c r="P38" s="7" t="n">
        <f aca="false">Tabla2[[#This Row],[Rentabilidad (%)]]/12</f>
        <v>0</v>
      </c>
    </row>
    <row r="39" customFormat="false" ht="14.25" hidden="false" customHeight="false" outlineLevel="0" collapsed="false">
      <c r="A39" s="1" t="n">
        <v>36617</v>
      </c>
      <c r="B39" s="2" t="s">
        <v>20</v>
      </c>
      <c r="C39" s="3" t="n">
        <v>21666</v>
      </c>
      <c r="D39" s="8" t="s">
        <v>17</v>
      </c>
      <c r="E39" s="3" t="n">
        <f aca="false">IF(Tabla2[[#This Row],[Frecuencia]]="Annual", Tabla2[[#This Row],[Cosecha/Tarea]]/12,Tabla2[[#This Row],[Cosecha/Tarea]])</f>
        <v>21666</v>
      </c>
      <c r="F39" s="3" t="n">
        <v>40527</v>
      </c>
      <c r="G39" s="2" t="s">
        <v>18</v>
      </c>
      <c r="H39" s="2" t="n">
        <f aca="false">F39/Tabla2[[#This Row],[Cosecha Mensual]]</f>
        <v>1.87053447798394</v>
      </c>
      <c r="I39" s="2" t="n">
        <f aca="false">H39*_xlfn.XLOOKUP(Tabla2[[#This Row],[Unidad de producción]],Tabla3[Medida],Tabla3[Equivalencia en Kg],"ELVIS",0)</f>
        <v>84.8474439213514</v>
      </c>
      <c r="J39" s="2" t="n">
        <v>155.206857142857</v>
      </c>
      <c r="K39" s="2" t="s">
        <v>18</v>
      </c>
      <c r="L39" s="2" t="n">
        <f aca="false">J39/_xlfn.XLOOKUP(Tabla2[[#This Row],[Unidad de precio]],Tabla3[Medida],Tabla3[Equivalencia en Kg],"ELVIS",0)</f>
        <v>3.42166792642983</v>
      </c>
      <c r="N39" s="3" t="n">
        <f aca="false">(Tabla2[[#This Row],[Productividad (kg/TAS)]]*Tabla2[[#This Row],[Precio por kg]]-Tabla2[[#This Row],[Costos (En RD$/Tarea)]])</f>
        <v>290.319777505242</v>
      </c>
      <c r="O39" s="9" t="n">
        <f aca="false">IF(Tabla2[[#This Row],[Costos (En RD$/Tarea)]]=0,0,Tabla2[[#This Row],[Beneficio Neto  (En RD$/Tarea)]]/Tabla2[[#This Row],[Costos (En RD$/Tarea)]])</f>
        <v>0</v>
      </c>
      <c r="P39" s="7" t="n">
        <f aca="false">Tabla2[[#This Row],[Rentabilidad (%)]]/12</f>
        <v>0</v>
      </c>
    </row>
    <row r="40" customFormat="false" ht="14.25" hidden="false" customHeight="false" outlineLevel="0" collapsed="false">
      <c r="A40" s="1" t="n">
        <v>36617</v>
      </c>
      <c r="B40" s="2" t="s">
        <v>21</v>
      </c>
      <c r="C40" s="3" t="n">
        <v>14368</v>
      </c>
      <c r="D40" s="8" t="s">
        <v>17</v>
      </c>
      <c r="E40" s="3" t="n">
        <f aca="false">IF(Tabla2[[#This Row],[Frecuencia]]="Annual", Tabla2[[#This Row],[Cosecha/Tarea]]/12,Tabla2[[#This Row],[Cosecha/Tarea]])</f>
        <v>14368</v>
      </c>
      <c r="F40" s="3" t="n">
        <v>121113</v>
      </c>
      <c r="G40" s="2" t="s">
        <v>18</v>
      </c>
      <c r="H40" s="2" t="n">
        <f aca="false">F40/Tabla2[[#This Row],[Cosecha Mensual]]</f>
        <v>8.42935690423163</v>
      </c>
      <c r="I40" s="2" t="n">
        <f aca="false">H40*_xlfn.XLOOKUP(Tabla2[[#This Row],[Unidad de producción]],Tabla3[Medida],Tabla3[Equivalencia en Kg],"ELVIS",0)</f>
        <v>382.355629175947</v>
      </c>
      <c r="J40" s="2" t="n">
        <v>123.71875</v>
      </c>
      <c r="K40" s="2" t="s">
        <v>18</v>
      </c>
      <c r="L40" s="2" t="n">
        <f aca="false">J40/_xlfn.XLOOKUP(Tabla2[[#This Row],[Unidad de precio]],Tabla3[Medida],Tabla3[Equivalencia en Kg],"ELVIS",0)</f>
        <v>2.727485670194</v>
      </c>
      <c r="N40" s="3" t="n">
        <f aca="false">(Tabla2[[#This Row],[Productividad (kg/TAS)]]*Tabla2[[#This Row],[Precio por kg]]-Tabla2[[#This Row],[Costos (En RD$/Tarea)]])</f>
        <v>1042.86949949541</v>
      </c>
      <c r="O40" s="9" t="n">
        <f aca="false">IF(Tabla2[[#This Row],[Costos (En RD$/Tarea)]]=0,0,Tabla2[[#This Row],[Beneficio Neto  (En RD$/Tarea)]]/Tabla2[[#This Row],[Costos (En RD$/Tarea)]])</f>
        <v>0</v>
      </c>
      <c r="P40" s="7" t="n">
        <f aca="false">Tabla2[[#This Row],[Rentabilidad (%)]]/12</f>
        <v>0</v>
      </c>
    </row>
    <row r="41" customFormat="false" ht="14.25" hidden="false" customHeight="false" outlineLevel="0" collapsed="false">
      <c r="A41" s="1" t="n">
        <v>36617</v>
      </c>
      <c r="B41" s="2" t="s">
        <v>22</v>
      </c>
      <c r="C41" s="3" t="n">
        <v>1498</v>
      </c>
      <c r="D41" s="8" t="s">
        <v>17</v>
      </c>
      <c r="E41" s="3" t="n">
        <f aca="false">IF(Tabla2[[#This Row],[Frecuencia]]="Annual", Tabla2[[#This Row],[Cosecha/Tarea]]/12,Tabla2[[#This Row],[Cosecha/Tarea]])</f>
        <v>1498</v>
      </c>
      <c r="F41" s="3" t="n">
        <v>11835</v>
      </c>
      <c r="G41" s="2" t="s">
        <v>18</v>
      </c>
      <c r="H41" s="2" t="n">
        <f aca="false">F41/Tabla2[[#This Row],[Cosecha Mensual]]</f>
        <v>7.90053404539386</v>
      </c>
      <c r="I41" s="2" t="n">
        <f aca="false">H41*_xlfn.XLOOKUP(Tabla2[[#This Row],[Unidad de producción]],Tabla3[Medida],Tabla3[Equivalencia en Kg],"ELVIS",0)</f>
        <v>358.368224299065</v>
      </c>
      <c r="J41" s="2" t="n">
        <v>278.221666666667</v>
      </c>
      <c r="K41" s="2" t="s">
        <v>18</v>
      </c>
      <c r="L41" s="2" t="n">
        <f aca="false">J41/_xlfn.XLOOKUP(Tabla2[[#This Row],[Unidad de precio]],Tabla3[Medida],Tabla3[Equivalencia en Kg],"ELVIS",0)</f>
        <v>6.13363462669019</v>
      </c>
      <c r="N41" s="3" t="n">
        <f aca="false">(Tabla2[[#This Row],[Productividad (kg/TAS)]]*Tabla2[[#This Row],[Precio por kg]]-Tabla2[[#This Row],[Costos (En RD$/Tarea)]])</f>
        <v>2198.09974966622</v>
      </c>
      <c r="O41" s="9" t="n">
        <f aca="false">IF(Tabla2[[#This Row],[Costos (En RD$/Tarea)]]=0,0,Tabla2[[#This Row],[Beneficio Neto  (En RD$/Tarea)]]/Tabla2[[#This Row],[Costos (En RD$/Tarea)]])</f>
        <v>0</v>
      </c>
      <c r="P41" s="7" t="n">
        <f aca="false">Tabla2[[#This Row],[Rentabilidad (%)]]/12</f>
        <v>0</v>
      </c>
    </row>
    <row r="42" customFormat="false" ht="14.25" hidden="false" customHeight="false" outlineLevel="0" collapsed="false">
      <c r="A42" s="1" t="n">
        <v>36617</v>
      </c>
      <c r="B42" s="2" t="s">
        <v>23</v>
      </c>
      <c r="C42" s="3" t="n">
        <v>2281</v>
      </c>
      <c r="D42" s="8" t="s">
        <v>17</v>
      </c>
      <c r="E42" s="3" t="n">
        <f aca="false">IF(Tabla2[[#This Row],[Frecuencia]]="Annual", Tabla2[[#This Row],[Cosecha/Tarea]]/12,Tabla2[[#This Row],[Cosecha/Tarea]])</f>
        <v>2281</v>
      </c>
      <c r="F42" s="3" t="n">
        <v>39891</v>
      </c>
      <c r="G42" s="2" t="s">
        <v>18</v>
      </c>
      <c r="H42" s="2" t="n">
        <f aca="false">F42/Tabla2[[#This Row],[Cosecha Mensual]]</f>
        <v>17.48838228847</v>
      </c>
      <c r="I42" s="2" t="n">
        <f aca="false">H42*_xlfn.XLOOKUP(Tabla2[[#This Row],[Unidad de producción]],Tabla3[Medida],Tabla3[Equivalencia en Kg],"ELVIS",0)</f>
        <v>793.273020604998</v>
      </c>
      <c r="J42" s="2" t="n">
        <v>302.40985</v>
      </c>
      <c r="K42" s="2" t="s">
        <v>18</v>
      </c>
      <c r="L42" s="2" t="n">
        <f aca="false">J42/_xlfn.XLOOKUP(Tabla2[[#This Row],[Unidad de precio]],Tabla3[Medida],Tabla3[Equivalencia en Kg],"ELVIS",0)</f>
        <v>6.66688381834215</v>
      </c>
      <c r="N42" s="3" t="n">
        <f aca="false">(Tabla2[[#This Row],[Productividad (kg/TAS)]]*Tabla2[[#This Row],[Precio por kg]]-Tabla2[[#This Row],[Costos (En RD$/Tarea)]])</f>
        <v>5288.65906459886</v>
      </c>
      <c r="O42" s="9" t="n">
        <f aca="false">IF(Tabla2[[#This Row],[Costos (En RD$/Tarea)]]=0,0,Tabla2[[#This Row],[Beneficio Neto  (En RD$/Tarea)]]/Tabla2[[#This Row],[Costos (En RD$/Tarea)]])</f>
        <v>0</v>
      </c>
      <c r="P42" s="7" t="n">
        <f aca="false">Tabla2[[#This Row],[Rentabilidad (%)]]/12</f>
        <v>0</v>
      </c>
    </row>
    <row r="43" customFormat="false" ht="14.25" hidden="false" customHeight="false" outlineLevel="0" collapsed="false">
      <c r="A43" s="1" t="n">
        <v>36617</v>
      </c>
      <c r="B43" s="2" t="s">
        <v>24</v>
      </c>
      <c r="C43" s="3" t="n">
        <v>10103</v>
      </c>
      <c r="D43" s="8" t="s">
        <v>17</v>
      </c>
      <c r="E43" s="3" t="n">
        <f aca="false">IF(Tabla2[[#This Row],[Frecuencia]]="Annual", Tabla2[[#This Row],[Cosecha/Tarea]]/12,Tabla2[[#This Row],[Cosecha/Tarea]])</f>
        <v>10103</v>
      </c>
      <c r="F43" s="3" t="n">
        <v>94959</v>
      </c>
      <c r="G43" s="2" t="s">
        <v>18</v>
      </c>
      <c r="H43" s="2" t="n">
        <f aca="false">F43/Tabla2[[#This Row],[Cosecha Mensual]]</f>
        <v>9.39908937939226</v>
      </c>
      <c r="I43" s="2" t="n">
        <f aca="false">H43*_xlfn.XLOOKUP(Tabla2[[#This Row],[Unidad de producción]],Tabla3[Medida],Tabla3[Equivalencia en Kg],"ELVIS",0)</f>
        <v>426.342694249233</v>
      </c>
      <c r="J43" s="2" t="n">
        <v>396.857142857143</v>
      </c>
      <c r="K43" s="2" t="s">
        <v>18</v>
      </c>
      <c r="L43" s="2" t="n">
        <f aca="false">J43/_xlfn.XLOOKUP(Tabla2[[#This Row],[Unidad de precio]],Tabla3[Medida],Tabla3[Equivalencia en Kg],"ELVIS",0)</f>
        <v>8.74905517762661</v>
      </c>
      <c r="N43" s="3" t="n">
        <f aca="false">(Tabla2[[#This Row],[Productividad (kg/TAS)]]*Tabla2[[#This Row],[Precio por kg]]-Tabla2[[#This Row],[Costos (En RD$/Tarea)]])</f>
        <v>3730.09575656453</v>
      </c>
      <c r="O43" s="9" t="n">
        <f aca="false">IF(Tabla2[[#This Row],[Costos (En RD$/Tarea)]]=0,0,Tabla2[[#This Row],[Beneficio Neto  (En RD$/Tarea)]]/Tabla2[[#This Row],[Costos (En RD$/Tarea)]])</f>
        <v>0</v>
      </c>
      <c r="P43" s="7" t="n">
        <f aca="false">Tabla2[[#This Row],[Rentabilidad (%)]]/12</f>
        <v>0</v>
      </c>
    </row>
    <row r="44" customFormat="false" ht="14.25" hidden="false" customHeight="false" outlineLevel="0" collapsed="false">
      <c r="A44" s="1" t="n">
        <v>36617</v>
      </c>
      <c r="B44" s="2" t="s">
        <v>25</v>
      </c>
      <c r="C44" s="3" t="n">
        <v>28209</v>
      </c>
      <c r="D44" s="8" t="s">
        <v>17</v>
      </c>
      <c r="E44" s="3" t="n">
        <f aca="false">IF(Tabla2[[#This Row],[Frecuencia]]="Annual", Tabla2[[#This Row],[Cosecha/Tarea]]/12,Tabla2[[#This Row],[Cosecha/Tarea]])</f>
        <v>28209</v>
      </c>
      <c r="F44" s="3" t="n">
        <v>245067</v>
      </c>
      <c r="G44" s="2" t="s">
        <v>18</v>
      </c>
      <c r="H44" s="2" t="n">
        <f aca="false">F44/Tabla2[[#This Row],[Cosecha Mensual]]</f>
        <v>8.68754652770392</v>
      </c>
      <c r="I44" s="2" t="n">
        <f aca="false">H44*_xlfn.XLOOKUP(Tabla2[[#This Row],[Unidad de producción]],Tabla3[Medida],Tabla3[Equivalencia en Kg],"ELVIS",0)</f>
        <v>394.06711049665</v>
      </c>
      <c r="J44" s="2" t="n">
        <v>122.188</v>
      </c>
      <c r="K44" s="2" t="s">
        <v>18</v>
      </c>
      <c r="L44" s="2" t="n">
        <f aca="false">J44/_xlfn.XLOOKUP(Tabla2[[#This Row],[Unidad de precio]],Tabla3[Medida],Tabla3[Equivalencia en Kg],"ELVIS",0)</f>
        <v>2.69373897707231</v>
      </c>
      <c r="N44" s="3" t="n">
        <f aca="false">(Tabla2[[#This Row],[Productividad (kg/TAS)]]*Tabla2[[#This Row],[Precio por kg]]-Tabla2[[#This Row],[Costos (En RD$/Tarea)]])</f>
        <v>1061.51393512709</v>
      </c>
      <c r="O44" s="9" t="n">
        <f aca="false">IF(Tabla2[[#This Row],[Costos (En RD$/Tarea)]]=0,0,Tabla2[[#This Row],[Beneficio Neto  (En RD$/Tarea)]]/Tabla2[[#This Row],[Costos (En RD$/Tarea)]])</f>
        <v>0</v>
      </c>
      <c r="P44" s="7" t="n">
        <f aca="false">Tabla2[[#This Row],[Rentabilidad (%)]]/12</f>
        <v>0</v>
      </c>
    </row>
    <row r="45" customFormat="false" ht="14.25" hidden="false" customHeight="false" outlineLevel="0" collapsed="false">
      <c r="A45" s="1" t="n">
        <v>36617</v>
      </c>
      <c r="B45" s="2" t="s">
        <v>26</v>
      </c>
      <c r="C45" s="3" t="n">
        <v>6741</v>
      </c>
      <c r="D45" s="8" t="s">
        <v>17</v>
      </c>
      <c r="E45" s="3" t="n">
        <f aca="false">IF(Tabla2[[#This Row],[Frecuencia]]="Annual", Tabla2[[#This Row],[Cosecha/Tarea]]/12,Tabla2[[#This Row],[Cosecha/Tarea]])</f>
        <v>6741</v>
      </c>
      <c r="F45" s="3" t="n">
        <v>47481</v>
      </c>
      <c r="G45" s="2" t="s">
        <v>18</v>
      </c>
      <c r="H45" s="2" t="n">
        <f aca="false">F45/Tabla2[[#This Row],[Cosecha Mensual]]</f>
        <v>7.04361370716511</v>
      </c>
      <c r="I45" s="2" t="n">
        <f aca="false">H45*_xlfn.XLOOKUP(Tabla2[[#This Row],[Unidad de producción]],Tabla3[Medida],Tabla3[Equivalencia en Kg],"ELVIS",0)</f>
        <v>319.498317757009</v>
      </c>
      <c r="J45" s="2" t="n">
        <v>257.771666666667</v>
      </c>
      <c r="K45" s="2" t="s">
        <v>18</v>
      </c>
      <c r="L45" s="2" t="n">
        <f aca="false">J45/_xlfn.XLOOKUP(Tabla2[[#This Row],[Unidad de precio]],Tabla3[Medida],Tabla3[Equivalencia en Kg],"ELVIS",0)</f>
        <v>5.68279688418578</v>
      </c>
      <c r="N45" s="3" t="n">
        <f aca="false">(Tabla2[[#This Row],[Productividad (kg/TAS)]]*Tabla2[[#This Row],[Precio por kg]]-Tabla2[[#This Row],[Costos (En RD$/Tarea)]])</f>
        <v>1815.64404465213</v>
      </c>
      <c r="O45" s="9" t="n">
        <f aca="false">IF(Tabla2[[#This Row],[Costos (En RD$/Tarea)]]=0,0,Tabla2[[#This Row],[Beneficio Neto  (En RD$/Tarea)]]/Tabla2[[#This Row],[Costos (En RD$/Tarea)]])</f>
        <v>0</v>
      </c>
      <c r="P45" s="7" t="n">
        <f aca="false">Tabla2[[#This Row],[Rentabilidad (%)]]/12</f>
        <v>0</v>
      </c>
    </row>
    <row r="46" customFormat="false" ht="14.25" hidden="false" customHeight="false" outlineLevel="0" collapsed="false">
      <c r="A46" s="1" t="n">
        <v>36617</v>
      </c>
      <c r="B46" s="2" t="s">
        <v>27</v>
      </c>
      <c r="C46" s="3" t="n">
        <v>3181</v>
      </c>
      <c r="D46" s="8" t="s">
        <v>17</v>
      </c>
      <c r="E46" s="3" t="n">
        <f aca="false">IF(Tabla2[[#This Row],[Frecuencia]]="Annual", Tabla2[[#This Row],[Cosecha/Tarea]]/12,Tabla2[[#This Row],[Cosecha/Tarea]])</f>
        <v>3181</v>
      </c>
      <c r="F46" s="3" t="n">
        <v>36044</v>
      </c>
      <c r="G46" s="2" t="s">
        <v>18</v>
      </c>
      <c r="H46" s="2" t="n">
        <f aca="false">F46/Tabla2[[#This Row],[Cosecha Mensual]]</f>
        <v>11.3310279786231</v>
      </c>
      <c r="I46" s="2" t="n">
        <f aca="false">H46*_xlfn.XLOOKUP(Tabla2[[#This Row],[Unidad de producción]],Tabla3[Medida],Tabla3[Equivalencia en Kg],"ELVIS",0)</f>
        <v>513.975429110343</v>
      </c>
      <c r="J46" s="2" t="n">
        <v>137.312857142857</v>
      </c>
      <c r="K46" s="2" t="s">
        <v>18</v>
      </c>
      <c r="L46" s="2" t="n">
        <f aca="false">J46/_xlfn.XLOOKUP(Tabla2[[#This Row],[Unidad de precio]],Tabla3[Medida],Tabla3[Equivalencia en Kg],"ELVIS",0)</f>
        <v>3.02717939027463</v>
      </c>
      <c r="N46" s="3" t="n">
        <f aca="false">(Tabla2[[#This Row],[Productividad (kg/TAS)]]*Tabla2[[#This Row],[Precio por kg]]-Tabla2[[#This Row],[Costos (En RD$/Tarea)]])</f>
        <v>1555.89582611039</v>
      </c>
      <c r="O46" s="9" t="n">
        <f aca="false">IF(Tabla2[[#This Row],[Costos (En RD$/Tarea)]]=0,0,Tabla2[[#This Row],[Beneficio Neto  (En RD$/Tarea)]]/Tabla2[[#This Row],[Costos (En RD$/Tarea)]])</f>
        <v>0</v>
      </c>
      <c r="P46" s="7" t="n">
        <f aca="false">Tabla2[[#This Row],[Rentabilidad (%)]]/12</f>
        <v>0</v>
      </c>
    </row>
    <row r="47" customFormat="false" ht="14.25" hidden="false" customHeight="false" outlineLevel="0" collapsed="false">
      <c r="A47" s="1" t="n">
        <v>36617</v>
      </c>
      <c r="B47" s="2" t="s">
        <v>28</v>
      </c>
      <c r="C47" s="3" t="n">
        <v>113</v>
      </c>
      <c r="D47" s="8" t="s">
        <v>17</v>
      </c>
      <c r="E47" s="3" t="n">
        <f aca="false">IF(Tabla2[[#This Row],[Frecuencia]]="Annual", Tabla2[[#This Row],[Cosecha/Tarea]]/12,Tabla2[[#This Row],[Cosecha/Tarea]])</f>
        <v>113</v>
      </c>
      <c r="F47" s="3" t="n">
        <v>36</v>
      </c>
      <c r="G47" s="2" t="s">
        <v>18</v>
      </c>
      <c r="H47" s="2" t="n">
        <f aca="false">F47/Tabla2[[#This Row],[Cosecha Mensual]]</f>
        <v>0.31858407079646</v>
      </c>
      <c r="I47" s="2" t="n">
        <f aca="false">H47*_xlfn.XLOOKUP(Tabla2[[#This Row],[Unidad de producción]],Tabla3[Medida],Tabla3[Equivalencia en Kg],"ELVIS",0)</f>
        <v>14.4509734513274</v>
      </c>
      <c r="J47" s="2" t="n">
        <v>1325</v>
      </c>
      <c r="K47" s="2" t="s">
        <v>29</v>
      </c>
      <c r="L47" s="2" t="n">
        <f aca="false">J47/_xlfn.XLOOKUP(Tabla2[[#This Row],[Unidad de precio]],Tabla3[Medida],Tabla3[Equivalencia en Kg],"ELVIS",0)</f>
        <v>2.35622577088594</v>
      </c>
      <c r="N47" s="3" t="n">
        <f aca="false">(Tabla2[[#This Row],[Productividad (kg/TAS)]]*Tabla2[[#This Row],[Precio por kg]]-Tabla2[[#This Row],[Costos (En RD$/Tarea)]])</f>
        <v>34.0497560604062</v>
      </c>
      <c r="O47" s="9" t="n">
        <f aca="false">IF(Tabla2[[#This Row],[Costos (En RD$/Tarea)]]=0,0,Tabla2[[#This Row],[Beneficio Neto  (En RD$/Tarea)]]/Tabla2[[#This Row],[Costos (En RD$/Tarea)]])</f>
        <v>0</v>
      </c>
      <c r="P47" s="7" t="n">
        <f aca="false">Tabla2[[#This Row],[Rentabilidad (%)]]/12</f>
        <v>0</v>
      </c>
    </row>
    <row r="48" customFormat="false" ht="14.25" hidden="false" customHeight="false" outlineLevel="0" collapsed="false">
      <c r="A48" s="1" t="n">
        <v>36617</v>
      </c>
      <c r="B48" s="2" t="s">
        <v>30</v>
      </c>
      <c r="C48" s="3" t="n">
        <v>213090</v>
      </c>
      <c r="D48" s="3" t="s">
        <v>31</v>
      </c>
      <c r="E48" s="3" t="n">
        <f aca="false">IF(Tabla2[[#This Row],[Frecuencia]]="Annual", Tabla2[[#This Row],[Cosecha/Tarea]]/12,Tabla2[[#This Row],[Cosecha/Tarea]])</f>
        <v>17757.5</v>
      </c>
      <c r="F48" s="3" t="n">
        <v>954582</v>
      </c>
      <c r="G48" s="2" t="s">
        <v>32</v>
      </c>
      <c r="H48" s="2" t="n">
        <f aca="false">F48/Tabla2[[#This Row],[Cosecha Mensual]]</f>
        <v>53.7565535689145</v>
      </c>
      <c r="I48" s="2" t="n">
        <f aca="false">H48*_xlfn.XLOOKUP(Tabla2[[#This Row],[Unidad de producción]],Tabla3[Medida],Tabla3[Equivalencia en Kg],"ELVIS",0)</f>
        <v>1462.71582261016</v>
      </c>
      <c r="J48" s="2" t="n">
        <v>21.3642857142857</v>
      </c>
      <c r="K48" s="2" t="s">
        <v>32</v>
      </c>
      <c r="L48" s="2" t="n">
        <f aca="false">J48/_xlfn.XLOOKUP(Tabla2[[#This Row],[Unidad de precio]],Tabla3[Medida],Tabla3[Equivalencia en Kg],"ELVIS",0)</f>
        <v>0.785163017798078</v>
      </c>
      <c r="M48" s="3"/>
      <c r="N48" s="3" t="n">
        <f aca="false">(Tabla2[[#This Row],[Productividad (kg/TAS)]]*Tabla2[[#This Row],[Precio por kg]]-Tabla2[[#This Row],[Costos (En RD$/Tarea)]])</f>
        <v>1148.47036946159</v>
      </c>
      <c r="O48" s="9" t="n">
        <f aca="false">IF(Tabla2[[#This Row],[Costos (En RD$/Tarea)]]=0,0,Tabla2[[#This Row],[Beneficio Neto  (En RD$/Tarea)]]/Tabla2[[#This Row],[Costos (En RD$/Tarea)]])</f>
        <v>0</v>
      </c>
      <c r="P48" s="7" t="n">
        <f aca="false">Tabla2[[#This Row],[Rentabilidad (%)]]/12</f>
        <v>0</v>
      </c>
    </row>
    <row r="49" customFormat="false" ht="14.25" hidden="false" customHeight="false" outlineLevel="0" collapsed="false">
      <c r="A49" s="1" t="n">
        <v>36617</v>
      </c>
      <c r="B49" s="2" t="s">
        <v>33</v>
      </c>
      <c r="C49" s="3" t="n">
        <v>572998</v>
      </c>
      <c r="D49" s="3" t="s">
        <v>31</v>
      </c>
      <c r="E49" s="3" t="n">
        <f aca="false">IF(Tabla2[[#This Row],[Frecuencia]]="Annual", Tabla2[[#This Row],[Cosecha/Tarea]]/12,Tabla2[[#This Row],[Cosecha/Tarea]])</f>
        <v>47749.8333333333</v>
      </c>
      <c r="F49" s="3" t="n">
        <v>101244</v>
      </c>
      <c r="G49" s="2" t="s">
        <v>34</v>
      </c>
      <c r="H49" s="2" t="n">
        <f aca="false">F49/Tabla2[[#This Row],[Cosecha Mensual]]</f>
        <v>2.12030059441743</v>
      </c>
      <c r="I49" s="2" t="n">
        <f aca="false">H49*_xlfn.XLOOKUP(Tabla2[[#This Row],[Unidad de producción]],Tabla3[Medida],Tabla3[Equivalencia en Kg],"ELVIS",0)</f>
        <v>865.400687611475</v>
      </c>
      <c r="J49" s="2" t="n">
        <v>1013.885</v>
      </c>
      <c r="K49" s="2" t="s">
        <v>34</v>
      </c>
      <c r="L49" s="2" t="n">
        <f aca="false">J49/_xlfn.XLOOKUP(Tabla2[[#This Row],[Unidad de precio]],Tabla3[Medida],Tabla3[Equivalencia en Kg],"ELVIS",0)</f>
        <v>2.48409898321696</v>
      </c>
      <c r="M49" s="3"/>
      <c r="N49" s="3" t="n">
        <f aca="false">(Tabla2[[#This Row],[Productividad (kg/TAS)]]*Tabla2[[#This Row],[Precio por kg]]-Tabla2[[#This Row],[Costos (En RD$/Tarea)]])</f>
        <v>2149.74096817092</v>
      </c>
      <c r="O49" s="9" t="n">
        <f aca="false">IF(Tabla2[[#This Row],[Costos (En RD$/Tarea)]]=0,0,Tabla2[[#This Row],[Beneficio Neto  (En RD$/Tarea)]]/Tabla2[[#This Row],[Costos (En RD$/Tarea)]])</f>
        <v>0</v>
      </c>
      <c r="P49" s="7" t="n">
        <f aca="false">Tabla2[[#This Row],[Rentabilidad (%)]]/12</f>
        <v>0</v>
      </c>
    </row>
    <row r="50" customFormat="false" ht="14.25" hidden="false" customHeight="false" outlineLevel="0" collapsed="false">
      <c r="A50" s="1" t="n">
        <v>36647</v>
      </c>
      <c r="B50" s="2" t="s">
        <v>16</v>
      </c>
      <c r="C50" s="8" t="n">
        <v>222362</v>
      </c>
      <c r="D50" s="8" t="s">
        <v>17</v>
      </c>
      <c r="E50" s="8" t="n">
        <f aca="false">IF(Tabla2[[#This Row],[Frecuencia]]="Annual", Tabla2[[#This Row],[Cosecha/Tarea]]/12,Tabla2[[#This Row],[Cosecha/Tarea]])</f>
        <v>222362</v>
      </c>
      <c r="F50" s="3" t="n">
        <v>1031097</v>
      </c>
      <c r="G50" s="2" t="s">
        <v>18</v>
      </c>
      <c r="H50" s="2" t="n">
        <f aca="false">F50/Tabla2[[#This Row],[Cosecha Mensual]]</f>
        <v>4.63701981453666</v>
      </c>
      <c r="I50" s="2" t="n">
        <f aca="false">H50*_xlfn.XLOOKUP(Tabla2[[#This Row],[Unidad de producción]],Tabla3[Medida],Tabla3[Equivalencia en Kg],"ELVIS",0)</f>
        <v>210.335218787383</v>
      </c>
      <c r="J50" s="2" t="n">
        <v>1163.53135313531</v>
      </c>
      <c r="K50" s="2" t="s">
        <v>19</v>
      </c>
      <c r="L50" s="2" t="n">
        <f aca="false">J50/_xlfn.XLOOKUP(Tabla2[[#This Row],[Unidad de precio]],Tabla3[Medida],Tabla3[Equivalencia en Kg],"ELVIS",0)</f>
        <v>10.5775577557755</v>
      </c>
      <c r="N50" s="3" t="n">
        <f aca="false">(Tabla2[[#This Row],[Productividad (kg/TAS)]]*Tabla2[[#This Row],[Precio por kg]]-Tabla2[[#This Row],[Costos (En RD$/Tarea)]])</f>
        <v>2224.83292479723</v>
      </c>
      <c r="O50" s="9" t="n">
        <f aca="false">IF(Tabla2[[#This Row],[Costos (En RD$/Tarea)]]=0,0,Tabla2[[#This Row],[Beneficio Neto  (En RD$/Tarea)]]/Tabla2[[#This Row],[Costos (En RD$/Tarea)]])</f>
        <v>0</v>
      </c>
      <c r="P50" s="7" t="n">
        <f aca="false">Tabla2[[#This Row],[Rentabilidad (%)]]/12</f>
        <v>0</v>
      </c>
    </row>
    <row r="51" customFormat="false" ht="14.25" hidden="false" customHeight="false" outlineLevel="0" collapsed="false">
      <c r="A51" s="1" t="n">
        <v>36647</v>
      </c>
      <c r="B51" s="2" t="s">
        <v>20</v>
      </c>
      <c r="C51" s="3" t="n">
        <v>15499</v>
      </c>
      <c r="D51" s="8" t="s">
        <v>17</v>
      </c>
      <c r="E51" s="3" t="n">
        <f aca="false">IF(Tabla2[[#This Row],[Frecuencia]]="Annual", Tabla2[[#This Row],[Cosecha/Tarea]]/12,Tabla2[[#This Row],[Cosecha/Tarea]])</f>
        <v>15499</v>
      </c>
      <c r="F51" s="3" t="n">
        <v>30310</v>
      </c>
      <c r="G51" s="2" t="s">
        <v>18</v>
      </c>
      <c r="H51" s="2" t="n">
        <f aca="false">F51/Tabla2[[#This Row],[Cosecha Mensual]]</f>
        <v>1.95561003935738</v>
      </c>
      <c r="I51" s="2" t="n">
        <f aca="false">H51*_xlfn.XLOOKUP(Tabla2[[#This Row],[Unidad de producción]],Tabla3[Medida],Tabla3[Equivalencia en Kg],"ELVIS",0)</f>
        <v>88.7064713852507</v>
      </c>
      <c r="J51" s="2" t="n">
        <v>161.376</v>
      </c>
      <c r="K51" s="2" t="s">
        <v>18</v>
      </c>
      <c r="L51" s="2" t="n">
        <f aca="false">J51/_xlfn.XLOOKUP(Tabla2[[#This Row],[Unidad de precio]],Tabla3[Medida],Tabla3[Equivalencia en Kg],"ELVIS",0)</f>
        <v>3.55767195767196</v>
      </c>
      <c r="N51" s="3" t="n">
        <f aca="false">(Tabla2[[#This Row],[Productividad (kg/TAS)]]*Tabla2[[#This Row],[Precio por kg]]-Tabla2[[#This Row],[Costos (En RD$/Tarea)]])</f>
        <v>315.588525711336</v>
      </c>
      <c r="O51" s="9" t="n">
        <f aca="false">IF(Tabla2[[#This Row],[Costos (En RD$/Tarea)]]=0,0,Tabla2[[#This Row],[Beneficio Neto  (En RD$/Tarea)]]/Tabla2[[#This Row],[Costos (En RD$/Tarea)]])</f>
        <v>0</v>
      </c>
      <c r="P51" s="7" t="n">
        <f aca="false">Tabla2[[#This Row],[Rentabilidad (%)]]/12</f>
        <v>0</v>
      </c>
    </row>
    <row r="52" customFormat="false" ht="14.25" hidden="false" customHeight="false" outlineLevel="0" collapsed="false">
      <c r="A52" s="1" t="n">
        <v>36647</v>
      </c>
      <c r="B52" s="2" t="s">
        <v>21</v>
      </c>
      <c r="C52" s="3" t="n">
        <v>9374</v>
      </c>
      <c r="D52" s="8" t="s">
        <v>17</v>
      </c>
      <c r="E52" s="3" t="n">
        <f aca="false">IF(Tabla2[[#This Row],[Frecuencia]]="Annual", Tabla2[[#This Row],[Cosecha/Tarea]]/12,Tabla2[[#This Row],[Cosecha/Tarea]])</f>
        <v>9374</v>
      </c>
      <c r="F52" s="3" t="n">
        <v>84337</v>
      </c>
      <c r="G52" s="2" t="s">
        <v>18</v>
      </c>
      <c r="H52" s="2" t="n">
        <f aca="false">F52/Tabla2[[#This Row],[Cosecha Mensual]]</f>
        <v>8.99690633667591</v>
      </c>
      <c r="I52" s="2" t="n">
        <f aca="false">H52*_xlfn.XLOOKUP(Tabla2[[#This Row],[Unidad de producción]],Tabla3[Medida],Tabla3[Equivalencia en Kg],"ELVIS",0)</f>
        <v>408.099671431619</v>
      </c>
      <c r="J52" s="2" t="n">
        <v>134.25</v>
      </c>
      <c r="K52" s="2" t="s">
        <v>18</v>
      </c>
      <c r="L52" s="2" t="n">
        <f aca="false">J52/_xlfn.XLOOKUP(Tabla2[[#This Row],[Unidad de precio]],Tabla3[Medida],Tabla3[Equivalencia en Kg],"ELVIS",0)</f>
        <v>2.95965608465608</v>
      </c>
      <c r="N52" s="3" t="n">
        <f aca="false">(Tabla2[[#This Row],[Productividad (kg/TAS)]]*Tabla2[[#This Row],[Precio por kg]]-Tabla2[[#This Row],[Costos (En RD$/Tarea)]])</f>
        <v>1207.83467569874</v>
      </c>
      <c r="O52" s="9" t="n">
        <f aca="false">IF(Tabla2[[#This Row],[Costos (En RD$/Tarea)]]=0,0,Tabla2[[#This Row],[Beneficio Neto  (En RD$/Tarea)]]/Tabla2[[#This Row],[Costos (En RD$/Tarea)]])</f>
        <v>0</v>
      </c>
      <c r="P52" s="7" t="n">
        <f aca="false">Tabla2[[#This Row],[Rentabilidad (%)]]/12</f>
        <v>0</v>
      </c>
    </row>
    <row r="53" customFormat="false" ht="14.25" hidden="false" customHeight="false" outlineLevel="0" collapsed="false">
      <c r="A53" s="1" t="n">
        <v>36647</v>
      </c>
      <c r="B53" s="2" t="s">
        <v>22</v>
      </c>
      <c r="C53" s="3" t="n">
        <v>6458</v>
      </c>
      <c r="D53" s="8" t="s">
        <v>17</v>
      </c>
      <c r="E53" s="3" t="n">
        <f aca="false">IF(Tabla2[[#This Row],[Frecuencia]]="Annual", Tabla2[[#This Row],[Cosecha/Tarea]]/12,Tabla2[[#This Row],[Cosecha/Tarea]])</f>
        <v>6458</v>
      </c>
      <c r="F53" s="3" t="n">
        <v>62292</v>
      </c>
      <c r="G53" s="2" t="s">
        <v>18</v>
      </c>
      <c r="H53" s="2" t="n">
        <f aca="false">F53/Tabla2[[#This Row],[Cosecha Mensual]]</f>
        <v>9.6457107463611</v>
      </c>
      <c r="I53" s="2" t="n">
        <f aca="false">H53*_xlfn.XLOOKUP(Tabla2[[#This Row],[Unidad de producción]],Tabla3[Medida],Tabla3[Equivalencia en Kg],"ELVIS",0)</f>
        <v>437.52943945494</v>
      </c>
      <c r="J53" s="2" t="n">
        <v>378.875</v>
      </c>
      <c r="K53" s="2" t="s">
        <v>18</v>
      </c>
      <c r="L53" s="2" t="n">
        <f aca="false">J53/_xlfn.XLOOKUP(Tabla2[[#This Row],[Unidad de precio]],Tabla3[Medida],Tabla3[Equivalencia en Kg],"ELVIS",0)</f>
        <v>8.35262345679012</v>
      </c>
      <c r="N53" s="3" t="n">
        <f aca="false">(Tabla2[[#This Row],[Productividad (kg/TAS)]]*Tabla2[[#This Row],[Precio por kg]]-Tabla2[[#This Row],[Costos (En RD$/Tarea)]])</f>
        <v>3654.51865902756</v>
      </c>
      <c r="O53" s="9" t="n">
        <f aca="false">IF(Tabla2[[#This Row],[Costos (En RD$/Tarea)]]=0,0,Tabla2[[#This Row],[Beneficio Neto  (En RD$/Tarea)]]/Tabla2[[#This Row],[Costos (En RD$/Tarea)]])</f>
        <v>0</v>
      </c>
      <c r="P53" s="7" t="n">
        <f aca="false">Tabla2[[#This Row],[Rentabilidad (%)]]/12</f>
        <v>0</v>
      </c>
    </row>
    <row r="54" customFormat="false" ht="14.25" hidden="false" customHeight="false" outlineLevel="0" collapsed="false">
      <c r="A54" s="1" t="n">
        <v>36647</v>
      </c>
      <c r="B54" s="2" t="s">
        <v>23</v>
      </c>
      <c r="C54" s="3" t="n">
        <v>2773</v>
      </c>
      <c r="D54" s="8" t="s">
        <v>17</v>
      </c>
      <c r="E54" s="3" t="n">
        <f aca="false">IF(Tabla2[[#This Row],[Frecuencia]]="Annual", Tabla2[[#This Row],[Cosecha/Tarea]]/12,Tabla2[[#This Row],[Cosecha/Tarea]])</f>
        <v>2773</v>
      </c>
      <c r="F54" s="3" t="n">
        <v>59185</v>
      </c>
      <c r="G54" s="2" t="s">
        <v>18</v>
      </c>
      <c r="H54" s="2" t="n">
        <f aca="false">F54/Tabla2[[#This Row],[Cosecha Mensual]]</f>
        <v>21.3433104940498</v>
      </c>
      <c r="I54" s="2" t="n">
        <f aca="false">H54*_xlfn.XLOOKUP(Tabla2[[#This Row],[Unidad de producción]],Tabla3[Medida],Tabla3[Equivalencia en Kg],"ELVIS",0)</f>
        <v>968.132564010097</v>
      </c>
      <c r="J54" s="2" t="n">
        <v>269.78</v>
      </c>
      <c r="K54" s="2" t="s">
        <v>18</v>
      </c>
      <c r="L54" s="2" t="n">
        <f aca="false">J54/_xlfn.XLOOKUP(Tabla2[[#This Row],[Unidad de precio]],Tabla3[Medida],Tabla3[Equivalencia en Kg],"ELVIS",0)</f>
        <v>5.94753086419753</v>
      </c>
      <c r="N54" s="3" t="n">
        <f aca="false">(Tabla2[[#This Row],[Productividad (kg/TAS)]]*Tabla2[[#This Row],[Precio por kg]]-Tabla2[[#This Row],[Costos (En RD$/Tarea)]])</f>
        <v>5757.99830508475</v>
      </c>
      <c r="O54" s="9" t="n">
        <f aca="false">IF(Tabla2[[#This Row],[Costos (En RD$/Tarea)]]=0,0,Tabla2[[#This Row],[Beneficio Neto  (En RD$/Tarea)]]/Tabla2[[#This Row],[Costos (En RD$/Tarea)]])</f>
        <v>0</v>
      </c>
      <c r="P54" s="7" t="n">
        <f aca="false">Tabla2[[#This Row],[Rentabilidad (%)]]/12</f>
        <v>0</v>
      </c>
    </row>
    <row r="55" customFormat="false" ht="14.25" hidden="false" customHeight="false" outlineLevel="0" collapsed="false">
      <c r="A55" s="1" t="n">
        <v>36647</v>
      </c>
      <c r="B55" s="2" t="s">
        <v>24</v>
      </c>
      <c r="C55" s="3" t="n">
        <v>7340</v>
      </c>
      <c r="D55" s="8" t="s">
        <v>17</v>
      </c>
      <c r="E55" s="3" t="n">
        <f aca="false">IF(Tabla2[[#This Row],[Frecuencia]]="Annual", Tabla2[[#This Row],[Cosecha/Tarea]]/12,Tabla2[[#This Row],[Cosecha/Tarea]])</f>
        <v>7340</v>
      </c>
      <c r="F55" s="3" t="n">
        <v>71602</v>
      </c>
      <c r="G55" s="2" t="s">
        <v>18</v>
      </c>
      <c r="H55" s="2" t="n">
        <f aca="false">F55/Tabla2[[#This Row],[Cosecha Mensual]]</f>
        <v>9.75504087193461</v>
      </c>
      <c r="I55" s="2" t="n">
        <f aca="false">H55*_xlfn.XLOOKUP(Tabla2[[#This Row],[Unidad de producción]],Tabla3[Medida],Tabla3[Equivalencia en Kg],"ELVIS",0)</f>
        <v>442.488653950954</v>
      </c>
      <c r="J55" s="2" t="n">
        <v>334.8</v>
      </c>
      <c r="K55" s="2" t="s">
        <v>18</v>
      </c>
      <c r="L55" s="2" t="n">
        <f aca="false">J55/_xlfn.XLOOKUP(Tabla2[[#This Row],[Unidad de precio]],Tabla3[Medida],Tabla3[Equivalencia en Kg],"ELVIS",0)</f>
        <v>7.38095238095238</v>
      </c>
      <c r="N55" s="3" t="n">
        <f aca="false">(Tabla2[[#This Row],[Productividad (kg/TAS)]]*Tabla2[[#This Row],[Precio por kg]]-Tabla2[[#This Row],[Costos (En RD$/Tarea)]])</f>
        <v>3265.98768392371</v>
      </c>
      <c r="O55" s="9" t="n">
        <f aca="false">IF(Tabla2[[#This Row],[Costos (En RD$/Tarea)]]=0,0,Tabla2[[#This Row],[Beneficio Neto  (En RD$/Tarea)]]/Tabla2[[#This Row],[Costos (En RD$/Tarea)]])</f>
        <v>0</v>
      </c>
      <c r="P55" s="7" t="n">
        <f aca="false">Tabla2[[#This Row],[Rentabilidad (%)]]/12</f>
        <v>0</v>
      </c>
    </row>
    <row r="56" customFormat="false" ht="14.25" hidden="false" customHeight="false" outlineLevel="0" collapsed="false">
      <c r="A56" s="1" t="n">
        <v>36647</v>
      </c>
      <c r="B56" s="2" t="s">
        <v>25</v>
      </c>
      <c r="C56" s="3" t="n">
        <v>26089</v>
      </c>
      <c r="D56" s="8" t="s">
        <v>17</v>
      </c>
      <c r="E56" s="3" t="n">
        <f aca="false">IF(Tabla2[[#This Row],[Frecuencia]]="Annual", Tabla2[[#This Row],[Cosecha/Tarea]]/12,Tabla2[[#This Row],[Cosecha/Tarea]])</f>
        <v>26089</v>
      </c>
      <c r="F56" s="3" t="n">
        <v>240472</v>
      </c>
      <c r="G56" s="2" t="s">
        <v>18</v>
      </c>
      <c r="H56" s="2" t="n">
        <f aca="false">F56/Tabla2[[#This Row],[Cosecha Mensual]]</f>
        <v>9.21737130591437</v>
      </c>
      <c r="I56" s="2" t="n">
        <f aca="false">H56*_xlfn.XLOOKUP(Tabla2[[#This Row],[Unidad de producción]],Tabla3[Medida],Tabla3[Equivalencia en Kg],"ELVIS",0)</f>
        <v>418.099962436276</v>
      </c>
      <c r="J56" s="2" t="n">
        <v>110.4</v>
      </c>
      <c r="K56" s="2" t="s">
        <v>18</v>
      </c>
      <c r="L56" s="2" t="n">
        <f aca="false">J56/_xlfn.XLOOKUP(Tabla2[[#This Row],[Unidad de precio]],Tabla3[Medida],Tabla3[Equivalencia en Kg],"ELVIS",0)</f>
        <v>2.43386243386243</v>
      </c>
      <c r="N56" s="3" t="n">
        <f aca="false">(Tabla2[[#This Row],[Productividad (kg/TAS)]]*Tabla2[[#This Row],[Precio por kg]]-Tabla2[[#This Row],[Costos (En RD$/Tarea)]])</f>
        <v>1017.59779217295</v>
      </c>
      <c r="O56" s="9" t="n">
        <f aca="false">IF(Tabla2[[#This Row],[Costos (En RD$/Tarea)]]=0,0,Tabla2[[#This Row],[Beneficio Neto  (En RD$/Tarea)]]/Tabla2[[#This Row],[Costos (En RD$/Tarea)]])</f>
        <v>0</v>
      </c>
      <c r="P56" s="7" t="n">
        <f aca="false">Tabla2[[#This Row],[Rentabilidad (%)]]/12</f>
        <v>0</v>
      </c>
    </row>
    <row r="57" customFormat="false" ht="14.25" hidden="false" customHeight="false" outlineLevel="0" collapsed="false">
      <c r="A57" s="1" t="n">
        <v>36647</v>
      </c>
      <c r="B57" s="2" t="s">
        <v>26</v>
      </c>
      <c r="C57" s="3" t="n">
        <v>3370</v>
      </c>
      <c r="D57" s="8" t="s">
        <v>17</v>
      </c>
      <c r="E57" s="3" t="n">
        <f aca="false">IF(Tabla2[[#This Row],[Frecuencia]]="Annual", Tabla2[[#This Row],[Cosecha/Tarea]]/12,Tabla2[[#This Row],[Cosecha/Tarea]])</f>
        <v>3370</v>
      </c>
      <c r="F57" s="3" t="n">
        <v>20037</v>
      </c>
      <c r="G57" s="2" t="s">
        <v>18</v>
      </c>
      <c r="H57" s="2" t="n">
        <f aca="false">F57/Tabla2[[#This Row],[Cosecha Mensual]]</f>
        <v>5.94569732937686</v>
      </c>
      <c r="I57" s="2" t="n">
        <f aca="false">H57*_xlfn.XLOOKUP(Tabla2[[#This Row],[Unidad de producción]],Tabla3[Medida],Tabla3[Equivalencia en Kg],"ELVIS",0)</f>
        <v>269.696830860534</v>
      </c>
      <c r="J57" s="2" t="n">
        <v>235</v>
      </c>
      <c r="K57" s="2" t="s">
        <v>18</v>
      </c>
      <c r="L57" s="2" t="n">
        <f aca="false">J57/_xlfn.XLOOKUP(Tabla2[[#This Row],[Unidad de precio]],Tabla3[Medida],Tabla3[Equivalencia en Kg],"ELVIS",0)</f>
        <v>5.18077601410935</v>
      </c>
      <c r="N57" s="3" t="n">
        <f aca="false">(Tabla2[[#This Row],[Productividad (kg/TAS)]]*Tabla2[[#This Row],[Precio por kg]]-Tabla2[[#This Row],[Costos (En RD$/Tarea)]])</f>
        <v>1397.23887240356</v>
      </c>
      <c r="O57" s="9" t="n">
        <f aca="false">IF(Tabla2[[#This Row],[Costos (En RD$/Tarea)]]=0,0,Tabla2[[#This Row],[Beneficio Neto  (En RD$/Tarea)]]/Tabla2[[#This Row],[Costos (En RD$/Tarea)]])</f>
        <v>0</v>
      </c>
      <c r="P57" s="7" t="n">
        <f aca="false">Tabla2[[#This Row],[Rentabilidad (%)]]/12</f>
        <v>0</v>
      </c>
    </row>
    <row r="58" customFormat="false" ht="14.25" hidden="false" customHeight="false" outlineLevel="0" collapsed="false">
      <c r="A58" s="1" t="n">
        <v>36647</v>
      </c>
      <c r="B58" s="2" t="s">
        <v>27</v>
      </c>
      <c r="C58" s="3" t="n">
        <v>2534</v>
      </c>
      <c r="D58" s="8" t="s">
        <v>17</v>
      </c>
      <c r="E58" s="3" t="n">
        <f aca="false">IF(Tabla2[[#This Row],[Frecuencia]]="Annual", Tabla2[[#This Row],[Cosecha/Tarea]]/12,Tabla2[[#This Row],[Cosecha/Tarea]])</f>
        <v>2534</v>
      </c>
      <c r="F58" s="3" t="n">
        <v>26423</v>
      </c>
      <c r="G58" s="2" t="s">
        <v>18</v>
      </c>
      <c r="H58" s="2" t="n">
        <f aca="false">F58/Tabla2[[#This Row],[Cosecha Mensual]]</f>
        <v>10.4273875295975</v>
      </c>
      <c r="I58" s="2" t="n">
        <f aca="false">H58*_xlfn.XLOOKUP(Tabla2[[#This Row],[Unidad de producción]],Tabla3[Medida],Tabla3[Equivalencia en Kg],"ELVIS",0)</f>
        <v>472.986298342541</v>
      </c>
      <c r="J58" s="2" t="n">
        <v>144.1</v>
      </c>
      <c r="K58" s="2" t="s">
        <v>18</v>
      </c>
      <c r="L58" s="2" t="n">
        <f aca="false">J58/_xlfn.XLOOKUP(Tabla2[[#This Row],[Unidad de precio]],Tabla3[Medida],Tabla3[Equivalencia en Kg],"ELVIS",0)</f>
        <v>3.17680776014109</v>
      </c>
      <c r="N58" s="3" t="n">
        <f aca="false">(Tabla2[[#This Row],[Productividad (kg/TAS)]]*Tabla2[[#This Row],[Precio por kg]]-Tabla2[[#This Row],[Costos (En RD$/Tarea)]])</f>
        <v>1502.586543015</v>
      </c>
      <c r="O58" s="9" t="n">
        <f aca="false">IF(Tabla2[[#This Row],[Costos (En RD$/Tarea)]]=0,0,Tabla2[[#This Row],[Beneficio Neto  (En RD$/Tarea)]]/Tabla2[[#This Row],[Costos (En RD$/Tarea)]])</f>
        <v>0</v>
      </c>
      <c r="P58" s="7" t="n">
        <f aca="false">Tabla2[[#This Row],[Rentabilidad (%)]]/12</f>
        <v>0</v>
      </c>
    </row>
    <row r="59" customFormat="false" ht="14.25" hidden="false" customHeight="false" outlineLevel="0" collapsed="false">
      <c r="A59" s="1" t="n">
        <v>36647</v>
      </c>
      <c r="B59" s="2" t="s">
        <v>28</v>
      </c>
      <c r="C59" s="3" t="n">
        <v>79</v>
      </c>
      <c r="D59" s="8" t="s">
        <v>17</v>
      </c>
      <c r="E59" s="3" t="n">
        <f aca="false">IF(Tabla2[[#This Row],[Frecuencia]]="Annual", Tabla2[[#This Row],[Cosecha/Tarea]]/12,Tabla2[[#This Row],[Cosecha/Tarea]])</f>
        <v>79</v>
      </c>
      <c r="F59" s="3" t="n">
        <v>46</v>
      </c>
      <c r="G59" s="2" t="s">
        <v>18</v>
      </c>
      <c r="H59" s="2" t="n">
        <f aca="false">F59/Tabla2[[#This Row],[Cosecha Mensual]]</f>
        <v>0.582278481012658</v>
      </c>
      <c r="I59" s="2" t="n">
        <f aca="false">H59*_xlfn.XLOOKUP(Tabla2[[#This Row],[Unidad de producción]],Tabla3[Medida],Tabla3[Equivalencia en Kg],"ELVIS",0)</f>
        <v>26.4121518987342</v>
      </c>
      <c r="J59" s="2" t="n">
        <v>1924.1</v>
      </c>
      <c r="K59" s="2" t="s">
        <v>29</v>
      </c>
      <c r="L59" s="2" t="n">
        <f aca="false">J59/_xlfn.XLOOKUP(Tabla2[[#This Row],[Unidad de precio]],Tabla3[Medida],Tabla3[Equivalencia en Kg],"ELVIS",0)</f>
        <v>3.42159547604652</v>
      </c>
      <c r="N59" s="3" t="n">
        <f aca="false">(Tabla2[[#This Row],[Productividad (kg/TAS)]]*Tabla2[[#This Row],[Precio por kg]]-Tabla2[[#This Row],[Costos (En RD$/Tarea)]])</f>
        <v>90.3716994493624</v>
      </c>
      <c r="O59" s="9" t="n">
        <f aca="false">IF(Tabla2[[#This Row],[Costos (En RD$/Tarea)]]=0,0,Tabla2[[#This Row],[Beneficio Neto  (En RD$/Tarea)]]/Tabla2[[#This Row],[Costos (En RD$/Tarea)]])</f>
        <v>0</v>
      </c>
      <c r="P59" s="7" t="n">
        <f aca="false">Tabla2[[#This Row],[Rentabilidad (%)]]/12</f>
        <v>0</v>
      </c>
    </row>
    <row r="60" customFormat="false" ht="14.25" hidden="false" customHeight="false" outlineLevel="0" collapsed="false">
      <c r="A60" s="1" t="n">
        <v>36647</v>
      </c>
      <c r="B60" s="2" t="s">
        <v>30</v>
      </c>
      <c r="C60" s="3" t="n">
        <v>225717</v>
      </c>
      <c r="D60" s="3" t="s">
        <v>31</v>
      </c>
      <c r="E60" s="3" t="n">
        <f aca="false">IF(Tabla2[[#This Row],[Frecuencia]]="Annual", Tabla2[[#This Row],[Cosecha/Tarea]]/12,Tabla2[[#This Row],[Cosecha/Tarea]])</f>
        <v>18809.75</v>
      </c>
      <c r="F60" s="3" t="n">
        <v>1405260</v>
      </c>
      <c r="G60" s="2" t="s">
        <v>32</v>
      </c>
      <c r="H60" s="2" t="n">
        <f aca="false">F60/Tabla2[[#This Row],[Cosecha Mensual]]</f>
        <v>74.7091269155624</v>
      </c>
      <c r="I60" s="2" t="n">
        <f aca="false">H60*_xlfn.XLOOKUP(Tabla2[[#This Row],[Unidad de producción]],Tabla3[Medida],Tabla3[Equivalencia en Kg],"ELVIS",0)</f>
        <v>2032.83534337245</v>
      </c>
      <c r="J60" s="2" t="n">
        <v>19.24</v>
      </c>
      <c r="K60" s="2" t="s">
        <v>32</v>
      </c>
      <c r="L60" s="2" t="n">
        <f aca="false">J60/_xlfn.XLOOKUP(Tabla2[[#This Row],[Unidad de precio]],Tabla3[Medida],Tabla3[Equivalencia en Kg],"ELVIS",0)</f>
        <v>0.707092980521867</v>
      </c>
      <c r="M60" s="3"/>
      <c r="N60" s="3" t="n">
        <f aca="false">(Tabla2[[#This Row],[Productividad (kg/TAS)]]*Tabla2[[#This Row],[Precio por kg]]-Tabla2[[#This Row],[Costos (En RD$/Tarea)]])</f>
        <v>1437.40360185542</v>
      </c>
      <c r="O60" s="9" t="n">
        <f aca="false">IF(Tabla2[[#This Row],[Costos (En RD$/Tarea)]]=0,0,Tabla2[[#This Row],[Beneficio Neto  (En RD$/Tarea)]]/Tabla2[[#This Row],[Costos (En RD$/Tarea)]])</f>
        <v>0</v>
      </c>
      <c r="P60" s="7" t="n">
        <f aca="false">Tabla2[[#This Row],[Rentabilidad (%)]]/12</f>
        <v>0</v>
      </c>
    </row>
    <row r="61" customFormat="false" ht="14.25" hidden="false" customHeight="false" outlineLevel="0" collapsed="false">
      <c r="A61" s="1" t="n">
        <v>36647</v>
      </c>
      <c r="B61" s="2" t="s">
        <v>33</v>
      </c>
      <c r="C61" s="3" t="n">
        <v>595034</v>
      </c>
      <c r="D61" s="3" t="s">
        <v>31</v>
      </c>
      <c r="E61" s="3" t="n">
        <f aca="false">IF(Tabla2[[#This Row],[Frecuencia]]="Annual", Tabla2[[#This Row],[Cosecha/Tarea]]/12,Tabla2[[#This Row],[Cosecha/Tarea]])</f>
        <v>49586.1666666667</v>
      </c>
      <c r="F61" s="3" t="n">
        <v>120962</v>
      </c>
      <c r="G61" s="2" t="s">
        <v>34</v>
      </c>
      <c r="H61" s="2" t="n">
        <f aca="false">F61/Tabla2[[#This Row],[Cosecha Mensual]]</f>
        <v>2.43943035187905</v>
      </c>
      <c r="I61" s="2" t="n">
        <f aca="false">H61*_xlfn.XLOOKUP(Tabla2[[#This Row],[Unidad de producción]],Tabla3[Medida],Tabla3[Equivalencia en Kg],"ELVIS",0)</f>
        <v>995.653498119435</v>
      </c>
      <c r="J61" s="2" t="n">
        <v>725.9</v>
      </c>
      <c r="K61" s="2" t="s">
        <v>34</v>
      </c>
      <c r="L61" s="2" t="n">
        <f aca="false">J61/_xlfn.XLOOKUP(Tabla2[[#This Row],[Unidad de precio]],Tabla3[Medida],Tabla3[Equivalencia en Kg],"ELVIS",0)</f>
        <v>1.77851280166605</v>
      </c>
      <c r="M61" s="3"/>
      <c r="N61" s="3" t="n">
        <f aca="false">(Tabla2[[#This Row],[Productividad (kg/TAS)]]*Tabla2[[#This Row],[Precio por kg]]-Tabla2[[#This Row],[Costos (En RD$/Tarea)]])</f>
        <v>1770.782492429</v>
      </c>
      <c r="O61" s="9" t="n">
        <f aca="false">IF(Tabla2[[#This Row],[Costos (En RD$/Tarea)]]=0,0,Tabla2[[#This Row],[Beneficio Neto  (En RD$/Tarea)]]/Tabla2[[#This Row],[Costos (En RD$/Tarea)]])</f>
        <v>0</v>
      </c>
      <c r="P61" s="7" t="n">
        <f aca="false">Tabla2[[#This Row],[Rentabilidad (%)]]/12</f>
        <v>0</v>
      </c>
    </row>
    <row r="62" customFormat="false" ht="14.25" hidden="false" customHeight="false" outlineLevel="0" collapsed="false">
      <c r="A62" s="1" t="n">
        <v>36678</v>
      </c>
      <c r="B62" s="2" t="s">
        <v>16</v>
      </c>
      <c r="C62" s="8" t="n">
        <v>340330</v>
      </c>
      <c r="D62" s="8" t="s">
        <v>17</v>
      </c>
      <c r="E62" s="8" t="n">
        <f aca="false">IF(Tabla2[[#This Row],[Frecuencia]]="Annual", Tabla2[[#This Row],[Cosecha/Tarea]]/12,Tabla2[[#This Row],[Cosecha/Tarea]])</f>
        <v>340330</v>
      </c>
      <c r="F62" s="3" t="n">
        <v>1745864</v>
      </c>
      <c r="G62" s="2" t="s">
        <v>18</v>
      </c>
      <c r="H62" s="2" t="n">
        <f aca="false">F62/Tabla2[[#This Row],[Cosecha Mensual]]</f>
        <v>5.12991508242</v>
      </c>
      <c r="I62" s="2" t="n">
        <f aca="false">H62*_xlfn.XLOOKUP(Tabla2[[#This Row],[Unidad de producción]],Tabla3[Medida],Tabla3[Equivalencia en Kg],"ELVIS",0)</f>
        <v>232.692948138571</v>
      </c>
      <c r="J62" s="2" t="n">
        <v>1022.79427942794</v>
      </c>
      <c r="K62" s="2" t="s">
        <v>19</v>
      </c>
      <c r="L62" s="2" t="n">
        <f aca="false">J62/_xlfn.XLOOKUP(Tabla2[[#This Row],[Unidad de precio]],Tabla3[Medida],Tabla3[Equivalencia en Kg],"ELVIS",0)</f>
        <v>9.29812981298127</v>
      </c>
      <c r="N62" s="3" t="n">
        <f aca="false">(Tabla2[[#This Row],[Productividad (kg/TAS)]]*Tabla2[[#This Row],[Precio por kg]]-Tabla2[[#This Row],[Costos (En RD$/Tarea)]])</f>
        <v>2163.60923835776</v>
      </c>
      <c r="O62" s="9" t="n">
        <f aca="false">IF(Tabla2[[#This Row],[Costos (En RD$/Tarea)]]=0,0,Tabla2[[#This Row],[Beneficio Neto  (En RD$/Tarea)]]/Tabla2[[#This Row],[Costos (En RD$/Tarea)]])</f>
        <v>0</v>
      </c>
      <c r="P62" s="7" t="n">
        <f aca="false">Tabla2[[#This Row],[Rentabilidad (%)]]/12</f>
        <v>0</v>
      </c>
    </row>
    <row r="63" customFormat="false" ht="14.25" hidden="false" customHeight="false" outlineLevel="0" collapsed="false">
      <c r="A63" s="1" t="n">
        <v>36678</v>
      </c>
      <c r="B63" s="2" t="s">
        <v>20</v>
      </c>
      <c r="C63" s="3" t="n">
        <v>20946</v>
      </c>
      <c r="D63" s="8" t="s">
        <v>17</v>
      </c>
      <c r="E63" s="3" t="n">
        <f aca="false">IF(Tabla2[[#This Row],[Frecuencia]]="Annual", Tabla2[[#This Row],[Cosecha/Tarea]]/12,Tabla2[[#This Row],[Cosecha/Tarea]])</f>
        <v>20946</v>
      </c>
      <c r="F63" s="3" t="n">
        <v>35647</v>
      </c>
      <c r="G63" s="2" t="s">
        <v>18</v>
      </c>
      <c r="H63" s="2" t="n">
        <f aca="false">F63/Tabla2[[#This Row],[Cosecha Mensual]]</f>
        <v>1.70185238231643</v>
      </c>
      <c r="I63" s="2" t="n">
        <f aca="false">H63*_xlfn.XLOOKUP(Tabla2[[#This Row],[Unidad de producción]],Tabla3[Medida],Tabla3[Equivalencia en Kg],"ELVIS",0)</f>
        <v>77.1960240618734</v>
      </c>
      <c r="J63" s="2" t="n">
        <v>143.10516</v>
      </c>
      <c r="K63" s="2" t="s">
        <v>18</v>
      </c>
      <c r="L63" s="2" t="n">
        <f aca="false">J63/_xlfn.XLOOKUP(Tabla2[[#This Row],[Unidad de precio]],Tabla3[Medida],Tabla3[Equivalencia en Kg],"ELVIS",0)</f>
        <v>3.15487566137566</v>
      </c>
      <c r="N63" s="3" t="n">
        <f aca="false">(Tabla2[[#This Row],[Productividad (kg/TAS)]]*Tabla2[[#This Row],[Precio por kg]]-Tabla2[[#This Row],[Costos (En RD$/Tarea)]])</f>
        <v>243.543857467774</v>
      </c>
      <c r="O63" s="9" t="n">
        <f aca="false">IF(Tabla2[[#This Row],[Costos (En RD$/Tarea)]]=0,0,Tabla2[[#This Row],[Beneficio Neto  (En RD$/Tarea)]]/Tabla2[[#This Row],[Costos (En RD$/Tarea)]])</f>
        <v>0</v>
      </c>
      <c r="P63" s="7" t="n">
        <f aca="false">Tabla2[[#This Row],[Rentabilidad (%)]]/12</f>
        <v>0</v>
      </c>
    </row>
    <row r="64" customFormat="false" ht="14.25" hidden="false" customHeight="false" outlineLevel="0" collapsed="false">
      <c r="A64" s="1" t="n">
        <v>36678</v>
      </c>
      <c r="B64" s="2" t="s">
        <v>21</v>
      </c>
      <c r="C64" s="3" t="n">
        <v>6013</v>
      </c>
      <c r="D64" s="8" t="s">
        <v>17</v>
      </c>
      <c r="E64" s="3" t="n">
        <f aca="false">IF(Tabla2[[#This Row],[Frecuencia]]="Annual", Tabla2[[#This Row],[Cosecha/Tarea]]/12,Tabla2[[#This Row],[Cosecha/Tarea]])</f>
        <v>6013</v>
      </c>
      <c r="F64" s="3" t="n">
        <v>51372</v>
      </c>
      <c r="G64" s="2" t="s">
        <v>18</v>
      </c>
      <c r="H64" s="2" t="n">
        <f aca="false">F64/Tabla2[[#This Row],[Cosecha Mensual]]</f>
        <v>8.54348910693497</v>
      </c>
      <c r="I64" s="2" t="n">
        <f aca="false">H64*_xlfn.XLOOKUP(Tabla2[[#This Row],[Unidad de producción]],Tabla3[Medida],Tabla3[Equivalencia en Kg],"ELVIS",0)</f>
        <v>387.53266589057</v>
      </c>
      <c r="J64" s="2" t="n">
        <v>123.75</v>
      </c>
      <c r="K64" s="2" t="s">
        <v>18</v>
      </c>
      <c r="L64" s="2" t="n">
        <f aca="false">J64/_xlfn.XLOOKUP(Tabla2[[#This Row],[Unidad de precio]],Tabla3[Medida],Tabla3[Equivalencia en Kg],"ELVIS",0)</f>
        <v>2.7281746031746</v>
      </c>
      <c r="N64" s="3" t="n">
        <f aca="false">(Tabla2[[#This Row],[Productividad (kg/TAS)]]*Tabla2[[#This Row],[Precio por kg]]-Tabla2[[#This Row],[Costos (En RD$/Tarea)]])</f>
        <v>1057.2567769832</v>
      </c>
      <c r="O64" s="9" t="n">
        <f aca="false">IF(Tabla2[[#This Row],[Costos (En RD$/Tarea)]]=0,0,Tabla2[[#This Row],[Beneficio Neto  (En RD$/Tarea)]]/Tabla2[[#This Row],[Costos (En RD$/Tarea)]])</f>
        <v>0</v>
      </c>
      <c r="P64" s="7" t="n">
        <f aca="false">Tabla2[[#This Row],[Rentabilidad (%)]]/12</f>
        <v>0</v>
      </c>
    </row>
    <row r="65" customFormat="false" ht="14.25" hidden="false" customHeight="false" outlineLevel="0" collapsed="false">
      <c r="A65" s="1" t="n">
        <v>36678</v>
      </c>
      <c r="B65" s="2" t="s">
        <v>22</v>
      </c>
      <c r="C65" s="3" t="n">
        <v>2583</v>
      </c>
      <c r="D65" s="8" t="s">
        <v>17</v>
      </c>
      <c r="E65" s="3" t="n">
        <f aca="false">IF(Tabla2[[#This Row],[Frecuencia]]="Annual", Tabla2[[#This Row],[Cosecha/Tarea]]/12,Tabla2[[#This Row],[Cosecha/Tarea]])</f>
        <v>2583</v>
      </c>
      <c r="F65" s="3" t="n">
        <v>23404</v>
      </c>
      <c r="G65" s="2" t="s">
        <v>18</v>
      </c>
      <c r="H65" s="2" t="n">
        <f aca="false">F65/Tabla2[[#This Row],[Cosecha Mensual]]</f>
        <v>9.06078203639179</v>
      </c>
      <c r="I65" s="2" t="n">
        <f aca="false">H65*_xlfn.XLOOKUP(Tabla2[[#This Row],[Unidad de producción]],Tabla3[Medida],Tabla3[Equivalencia en Kg],"ELVIS",0)</f>
        <v>410.997073170732</v>
      </c>
      <c r="J65" s="2" t="n">
        <v>329.125</v>
      </c>
      <c r="K65" s="2" t="s">
        <v>18</v>
      </c>
      <c r="L65" s="2" t="n">
        <f aca="false">J65/_xlfn.XLOOKUP(Tabla2[[#This Row],[Unidad de precio]],Tabla3[Medida],Tabla3[Equivalencia en Kg],"ELVIS",0)</f>
        <v>7.25584215167549</v>
      </c>
      <c r="N65" s="3" t="n">
        <f aca="false">(Tabla2[[#This Row],[Productividad (kg/TAS)]]*Tabla2[[#This Row],[Precio por kg]]-Tabla2[[#This Row],[Costos (En RD$/Tarea)]])</f>
        <v>2982.12988772745</v>
      </c>
      <c r="O65" s="9" t="n">
        <f aca="false">IF(Tabla2[[#This Row],[Costos (En RD$/Tarea)]]=0,0,Tabla2[[#This Row],[Beneficio Neto  (En RD$/Tarea)]]/Tabla2[[#This Row],[Costos (En RD$/Tarea)]])</f>
        <v>0</v>
      </c>
      <c r="P65" s="7" t="n">
        <f aca="false">Tabla2[[#This Row],[Rentabilidad (%)]]/12</f>
        <v>0</v>
      </c>
    </row>
    <row r="66" customFormat="false" ht="14.25" hidden="false" customHeight="false" outlineLevel="0" collapsed="false">
      <c r="A66" s="1" t="n">
        <v>36678</v>
      </c>
      <c r="B66" s="2" t="s">
        <v>23</v>
      </c>
      <c r="C66" s="3" t="n">
        <v>2589</v>
      </c>
      <c r="D66" s="8" t="s">
        <v>17</v>
      </c>
      <c r="E66" s="3" t="n">
        <f aca="false">IF(Tabla2[[#This Row],[Frecuencia]]="Annual", Tabla2[[#This Row],[Cosecha/Tarea]]/12,Tabla2[[#This Row],[Cosecha/Tarea]])</f>
        <v>2589</v>
      </c>
      <c r="F66" s="3" t="n">
        <v>51034</v>
      </c>
      <c r="G66" s="2" t="s">
        <v>18</v>
      </c>
      <c r="H66" s="2" t="n">
        <f aca="false">F66/Tabla2[[#This Row],[Cosecha Mensual]]</f>
        <v>19.7118578601777</v>
      </c>
      <c r="I66" s="2" t="n">
        <f aca="false">H66*_xlfn.XLOOKUP(Tabla2[[#This Row],[Unidad de producción]],Tabla3[Medida],Tabla3[Equivalencia en Kg],"ELVIS",0)</f>
        <v>894.129872537659</v>
      </c>
      <c r="J66" s="2" t="n">
        <v>296.1</v>
      </c>
      <c r="K66" s="2" t="s">
        <v>18</v>
      </c>
      <c r="L66" s="2" t="n">
        <f aca="false">J66/_xlfn.XLOOKUP(Tabla2[[#This Row],[Unidad de precio]],Tabla3[Medida],Tabla3[Equivalencia en Kg],"ELVIS",0)</f>
        <v>6.52777777777778</v>
      </c>
      <c r="N66" s="3" t="n">
        <f aca="false">(Tabla2[[#This Row],[Productividad (kg/TAS)]]*Tabla2[[#This Row],[Precio por kg]]-Tabla2[[#This Row],[Costos (En RD$/Tarea)]])</f>
        <v>5836.68111239861</v>
      </c>
      <c r="O66" s="9" t="n">
        <f aca="false">IF(Tabla2[[#This Row],[Costos (En RD$/Tarea)]]=0,0,Tabla2[[#This Row],[Beneficio Neto  (En RD$/Tarea)]]/Tabla2[[#This Row],[Costos (En RD$/Tarea)]])</f>
        <v>0</v>
      </c>
      <c r="P66" s="7" t="n">
        <f aca="false">Tabla2[[#This Row],[Rentabilidad (%)]]/12</f>
        <v>0</v>
      </c>
    </row>
    <row r="67" customFormat="false" ht="14.25" hidden="false" customHeight="false" outlineLevel="0" collapsed="false">
      <c r="A67" s="1" t="n">
        <v>36678</v>
      </c>
      <c r="B67" s="2" t="s">
        <v>24</v>
      </c>
      <c r="C67" s="3" t="n">
        <v>7647</v>
      </c>
      <c r="D67" s="8" t="s">
        <v>17</v>
      </c>
      <c r="E67" s="3" t="n">
        <f aca="false">IF(Tabla2[[#This Row],[Frecuencia]]="Annual", Tabla2[[#This Row],[Cosecha/Tarea]]/12,Tabla2[[#This Row],[Cosecha/Tarea]])</f>
        <v>7647</v>
      </c>
      <c r="F67" s="3" t="n">
        <v>94721</v>
      </c>
      <c r="G67" s="2" t="s">
        <v>18</v>
      </c>
      <c r="H67" s="2" t="n">
        <f aca="false">F67/Tabla2[[#This Row],[Cosecha Mensual]]</f>
        <v>12.3866875899045</v>
      </c>
      <c r="I67" s="2" t="n">
        <f aca="false">H67*_xlfn.XLOOKUP(Tabla2[[#This Row],[Unidad de producción]],Tabla3[Medida],Tabla3[Equivalencia en Kg],"ELVIS",0)</f>
        <v>561.86014907807</v>
      </c>
      <c r="J67" s="2" t="n">
        <v>336.3</v>
      </c>
      <c r="K67" s="2" t="s">
        <v>18</v>
      </c>
      <c r="L67" s="2" t="n">
        <f aca="false">J67/_xlfn.XLOOKUP(Tabla2[[#This Row],[Unidad de precio]],Tabla3[Medida],Tabla3[Equivalencia en Kg],"ELVIS",0)</f>
        <v>7.41402116402117</v>
      </c>
      <c r="N67" s="3" t="n">
        <f aca="false">(Tabla2[[#This Row],[Productividad (kg/TAS)]]*Tabla2[[#This Row],[Precio por kg]]-Tabla2[[#This Row],[Costos (En RD$/Tarea)]])</f>
        <v>4165.6430364849</v>
      </c>
      <c r="O67" s="9" t="n">
        <f aca="false">IF(Tabla2[[#This Row],[Costos (En RD$/Tarea)]]=0,0,Tabla2[[#This Row],[Beneficio Neto  (En RD$/Tarea)]]/Tabla2[[#This Row],[Costos (En RD$/Tarea)]])</f>
        <v>0</v>
      </c>
      <c r="P67" s="7" t="n">
        <f aca="false">Tabla2[[#This Row],[Rentabilidad (%)]]/12</f>
        <v>0</v>
      </c>
    </row>
    <row r="68" customFormat="false" ht="14.25" hidden="false" customHeight="false" outlineLevel="0" collapsed="false">
      <c r="A68" s="1" t="n">
        <v>36678</v>
      </c>
      <c r="B68" s="2" t="s">
        <v>25</v>
      </c>
      <c r="C68" s="3" t="n">
        <v>21360</v>
      </c>
      <c r="D68" s="8" t="s">
        <v>17</v>
      </c>
      <c r="E68" s="3" t="n">
        <f aca="false">IF(Tabla2[[#This Row],[Frecuencia]]="Annual", Tabla2[[#This Row],[Cosecha/Tarea]]/12,Tabla2[[#This Row],[Cosecha/Tarea]])</f>
        <v>21360</v>
      </c>
      <c r="F68" s="3" t="n">
        <v>200573</v>
      </c>
      <c r="G68" s="2" t="s">
        <v>18</v>
      </c>
      <c r="H68" s="2" t="n">
        <f aca="false">F68/Tabla2[[#This Row],[Cosecha Mensual]]</f>
        <v>9.39012172284644</v>
      </c>
      <c r="I68" s="2" t="n">
        <f aca="false">H68*_xlfn.XLOOKUP(Tabla2[[#This Row],[Unidad de producción]],Tabla3[Medida],Tabla3[Equivalencia en Kg],"ELVIS",0)</f>
        <v>425.935921348315</v>
      </c>
      <c r="J68" s="2" t="n">
        <v>119.475</v>
      </c>
      <c r="K68" s="2" t="s">
        <v>18</v>
      </c>
      <c r="L68" s="2" t="n">
        <f aca="false">J68/_xlfn.XLOOKUP(Tabla2[[#This Row],[Unidad de precio]],Tabla3[Medida],Tabla3[Equivalencia en Kg],"ELVIS",0)</f>
        <v>2.63392857142857</v>
      </c>
      <c r="N68" s="3" t="n">
        <f aca="false">(Tabla2[[#This Row],[Productividad (kg/TAS)]]*Tabla2[[#This Row],[Precio por kg]]-Tabla2[[#This Row],[Costos (En RD$/Tarea)]])</f>
        <v>1121.88479283708</v>
      </c>
      <c r="O68" s="9" t="n">
        <f aca="false">IF(Tabla2[[#This Row],[Costos (En RD$/Tarea)]]=0,0,Tabla2[[#This Row],[Beneficio Neto  (En RD$/Tarea)]]/Tabla2[[#This Row],[Costos (En RD$/Tarea)]])</f>
        <v>0</v>
      </c>
      <c r="P68" s="7" t="n">
        <f aca="false">Tabla2[[#This Row],[Rentabilidad (%)]]/12</f>
        <v>0</v>
      </c>
    </row>
    <row r="69" customFormat="false" ht="14.25" hidden="false" customHeight="false" outlineLevel="0" collapsed="false">
      <c r="A69" s="1" t="n">
        <v>36678</v>
      </c>
      <c r="B69" s="2" t="s">
        <v>26</v>
      </c>
      <c r="C69" s="3" t="n">
        <v>7286</v>
      </c>
      <c r="D69" s="8" t="s">
        <v>17</v>
      </c>
      <c r="E69" s="3" t="n">
        <f aca="false">IF(Tabla2[[#This Row],[Frecuencia]]="Annual", Tabla2[[#This Row],[Cosecha/Tarea]]/12,Tabla2[[#This Row],[Cosecha/Tarea]])</f>
        <v>7286</v>
      </c>
      <c r="F69" s="3" t="n">
        <v>39484</v>
      </c>
      <c r="G69" s="2" t="s">
        <v>18</v>
      </c>
      <c r="H69" s="2" t="n">
        <f aca="false">F69/Tabla2[[#This Row],[Cosecha Mensual]]</f>
        <v>5.41916003293988</v>
      </c>
      <c r="I69" s="2" t="n">
        <f aca="false">H69*_xlfn.XLOOKUP(Tabla2[[#This Row],[Unidad de producción]],Tabla3[Medida],Tabla3[Equivalencia en Kg],"ELVIS",0)</f>
        <v>245.813099094153</v>
      </c>
      <c r="J69" s="2" t="n">
        <v>273.8</v>
      </c>
      <c r="K69" s="2" t="s">
        <v>18</v>
      </c>
      <c r="L69" s="2" t="n">
        <f aca="false">J69/_xlfn.XLOOKUP(Tabla2[[#This Row],[Unidad de precio]],Tabla3[Medida],Tabla3[Equivalencia en Kg],"ELVIS",0)</f>
        <v>6.03615520282187</v>
      </c>
      <c r="N69" s="3" t="n">
        <f aca="false">(Tabla2[[#This Row],[Productividad (kg/TAS)]]*Tabla2[[#This Row],[Precio por kg]]-Tabla2[[#This Row],[Costos (En RD$/Tarea)]])</f>
        <v>1483.76601701894</v>
      </c>
      <c r="O69" s="9" t="n">
        <f aca="false">IF(Tabla2[[#This Row],[Costos (En RD$/Tarea)]]=0,0,Tabla2[[#This Row],[Beneficio Neto  (En RD$/Tarea)]]/Tabla2[[#This Row],[Costos (En RD$/Tarea)]])</f>
        <v>0</v>
      </c>
      <c r="P69" s="7" t="n">
        <f aca="false">Tabla2[[#This Row],[Rentabilidad (%)]]/12</f>
        <v>0</v>
      </c>
    </row>
    <row r="70" customFormat="false" ht="14.25" hidden="false" customHeight="false" outlineLevel="0" collapsed="false">
      <c r="A70" s="1" t="n">
        <v>36678</v>
      </c>
      <c r="B70" s="2" t="s">
        <v>27</v>
      </c>
      <c r="C70" s="3" t="n">
        <v>1827</v>
      </c>
      <c r="D70" s="8" t="s">
        <v>17</v>
      </c>
      <c r="E70" s="3" t="n">
        <f aca="false">IF(Tabla2[[#This Row],[Frecuencia]]="Annual", Tabla2[[#This Row],[Cosecha/Tarea]]/12,Tabla2[[#This Row],[Cosecha/Tarea]])</f>
        <v>1827</v>
      </c>
      <c r="F70" s="3" t="n">
        <v>18059</v>
      </c>
      <c r="G70" s="2" t="s">
        <v>18</v>
      </c>
      <c r="H70" s="2" t="n">
        <f aca="false">F70/Tabla2[[#This Row],[Cosecha Mensual]]</f>
        <v>9.88451012588944</v>
      </c>
      <c r="I70" s="2" t="n">
        <f aca="false">H70*_xlfn.XLOOKUP(Tabla2[[#This Row],[Unidad de producción]],Tabla3[Medida],Tabla3[Equivalencia en Kg],"ELVIS",0)</f>
        <v>448.361379310345</v>
      </c>
      <c r="J70" s="2" t="n">
        <v>129.3</v>
      </c>
      <c r="K70" s="2" t="s">
        <v>18</v>
      </c>
      <c r="L70" s="2" t="n">
        <f aca="false">J70/_xlfn.XLOOKUP(Tabla2[[#This Row],[Unidad de precio]],Tabla3[Medida],Tabla3[Equivalencia en Kg],"ELVIS",0)</f>
        <v>2.8505291005291</v>
      </c>
      <c r="N70" s="3" t="n">
        <f aca="false">(Tabla2[[#This Row],[Productividad (kg/TAS)]]*Tabla2[[#This Row],[Precio por kg]]-Tabla2[[#This Row],[Costos (En RD$/Tarea)]])</f>
        <v>1278.0671592775</v>
      </c>
      <c r="O70" s="9" t="n">
        <f aca="false">IF(Tabla2[[#This Row],[Costos (En RD$/Tarea)]]=0,0,Tabla2[[#This Row],[Beneficio Neto  (En RD$/Tarea)]]/Tabla2[[#This Row],[Costos (En RD$/Tarea)]])</f>
        <v>0</v>
      </c>
      <c r="P70" s="7" t="n">
        <f aca="false">Tabla2[[#This Row],[Rentabilidad (%)]]/12</f>
        <v>0</v>
      </c>
    </row>
    <row r="71" customFormat="false" ht="14.25" hidden="false" customHeight="false" outlineLevel="0" collapsed="false">
      <c r="A71" s="1" t="n">
        <v>36678</v>
      </c>
      <c r="B71" s="2" t="s">
        <v>28</v>
      </c>
      <c r="C71" s="3" t="n">
        <v>70</v>
      </c>
      <c r="D71" s="8" t="s">
        <v>17</v>
      </c>
      <c r="E71" s="3" t="n">
        <f aca="false">IF(Tabla2[[#This Row],[Frecuencia]]="Annual", Tabla2[[#This Row],[Cosecha/Tarea]]/12,Tabla2[[#This Row],[Cosecha/Tarea]])</f>
        <v>70</v>
      </c>
      <c r="F71" s="3" t="n">
        <v>112</v>
      </c>
      <c r="G71" s="2" t="s">
        <v>18</v>
      </c>
      <c r="H71" s="2" t="n">
        <f aca="false">F71/Tabla2[[#This Row],[Cosecha Mensual]]</f>
        <v>1.6</v>
      </c>
      <c r="I71" s="2" t="n">
        <f aca="false">H71*_xlfn.XLOOKUP(Tabla2[[#This Row],[Unidad de producción]],Tabla3[Medida],Tabla3[Equivalencia en Kg],"ELVIS",0)</f>
        <v>72.576</v>
      </c>
      <c r="J71" s="2" t="n">
        <v>1716.5</v>
      </c>
      <c r="K71" s="2" t="s">
        <v>29</v>
      </c>
      <c r="L71" s="2" t="n">
        <f aca="false">J71/_xlfn.XLOOKUP(Tabla2[[#This Row],[Unidad de precio]],Tabla3[Medida],Tabla3[Equivalencia en Kg],"ELVIS",0)</f>
        <v>3.05242380054771</v>
      </c>
      <c r="N71" s="3" t="n">
        <f aca="false">(Tabla2[[#This Row],[Productividad (kg/TAS)]]*Tabla2[[#This Row],[Precio por kg]]-Tabla2[[#This Row],[Costos (En RD$/Tarea)]])</f>
        <v>221.532709748551</v>
      </c>
      <c r="O71" s="9" t="n">
        <f aca="false">IF(Tabla2[[#This Row],[Costos (En RD$/Tarea)]]=0,0,Tabla2[[#This Row],[Beneficio Neto  (En RD$/Tarea)]]/Tabla2[[#This Row],[Costos (En RD$/Tarea)]])</f>
        <v>0</v>
      </c>
      <c r="P71" s="7" t="n">
        <f aca="false">Tabla2[[#This Row],[Rentabilidad (%)]]/12</f>
        <v>0</v>
      </c>
    </row>
    <row r="72" customFormat="false" ht="14.25" hidden="false" customHeight="false" outlineLevel="0" collapsed="false">
      <c r="A72" s="1" t="n">
        <v>36678</v>
      </c>
      <c r="B72" s="2" t="s">
        <v>30</v>
      </c>
      <c r="C72" s="3" t="n">
        <v>232389</v>
      </c>
      <c r="D72" s="3" t="s">
        <v>31</v>
      </c>
      <c r="E72" s="3" t="n">
        <f aca="false">IF(Tabla2[[#This Row],[Frecuencia]]="Annual", Tabla2[[#This Row],[Cosecha/Tarea]]/12,Tabla2[[#This Row],[Cosecha/Tarea]])</f>
        <v>19365.75</v>
      </c>
      <c r="F72" s="3" t="n">
        <v>1622628</v>
      </c>
      <c r="G72" s="2" t="s">
        <v>32</v>
      </c>
      <c r="H72" s="2" t="n">
        <f aca="false">F72/Tabla2[[#This Row],[Cosecha Mensual]]</f>
        <v>83.7885442082026</v>
      </c>
      <c r="I72" s="2" t="n">
        <f aca="false">H72*_xlfn.XLOOKUP(Tabla2[[#This Row],[Unidad de producción]],Tabla3[Medida],Tabla3[Equivalencia en Kg],"ELVIS",0)</f>
        <v>2279.88628790519</v>
      </c>
      <c r="J72" s="2" t="n">
        <v>15.8</v>
      </c>
      <c r="K72" s="2" t="s">
        <v>32</v>
      </c>
      <c r="L72" s="2" t="n">
        <f aca="false">J72/_xlfn.XLOOKUP(Tabla2[[#This Row],[Unidad de precio]],Tabla3[Medida],Tabla3[Equivalencia en Kg],"ELVIS",0)</f>
        <v>0.580668871738332</v>
      </c>
      <c r="M72" s="3"/>
      <c r="N72" s="3" t="n">
        <f aca="false">(Tabla2[[#This Row],[Productividad (kg/TAS)]]*Tabla2[[#This Row],[Precio por kg]]-Tabla2[[#This Row],[Costos (En RD$/Tarea)]])</f>
        <v>1323.8589984896</v>
      </c>
      <c r="O72" s="9" t="n">
        <f aca="false">IF(Tabla2[[#This Row],[Costos (En RD$/Tarea)]]=0,0,Tabla2[[#This Row],[Beneficio Neto  (En RD$/Tarea)]]/Tabla2[[#This Row],[Costos (En RD$/Tarea)]])</f>
        <v>0</v>
      </c>
      <c r="P72" s="7" t="n">
        <f aca="false">Tabla2[[#This Row],[Rentabilidad (%)]]/12</f>
        <v>0</v>
      </c>
    </row>
    <row r="73" customFormat="false" ht="14.25" hidden="false" customHeight="false" outlineLevel="0" collapsed="false">
      <c r="A73" s="1" t="n">
        <v>36678</v>
      </c>
      <c r="B73" s="2" t="s">
        <v>33</v>
      </c>
      <c r="C73" s="3" t="n">
        <v>579293</v>
      </c>
      <c r="D73" s="3" t="s">
        <v>31</v>
      </c>
      <c r="E73" s="3" t="n">
        <f aca="false">IF(Tabla2[[#This Row],[Frecuencia]]="Annual", Tabla2[[#This Row],[Cosecha/Tarea]]/12,Tabla2[[#This Row],[Cosecha/Tarea]])</f>
        <v>48274.4166666667</v>
      </c>
      <c r="F73" s="3" t="n">
        <v>123619</v>
      </c>
      <c r="G73" s="2" t="s">
        <v>34</v>
      </c>
      <c r="H73" s="2" t="n">
        <f aca="false">F73/Tabla2[[#This Row],[Cosecha Mensual]]</f>
        <v>2.56075595596702</v>
      </c>
      <c r="I73" s="2" t="n">
        <f aca="false">H73*_xlfn.XLOOKUP(Tabla2[[#This Row],[Unidad de producción]],Tabla3[Medida],Tabla3[Equivalencia en Kg],"ELVIS",0)</f>
        <v>1045.17254342794</v>
      </c>
      <c r="J73" s="2" t="n">
        <v>471</v>
      </c>
      <c r="K73" s="2" t="s">
        <v>34</v>
      </c>
      <c r="L73" s="2" t="n">
        <f aca="false">J73/_xlfn.XLOOKUP(Tabla2[[#This Row],[Unidad de precio]],Tabla3[Medida],Tabla3[Equivalencia en Kg],"ELVIS",0)</f>
        <v>1.1539875045939</v>
      </c>
      <c r="M73" s="3"/>
      <c r="N73" s="3" t="n">
        <f aca="false">(Tabla2[[#This Row],[Productividad (kg/TAS)]]*Tabla2[[#This Row],[Precio por kg]]-Tabla2[[#This Row],[Costos (En RD$/Tarea)]])</f>
        <v>1206.11605526046</v>
      </c>
      <c r="O73" s="9" t="n">
        <f aca="false">IF(Tabla2[[#This Row],[Costos (En RD$/Tarea)]]=0,0,Tabla2[[#This Row],[Beneficio Neto  (En RD$/Tarea)]]/Tabla2[[#This Row],[Costos (En RD$/Tarea)]])</f>
        <v>0</v>
      </c>
      <c r="P73" s="7" t="n">
        <f aca="false">Tabla2[[#This Row],[Rentabilidad (%)]]/12</f>
        <v>0</v>
      </c>
    </row>
    <row r="74" customFormat="false" ht="14.25" hidden="false" customHeight="false" outlineLevel="0" collapsed="false">
      <c r="A74" s="1" t="n">
        <v>36708</v>
      </c>
      <c r="B74" s="2" t="s">
        <v>16</v>
      </c>
      <c r="C74" s="8" t="n">
        <v>197810</v>
      </c>
      <c r="D74" s="8" t="s">
        <v>17</v>
      </c>
      <c r="E74" s="8" t="n">
        <f aca="false">IF(Tabla2[[#This Row],[Frecuencia]]="Annual", Tabla2[[#This Row],[Cosecha/Tarea]]/12,Tabla2[[#This Row],[Cosecha/Tarea]])</f>
        <v>197810</v>
      </c>
      <c r="F74" s="3" t="n">
        <v>1051585</v>
      </c>
      <c r="G74" s="2" t="s">
        <v>18</v>
      </c>
      <c r="H74" s="2" t="n">
        <f aca="false">F74/Tabla2[[#This Row],[Cosecha Mensual]]</f>
        <v>5.31613669683029</v>
      </c>
      <c r="I74" s="2" t="n">
        <f aca="false">H74*_xlfn.XLOOKUP(Tabla2[[#This Row],[Unidad de producción]],Tabla3[Medida],Tabla3[Equivalencia en Kg],"ELVIS",0)</f>
        <v>241.139960568222</v>
      </c>
      <c r="J74" s="2" t="n">
        <v>1087.80198019802</v>
      </c>
      <c r="K74" s="2" t="s">
        <v>19</v>
      </c>
      <c r="L74" s="2" t="n">
        <f aca="false">J74/_xlfn.XLOOKUP(Tabla2[[#This Row],[Unidad de precio]],Tabla3[Medida],Tabla3[Equivalencia en Kg],"ELVIS",0)</f>
        <v>9.88910891089109</v>
      </c>
      <c r="N74" s="3" t="n">
        <f aca="false">(Tabla2[[#This Row],[Productividad (kg/TAS)]]*Tabla2[[#This Row],[Precio por kg]]-Tabla2[[#This Row],[Costos (En RD$/Tarea)]])</f>
        <v>2384.65933282713</v>
      </c>
      <c r="O74" s="9" t="n">
        <f aca="false">IF(Tabla2[[#This Row],[Costos (En RD$/Tarea)]]=0,0,Tabla2[[#This Row],[Beneficio Neto  (En RD$/Tarea)]]/Tabla2[[#This Row],[Costos (En RD$/Tarea)]])</f>
        <v>0</v>
      </c>
      <c r="P74" s="7" t="n">
        <f aca="false">Tabla2[[#This Row],[Rentabilidad (%)]]/12</f>
        <v>0</v>
      </c>
    </row>
    <row r="75" customFormat="false" ht="14.25" hidden="false" customHeight="false" outlineLevel="0" collapsed="false">
      <c r="A75" s="1" t="n">
        <v>36708</v>
      </c>
      <c r="B75" s="2" t="s">
        <v>20</v>
      </c>
      <c r="C75" s="3" t="n">
        <v>20492</v>
      </c>
      <c r="D75" s="8" t="s">
        <v>17</v>
      </c>
      <c r="E75" s="3" t="n">
        <f aca="false">IF(Tabla2[[#This Row],[Frecuencia]]="Annual", Tabla2[[#This Row],[Cosecha/Tarea]]/12,Tabla2[[#This Row],[Cosecha/Tarea]])</f>
        <v>20492</v>
      </c>
      <c r="F75" s="3" t="n">
        <v>33257</v>
      </c>
      <c r="G75" s="2" t="s">
        <v>18</v>
      </c>
      <c r="H75" s="2" t="n">
        <f aca="false">F75/Tabla2[[#This Row],[Cosecha Mensual]]</f>
        <v>1.62292601991021</v>
      </c>
      <c r="I75" s="2" t="n">
        <f aca="false">H75*_xlfn.XLOOKUP(Tabla2[[#This Row],[Unidad de producción]],Tabla3[Medida],Tabla3[Equivalencia en Kg],"ELVIS",0)</f>
        <v>73.6159242631271</v>
      </c>
      <c r="J75" s="2" t="n">
        <v>120.24</v>
      </c>
      <c r="K75" s="2" t="s">
        <v>18</v>
      </c>
      <c r="L75" s="2" t="n">
        <f aca="false">J75/_xlfn.XLOOKUP(Tabla2[[#This Row],[Unidad de precio]],Tabla3[Medida],Tabla3[Equivalencia en Kg],"ELVIS",0)</f>
        <v>2.65079365079365</v>
      </c>
      <c r="N75" s="3" t="n">
        <f aca="false">(Tabla2[[#This Row],[Productividad (kg/TAS)]]*Tabla2[[#This Row],[Precio por kg]]-Tabla2[[#This Row],[Costos (En RD$/Tarea)]])</f>
        <v>195.140624634004</v>
      </c>
      <c r="O75" s="9" t="n">
        <f aca="false">IF(Tabla2[[#This Row],[Costos (En RD$/Tarea)]]=0,0,Tabla2[[#This Row],[Beneficio Neto  (En RD$/Tarea)]]/Tabla2[[#This Row],[Costos (En RD$/Tarea)]])</f>
        <v>0</v>
      </c>
      <c r="P75" s="7" t="n">
        <f aca="false">Tabla2[[#This Row],[Rentabilidad (%)]]/12</f>
        <v>0</v>
      </c>
    </row>
    <row r="76" customFormat="false" ht="14.25" hidden="false" customHeight="false" outlineLevel="0" collapsed="false">
      <c r="A76" s="1" t="n">
        <v>36708</v>
      </c>
      <c r="B76" s="2" t="s">
        <v>21</v>
      </c>
      <c r="C76" s="3" t="n">
        <v>6060</v>
      </c>
      <c r="D76" s="8" t="s">
        <v>17</v>
      </c>
      <c r="E76" s="3" t="n">
        <f aca="false">IF(Tabla2[[#This Row],[Frecuencia]]="Annual", Tabla2[[#This Row],[Cosecha/Tarea]]/12,Tabla2[[#This Row],[Cosecha/Tarea]])</f>
        <v>6060</v>
      </c>
      <c r="F76" s="3" t="n">
        <v>56115</v>
      </c>
      <c r="G76" s="2" t="s">
        <v>18</v>
      </c>
      <c r="H76" s="2" t="n">
        <f aca="false">F76/Tabla2[[#This Row],[Cosecha Mensual]]</f>
        <v>9.25990099009901</v>
      </c>
      <c r="I76" s="2" t="n">
        <f aca="false">H76*_xlfn.XLOOKUP(Tabla2[[#This Row],[Unidad de producción]],Tabla3[Medida],Tabla3[Equivalencia en Kg],"ELVIS",0)</f>
        <v>420.029108910891</v>
      </c>
      <c r="J76" s="2" t="n">
        <v>137</v>
      </c>
      <c r="K76" s="2" t="s">
        <v>18</v>
      </c>
      <c r="L76" s="2" t="n">
        <f aca="false">J76/_xlfn.XLOOKUP(Tabla2[[#This Row],[Unidad de precio]],Tabla3[Medida],Tabla3[Equivalencia en Kg],"ELVIS",0)</f>
        <v>3.02028218694885</v>
      </c>
      <c r="N76" s="3" t="n">
        <f aca="false">(Tabla2[[#This Row],[Productividad (kg/TAS)]]*Tabla2[[#This Row],[Precio por kg]]-Tabla2[[#This Row],[Costos (En RD$/Tarea)]])</f>
        <v>1268.60643564356</v>
      </c>
      <c r="O76" s="9" t="n">
        <f aca="false">IF(Tabla2[[#This Row],[Costos (En RD$/Tarea)]]=0,0,Tabla2[[#This Row],[Beneficio Neto  (En RD$/Tarea)]]/Tabla2[[#This Row],[Costos (En RD$/Tarea)]])</f>
        <v>0</v>
      </c>
      <c r="P76" s="7" t="n">
        <f aca="false">Tabla2[[#This Row],[Rentabilidad (%)]]/12</f>
        <v>0</v>
      </c>
    </row>
    <row r="77" customFormat="false" ht="14.25" hidden="false" customHeight="false" outlineLevel="0" collapsed="false">
      <c r="A77" s="1" t="n">
        <v>36708</v>
      </c>
      <c r="B77" s="2" t="s">
        <v>22</v>
      </c>
      <c r="C77" s="3" t="n">
        <v>1378</v>
      </c>
      <c r="D77" s="8" t="s">
        <v>17</v>
      </c>
      <c r="E77" s="3" t="n">
        <f aca="false">IF(Tabla2[[#This Row],[Frecuencia]]="Annual", Tabla2[[#This Row],[Cosecha/Tarea]]/12,Tabla2[[#This Row],[Cosecha/Tarea]])</f>
        <v>1378</v>
      </c>
      <c r="F77" s="3" t="n">
        <v>12338</v>
      </c>
      <c r="G77" s="2" t="s">
        <v>18</v>
      </c>
      <c r="H77" s="2" t="n">
        <f aca="false">F77/Tabla2[[#This Row],[Cosecha Mensual]]</f>
        <v>8.95355587808418</v>
      </c>
      <c r="I77" s="2" t="n">
        <f aca="false">H77*_xlfn.XLOOKUP(Tabla2[[#This Row],[Unidad de producción]],Tabla3[Medida],Tabla3[Equivalencia en Kg],"ELVIS",0)</f>
        <v>406.133294629898</v>
      </c>
      <c r="J77" s="2" t="n">
        <v>344.778333333333</v>
      </c>
      <c r="K77" s="2" t="s">
        <v>18</v>
      </c>
      <c r="L77" s="2" t="n">
        <f aca="false">J77/_xlfn.XLOOKUP(Tabla2[[#This Row],[Unidad de precio]],Tabla3[Medida],Tabla3[Equivalencia en Kg],"ELVIS",0)</f>
        <v>7.60093327454438</v>
      </c>
      <c r="N77" s="3" t="n">
        <f aca="false">(Tabla2[[#This Row],[Productividad (kg/TAS)]]*Tabla2[[#This Row],[Precio por kg]]-Tabla2[[#This Row],[Costos (En RD$/Tarea)]])</f>
        <v>3086.99207305273</v>
      </c>
      <c r="O77" s="9" t="n">
        <f aca="false">IF(Tabla2[[#This Row],[Costos (En RD$/Tarea)]]=0,0,Tabla2[[#This Row],[Beneficio Neto  (En RD$/Tarea)]]/Tabla2[[#This Row],[Costos (En RD$/Tarea)]])</f>
        <v>0</v>
      </c>
      <c r="P77" s="7" t="n">
        <f aca="false">Tabla2[[#This Row],[Rentabilidad (%)]]/12</f>
        <v>0</v>
      </c>
    </row>
    <row r="78" customFormat="false" ht="14.25" hidden="false" customHeight="false" outlineLevel="0" collapsed="false">
      <c r="A78" s="1" t="n">
        <v>36708</v>
      </c>
      <c r="B78" s="2" t="s">
        <v>23</v>
      </c>
      <c r="C78" s="3" t="n">
        <v>1426</v>
      </c>
      <c r="D78" s="8" t="s">
        <v>17</v>
      </c>
      <c r="E78" s="3" t="n">
        <f aca="false">IF(Tabla2[[#This Row],[Frecuencia]]="Annual", Tabla2[[#This Row],[Cosecha/Tarea]]/12,Tabla2[[#This Row],[Cosecha/Tarea]])</f>
        <v>1426</v>
      </c>
      <c r="F78" s="3" t="n">
        <v>28465</v>
      </c>
      <c r="G78" s="2" t="s">
        <v>18</v>
      </c>
      <c r="H78" s="2" t="n">
        <f aca="false">F78/Tabla2[[#This Row],[Cosecha Mensual]]</f>
        <v>19.9614305750351</v>
      </c>
      <c r="I78" s="2" t="n">
        <f aca="false">H78*_xlfn.XLOOKUP(Tabla2[[#This Row],[Unidad de producción]],Tabla3[Medida],Tabla3[Equivalencia en Kg],"ELVIS",0)</f>
        <v>905.45049088359</v>
      </c>
      <c r="J78" s="2" t="n">
        <v>241.9</v>
      </c>
      <c r="K78" s="2" t="s">
        <v>18</v>
      </c>
      <c r="L78" s="2" t="n">
        <f aca="false">J78/_xlfn.XLOOKUP(Tabla2[[#This Row],[Unidad de precio]],Tabla3[Medida],Tabla3[Equivalencia en Kg],"ELVIS",0)</f>
        <v>5.33289241622575</v>
      </c>
      <c r="N78" s="3" t="n">
        <f aca="false">(Tabla2[[#This Row],[Productividad (kg/TAS)]]*Tabla2[[#This Row],[Precio por kg]]-Tabla2[[#This Row],[Costos (En RD$/Tarea)]])</f>
        <v>4828.67005610098</v>
      </c>
      <c r="O78" s="9" t="n">
        <f aca="false">IF(Tabla2[[#This Row],[Costos (En RD$/Tarea)]]=0,0,Tabla2[[#This Row],[Beneficio Neto  (En RD$/Tarea)]]/Tabla2[[#This Row],[Costos (En RD$/Tarea)]])</f>
        <v>0</v>
      </c>
      <c r="P78" s="7" t="n">
        <f aca="false">Tabla2[[#This Row],[Rentabilidad (%)]]/12</f>
        <v>0</v>
      </c>
    </row>
    <row r="79" customFormat="false" ht="14.25" hidden="false" customHeight="false" outlineLevel="0" collapsed="false">
      <c r="A79" s="1" t="n">
        <v>36708</v>
      </c>
      <c r="B79" s="2" t="s">
        <v>24</v>
      </c>
      <c r="C79" s="3" t="n">
        <v>5546</v>
      </c>
      <c r="D79" s="8" t="s">
        <v>17</v>
      </c>
      <c r="E79" s="3" t="n">
        <f aca="false">IF(Tabla2[[#This Row],[Frecuencia]]="Annual", Tabla2[[#This Row],[Cosecha/Tarea]]/12,Tabla2[[#This Row],[Cosecha/Tarea]])</f>
        <v>5546</v>
      </c>
      <c r="F79" s="3" t="n">
        <v>75441</v>
      </c>
      <c r="G79" s="2" t="s">
        <v>18</v>
      </c>
      <c r="H79" s="2" t="n">
        <f aca="false">F79/Tabla2[[#This Row],[Cosecha Mensual]]</f>
        <v>13.6027767760548</v>
      </c>
      <c r="I79" s="2" t="n">
        <f aca="false">H79*_xlfn.XLOOKUP(Tabla2[[#This Row],[Unidad de producción]],Tabla3[Medida],Tabla3[Equivalencia en Kg],"ELVIS",0)</f>
        <v>617.021954561846</v>
      </c>
      <c r="J79" s="2" t="n">
        <v>358</v>
      </c>
      <c r="K79" s="2" t="s">
        <v>18</v>
      </c>
      <c r="L79" s="2" t="n">
        <f aca="false">J79/_xlfn.XLOOKUP(Tabla2[[#This Row],[Unidad de precio]],Tabla3[Medida],Tabla3[Equivalencia en Kg],"ELVIS",0)</f>
        <v>7.89241622574956</v>
      </c>
      <c r="N79" s="3" t="n">
        <f aca="false">(Tabla2[[#This Row],[Productividad (kg/TAS)]]*Tabla2[[#This Row],[Precio por kg]]-Tabla2[[#This Row],[Costos (En RD$/Tarea)]])</f>
        <v>4869.79408582762</v>
      </c>
      <c r="O79" s="9" t="n">
        <f aca="false">IF(Tabla2[[#This Row],[Costos (En RD$/Tarea)]]=0,0,Tabla2[[#This Row],[Beneficio Neto  (En RD$/Tarea)]]/Tabla2[[#This Row],[Costos (En RD$/Tarea)]])</f>
        <v>0</v>
      </c>
      <c r="P79" s="7" t="n">
        <f aca="false">Tabla2[[#This Row],[Rentabilidad (%)]]/12</f>
        <v>0</v>
      </c>
    </row>
    <row r="80" customFormat="false" ht="14.25" hidden="false" customHeight="false" outlineLevel="0" collapsed="false">
      <c r="A80" s="1" t="n">
        <v>36708</v>
      </c>
      <c r="B80" s="2" t="s">
        <v>25</v>
      </c>
      <c r="C80" s="3" t="n">
        <v>18408</v>
      </c>
      <c r="D80" s="8" t="s">
        <v>17</v>
      </c>
      <c r="E80" s="3" t="n">
        <f aca="false">IF(Tabla2[[#This Row],[Frecuencia]]="Annual", Tabla2[[#This Row],[Cosecha/Tarea]]/12,Tabla2[[#This Row],[Cosecha/Tarea]])</f>
        <v>18408</v>
      </c>
      <c r="F80" s="3" t="n">
        <v>170147</v>
      </c>
      <c r="G80" s="2" t="s">
        <v>18</v>
      </c>
      <c r="H80" s="2" t="n">
        <f aca="false">F80/Tabla2[[#This Row],[Cosecha Mensual]]</f>
        <v>9.24310082572795</v>
      </c>
      <c r="I80" s="2" t="n">
        <f aca="false">H80*_xlfn.XLOOKUP(Tabla2[[#This Row],[Unidad de producción]],Tabla3[Medida],Tabla3[Equivalencia en Kg],"ELVIS",0)</f>
        <v>419.26705345502</v>
      </c>
      <c r="J80" s="2" t="n">
        <v>136</v>
      </c>
      <c r="K80" s="2" t="s">
        <v>18</v>
      </c>
      <c r="L80" s="2" t="n">
        <f aca="false">J80/_xlfn.XLOOKUP(Tabla2[[#This Row],[Unidad de precio]],Tabla3[Medida],Tabla3[Equivalencia en Kg],"ELVIS",0)</f>
        <v>2.99823633156967</v>
      </c>
      <c r="N80" s="3" t="n">
        <f aca="false">(Tabla2[[#This Row],[Productividad (kg/TAS)]]*Tabla2[[#This Row],[Precio por kg]]-Tabla2[[#This Row],[Costos (En RD$/Tarea)]])</f>
        <v>1257.061712299</v>
      </c>
      <c r="O80" s="9" t="n">
        <f aca="false">IF(Tabla2[[#This Row],[Costos (En RD$/Tarea)]]=0,0,Tabla2[[#This Row],[Beneficio Neto  (En RD$/Tarea)]]/Tabla2[[#This Row],[Costos (En RD$/Tarea)]])</f>
        <v>0</v>
      </c>
      <c r="P80" s="7" t="n">
        <f aca="false">Tabla2[[#This Row],[Rentabilidad (%)]]/12</f>
        <v>0</v>
      </c>
    </row>
    <row r="81" customFormat="false" ht="14.25" hidden="false" customHeight="false" outlineLevel="0" collapsed="false">
      <c r="A81" s="1" t="n">
        <v>36708</v>
      </c>
      <c r="B81" s="2" t="s">
        <v>26</v>
      </c>
      <c r="C81" s="3" t="n">
        <v>6384</v>
      </c>
      <c r="D81" s="8" t="s">
        <v>17</v>
      </c>
      <c r="E81" s="3" t="n">
        <f aca="false">IF(Tabla2[[#This Row],[Frecuencia]]="Annual", Tabla2[[#This Row],[Cosecha/Tarea]]/12,Tabla2[[#This Row],[Cosecha/Tarea]])</f>
        <v>6384</v>
      </c>
      <c r="F81" s="3" t="n">
        <v>32832</v>
      </c>
      <c r="G81" s="2" t="s">
        <v>18</v>
      </c>
      <c r="H81" s="2" t="n">
        <f aca="false">F81/Tabla2[[#This Row],[Cosecha Mensual]]</f>
        <v>5.14285714285714</v>
      </c>
      <c r="I81" s="2" t="n">
        <f aca="false">H81*_xlfn.XLOOKUP(Tabla2[[#This Row],[Unidad de producción]],Tabla3[Medida],Tabla3[Equivalencia en Kg],"ELVIS",0)</f>
        <v>233.28</v>
      </c>
      <c r="J81" s="2" t="n">
        <v>258.766</v>
      </c>
      <c r="K81" s="2" t="s">
        <v>18</v>
      </c>
      <c r="L81" s="2" t="n">
        <f aca="false">J81/_xlfn.XLOOKUP(Tabla2[[#This Row],[Unidad de precio]],Tabla3[Medida],Tabla3[Equivalencia en Kg],"ELVIS",0)</f>
        <v>5.70471781305115</v>
      </c>
      <c r="N81" s="3" t="n">
        <f aca="false">(Tabla2[[#This Row],[Productividad (kg/TAS)]]*Tabla2[[#This Row],[Precio por kg]]-Tabla2[[#This Row],[Costos (En RD$/Tarea)]])</f>
        <v>1330.79657142857</v>
      </c>
      <c r="O81" s="9" t="n">
        <f aca="false">IF(Tabla2[[#This Row],[Costos (En RD$/Tarea)]]=0,0,Tabla2[[#This Row],[Beneficio Neto  (En RD$/Tarea)]]/Tabla2[[#This Row],[Costos (En RD$/Tarea)]])</f>
        <v>0</v>
      </c>
      <c r="P81" s="7" t="n">
        <f aca="false">Tabla2[[#This Row],[Rentabilidad (%)]]/12</f>
        <v>0</v>
      </c>
    </row>
    <row r="82" customFormat="false" ht="14.25" hidden="false" customHeight="false" outlineLevel="0" collapsed="false">
      <c r="A82" s="1" t="n">
        <v>36708</v>
      </c>
      <c r="B82" s="2" t="s">
        <v>27</v>
      </c>
      <c r="C82" s="3" t="n">
        <v>2130</v>
      </c>
      <c r="D82" s="8" t="s">
        <v>17</v>
      </c>
      <c r="E82" s="3" t="n">
        <f aca="false">IF(Tabla2[[#This Row],[Frecuencia]]="Annual", Tabla2[[#This Row],[Cosecha/Tarea]]/12,Tabla2[[#This Row],[Cosecha/Tarea]])</f>
        <v>2130</v>
      </c>
      <c r="F82" s="3" t="n">
        <v>16578</v>
      </c>
      <c r="G82" s="2" t="s">
        <v>18</v>
      </c>
      <c r="H82" s="2" t="n">
        <f aca="false">F82/Tabla2[[#This Row],[Cosecha Mensual]]</f>
        <v>7.7830985915493</v>
      </c>
      <c r="I82" s="2" t="n">
        <f aca="false">H82*_xlfn.XLOOKUP(Tabla2[[#This Row],[Unidad de producción]],Tabla3[Medida],Tabla3[Equivalencia en Kg],"ELVIS",0)</f>
        <v>353.041352112676</v>
      </c>
      <c r="J82" s="2" t="n">
        <v>147.65</v>
      </c>
      <c r="K82" s="2" t="s">
        <v>18</v>
      </c>
      <c r="L82" s="2" t="n">
        <f aca="false">J82/_xlfn.XLOOKUP(Tabla2[[#This Row],[Unidad de precio]],Tabla3[Medida],Tabla3[Equivalencia en Kg],"ELVIS",0)</f>
        <v>3.25507054673721</v>
      </c>
      <c r="N82" s="3" t="n">
        <f aca="false">(Tabla2[[#This Row],[Productividad (kg/TAS)]]*Tabla2[[#This Row],[Precio por kg]]-Tabla2[[#This Row],[Costos (En RD$/Tarea)]])</f>
        <v>1149.17450704225</v>
      </c>
      <c r="O82" s="9" t="n">
        <f aca="false">IF(Tabla2[[#This Row],[Costos (En RD$/Tarea)]]=0,0,Tabla2[[#This Row],[Beneficio Neto  (En RD$/Tarea)]]/Tabla2[[#This Row],[Costos (En RD$/Tarea)]])</f>
        <v>0</v>
      </c>
      <c r="P82" s="7" t="n">
        <f aca="false">Tabla2[[#This Row],[Rentabilidad (%)]]/12</f>
        <v>0</v>
      </c>
    </row>
    <row r="83" customFormat="false" ht="14.25" hidden="false" customHeight="false" outlineLevel="0" collapsed="false">
      <c r="A83" s="1" t="n">
        <v>36708</v>
      </c>
      <c r="B83" s="2" t="s">
        <v>28</v>
      </c>
      <c r="C83" s="3" t="n">
        <v>5988</v>
      </c>
      <c r="D83" s="8" t="s">
        <v>17</v>
      </c>
      <c r="E83" s="3" t="n">
        <f aca="false">IF(Tabla2[[#This Row],[Frecuencia]]="Annual", Tabla2[[#This Row],[Cosecha/Tarea]]/12,Tabla2[[#This Row],[Cosecha/Tarea]])</f>
        <v>5988</v>
      </c>
      <c r="F83" s="3" t="n">
        <v>5178</v>
      </c>
      <c r="G83" s="2" t="s">
        <v>18</v>
      </c>
      <c r="H83" s="2" t="n">
        <f aca="false">F83/Tabla2[[#This Row],[Cosecha Mensual]]</f>
        <v>0.864729458917836</v>
      </c>
      <c r="I83" s="2" t="n">
        <f aca="false">H83*_xlfn.XLOOKUP(Tabla2[[#This Row],[Unidad de producción]],Tabla3[Medida],Tabla3[Equivalencia en Kg],"ELVIS",0)</f>
        <v>39.224128256513</v>
      </c>
      <c r="J83" s="2" t="n">
        <v>953.39</v>
      </c>
      <c r="K83" s="2" t="s">
        <v>29</v>
      </c>
      <c r="L83" s="2" t="n">
        <f aca="false">J83/_xlfn.XLOOKUP(Tabla2[[#This Row],[Unidad de precio]],Tabla3[Medida],Tabla3[Equivalencia en Kg],"ELVIS",0)</f>
        <v>1.69539780204147</v>
      </c>
      <c r="N83" s="3" t="n">
        <f aca="false">(Tabla2[[#This Row],[Productividad (kg/TAS)]]*Tabla2[[#This Row],[Precio por kg]]-Tabla2[[#This Row],[Costos (En RD$/Tarea)]])</f>
        <v>66.5005008330849</v>
      </c>
      <c r="O83" s="9" t="n">
        <f aca="false">IF(Tabla2[[#This Row],[Costos (En RD$/Tarea)]]=0,0,Tabla2[[#This Row],[Beneficio Neto  (En RD$/Tarea)]]/Tabla2[[#This Row],[Costos (En RD$/Tarea)]])</f>
        <v>0</v>
      </c>
      <c r="P83" s="7" t="n">
        <f aca="false">Tabla2[[#This Row],[Rentabilidad (%)]]/12</f>
        <v>0</v>
      </c>
    </row>
    <row r="84" customFormat="false" ht="14.25" hidden="false" customHeight="false" outlineLevel="0" collapsed="false">
      <c r="A84" s="1" t="n">
        <v>36708</v>
      </c>
      <c r="B84" s="2" t="s">
        <v>30</v>
      </c>
      <c r="C84" s="3" t="n">
        <v>239144</v>
      </c>
      <c r="D84" s="3" t="s">
        <v>31</v>
      </c>
      <c r="E84" s="3" t="n">
        <f aca="false">IF(Tabla2[[#This Row],[Frecuencia]]="Annual", Tabla2[[#This Row],[Cosecha/Tarea]]/12,Tabla2[[#This Row],[Cosecha/Tarea]])</f>
        <v>19928.6666666667</v>
      </c>
      <c r="F84" s="3" t="n">
        <v>1720290</v>
      </c>
      <c r="G84" s="2" t="s">
        <v>32</v>
      </c>
      <c r="H84" s="2" t="n">
        <f aca="false">F84/Tabla2[[#This Row],[Cosecha Mensual]]</f>
        <v>86.3223831666276</v>
      </c>
      <c r="I84" s="2" t="n">
        <f aca="false">H84*_xlfn.XLOOKUP(Tabla2[[#This Row],[Unidad de producción]],Tabla3[Medida],Tabla3[Equivalencia en Kg],"ELVIS",0)</f>
        <v>2348.83204596394</v>
      </c>
      <c r="J84" s="2" t="n">
        <v>13.9166666666667</v>
      </c>
      <c r="K84" s="2" t="s">
        <v>32</v>
      </c>
      <c r="L84" s="2" t="n">
        <f aca="false">J84/_xlfn.XLOOKUP(Tabla2[[#This Row],[Unidad de precio]],Tabla3[Medida],Tabla3[Equivalencia en Kg],"ELVIS",0)</f>
        <v>0.511454122258975</v>
      </c>
      <c r="M84" s="3"/>
      <c r="N84" s="3" t="n">
        <f aca="false">(Tabla2[[#This Row],[Productividad (kg/TAS)]]*Tabla2[[#This Row],[Precio por kg]]-Tabla2[[#This Row],[Costos (En RD$/Tarea)]])</f>
        <v>1201.31983240224</v>
      </c>
      <c r="O84" s="9" t="n">
        <f aca="false">IF(Tabla2[[#This Row],[Costos (En RD$/Tarea)]]=0,0,Tabla2[[#This Row],[Beneficio Neto  (En RD$/Tarea)]]/Tabla2[[#This Row],[Costos (En RD$/Tarea)]])</f>
        <v>0</v>
      </c>
      <c r="P84" s="7" t="n">
        <f aca="false">Tabla2[[#This Row],[Rentabilidad (%)]]/12</f>
        <v>0</v>
      </c>
    </row>
    <row r="85" customFormat="false" ht="14.25" hidden="false" customHeight="false" outlineLevel="0" collapsed="false">
      <c r="A85" s="1" t="n">
        <v>36708</v>
      </c>
      <c r="B85" s="2" t="s">
        <v>33</v>
      </c>
      <c r="C85" s="3" t="n">
        <v>592826</v>
      </c>
      <c r="D85" s="3" t="s">
        <v>31</v>
      </c>
      <c r="E85" s="3" t="n">
        <f aca="false">IF(Tabla2[[#This Row],[Frecuencia]]="Annual", Tabla2[[#This Row],[Cosecha/Tarea]]/12,Tabla2[[#This Row],[Cosecha/Tarea]])</f>
        <v>49402.1666666667</v>
      </c>
      <c r="F85" s="3" t="n">
        <v>140447</v>
      </c>
      <c r="G85" s="2" t="s">
        <v>34</v>
      </c>
      <c r="H85" s="2" t="n">
        <f aca="false">F85/Tabla2[[#This Row],[Cosecha Mensual]]</f>
        <v>2.84293199016238</v>
      </c>
      <c r="I85" s="2" t="n">
        <f aca="false">H85*_xlfn.XLOOKUP(Tabla2[[#This Row],[Unidad de producción]],Tabla3[Medida],Tabla3[Equivalencia en Kg],"ELVIS",0)</f>
        <v>1160.34269178477</v>
      </c>
      <c r="J85" s="2" t="n">
        <v>490.833333333333</v>
      </c>
      <c r="K85" s="2" t="s">
        <v>34</v>
      </c>
      <c r="L85" s="2" t="n">
        <f aca="false">J85/_xlfn.XLOOKUP(Tabla2[[#This Row],[Unidad de precio]],Tabla3[Medida],Tabla3[Equivalencia en Kg],"ELVIS",0)</f>
        <v>1.20258075054106</v>
      </c>
      <c r="M85" s="3"/>
      <c r="N85" s="3" t="n">
        <f aca="false">(Tabla2[[#This Row],[Productividad (kg/TAS)]]*Tabla2[[#This Row],[Precio por kg]]-Tabla2[[#This Row],[Costos (En RD$/Tarea)]])</f>
        <v>1395.40578517136</v>
      </c>
      <c r="O85" s="9" t="n">
        <f aca="false">IF(Tabla2[[#This Row],[Costos (En RD$/Tarea)]]=0,0,Tabla2[[#This Row],[Beneficio Neto  (En RD$/Tarea)]]/Tabla2[[#This Row],[Costos (En RD$/Tarea)]])</f>
        <v>0</v>
      </c>
      <c r="P85" s="7" t="n">
        <f aca="false">Tabla2[[#This Row],[Rentabilidad (%)]]/12</f>
        <v>0</v>
      </c>
    </row>
    <row r="86" customFormat="false" ht="14.25" hidden="false" customHeight="false" outlineLevel="0" collapsed="false">
      <c r="A86" s="1" t="n">
        <v>36739</v>
      </c>
      <c r="B86" s="2" t="s">
        <v>16</v>
      </c>
      <c r="C86" s="8" t="n">
        <v>126214</v>
      </c>
      <c r="D86" s="8" t="s">
        <v>17</v>
      </c>
      <c r="E86" s="8" t="n">
        <f aca="false">IF(Tabla2[[#This Row],[Frecuencia]]="Annual", Tabla2[[#This Row],[Cosecha/Tarea]]/12,Tabla2[[#This Row],[Cosecha/Tarea]])</f>
        <v>126214</v>
      </c>
      <c r="F86" s="3" t="n">
        <v>612099</v>
      </c>
      <c r="G86" s="2" t="s">
        <v>18</v>
      </c>
      <c r="H86" s="2" t="n">
        <f aca="false">F86/Tabla2[[#This Row],[Cosecha Mensual]]</f>
        <v>4.84969179330344</v>
      </c>
      <c r="I86" s="2" t="n">
        <f aca="false">H86*_xlfn.XLOOKUP(Tabla2[[#This Row],[Unidad de producción]],Tabla3[Medida],Tabla3[Equivalencia en Kg],"ELVIS",0)</f>
        <v>219.982019744244</v>
      </c>
      <c r="J86" s="2" t="n">
        <v>980.803080308031</v>
      </c>
      <c r="K86" s="2" t="s">
        <v>19</v>
      </c>
      <c r="L86" s="2" t="n">
        <f aca="false">J86/_xlfn.XLOOKUP(Tabla2[[#This Row],[Unidad de precio]],Tabla3[Medida],Tabla3[Equivalencia en Kg],"ELVIS",0)</f>
        <v>8.91639163916392</v>
      </c>
      <c r="N86" s="3" t="n">
        <f aca="false">(Tabla2[[#This Row],[Productividad (kg/TAS)]]*Tabla2[[#This Row],[Precio por kg]]-Tabla2[[#This Row],[Costos (En RD$/Tarea)]])</f>
        <v>1961.44584161397</v>
      </c>
      <c r="O86" s="9" t="n">
        <f aca="false">IF(Tabla2[[#This Row],[Costos (En RD$/Tarea)]]=0,0,Tabla2[[#This Row],[Beneficio Neto  (En RD$/Tarea)]]/Tabla2[[#This Row],[Costos (En RD$/Tarea)]])</f>
        <v>0</v>
      </c>
      <c r="P86" s="7" t="n">
        <f aca="false">Tabla2[[#This Row],[Rentabilidad (%)]]/12</f>
        <v>0</v>
      </c>
    </row>
    <row r="87" customFormat="false" ht="14.25" hidden="false" customHeight="false" outlineLevel="0" collapsed="false">
      <c r="A87" s="1" t="n">
        <v>36739</v>
      </c>
      <c r="B87" s="2" t="s">
        <v>20</v>
      </c>
      <c r="C87" s="3" t="n">
        <v>34200</v>
      </c>
      <c r="D87" s="8" t="s">
        <v>17</v>
      </c>
      <c r="E87" s="3" t="n">
        <f aca="false">IF(Tabla2[[#This Row],[Frecuencia]]="Annual", Tabla2[[#This Row],[Cosecha/Tarea]]/12,Tabla2[[#This Row],[Cosecha/Tarea]])</f>
        <v>34200</v>
      </c>
      <c r="F87" s="3" t="n">
        <v>57065</v>
      </c>
      <c r="G87" s="2" t="s">
        <v>18</v>
      </c>
      <c r="H87" s="2" t="n">
        <f aca="false">F87/Tabla2[[#This Row],[Cosecha Mensual]]</f>
        <v>1.66856725146199</v>
      </c>
      <c r="I87" s="2" t="n">
        <f aca="false">H87*_xlfn.XLOOKUP(Tabla2[[#This Row],[Unidad de producción]],Tabla3[Medida],Tabla3[Equivalencia en Kg],"ELVIS",0)</f>
        <v>75.6862105263158</v>
      </c>
      <c r="J87" s="2" t="n">
        <v>114.8976</v>
      </c>
      <c r="K87" s="2" t="s">
        <v>18</v>
      </c>
      <c r="L87" s="2" t="n">
        <f aca="false">J87/_xlfn.XLOOKUP(Tabla2[[#This Row],[Unidad de precio]],Tabla3[Medida],Tabla3[Equivalencia en Kg],"ELVIS",0)</f>
        <v>2.53301587301587</v>
      </c>
      <c r="N87" s="3" t="n">
        <f aca="false">(Tabla2[[#This Row],[Productividad (kg/TAS)]]*Tabla2[[#This Row],[Precio por kg]]-Tabla2[[#This Row],[Costos (En RD$/Tarea)]])</f>
        <v>191.714372631579</v>
      </c>
      <c r="O87" s="9" t="n">
        <f aca="false">IF(Tabla2[[#This Row],[Costos (En RD$/Tarea)]]=0,0,Tabla2[[#This Row],[Beneficio Neto  (En RD$/Tarea)]]/Tabla2[[#This Row],[Costos (En RD$/Tarea)]])</f>
        <v>0</v>
      </c>
      <c r="P87" s="7" t="n">
        <f aca="false">Tabla2[[#This Row],[Rentabilidad (%)]]/12</f>
        <v>0</v>
      </c>
    </row>
    <row r="88" customFormat="false" ht="14.25" hidden="false" customHeight="false" outlineLevel="0" collapsed="false">
      <c r="A88" s="1" t="n">
        <v>36739</v>
      </c>
      <c r="B88" s="2" t="s">
        <v>21</v>
      </c>
      <c r="C88" s="3" t="n">
        <v>3293</v>
      </c>
      <c r="D88" s="8" t="s">
        <v>17</v>
      </c>
      <c r="E88" s="3" t="n">
        <f aca="false">IF(Tabla2[[#This Row],[Frecuencia]]="Annual", Tabla2[[#This Row],[Cosecha/Tarea]]/12,Tabla2[[#This Row],[Cosecha/Tarea]])</f>
        <v>3293</v>
      </c>
      <c r="F88" s="3" t="n">
        <v>32040</v>
      </c>
      <c r="G88" s="2" t="s">
        <v>18</v>
      </c>
      <c r="H88" s="2" t="n">
        <f aca="false">F88/Tabla2[[#This Row],[Cosecha Mensual]]</f>
        <v>9.72972972972973</v>
      </c>
      <c r="I88" s="2" t="n">
        <f aca="false">H88*_xlfn.XLOOKUP(Tabla2[[#This Row],[Unidad de producción]],Tabla3[Medida],Tabla3[Equivalencia en Kg],"ELVIS",0)</f>
        <v>441.340540540541</v>
      </c>
      <c r="J88" s="2" t="n">
        <v>165.023333333333</v>
      </c>
      <c r="K88" s="2" t="s">
        <v>18</v>
      </c>
      <c r="L88" s="2" t="n">
        <f aca="false">J88/_xlfn.XLOOKUP(Tabla2[[#This Row],[Unidad de precio]],Tabla3[Medida],Tabla3[Equivalencia en Kg],"ELVIS",0)</f>
        <v>3.63808054085831</v>
      </c>
      <c r="N88" s="3" t="n">
        <f aca="false">(Tabla2[[#This Row],[Productividad (kg/TAS)]]*Tabla2[[#This Row],[Precio por kg]]-Tabla2[[#This Row],[Costos (En RD$/Tarea)]])</f>
        <v>1605.63243243243</v>
      </c>
      <c r="O88" s="9" t="n">
        <f aca="false">IF(Tabla2[[#This Row],[Costos (En RD$/Tarea)]]=0,0,Tabla2[[#This Row],[Beneficio Neto  (En RD$/Tarea)]]/Tabla2[[#This Row],[Costos (En RD$/Tarea)]])</f>
        <v>0</v>
      </c>
      <c r="P88" s="7" t="n">
        <f aca="false">Tabla2[[#This Row],[Rentabilidad (%)]]/12</f>
        <v>0</v>
      </c>
    </row>
    <row r="89" customFormat="false" ht="14.25" hidden="false" customHeight="false" outlineLevel="0" collapsed="false">
      <c r="A89" s="1" t="n">
        <v>36739</v>
      </c>
      <c r="B89" s="2" t="s">
        <v>22</v>
      </c>
      <c r="C89" s="3" t="n">
        <v>4119</v>
      </c>
      <c r="D89" s="8" t="s">
        <v>17</v>
      </c>
      <c r="E89" s="3" t="n">
        <f aca="false">IF(Tabla2[[#This Row],[Frecuencia]]="Annual", Tabla2[[#This Row],[Cosecha/Tarea]]/12,Tabla2[[#This Row],[Cosecha/Tarea]])</f>
        <v>4119</v>
      </c>
      <c r="F89" s="3" t="n">
        <v>40208</v>
      </c>
      <c r="G89" s="2" t="s">
        <v>18</v>
      </c>
      <c r="H89" s="2" t="n">
        <f aca="false">F89/Tabla2[[#This Row],[Cosecha Mensual]]</f>
        <v>9.76159261956786</v>
      </c>
      <c r="I89" s="2" t="n">
        <f aca="false">H89*_xlfn.XLOOKUP(Tabla2[[#This Row],[Unidad de producción]],Tabla3[Medida],Tabla3[Equivalencia en Kg],"ELVIS",0)</f>
        <v>442.785841223598</v>
      </c>
      <c r="J89" s="2" t="n">
        <v>338.144</v>
      </c>
      <c r="K89" s="2" t="s">
        <v>18</v>
      </c>
      <c r="L89" s="2" t="n">
        <f aca="false">J89/_xlfn.XLOOKUP(Tabla2[[#This Row],[Unidad de precio]],Tabla3[Medida],Tabla3[Equivalencia en Kg],"ELVIS",0)</f>
        <v>7.45467372134039</v>
      </c>
      <c r="N89" s="3" t="n">
        <f aca="false">(Tabla2[[#This Row],[Productividad (kg/TAS)]]*Tabla2[[#This Row],[Precio por kg]]-Tabla2[[#This Row],[Costos (En RD$/Tarea)]])</f>
        <v>3300.82397475115</v>
      </c>
      <c r="O89" s="9" t="n">
        <f aca="false">IF(Tabla2[[#This Row],[Costos (En RD$/Tarea)]]=0,0,Tabla2[[#This Row],[Beneficio Neto  (En RD$/Tarea)]]/Tabla2[[#This Row],[Costos (En RD$/Tarea)]])</f>
        <v>0</v>
      </c>
      <c r="P89" s="7" t="n">
        <f aca="false">Tabla2[[#This Row],[Rentabilidad (%)]]/12</f>
        <v>0</v>
      </c>
    </row>
    <row r="90" customFormat="false" ht="14.25" hidden="false" customHeight="false" outlineLevel="0" collapsed="false">
      <c r="A90" s="1" t="n">
        <v>36739</v>
      </c>
      <c r="B90" s="2" t="s">
        <v>23</v>
      </c>
      <c r="C90" s="3" t="n">
        <v>1269</v>
      </c>
      <c r="D90" s="8" t="s">
        <v>17</v>
      </c>
      <c r="E90" s="3" t="n">
        <f aca="false">IF(Tabla2[[#This Row],[Frecuencia]]="Annual", Tabla2[[#This Row],[Cosecha/Tarea]]/12,Tabla2[[#This Row],[Cosecha/Tarea]])</f>
        <v>1269</v>
      </c>
      <c r="F90" s="3" t="n">
        <v>23192</v>
      </c>
      <c r="G90" s="2" t="s">
        <v>18</v>
      </c>
      <c r="H90" s="2" t="n">
        <f aca="false">F90/Tabla2[[#This Row],[Cosecha Mensual]]</f>
        <v>18.2758077226162</v>
      </c>
      <c r="I90" s="2" t="n">
        <f aca="false">H90*_xlfn.XLOOKUP(Tabla2[[#This Row],[Unidad de producción]],Tabla3[Medida],Tabla3[Equivalencia en Kg],"ELVIS",0)</f>
        <v>828.990638297872</v>
      </c>
      <c r="J90" s="2" t="n">
        <v>280.6065</v>
      </c>
      <c r="K90" s="2" t="s">
        <v>18</v>
      </c>
      <c r="L90" s="2" t="n">
        <f aca="false">J90/_xlfn.XLOOKUP(Tabla2[[#This Row],[Unidad de precio]],Tabla3[Medida],Tabla3[Equivalencia en Kg],"ELVIS",0)</f>
        <v>6.18621031746032</v>
      </c>
      <c r="N90" s="3" t="n">
        <f aca="false">(Tabla2[[#This Row],[Productividad (kg/TAS)]]*Tabla2[[#This Row],[Precio por kg]]-Tabla2[[#This Row],[Costos (En RD$/Tarea)]])</f>
        <v>5128.31043971631</v>
      </c>
      <c r="O90" s="9" t="n">
        <f aca="false">IF(Tabla2[[#This Row],[Costos (En RD$/Tarea)]]=0,0,Tabla2[[#This Row],[Beneficio Neto  (En RD$/Tarea)]]/Tabla2[[#This Row],[Costos (En RD$/Tarea)]])</f>
        <v>0</v>
      </c>
      <c r="P90" s="7" t="n">
        <f aca="false">Tabla2[[#This Row],[Rentabilidad (%)]]/12</f>
        <v>0</v>
      </c>
    </row>
    <row r="91" customFormat="false" ht="14.25" hidden="false" customHeight="false" outlineLevel="0" collapsed="false">
      <c r="A91" s="1" t="n">
        <v>36739</v>
      </c>
      <c r="B91" s="2" t="s">
        <v>24</v>
      </c>
      <c r="C91" s="3" t="n">
        <v>6194</v>
      </c>
      <c r="D91" s="8" t="s">
        <v>17</v>
      </c>
      <c r="E91" s="3" t="n">
        <f aca="false">IF(Tabla2[[#This Row],[Frecuencia]]="Annual", Tabla2[[#This Row],[Cosecha/Tarea]]/12,Tabla2[[#This Row],[Cosecha/Tarea]])</f>
        <v>6194</v>
      </c>
      <c r="F91" s="3" t="n">
        <v>60013</v>
      </c>
      <c r="G91" s="2" t="s">
        <v>18</v>
      </c>
      <c r="H91" s="2" t="n">
        <f aca="false">F91/Tabla2[[#This Row],[Cosecha Mensual]]</f>
        <v>9.68889247659025</v>
      </c>
      <c r="I91" s="2" t="n">
        <f aca="false">H91*_xlfn.XLOOKUP(Tabla2[[#This Row],[Unidad de producción]],Tabla3[Medida],Tabla3[Equivalencia en Kg],"ELVIS",0)</f>
        <v>439.488162738134</v>
      </c>
      <c r="J91" s="2" t="n">
        <v>438.035</v>
      </c>
      <c r="K91" s="2" t="s">
        <v>18</v>
      </c>
      <c r="L91" s="2" t="n">
        <f aca="false">J91/_xlfn.XLOOKUP(Tabla2[[#This Row],[Unidad de precio]],Tabla3[Medida],Tabla3[Equivalencia en Kg],"ELVIS",0)</f>
        <v>9.65685626102293</v>
      </c>
      <c r="N91" s="3" t="n">
        <f aca="false">(Tabla2[[#This Row],[Productividad (kg/TAS)]]*Tabla2[[#This Row],[Precio por kg]]-Tabla2[[#This Row],[Costos (En RD$/Tarea)]])</f>
        <v>4244.07401598321</v>
      </c>
      <c r="O91" s="9" t="n">
        <f aca="false">IF(Tabla2[[#This Row],[Costos (En RD$/Tarea)]]=0,0,Tabla2[[#This Row],[Beneficio Neto  (En RD$/Tarea)]]/Tabla2[[#This Row],[Costos (En RD$/Tarea)]])</f>
        <v>0</v>
      </c>
      <c r="P91" s="7" t="n">
        <f aca="false">Tabla2[[#This Row],[Rentabilidad (%)]]/12</f>
        <v>0</v>
      </c>
    </row>
    <row r="92" customFormat="false" ht="14.25" hidden="false" customHeight="false" outlineLevel="0" collapsed="false">
      <c r="A92" s="1" t="n">
        <v>36739</v>
      </c>
      <c r="B92" s="2" t="s">
        <v>25</v>
      </c>
      <c r="C92" s="3" t="n">
        <v>19070</v>
      </c>
      <c r="D92" s="8" t="s">
        <v>17</v>
      </c>
      <c r="E92" s="3" t="n">
        <f aca="false">IF(Tabla2[[#This Row],[Frecuencia]]="Annual", Tabla2[[#This Row],[Cosecha/Tarea]]/12,Tabla2[[#This Row],[Cosecha/Tarea]])</f>
        <v>19070</v>
      </c>
      <c r="F92" s="3" t="n">
        <v>171834</v>
      </c>
      <c r="G92" s="2" t="s">
        <v>18</v>
      </c>
      <c r="H92" s="2" t="n">
        <f aca="false">F92/Tabla2[[#This Row],[Cosecha Mensual]]</f>
        <v>9.01069743051914</v>
      </c>
      <c r="I92" s="2" t="n">
        <f aca="false">H92*_xlfn.XLOOKUP(Tabla2[[#This Row],[Unidad de producción]],Tabla3[Medida],Tabla3[Equivalencia en Kg],"ELVIS",0)</f>
        <v>408.725235448348</v>
      </c>
      <c r="J92" s="2" t="n">
        <v>131.2815</v>
      </c>
      <c r="K92" s="2" t="s">
        <v>18</v>
      </c>
      <c r="L92" s="2" t="n">
        <f aca="false">J92/_xlfn.XLOOKUP(Tabla2[[#This Row],[Unidad de precio]],Tabla3[Medida],Tabla3[Equivalencia en Kg],"ELVIS",0)</f>
        <v>2.89421296296296</v>
      </c>
      <c r="N92" s="3" t="n">
        <f aca="false">(Tabla2[[#This Row],[Productividad (kg/TAS)]]*Tabla2[[#This Row],[Precio por kg]]-Tabla2[[#This Row],[Costos (En RD$/Tarea)]])</f>
        <v>1182.9378747247</v>
      </c>
      <c r="O92" s="9" t="n">
        <f aca="false">IF(Tabla2[[#This Row],[Costos (En RD$/Tarea)]]=0,0,Tabla2[[#This Row],[Beneficio Neto  (En RD$/Tarea)]]/Tabla2[[#This Row],[Costos (En RD$/Tarea)]])</f>
        <v>0</v>
      </c>
      <c r="P92" s="7" t="n">
        <f aca="false">Tabla2[[#This Row],[Rentabilidad (%)]]/12</f>
        <v>0</v>
      </c>
    </row>
    <row r="93" customFormat="false" ht="14.25" hidden="false" customHeight="false" outlineLevel="0" collapsed="false">
      <c r="A93" s="1" t="n">
        <v>36739</v>
      </c>
      <c r="B93" s="2" t="s">
        <v>26</v>
      </c>
      <c r="C93" s="3" t="n">
        <v>7191</v>
      </c>
      <c r="D93" s="8" t="s">
        <v>17</v>
      </c>
      <c r="E93" s="3" t="n">
        <f aca="false">IF(Tabla2[[#This Row],[Frecuencia]]="Annual", Tabla2[[#This Row],[Cosecha/Tarea]]/12,Tabla2[[#This Row],[Cosecha/Tarea]])</f>
        <v>7191</v>
      </c>
      <c r="F93" s="3" t="n">
        <v>33959</v>
      </c>
      <c r="G93" s="2" t="s">
        <v>18</v>
      </c>
      <c r="H93" s="2" t="n">
        <f aca="false">F93/Tabla2[[#This Row],[Cosecha Mensual]]</f>
        <v>4.72243081629815</v>
      </c>
      <c r="I93" s="2" t="n">
        <f aca="false">H93*_xlfn.XLOOKUP(Tabla2[[#This Row],[Unidad de producción]],Tabla3[Medida],Tabla3[Equivalencia en Kg],"ELVIS",0)</f>
        <v>214.209461827284</v>
      </c>
      <c r="J93" s="2" t="n">
        <v>226.25</v>
      </c>
      <c r="K93" s="2" t="s">
        <v>18</v>
      </c>
      <c r="L93" s="2" t="n">
        <f aca="false">J93/_xlfn.XLOOKUP(Tabla2[[#This Row],[Unidad de precio]],Tabla3[Medida],Tabla3[Equivalencia en Kg],"ELVIS",0)</f>
        <v>4.98787477954145</v>
      </c>
      <c r="N93" s="3" t="n">
        <f aca="false">(Tabla2[[#This Row],[Productividad (kg/TAS)]]*Tabla2[[#This Row],[Precio por kg]]-Tabla2[[#This Row],[Costos (En RD$/Tarea)]])</f>
        <v>1068.44997218746</v>
      </c>
      <c r="O93" s="9" t="n">
        <f aca="false">IF(Tabla2[[#This Row],[Costos (En RD$/Tarea)]]=0,0,Tabla2[[#This Row],[Beneficio Neto  (En RD$/Tarea)]]/Tabla2[[#This Row],[Costos (En RD$/Tarea)]])</f>
        <v>0</v>
      </c>
      <c r="P93" s="7" t="n">
        <f aca="false">Tabla2[[#This Row],[Rentabilidad (%)]]/12</f>
        <v>0</v>
      </c>
    </row>
    <row r="94" customFormat="false" ht="14.25" hidden="false" customHeight="false" outlineLevel="0" collapsed="false">
      <c r="A94" s="1" t="n">
        <v>36739</v>
      </c>
      <c r="B94" s="2" t="s">
        <v>27</v>
      </c>
      <c r="C94" s="3" t="n">
        <v>1614</v>
      </c>
      <c r="D94" s="8" t="s">
        <v>17</v>
      </c>
      <c r="E94" s="3" t="n">
        <f aca="false">IF(Tabla2[[#This Row],[Frecuencia]]="Annual", Tabla2[[#This Row],[Cosecha/Tarea]]/12,Tabla2[[#This Row],[Cosecha/Tarea]])</f>
        <v>1614</v>
      </c>
      <c r="F94" s="3" t="n">
        <v>11938</v>
      </c>
      <c r="G94" s="2" t="s">
        <v>18</v>
      </c>
      <c r="H94" s="2" t="n">
        <f aca="false">F94/Tabla2[[#This Row],[Cosecha Mensual]]</f>
        <v>7.39653035935564</v>
      </c>
      <c r="I94" s="2" t="n">
        <f aca="false">H94*_xlfn.XLOOKUP(Tabla2[[#This Row],[Unidad de producción]],Tabla3[Medida],Tabla3[Equivalencia en Kg],"ELVIS",0)</f>
        <v>335.506617100372</v>
      </c>
      <c r="J94" s="2" t="n">
        <v>155.166666666667</v>
      </c>
      <c r="K94" s="2" t="s">
        <v>18</v>
      </c>
      <c r="L94" s="2" t="n">
        <f aca="false">J94/_xlfn.XLOOKUP(Tabla2[[#This Row],[Unidad de precio]],Tabla3[Medida],Tabla3[Equivalencia en Kg],"ELVIS",0)</f>
        <v>3.42078189300412</v>
      </c>
      <c r="N94" s="3" t="n">
        <f aca="false">(Tabla2[[#This Row],[Productividad (kg/TAS)]]*Tabla2[[#This Row],[Precio por kg]]-Tabla2[[#This Row],[Costos (En RD$/Tarea)]])</f>
        <v>1147.69496076002</v>
      </c>
      <c r="O94" s="9" t="n">
        <f aca="false">IF(Tabla2[[#This Row],[Costos (En RD$/Tarea)]]=0,0,Tabla2[[#This Row],[Beneficio Neto  (En RD$/Tarea)]]/Tabla2[[#This Row],[Costos (En RD$/Tarea)]])</f>
        <v>0</v>
      </c>
      <c r="P94" s="7" t="n">
        <f aca="false">Tabla2[[#This Row],[Rentabilidad (%)]]/12</f>
        <v>0</v>
      </c>
    </row>
    <row r="95" customFormat="false" ht="14.25" hidden="false" customHeight="false" outlineLevel="0" collapsed="false">
      <c r="A95" s="1" t="n">
        <v>36739</v>
      </c>
      <c r="B95" s="2" t="s">
        <v>28</v>
      </c>
      <c r="C95" s="3" t="n">
        <v>12066</v>
      </c>
      <c r="D95" s="8" t="s">
        <v>17</v>
      </c>
      <c r="E95" s="3" t="n">
        <f aca="false">IF(Tabla2[[#This Row],[Frecuencia]]="Annual", Tabla2[[#This Row],[Cosecha/Tarea]]/12,Tabla2[[#This Row],[Cosecha/Tarea]])</f>
        <v>12066</v>
      </c>
      <c r="F95" s="3" t="n">
        <v>22422</v>
      </c>
      <c r="G95" s="2" t="s">
        <v>18</v>
      </c>
      <c r="H95" s="2" t="n">
        <f aca="false">F95/Tabla2[[#This Row],[Cosecha Mensual]]</f>
        <v>1.85827946295375</v>
      </c>
      <c r="I95" s="2" t="n">
        <f aca="false">H95*_xlfn.XLOOKUP(Tabla2[[#This Row],[Unidad de producción]],Tabla3[Medida],Tabla3[Equivalencia en Kg],"ELVIS",0)</f>
        <v>84.2915564395823</v>
      </c>
      <c r="J95" s="2" t="n">
        <v>954.13</v>
      </c>
      <c r="K95" s="2" t="s">
        <v>29</v>
      </c>
      <c r="L95" s="2" t="n">
        <f aca="false">J95/_xlfn.XLOOKUP(Tabla2[[#This Row],[Unidad de precio]],Tabla3[Medida],Tabla3[Equivalencia en Kg],"ELVIS",0)</f>
        <v>1.69671373190596</v>
      </c>
      <c r="N95" s="3" t="n">
        <f aca="false">(Tabla2[[#This Row],[Productividad (kg/TAS)]]*Tabla2[[#This Row],[Precio por kg]]-Tabla2[[#This Row],[Costos (En RD$/Tarea)]])</f>
        <v>143.018641294766</v>
      </c>
      <c r="O95" s="9" t="n">
        <f aca="false">IF(Tabla2[[#This Row],[Costos (En RD$/Tarea)]]=0,0,Tabla2[[#This Row],[Beneficio Neto  (En RD$/Tarea)]]/Tabla2[[#This Row],[Costos (En RD$/Tarea)]])</f>
        <v>0</v>
      </c>
      <c r="P95" s="7" t="n">
        <f aca="false">Tabla2[[#This Row],[Rentabilidad (%)]]/12</f>
        <v>0</v>
      </c>
    </row>
    <row r="96" customFormat="false" ht="14.25" hidden="false" customHeight="false" outlineLevel="0" collapsed="false">
      <c r="A96" s="1" t="n">
        <v>36739</v>
      </c>
      <c r="B96" s="2" t="s">
        <v>30</v>
      </c>
      <c r="C96" s="3" t="n">
        <v>235687</v>
      </c>
      <c r="D96" s="3" t="s">
        <v>31</v>
      </c>
      <c r="E96" s="3" t="n">
        <f aca="false">IF(Tabla2[[#This Row],[Frecuencia]]="Annual", Tabla2[[#This Row],[Cosecha/Tarea]]/12,Tabla2[[#This Row],[Cosecha/Tarea]])</f>
        <v>19640.5833333333</v>
      </c>
      <c r="F96" s="3" t="n">
        <v>1704829</v>
      </c>
      <c r="G96" s="2" t="s">
        <v>32</v>
      </c>
      <c r="H96" s="2" t="n">
        <f aca="false">F96/Tabla2[[#This Row],[Cosecha Mensual]]</f>
        <v>86.80134245843</v>
      </c>
      <c r="I96" s="2" t="n">
        <f aca="false">H96*_xlfn.XLOOKUP(Tabla2[[#This Row],[Unidad de producción]],Tabla3[Medida],Tabla3[Equivalencia en Kg],"ELVIS",0)</f>
        <v>2361.86452829388</v>
      </c>
      <c r="J96" s="2" t="n">
        <v>15.0833333333333</v>
      </c>
      <c r="K96" s="2" t="s">
        <v>32</v>
      </c>
      <c r="L96" s="2" t="n">
        <f aca="false">J96/_xlfn.XLOOKUP(Tabla2[[#This Row],[Unidad de precio]],Tabla3[Medida],Tabla3[Equivalencia en Kg],"ELVIS",0)</f>
        <v>0.55433051574176</v>
      </c>
      <c r="M96" s="3"/>
      <c r="N96" s="3" t="n">
        <f aca="false">(Tabla2[[#This Row],[Productividad (kg/TAS)]]*Tabla2[[#This Row],[Precio por kg]]-Tabla2[[#This Row],[Costos (En RD$/Tarea)]])</f>
        <v>1309.25358208132</v>
      </c>
      <c r="O96" s="9" t="n">
        <f aca="false">IF(Tabla2[[#This Row],[Costos (En RD$/Tarea)]]=0,0,Tabla2[[#This Row],[Beneficio Neto  (En RD$/Tarea)]]/Tabla2[[#This Row],[Costos (En RD$/Tarea)]])</f>
        <v>0</v>
      </c>
      <c r="P96" s="7" t="n">
        <f aca="false">Tabla2[[#This Row],[Rentabilidad (%)]]/12</f>
        <v>0</v>
      </c>
    </row>
    <row r="97" customFormat="false" ht="14.25" hidden="false" customHeight="false" outlineLevel="0" collapsed="false">
      <c r="A97" s="1" t="n">
        <v>36739</v>
      </c>
      <c r="B97" s="2" t="s">
        <v>33</v>
      </c>
      <c r="C97" s="3" t="n">
        <v>565020</v>
      </c>
      <c r="D97" s="3" t="s">
        <v>31</v>
      </c>
      <c r="E97" s="3" t="n">
        <f aca="false">IF(Tabla2[[#This Row],[Frecuencia]]="Annual", Tabla2[[#This Row],[Cosecha/Tarea]]/12,Tabla2[[#This Row],[Cosecha/Tarea]])</f>
        <v>47085</v>
      </c>
      <c r="F97" s="3" t="n">
        <v>116357</v>
      </c>
      <c r="G97" s="2" t="s">
        <v>34</v>
      </c>
      <c r="H97" s="2" t="n">
        <f aca="false">F97/Tabla2[[#This Row],[Cosecha Mensual]]</f>
        <v>2.47121163852607</v>
      </c>
      <c r="I97" s="2" t="n">
        <f aca="false">H97*_xlfn.XLOOKUP(Tabla2[[#This Row],[Unidad de producción]],Tabla3[Medida],Tabla3[Equivalencia en Kg],"ELVIS",0)</f>
        <v>1008.62503026442</v>
      </c>
      <c r="J97" s="2" t="n">
        <v>575.083333333333</v>
      </c>
      <c r="K97" s="2" t="s">
        <v>34</v>
      </c>
      <c r="L97" s="2" t="n">
        <f aca="false">J97/_xlfn.XLOOKUP(Tabla2[[#This Row],[Unidad de precio]],Tabla3[Medida],Tabla3[Equivalencia en Kg],"ELVIS",0)</f>
        <v>1.40899995916534</v>
      </c>
      <c r="M97" s="3"/>
      <c r="N97" s="3" t="n">
        <f aca="false">(Tabla2[[#This Row],[Productividad (kg/TAS)]]*Tabla2[[#This Row],[Precio por kg]]-Tabla2[[#This Row],[Costos (En RD$/Tarea)]])</f>
        <v>1421.1526264557</v>
      </c>
      <c r="O97" s="9" t="n">
        <f aca="false">IF(Tabla2[[#This Row],[Costos (En RD$/Tarea)]]=0,0,Tabla2[[#This Row],[Beneficio Neto  (En RD$/Tarea)]]/Tabla2[[#This Row],[Costos (En RD$/Tarea)]])</f>
        <v>0</v>
      </c>
      <c r="P97" s="7" t="n">
        <f aca="false">Tabla2[[#This Row],[Rentabilidad (%)]]/12</f>
        <v>0</v>
      </c>
    </row>
    <row r="98" customFormat="false" ht="14.25" hidden="false" customHeight="false" outlineLevel="0" collapsed="false">
      <c r="A98" s="1" t="n">
        <v>36770</v>
      </c>
      <c r="B98" s="2" t="s">
        <v>16</v>
      </c>
      <c r="C98" s="8" t="n">
        <v>191615</v>
      </c>
      <c r="D98" s="8" t="s">
        <v>17</v>
      </c>
      <c r="E98" s="8" t="n">
        <f aca="false">IF(Tabla2[[#This Row],[Frecuencia]]="Annual", Tabla2[[#This Row],[Cosecha/Tarea]]/12,Tabla2[[#This Row],[Cosecha/Tarea]])</f>
        <v>191615</v>
      </c>
      <c r="F98" s="3" t="n">
        <v>750970</v>
      </c>
      <c r="G98" s="2" t="s">
        <v>18</v>
      </c>
      <c r="H98" s="2" t="n">
        <f aca="false">F98/Tabla2[[#This Row],[Cosecha Mensual]]</f>
        <v>3.91916081726378</v>
      </c>
      <c r="I98" s="2" t="n">
        <f aca="false">H98*_xlfn.XLOOKUP(Tabla2[[#This Row],[Unidad de producción]],Tabla3[Medida],Tabla3[Equivalencia en Kg],"ELVIS",0)</f>
        <v>177.773134671085</v>
      </c>
      <c r="J98" s="2" t="n">
        <v>1007.23212321232</v>
      </c>
      <c r="K98" s="2" t="s">
        <v>19</v>
      </c>
      <c r="L98" s="2" t="n">
        <f aca="false">J98/_xlfn.XLOOKUP(Tabla2[[#This Row],[Unidad de precio]],Tabla3[Medida],Tabla3[Equivalencia en Kg],"ELVIS",0)</f>
        <v>9.15665566556655</v>
      </c>
      <c r="N98" s="3" t="n">
        <f aca="false">(Tabla2[[#This Row],[Productividad (kg/TAS)]]*Tabla2[[#This Row],[Precio por kg]]-Tabla2[[#This Row],[Costos (En RD$/Tarea)]])</f>
        <v>1627.80738077152</v>
      </c>
      <c r="O98" s="9" t="n">
        <f aca="false">IF(Tabla2[[#This Row],[Costos (En RD$/Tarea)]]=0,0,Tabla2[[#This Row],[Beneficio Neto  (En RD$/Tarea)]]/Tabla2[[#This Row],[Costos (En RD$/Tarea)]])</f>
        <v>0</v>
      </c>
      <c r="P98" s="7" t="n">
        <f aca="false">Tabla2[[#This Row],[Rentabilidad (%)]]/12</f>
        <v>0</v>
      </c>
    </row>
    <row r="99" customFormat="false" ht="14.25" hidden="false" customHeight="false" outlineLevel="0" collapsed="false">
      <c r="A99" s="1" t="n">
        <v>36770</v>
      </c>
      <c r="B99" s="2" t="s">
        <v>20</v>
      </c>
      <c r="C99" s="3" t="n">
        <v>24151</v>
      </c>
      <c r="D99" s="8" t="s">
        <v>17</v>
      </c>
      <c r="E99" s="3" t="n">
        <f aca="false">IF(Tabla2[[#This Row],[Frecuencia]]="Annual", Tabla2[[#This Row],[Cosecha/Tarea]]/12,Tabla2[[#This Row],[Cosecha/Tarea]])</f>
        <v>24151</v>
      </c>
      <c r="F99" s="3" t="n">
        <v>39667</v>
      </c>
      <c r="G99" s="2" t="s">
        <v>18</v>
      </c>
      <c r="H99" s="2" t="n">
        <f aca="false">F99/Tabla2[[#This Row],[Cosecha Mensual]]</f>
        <v>1.64245786923937</v>
      </c>
      <c r="I99" s="2" t="n">
        <f aca="false">H99*_xlfn.XLOOKUP(Tabla2[[#This Row],[Unidad de producción]],Tabla3[Medida],Tabla3[Equivalencia en Kg],"ELVIS",0)</f>
        <v>74.5018889486978</v>
      </c>
      <c r="J99" s="2" t="n">
        <v>130.06775</v>
      </c>
      <c r="K99" s="2" t="s">
        <v>18</v>
      </c>
      <c r="L99" s="2" t="n">
        <f aca="false">J99/_xlfn.XLOOKUP(Tabla2[[#This Row],[Unidad de precio]],Tabla3[Medida],Tabla3[Equivalencia en Kg],"ELVIS",0)</f>
        <v>2.86745480599647</v>
      </c>
      <c r="N99" s="3" t="n">
        <f aca="false">(Tabla2[[#This Row],[Productividad (kg/TAS)]]*Tabla2[[#This Row],[Precio por kg]]-Tabla2[[#This Row],[Costos (En RD$/Tarea)]])</f>
        <v>213.630799521759</v>
      </c>
      <c r="O99" s="9" t="n">
        <f aca="false">IF(Tabla2[[#This Row],[Costos (En RD$/Tarea)]]=0,0,Tabla2[[#This Row],[Beneficio Neto  (En RD$/Tarea)]]/Tabla2[[#This Row],[Costos (En RD$/Tarea)]])</f>
        <v>0</v>
      </c>
      <c r="P99" s="7" t="n">
        <f aca="false">Tabla2[[#This Row],[Rentabilidad (%)]]/12</f>
        <v>0</v>
      </c>
    </row>
    <row r="100" customFormat="false" ht="14.25" hidden="false" customHeight="false" outlineLevel="0" collapsed="false">
      <c r="A100" s="1" t="n">
        <v>36770</v>
      </c>
      <c r="B100" s="2" t="s">
        <v>21</v>
      </c>
      <c r="C100" s="3" t="n">
        <v>5172</v>
      </c>
      <c r="D100" s="8" t="s">
        <v>17</v>
      </c>
      <c r="E100" s="3" t="n">
        <f aca="false">IF(Tabla2[[#This Row],[Frecuencia]]="Annual", Tabla2[[#This Row],[Cosecha/Tarea]]/12,Tabla2[[#This Row],[Cosecha/Tarea]])</f>
        <v>5172</v>
      </c>
      <c r="F100" s="3" t="n">
        <v>48392</v>
      </c>
      <c r="G100" s="2" t="s">
        <v>18</v>
      </c>
      <c r="H100" s="2" t="n">
        <f aca="false">F100/Tabla2[[#This Row],[Cosecha Mensual]]</f>
        <v>9.35653518948183</v>
      </c>
      <c r="I100" s="2" t="n">
        <f aca="false">H100*_xlfn.XLOOKUP(Tabla2[[#This Row],[Unidad de producción]],Tabla3[Medida],Tabla3[Equivalencia en Kg],"ELVIS",0)</f>
        <v>424.412436194896</v>
      </c>
      <c r="J100" s="2" t="n">
        <v>164.791666666667</v>
      </c>
      <c r="K100" s="2" t="s">
        <v>18</v>
      </c>
      <c r="L100" s="2" t="n">
        <f aca="false">J100/_xlfn.XLOOKUP(Tabla2[[#This Row],[Unidad de precio]],Tabla3[Medida],Tabla3[Equivalencia en Kg],"ELVIS",0)</f>
        <v>3.63297325102881</v>
      </c>
      <c r="N100" s="3" t="n">
        <f aca="false">(Tabla2[[#This Row],[Productividad (kg/TAS)]]*Tabla2[[#This Row],[Precio por kg]]-Tabla2[[#This Row],[Costos (En RD$/Tarea)]])</f>
        <v>1541.87902810003</v>
      </c>
      <c r="O100" s="9" t="n">
        <f aca="false">IF(Tabla2[[#This Row],[Costos (En RD$/Tarea)]]=0,0,Tabla2[[#This Row],[Beneficio Neto  (En RD$/Tarea)]]/Tabla2[[#This Row],[Costos (En RD$/Tarea)]])</f>
        <v>0</v>
      </c>
      <c r="P100" s="7" t="n">
        <f aca="false">Tabla2[[#This Row],[Rentabilidad (%)]]/12</f>
        <v>0</v>
      </c>
    </row>
    <row r="101" customFormat="false" ht="14.25" hidden="false" customHeight="false" outlineLevel="0" collapsed="false">
      <c r="A101" s="1" t="n">
        <v>36770</v>
      </c>
      <c r="B101" s="2" t="s">
        <v>22</v>
      </c>
      <c r="C101" s="3" t="n">
        <v>3482</v>
      </c>
      <c r="D101" s="8" t="s">
        <v>17</v>
      </c>
      <c r="E101" s="3" t="n">
        <f aca="false">IF(Tabla2[[#This Row],[Frecuencia]]="Annual", Tabla2[[#This Row],[Cosecha/Tarea]]/12,Tabla2[[#This Row],[Cosecha/Tarea]])</f>
        <v>3482</v>
      </c>
      <c r="F101" s="3" t="n">
        <v>33645</v>
      </c>
      <c r="G101" s="2" t="s">
        <v>18</v>
      </c>
      <c r="H101" s="2" t="n">
        <f aca="false">F101/Tabla2[[#This Row],[Cosecha Mensual]]</f>
        <v>9.66255025847214</v>
      </c>
      <c r="I101" s="2" t="n">
        <f aca="false">H101*_xlfn.XLOOKUP(Tabla2[[#This Row],[Unidad de producción]],Tabla3[Medida],Tabla3[Equivalencia en Kg],"ELVIS",0)</f>
        <v>438.293279724296</v>
      </c>
      <c r="J101" s="2" t="n">
        <v>270.3125</v>
      </c>
      <c r="K101" s="2" t="s">
        <v>18</v>
      </c>
      <c r="L101" s="2" t="n">
        <f aca="false">J101/_xlfn.XLOOKUP(Tabla2[[#This Row],[Unidad de precio]],Tabla3[Medida],Tabla3[Equivalencia en Kg],"ELVIS",0)</f>
        <v>5.95927028218695</v>
      </c>
      <c r="N101" s="3" t="n">
        <f aca="false">(Tabla2[[#This Row],[Productividad (kg/TAS)]]*Tabla2[[#This Row],[Precio por kg]]-Tabla2[[#This Row],[Costos (En RD$/Tarea)]])</f>
        <v>2611.90811674325</v>
      </c>
      <c r="O101" s="9" t="n">
        <f aca="false">IF(Tabla2[[#This Row],[Costos (En RD$/Tarea)]]=0,0,Tabla2[[#This Row],[Beneficio Neto  (En RD$/Tarea)]]/Tabla2[[#This Row],[Costos (En RD$/Tarea)]])</f>
        <v>0</v>
      </c>
      <c r="P101" s="7" t="n">
        <f aca="false">Tabla2[[#This Row],[Rentabilidad (%)]]/12</f>
        <v>0</v>
      </c>
    </row>
    <row r="102" customFormat="false" ht="14.25" hidden="false" customHeight="false" outlineLevel="0" collapsed="false">
      <c r="A102" s="1" t="n">
        <v>36770</v>
      </c>
      <c r="B102" s="2" t="s">
        <v>23</v>
      </c>
      <c r="C102" s="3" t="n">
        <v>2130</v>
      </c>
      <c r="D102" s="8" t="s">
        <v>17</v>
      </c>
      <c r="E102" s="3" t="n">
        <f aca="false">IF(Tabla2[[#This Row],[Frecuencia]]="Annual", Tabla2[[#This Row],[Cosecha/Tarea]]/12,Tabla2[[#This Row],[Cosecha/Tarea]])</f>
        <v>2130</v>
      </c>
      <c r="F102" s="3" t="n">
        <v>40834</v>
      </c>
      <c r="G102" s="2" t="s">
        <v>18</v>
      </c>
      <c r="H102" s="2" t="n">
        <f aca="false">F102/Tabla2[[#This Row],[Cosecha Mensual]]</f>
        <v>19.1708920187793</v>
      </c>
      <c r="I102" s="2" t="n">
        <f aca="false">H102*_xlfn.XLOOKUP(Tabla2[[#This Row],[Unidad de producción]],Tabla3[Medida],Tabla3[Equivalencia en Kg],"ELVIS",0)</f>
        <v>869.591661971831</v>
      </c>
      <c r="J102" s="2" t="n">
        <v>213.0641875</v>
      </c>
      <c r="K102" s="2" t="s">
        <v>18</v>
      </c>
      <c r="L102" s="2" t="n">
        <f aca="false">J102/_xlfn.XLOOKUP(Tabla2[[#This Row],[Unidad de precio]],Tabla3[Medida],Tabla3[Equivalencia en Kg],"ELVIS",0)</f>
        <v>4.69718226410935</v>
      </c>
      <c r="N102" s="3" t="n">
        <f aca="false">(Tabla2[[#This Row],[Productividad (kg/TAS)]]*Tabla2[[#This Row],[Precio por kg]]-Tabla2[[#This Row],[Costos (En RD$/Tarea)]])</f>
        <v>4084.63053163146</v>
      </c>
      <c r="O102" s="9" t="n">
        <f aca="false">IF(Tabla2[[#This Row],[Costos (En RD$/Tarea)]]=0,0,Tabla2[[#This Row],[Beneficio Neto  (En RD$/Tarea)]]/Tabla2[[#This Row],[Costos (En RD$/Tarea)]])</f>
        <v>0</v>
      </c>
      <c r="P102" s="7" t="n">
        <f aca="false">Tabla2[[#This Row],[Rentabilidad (%)]]/12</f>
        <v>0</v>
      </c>
    </row>
    <row r="103" customFormat="false" ht="14.25" hidden="false" customHeight="false" outlineLevel="0" collapsed="false">
      <c r="A103" s="1" t="n">
        <v>36770</v>
      </c>
      <c r="B103" s="2" t="s">
        <v>24</v>
      </c>
      <c r="C103" s="3" t="n">
        <v>5700</v>
      </c>
      <c r="D103" s="8" t="s">
        <v>17</v>
      </c>
      <c r="E103" s="3" t="n">
        <f aca="false">IF(Tabla2[[#This Row],[Frecuencia]]="Annual", Tabla2[[#This Row],[Cosecha/Tarea]]/12,Tabla2[[#This Row],[Cosecha/Tarea]])</f>
        <v>5700</v>
      </c>
      <c r="F103" s="3" t="n">
        <v>51975</v>
      </c>
      <c r="G103" s="2" t="s">
        <v>18</v>
      </c>
      <c r="H103" s="2" t="n">
        <f aca="false">F103/Tabla2[[#This Row],[Cosecha Mensual]]</f>
        <v>9.11842105263158</v>
      </c>
      <c r="I103" s="2" t="n">
        <f aca="false">H103*_xlfn.XLOOKUP(Tabla2[[#This Row],[Unidad de producción]],Tabla3[Medida],Tabla3[Equivalencia en Kg],"ELVIS",0)</f>
        <v>413.611578947368</v>
      </c>
      <c r="J103" s="2" t="n">
        <v>525.3125</v>
      </c>
      <c r="K103" s="2" t="s">
        <v>18</v>
      </c>
      <c r="L103" s="2" t="n">
        <f aca="false">J103/_xlfn.XLOOKUP(Tabla2[[#This Row],[Unidad de precio]],Tabla3[Medida],Tabla3[Equivalencia en Kg],"ELVIS",0)</f>
        <v>11.5809634038801</v>
      </c>
      <c r="N103" s="3" t="n">
        <f aca="false">(Tabla2[[#This Row],[Productividad (kg/TAS)]]*Tabla2[[#This Row],[Precio por kg]]-Tabla2[[#This Row],[Costos (En RD$/Tarea)]])</f>
        <v>4790.02055921053</v>
      </c>
      <c r="O103" s="9" t="n">
        <f aca="false">IF(Tabla2[[#This Row],[Costos (En RD$/Tarea)]]=0,0,Tabla2[[#This Row],[Beneficio Neto  (En RD$/Tarea)]]/Tabla2[[#This Row],[Costos (En RD$/Tarea)]])</f>
        <v>0</v>
      </c>
      <c r="P103" s="7" t="n">
        <f aca="false">Tabla2[[#This Row],[Rentabilidad (%)]]/12</f>
        <v>0</v>
      </c>
    </row>
    <row r="104" customFormat="false" ht="14.25" hidden="false" customHeight="false" outlineLevel="0" collapsed="false">
      <c r="A104" s="1" t="n">
        <v>36770</v>
      </c>
      <c r="B104" s="2" t="s">
        <v>25</v>
      </c>
      <c r="C104" s="3" t="n">
        <v>26072</v>
      </c>
      <c r="D104" s="8" t="s">
        <v>17</v>
      </c>
      <c r="E104" s="3" t="n">
        <f aca="false">IF(Tabla2[[#This Row],[Frecuencia]]="Annual", Tabla2[[#This Row],[Cosecha/Tarea]]/12,Tabla2[[#This Row],[Cosecha/Tarea]])</f>
        <v>26072</v>
      </c>
      <c r="F104" s="3" t="n">
        <v>217348</v>
      </c>
      <c r="G104" s="2" t="s">
        <v>18</v>
      </c>
      <c r="H104" s="2" t="n">
        <f aca="false">F104/Tabla2[[#This Row],[Cosecha Mensual]]</f>
        <v>8.33645289966247</v>
      </c>
      <c r="I104" s="2" t="n">
        <f aca="false">H104*_xlfn.XLOOKUP(Tabla2[[#This Row],[Unidad de producción]],Tabla3[Medida],Tabla3[Equivalencia en Kg],"ELVIS",0)</f>
        <v>378.14150352869</v>
      </c>
      <c r="J104" s="2" t="n">
        <v>136</v>
      </c>
      <c r="K104" s="2" t="s">
        <v>18</v>
      </c>
      <c r="L104" s="2" t="n">
        <f aca="false">J104/_xlfn.XLOOKUP(Tabla2[[#This Row],[Unidad de precio]],Tabla3[Medida],Tabla3[Equivalencia en Kg],"ELVIS",0)</f>
        <v>2.99823633156967</v>
      </c>
      <c r="N104" s="3" t="n">
        <f aca="false">(Tabla2[[#This Row],[Productividad (kg/TAS)]]*Tabla2[[#This Row],[Precio por kg]]-Tabla2[[#This Row],[Costos (En RD$/Tarea)]])</f>
        <v>1133.7575943541</v>
      </c>
      <c r="O104" s="9" t="n">
        <f aca="false">IF(Tabla2[[#This Row],[Costos (En RD$/Tarea)]]=0,0,Tabla2[[#This Row],[Beneficio Neto  (En RD$/Tarea)]]/Tabla2[[#This Row],[Costos (En RD$/Tarea)]])</f>
        <v>0</v>
      </c>
      <c r="P104" s="7" t="n">
        <f aca="false">Tabla2[[#This Row],[Rentabilidad (%)]]/12</f>
        <v>0</v>
      </c>
    </row>
    <row r="105" customFormat="false" ht="14.25" hidden="false" customHeight="false" outlineLevel="0" collapsed="false">
      <c r="A105" s="1" t="n">
        <v>36770</v>
      </c>
      <c r="B105" s="2" t="s">
        <v>26</v>
      </c>
      <c r="C105" s="3" t="n">
        <v>8580</v>
      </c>
      <c r="D105" s="8" t="s">
        <v>17</v>
      </c>
      <c r="E105" s="3" t="n">
        <f aca="false">IF(Tabla2[[#This Row],[Frecuencia]]="Annual", Tabla2[[#This Row],[Cosecha/Tarea]]/12,Tabla2[[#This Row],[Cosecha/Tarea]])</f>
        <v>8580</v>
      </c>
      <c r="F105" s="3" t="n">
        <v>56090</v>
      </c>
      <c r="G105" s="2" t="s">
        <v>18</v>
      </c>
      <c r="H105" s="2" t="n">
        <f aca="false">F105/Tabla2[[#This Row],[Cosecha Mensual]]</f>
        <v>6.53729603729604</v>
      </c>
      <c r="I105" s="2" t="n">
        <f aca="false">H105*_xlfn.XLOOKUP(Tabla2[[#This Row],[Unidad de producción]],Tabla3[Medida],Tabla3[Equivalencia en Kg],"ELVIS",0)</f>
        <v>296.531748251748</v>
      </c>
      <c r="J105" s="2" t="n">
        <v>266.333333333333</v>
      </c>
      <c r="K105" s="2" t="s">
        <v>18</v>
      </c>
      <c r="L105" s="2" t="n">
        <f aca="false">J105/_xlfn.XLOOKUP(Tabla2[[#This Row],[Unidad de precio]],Tabla3[Medida],Tabla3[Equivalencia en Kg],"ELVIS",0)</f>
        <v>5.87154614932392</v>
      </c>
      <c r="N105" s="3" t="n">
        <f aca="false">(Tabla2[[#This Row],[Productividad (kg/TAS)]]*Tabla2[[#This Row],[Precio por kg]]-Tabla2[[#This Row],[Costos (En RD$/Tarea)]])</f>
        <v>1741.09984459984</v>
      </c>
      <c r="O105" s="9" t="n">
        <f aca="false">IF(Tabla2[[#This Row],[Costos (En RD$/Tarea)]]=0,0,Tabla2[[#This Row],[Beneficio Neto  (En RD$/Tarea)]]/Tabla2[[#This Row],[Costos (En RD$/Tarea)]])</f>
        <v>0</v>
      </c>
      <c r="P105" s="7" t="n">
        <f aca="false">Tabla2[[#This Row],[Rentabilidad (%)]]/12</f>
        <v>0</v>
      </c>
    </row>
    <row r="106" customFormat="false" ht="14.25" hidden="false" customHeight="false" outlineLevel="0" collapsed="false">
      <c r="A106" s="1" t="n">
        <v>36770</v>
      </c>
      <c r="B106" s="2" t="s">
        <v>27</v>
      </c>
      <c r="C106" s="3" t="n">
        <v>1447</v>
      </c>
      <c r="D106" s="8" t="s">
        <v>17</v>
      </c>
      <c r="E106" s="3" t="n">
        <f aca="false">IF(Tabla2[[#This Row],[Frecuencia]]="Annual", Tabla2[[#This Row],[Cosecha/Tarea]]/12,Tabla2[[#This Row],[Cosecha/Tarea]])</f>
        <v>1447</v>
      </c>
      <c r="F106" s="3" t="n">
        <v>13622</v>
      </c>
      <c r="G106" s="2" t="s">
        <v>18</v>
      </c>
      <c r="H106" s="2" t="n">
        <f aca="false">F106/Tabla2[[#This Row],[Cosecha Mensual]]</f>
        <v>9.4139599170698</v>
      </c>
      <c r="I106" s="2" t="n">
        <f aca="false">H106*_xlfn.XLOOKUP(Tabla2[[#This Row],[Unidad de producción]],Tabla3[Medida],Tabla3[Equivalencia en Kg],"ELVIS",0)</f>
        <v>427.017221838286</v>
      </c>
      <c r="J106" s="2" t="n">
        <v>181.134</v>
      </c>
      <c r="K106" s="2" t="s">
        <v>18</v>
      </c>
      <c r="L106" s="2" t="n">
        <f aca="false">J106/_xlfn.XLOOKUP(Tabla2[[#This Row],[Unidad de precio]],Tabla3[Medida],Tabla3[Equivalencia en Kg],"ELVIS",0)</f>
        <v>3.99325396825397</v>
      </c>
      <c r="N106" s="3" t="n">
        <f aca="false">(Tabla2[[#This Row],[Productividad (kg/TAS)]]*Tabla2[[#This Row],[Precio por kg]]-Tabla2[[#This Row],[Costos (En RD$/Tarea)]])</f>
        <v>1705.18821561852</v>
      </c>
      <c r="O106" s="9" t="n">
        <f aca="false">IF(Tabla2[[#This Row],[Costos (En RD$/Tarea)]]=0,0,Tabla2[[#This Row],[Beneficio Neto  (En RD$/Tarea)]]/Tabla2[[#This Row],[Costos (En RD$/Tarea)]])</f>
        <v>0</v>
      </c>
      <c r="P106" s="7" t="n">
        <f aca="false">Tabla2[[#This Row],[Rentabilidad (%)]]/12</f>
        <v>0</v>
      </c>
    </row>
    <row r="107" customFormat="false" ht="14.25" hidden="false" customHeight="false" outlineLevel="0" collapsed="false">
      <c r="A107" s="1" t="n">
        <v>36770</v>
      </c>
      <c r="B107" s="2" t="s">
        <v>28</v>
      </c>
      <c r="C107" s="3" t="n">
        <v>21733</v>
      </c>
      <c r="D107" s="8" t="s">
        <v>17</v>
      </c>
      <c r="E107" s="3" t="n">
        <f aca="false">IF(Tabla2[[#This Row],[Frecuencia]]="Annual", Tabla2[[#This Row],[Cosecha/Tarea]]/12,Tabla2[[#This Row],[Cosecha/Tarea]])</f>
        <v>21733</v>
      </c>
      <c r="F107" s="3" t="n">
        <v>45092</v>
      </c>
      <c r="G107" s="2" t="s">
        <v>18</v>
      </c>
      <c r="H107" s="2" t="n">
        <f aca="false">F107/Tabla2[[#This Row],[Cosecha Mensual]]</f>
        <v>2.07481709842176</v>
      </c>
      <c r="I107" s="2" t="n">
        <f aca="false">H107*_xlfn.XLOOKUP(Tabla2[[#This Row],[Unidad de producción]],Tabla3[Medida],Tabla3[Equivalencia en Kg],"ELVIS",0)</f>
        <v>94.1137035844108</v>
      </c>
      <c r="J107" s="2" t="n">
        <v>927.18</v>
      </c>
      <c r="K107" s="2" t="s">
        <v>29</v>
      </c>
      <c r="L107" s="2" t="n">
        <f aca="false">J107/_xlfn.XLOOKUP(Tabla2[[#This Row],[Unidad de precio]],Tabla3[Medida],Tabla3[Equivalencia en Kg],"ELVIS",0)</f>
        <v>1.64878898886794</v>
      </c>
      <c r="N107" s="3" t="n">
        <f aca="false">(Tabla2[[#This Row],[Productividad (kg/TAS)]]*Tabla2[[#This Row],[Precio por kg]]-Tabla2[[#This Row],[Costos (En RD$/Tarea)]])</f>
        <v>155.173638171558</v>
      </c>
      <c r="O107" s="9" t="n">
        <f aca="false">IF(Tabla2[[#This Row],[Costos (En RD$/Tarea)]]=0,0,Tabla2[[#This Row],[Beneficio Neto  (En RD$/Tarea)]]/Tabla2[[#This Row],[Costos (En RD$/Tarea)]])</f>
        <v>0</v>
      </c>
      <c r="P107" s="7" t="n">
        <f aca="false">Tabla2[[#This Row],[Rentabilidad (%)]]/12</f>
        <v>0</v>
      </c>
    </row>
    <row r="108" customFormat="false" ht="14.25" hidden="false" customHeight="false" outlineLevel="0" collapsed="false">
      <c r="A108" s="1" t="n">
        <v>36770</v>
      </c>
      <c r="B108" s="2" t="s">
        <v>30</v>
      </c>
      <c r="C108" s="3" t="n">
        <v>236876</v>
      </c>
      <c r="D108" s="3" t="s">
        <v>31</v>
      </c>
      <c r="E108" s="3" t="n">
        <f aca="false">IF(Tabla2[[#This Row],[Frecuencia]]="Annual", Tabla2[[#This Row],[Cosecha/Tarea]]/12,Tabla2[[#This Row],[Cosecha/Tarea]])</f>
        <v>19739.6666666667</v>
      </c>
      <c r="F108" s="3" t="n">
        <v>1514718</v>
      </c>
      <c r="G108" s="2" t="s">
        <v>32</v>
      </c>
      <c r="H108" s="2" t="n">
        <f aca="false">F108/Tabla2[[#This Row],[Cosecha Mensual]]</f>
        <v>76.7347304074706</v>
      </c>
      <c r="I108" s="2" t="n">
        <f aca="false">H108*_xlfn.XLOOKUP(Tabla2[[#This Row],[Unidad de producción]],Tabla3[Medida],Tabla3[Equivalencia en Kg],"ELVIS",0)</f>
        <v>2087.95201438727</v>
      </c>
      <c r="J108" s="2" t="n">
        <v>24.9166666666667</v>
      </c>
      <c r="K108" s="2" t="s">
        <v>32</v>
      </c>
      <c r="L108" s="2" t="n">
        <f aca="false">J108/_xlfn.XLOOKUP(Tabla2[[#This Row],[Unidad de precio]],Tabla3[Medida],Tabla3[Equivalencia en Kg],"ELVIS",0)</f>
        <v>0.915717260810978</v>
      </c>
      <c r="M108" s="3"/>
      <c r="N108" s="3" t="n">
        <f aca="false">(Tabla2[[#This Row],[Productividad (kg/TAS)]]*Tabla2[[#This Row],[Precio por kg]]-Tabla2[[#This Row],[Costos (En RD$/Tarea)]])</f>
        <v>1911.97369931948</v>
      </c>
      <c r="O108" s="9" t="n">
        <f aca="false">IF(Tabla2[[#This Row],[Costos (En RD$/Tarea)]]=0,0,Tabla2[[#This Row],[Beneficio Neto  (En RD$/Tarea)]]/Tabla2[[#This Row],[Costos (En RD$/Tarea)]])</f>
        <v>0</v>
      </c>
      <c r="P108" s="7" t="n">
        <f aca="false">Tabla2[[#This Row],[Rentabilidad (%)]]/12</f>
        <v>0</v>
      </c>
    </row>
    <row r="109" customFormat="false" ht="14.25" hidden="false" customHeight="false" outlineLevel="0" collapsed="false">
      <c r="A109" s="1" t="n">
        <v>36770</v>
      </c>
      <c r="B109" s="2" t="s">
        <v>33</v>
      </c>
      <c r="C109" s="3" t="n">
        <v>541982</v>
      </c>
      <c r="D109" s="3" t="s">
        <v>31</v>
      </c>
      <c r="E109" s="3" t="n">
        <f aca="false">IF(Tabla2[[#This Row],[Frecuencia]]="Annual", Tabla2[[#This Row],[Cosecha/Tarea]]/12,Tabla2[[#This Row],[Cosecha/Tarea]])</f>
        <v>45165.1666666667</v>
      </c>
      <c r="F109" s="3" t="n">
        <v>103566</v>
      </c>
      <c r="G109" s="2" t="s">
        <v>34</v>
      </c>
      <c r="H109" s="2" t="n">
        <f aca="false">F109/Tabla2[[#This Row],[Cosecha Mensual]]</f>
        <v>2.29305032270444</v>
      </c>
      <c r="I109" s="2" t="n">
        <f aca="false">H109*_xlfn.XLOOKUP(Tabla2[[#This Row],[Unidad de producción]],Tabla3[Medida],Tabla3[Equivalencia en Kg],"ELVIS",0)</f>
        <v>935.908489211819</v>
      </c>
      <c r="J109" s="2" t="n">
        <v>1278.34666666667</v>
      </c>
      <c r="K109" s="2" t="s">
        <v>34</v>
      </c>
      <c r="L109" s="2" t="n">
        <f aca="false">J109/_xlfn.XLOOKUP(Tabla2[[#This Row],[Unidad de precio]],Tabla3[Medida],Tabla3[Equivalencia en Kg],"ELVIS",0)</f>
        <v>3.1320511249949</v>
      </c>
      <c r="M109" s="3"/>
      <c r="N109" s="3" t="n">
        <f aca="false">(Tabla2[[#This Row],[Productividad (kg/TAS)]]*Tabla2[[#This Row],[Precio por kg]]-Tabla2[[#This Row],[Costos (En RD$/Tarea)]])</f>
        <v>2931.31323652816</v>
      </c>
      <c r="O109" s="9" t="n">
        <f aca="false">IF(Tabla2[[#This Row],[Costos (En RD$/Tarea)]]=0,0,Tabla2[[#This Row],[Beneficio Neto  (En RD$/Tarea)]]/Tabla2[[#This Row],[Costos (En RD$/Tarea)]])</f>
        <v>0</v>
      </c>
      <c r="P109" s="7" t="n">
        <f aca="false">Tabla2[[#This Row],[Rentabilidad (%)]]/12</f>
        <v>0</v>
      </c>
    </row>
    <row r="110" customFormat="false" ht="14.25" hidden="false" customHeight="false" outlineLevel="0" collapsed="false">
      <c r="A110" s="1" t="n">
        <v>36800</v>
      </c>
      <c r="B110" s="2" t="s">
        <v>16</v>
      </c>
      <c r="C110" s="8" t="n">
        <v>322266</v>
      </c>
      <c r="D110" s="8" t="s">
        <v>17</v>
      </c>
      <c r="E110" s="8" t="n">
        <f aca="false">IF(Tabla2[[#This Row],[Frecuencia]]="Annual", Tabla2[[#This Row],[Cosecha/Tarea]]/12,Tabla2[[#This Row],[Cosecha/Tarea]])</f>
        <v>322266</v>
      </c>
      <c r="F110" s="3" t="n">
        <v>1171356</v>
      </c>
      <c r="G110" s="2" t="s">
        <v>18</v>
      </c>
      <c r="H110" s="2" t="n">
        <f aca="false">F110/Tabla2[[#This Row],[Cosecha Mensual]]</f>
        <v>3.63474893411033</v>
      </c>
      <c r="I110" s="2" t="n">
        <f aca="false">H110*_xlfn.XLOOKUP(Tabla2[[#This Row],[Unidad de producción]],Tabla3[Medida],Tabla3[Equivalencia en Kg],"ELVIS",0)</f>
        <v>164.872211651245</v>
      </c>
      <c r="J110" s="2" t="n">
        <v>944.814081408141</v>
      </c>
      <c r="K110" s="2" t="s">
        <v>19</v>
      </c>
      <c r="L110" s="2" t="n">
        <f aca="false">J110/_xlfn.XLOOKUP(Tabla2[[#This Row],[Unidad de precio]],Tabla3[Medida],Tabla3[Equivalencia en Kg],"ELVIS",0)</f>
        <v>8.58921892189219</v>
      </c>
      <c r="N110" s="3" t="n">
        <f aca="false">(Tabla2[[#This Row],[Productividad (kg/TAS)]]*Tabla2[[#This Row],[Precio por kg]]-Tabla2[[#This Row],[Costos (En RD$/Tarea)]])</f>
        <v>1416.12352000908</v>
      </c>
      <c r="O110" s="9" t="n">
        <f aca="false">IF(Tabla2[[#This Row],[Costos (En RD$/Tarea)]]=0,0,Tabla2[[#This Row],[Beneficio Neto  (En RD$/Tarea)]]/Tabla2[[#This Row],[Costos (En RD$/Tarea)]])</f>
        <v>0</v>
      </c>
      <c r="P110" s="7" t="n">
        <f aca="false">Tabla2[[#This Row],[Rentabilidad (%)]]/12</f>
        <v>0</v>
      </c>
    </row>
    <row r="111" customFormat="false" ht="14.25" hidden="false" customHeight="false" outlineLevel="0" collapsed="false">
      <c r="A111" s="1" t="n">
        <v>36800</v>
      </c>
      <c r="B111" s="2" t="s">
        <v>20</v>
      </c>
      <c r="C111" s="3" t="n">
        <v>29711</v>
      </c>
      <c r="D111" s="8" t="s">
        <v>17</v>
      </c>
      <c r="E111" s="3" t="n">
        <f aca="false">IF(Tabla2[[#This Row],[Frecuencia]]="Annual", Tabla2[[#This Row],[Cosecha/Tarea]]/12,Tabla2[[#This Row],[Cosecha/Tarea]])</f>
        <v>29711</v>
      </c>
      <c r="F111" s="3" t="n">
        <v>50863</v>
      </c>
      <c r="G111" s="2" t="s">
        <v>18</v>
      </c>
      <c r="H111" s="2" t="n">
        <f aca="false">F111/Tabla2[[#This Row],[Cosecha Mensual]]</f>
        <v>1.71192487630844</v>
      </c>
      <c r="I111" s="2" t="n">
        <f aca="false">H111*_xlfn.XLOOKUP(Tabla2[[#This Row],[Unidad de producción]],Tabla3[Medida],Tabla3[Equivalencia en Kg],"ELVIS",0)</f>
        <v>77.6529123893508</v>
      </c>
      <c r="J111" s="2" t="n">
        <v>107.064</v>
      </c>
      <c r="K111" s="2" t="s">
        <v>18</v>
      </c>
      <c r="L111" s="2" t="n">
        <f aca="false">J111/_xlfn.XLOOKUP(Tabla2[[#This Row],[Unidad de precio]],Tabla3[Medida],Tabla3[Equivalencia en Kg],"ELVIS",0)</f>
        <v>2.36031746031746</v>
      </c>
      <c r="N111" s="3" t="n">
        <f aca="false">(Tabla2[[#This Row],[Productividad (kg/TAS)]]*Tabla2[[#This Row],[Precio por kg]]-Tabla2[[#This Row],[Costos (En RD$/Tarea)]])</f>
        <v>183.285524957087</v>
      </c>
      <c r="O111" s="9" t="n">
        <f aca="false">IF(Tabla2[[#This Row],[Costos (En RD$/Tarea)]]=0,0,Tabla2[[#This Row],[Beneficio Neto  (En RD$/Tarea)]]/Tabla2[[#This Row],[Costos (En RD$/Tarea)]])</f>
        <v>0</v>
      </c>
      <c r="P111" s="7" t="n">
        <f aca="false">Tabla2[[#This Row],[Rentabilidad (%)]]/12</f>
        <v>0</v>
      </c>
    </row>
    <row r="112" customFormat="false" ht="14.25" hidden="false" customHeight="false" outlineLevel="0" collapsed="false">
      <c r="A112" s="1" t="n">
        <v>36800</v>
      </c>
      <c r="B112" s="2" t="s">
        <v>21</v>
      </c>
      <c r="C112" s="3" t="n">
        <v>5534</v>
      </c>
      <c r="D112" s="8" t="s">
        <v>17</v>
      </c>
      <c r="E112" s="3" t="n">
        <f aca="false">IF(Tabla2[[#This Row],[Frecuencia]]="Annual", Tabla2[[#This Row],[Cosecha/Tarea]]/12,Tabla2[[#This Row],[Cosecha/Tarea]])</f>
        <v>5534</v>
      </c>
      <c r="F112" s="3" t="n">
        <v>52684</v>
      </c>
      <c r="G112" s="2" t="s">
        <v>18</v>
      </c>
      <c r="H112" s="2" t="n">
        <f aca="false">F112/Tabla2[[#This Row],[Cosecha Mensual]]</f>
        <v>9.52005782435851</v>
      </c>
      <c r="I112" s="2" t="n">
        <f aca="false">H112*_xlfn.XLOOKUP(Tabla2[[#This Row],[Unidad de producción]],Tabla3[Medida],Tabla3[Equivalencia en Kg],"ELVIS",0)</f>
        <v>431.829822912902</v>
      </c>
      <c r="J112" s="2" t="n">
        <v>175.9175</v>
      </c>
      <c r="K112" s="2" t="s">
        <v>18</v>
      </c>
      <c r="L112" s="2" t="n">
        <f aca="false">J112/_xlfn.XLOOKUP(Tabla2[[#This Row],[Unidad de precio]],Tabla3[Medida],Tabla3[Equivalencia en Kg],"ELVIS",0)</f>
        <v>3.87825176366843</v>
      </c>
      <c r="N112" s="3" t="n">
        <f aca="false">(Tabla2[[#This Row],[Productividad (kg/TAS)]]*Tabla2[[#This Row],[Precio por kg]]-Tabla2[[#This Row],[Costos (En RD$/Tarea)]])</f>
        <v>1674.74477231659</v>
      </c>
      <c r="O112" s="9" t="n">
        <f aca="false">IF(Tabla2[[#This Row],[Costos (En RD$/Tarea)]]=0,0,Tabla2[[#This Row],[Beneficio Neto  (En RD$/Tarea)]]/Tabla2[[#This Row],[Costos (En RD$/Tarea)]])</f>
        <v>0</v>
      </c>
      <c r="P112" s="7" t="n">
        <f aca="false">Tabla2[[#This Row],[Rentabilidad (%)]]/12</f>
        <v>0</v>
      </c>
    </row>
    <row r="113" customFormat="false" ht="14.25" hidden="false" customHeight="false" outlineLevel="0" collapsed="false">
      <c r="A113" s="1" t="n">
        <v>36800</v>
      </c>
      <c r="B113" s="2" t="s">
        <v>22</v>
      </c>
      <c r="C113" s="3" t="n">
        <v>896</v>
      </c>
      <c r="D113" s="8" t="s">
        <v>17</v>
      </c>
      <c r="E113" s="3" t="n">
        <f aca="false">IF(Tabla2[[#This Row],[Frecuencia]]="Annual", Tabla2[[#This Row],[Cosecha/Tarea]]/12,Tabla2[[#This Row],[Cosecha/Tarea]])</f>
        <v>896</v>
      </c>
      <c r="F113" s="3" t="n">
        <v>7952</v>
      </c>
      <c r="G113" s="2" t="s">
        <v>18</v>
      </c>
      <c r="H113" s="2" t="n">
        <f aca="false">F113/Tabla2[[#This Row],[Cosecha Mensual]]</f>
        <v>8.875</v>
      </c>
      <c r="I113" s="2" t="n">
        <f aca="false">H113*_xlfn.XLOOKUP(Tabla2[[#This Row],[Unidad de producción]],Tabla3[Medida],Tabla3[Equivalencia en Kg],"ELVIS",0)</f>
        <v>402.57</v>
      </c>
      <c r="J113" s="2" t="n">
        <v>248.585</v>
      </c>
      <c r="K113" s="2" t="s">
        <v>18</v>
      </c>
      <c r="L113" s="2" t="n">
        <f aca="false">J113/_xlfn.XLOOKUP(Tabla2[[#This Row],[Unidad de precio]],Tabla3[Medida],Tabla3[Equivalencia en Kg],"ELVIS",0)</f>
        <v>5.48026895943563</v>
      </c>
      <c r="N113" s="3" t="n">
        <f aca="false">(Tabla2[[#This Row],[Productividad (kg/TAS)]]*Tabla2[[#This Row],[Precio por kg]]-Tabla2[[#This Row],[Costos (En RD$/Tarea)]])</f>
        <v>2206.191875</v>
      </c>
      <c r="O113" s="9" t="n">
        <f aca="false">IF(Tabla2[[#This Row],[Costos (En RD$/Tarea)]]=0,0,Tabla2[[#This Row],[Beneficio Neto  (En RD$/Tarea)]]/Tabla2[[#This Row],[Costos (En RD$/Tarea)]])</f>
        <v>0</v>
      </c>
      <c r="P113" s="7" t="n">
        <f aca="false">Tabla2[[#This Row],[Rentabilidad (%)]]/12</f>
        <v>0</v>
      </c>
    </row>
    <row r="114" customFormat="false" ht="14.25" hidden="false" customHeight="false" outlineLevel="0" collapsed="false">
      <c r="A114" s="1" t="n">
        <v>36800</v>
      </c>
      <c r="B114" s="2" t="s">
        <v>23</v>
      </c>
      <c r="C114" s="3" t="n">
        <v>2303</v>
      </c>
      <c r="D114" s="8" t="s">
        <v>17</v>
      </c>
      <c r="E114" s="3" t="n">
        <f aca="false">IF(Tabla2[[#This Row],[Frecuencia]]="Annual", Tabla2[[#This Row],[Cosecha/Tarea]]/12,Tabla2[[#This Row],[Cosecha/Tarea]])</f>
        <v>2303</v>
      </c>
      <c r="F114" s="3" t="n">
        <v>48566</v>
      </c>
      <c r="G114" s="2" t="s">
        <v>18</v>
      </c>
      <c r="H114" s="2" t="n">
        <f aca="false">F114/Tabla2[[#This Row],[Cosecha Mensual]]</f>
        <v>21.0881458966565</v>
      </c>
      <c r="I114" s="2" t="n">
        <f aca="false">H114*_xlfn.XLOOKUP(Tabla2[[#This Row],[Unidad de producción]],Tabla3[Medida],Tabla3[Equivalencia en Kg],"ELVIS",0)</f>
        <v>956.55829787234</v>
      </c>
      <c r="J114" s="2" t="n">
        <v>231.65</v>
      </c>
      <c r="K114" s="2" t="s">
        <v>18</v>
      </c>
      <c r="L114" s="2" t="n">
        <f aca="false">J114/_xlfn.XLOOKUP(Tabla2[[#This Row],[Unidad de precio]],Tabla3[Medida],Tabla3[Equivalencia en Kg],"ELVIS",0)</f>
        <v>5.10692239858907</v>
      </c>
      <c r="N114" s="3" t="n">
        <f aca="false">(Tabla2[[#This Row],[Productividad (kg/TAS)]]*Tabla2[[#This Row],[Precio por kg]]-Tabla2[[#This Row],[Costos (En RD$/Tarea)]])</f>
        <v>4885.06899696049</v>
      </c>
      <c r="O114" s="9" t="n">
        <f aca="false">IF(Tabla2[[#This Row],[Costos (En RD$/Tarea)]]=0,0,Tabla2[[#This Row],[Beneficio Neto  (En RD$/Tarea)]]/Tabla2[[#This Row],[Costos (En RD$/Tarea)]])</f>
        <v>0</v>
      </c>
      <c r="P114" s="7" t="n">
        <f aca="false">Tabla2[[#This Row],[Rentabilidad (%)]]/12</f>
        <v>0</v>
      </c>
    </row>
    <row r="115" customFormat="false" ht="14.25" hidden="false" customHeight="false" outlineLevel="0" collapsed="false">
      <c r="A115" s="1" t="n">
        <v>36800</v>
      </c>
      <c r="B115" s="2" t="s">
        <v>24</v>
      </c>
      <c r="C115" s="3" t="n">
        <v>7268</v>
      </c>
      <c r="D115" s="8" t="s">
        <v>17</v>
      </c>
      <c r="E115" s="3" t="n">
        <f aca="false">IF(Tabla2[[#This Row],[Frecuencia]]="Annual", Tabla2[[#This Row],[Cosecha/Tarea]]/12,Tabla2[[#This Row],[Cosecha/Tarea]])</f>
        <v>7268</v>
      </c>
      <c r="F115" s="3" t="n">
        <v>72067</v>
      </c>
      <c r="G115" s="2" t="s">
        <v>18</v>
      </c>
      <c r="H115" s="2" t="n">
        <f aca="false">F115/Tabla2[[#This Row],[Cosecha Mensual]]</f>
        <v>9.91565767749037</v>
      </c>
      <c r="I115" s="2" t="n">
        <f aca="false">H115*_xlfn.XLOOKUP(Tabla2[[#This Row],[Unidad de producción]],Tabla3[Medida],Tabla3[Equivalencia en Kg],"ELVIS",0)</f>
        <v>449.774232250963</v>
      </c>
      <c r="J115" s="2" t="n">
        <v>491.35</v>
      </c>
      <c r="K115" s="2" t="s">
        <v>18</v>
      </c>
      <c r="L115" s="2" t="n">
        <f aca="false">J115/_xlfn.XLOOKUP(Tabla2[[#This Row],[Unidad de precio]],Tabla3[Medida],Tabla3[Equivalencia en Kg],"ELVIS",0)</f>
        <v>10.8322310405644</v>
      </c>
      <c r="N115" s="3" t="n">
        <f aca="false">(Tabla2[[#This Row],[Productividad (kg/TAS)]]*Tabla2[[#This Row],[Precio por kg]]-Tabla2[[#This Row],[Costos (En RD$/Tarea)]])</f>
        <v>4872.05839983489</v>
      </c>
      <c r="O115" s="9" t="n">
        <f aca="false">IF(Tabla2[[#This Row],[Costos (En RD$/Tarea)]]=0,0,Tabla2[[#This Row],[Beneficio Neto  (En RD$/Tarea)]]/Tabla2[[#This Row],[Costos (En RD$/Tarea)]])</f>
        <v>0</v>
      </c>
      <c r="P115" s="7" t="n">
        <f aca="false">Tabla2[[#This Row],[Rentabilidad (%)]]/12</f>
        <v>0</v>
      </c>
    </row>
    <row r="116" customFormat="false" ht="14.25" hidden="false" customHeight="false" outlineLevel="0" collapsed="false">
      <c r="A116" s="1" t="n">
        <v>36800</v>
      </c>
      <c r="B116" s="2" t="s">
        <v>25</v>
      </c>
      <c r="C116" s="3" t="n">
        <v>22130</v>
      </c>
      <c r="D116" s="8" t="s">
        <v>17</v>
      </c>
      <c r="E116" s="3" t="n">
        <f aca="false">IF(Tabla2[[#This Row],[Frecuencia]]="Annual", Tabla2[[#This Row],[Cosecha/Tarea]]/12,Tabla2[[#This Row],[Cosecha/Tarea]])</f>
        <v>22130</v>
      </c>
      <c r="F116" s="3" t="n">
        <v>197559</v>
      </c>
      <c r="G116" s="2" t="s">
        <v>18</v>
      </c>
      <c r="H116" s="2" t="n">
        <f aca="false">F116/Tabla2[[#This Row],[Cosecha Mensual]]</f>
        <v>8.92720289200181</v>
      </c>
      <c r="I116" s="2" t="n">
        <f aca="false">H116*_xlfn.XLOOKUP(Tabla2[[#This Row],[Unidad de producción]],Tabla3[Medida],Tabla3[Equivalencia en Kg],"ELVIS",0)</f>
        <v>404.937923181202</v>
      </c>
      <c r="J116" s="2" t="n">
        <v>129.7125</v>
      </c>
      <c r="K116" s="2" t="s">
        <v>18</v>
      </c>
      <c r="L116" s="2" t="n">
        <f aca="false">J116/_xlfn.XLOOKUP(Tabla2[[#This Row],[Unidad de precio]],Tabla3[Medida],Tabla3[Equivalencia en Kg],"ELVIS",0)</f>
        <v>2.85962301587302</v>
      </c>
      <c r="N116" s="3" t="n">
        <f aca="false">(Tabla2[[#This Row],[Productividad (kg/TAS)]]*Tabla2[[#This Row],[Precio por kg]]-Tabla2[[#This Row],[Costos (En RD$/Tarea)]])</f>
        <v>1157.96980512878</v>
      </c>
      <c r="O116" s="9" t="n">
        <f aca="false">IF(Tabla2[[#This Row],[Costos (En RD$/Tarea)]]=0,0,Tabla2[[#This Row],[Beneficio Neto  (En RD$/Tarea)]]/Tabla2[[#This Row],[Costos (En RD$/Tarea)]])</f>
        <v>0</v>
      </c>
      <c r="P116" s="7" t="n">
        <f aca="false">Tabla2[[#This Row],[Rentabilidad (%)]]/12</f>
        <v>0</v>
      </c>
    </row>
    <row r="117" customFormat="false" ht="14.25" hidden="false" customHeight="false" outlineLevel="0" collapsed="false">
      <c r="A117" s="1" t="n">
        <v>36800</v>
      </c>
      <c r="B117" s="2" t="s">
        <v>26</v>
      </c>
      <c r="C117" s="3" t="n">
        <v>8835</v>
      </c>
      <c r="D117" s="8" t="s">
        <v>17</v>
      </c>
      <c r="E117" s="3" t="n">
        <f aca="false">IF(Tabla2[[#This Row],[Frecuencia]]="Annual", Tabla2[[#This Row],[Cosecha/Tarea]]/12,Tabla2[[#This Row],[Cosecha/Tarea]])</f>
        <v>8835</v>
      </c>
      <c r="F117" s="3" t="n">
        <v>41294</v>
      </c>
      <c r="G117" s="2" t="s">
        <v>18</v>
      </c>
      <c r="H117" s="2" t="n">
        <f aca="false">F117/Tabla2[[#This Row],[Cosecha Mensual]]</f>
        <v>4.67391058290889</v>
      </c>
      <c r="I117" s="2" t="n">
        <f aca="false">H117*_xlfn.XLOOKUP(Tabla2[[#This Row],[Unidad de producción]],Tabla3[Medida],Tabla3[Equivalencia en Kg],"ELVIS",0)</f>
        <v>212.008584040747</v>
      </c>
      <c r="J117" s="2" t="n">
        <v>188.092</v>
      </c>
      <c r="K117" s="2" t="s">
        <v>18</v>
      </c>
      <c r="L117" s="2" t="n">
        <f aca="false">J117/_xlfn.XLOOKUP(Tabla2[[#This Row],[Unidad de precio]],Tabla3[Medida],Tabla3[Equivalencia en Kg],"ELVIS",0)</f>
        <v>4.14664902998236</v>
      </c>
      <c r="N117" s="3" t="n">
        <f aca="false">(Tabla2[[#This Row],[Productividad (kg/TAS)]]*Tabla2[[#This Row],[Precio por kg]]-Tabla2[[#This Row],[Costos (En RD$/Tarea)]])</f>
        <v>879.125189360498</v>
      </c>
      <c r="O117" s="9" t="n">
        <f aca="false">IF(Tabla2[[#This Row],[Costos (En RD$/Tarea)]]=0,0,Tabla2[[#This Row],[Beneficio Neto  (En RD$/Tarea)]]/Tabla2[[#This Row],[Costos (En RD$/Tarea)]])</f>
        <v>0</v>
      </c>
      <c r="P117" s="7" t="n">
        <f aca="false">Tabla2[[#This Row],[Rentabilidad (%)]]/12</f>
        <v>0</v>
      </c>
    </row>
    <row r="118" customFormat="false" ht="14.25" hidden="false" customHeight="false" outlineLevel="0" collapsed="false">
      <c r="A118" s="1" t="n">
        <v>36800</v>
      </c>
      <c r="B118" s="2" t="s">
        <v>27</v>
      </c>
      <c r="C118" s="3" t="n">
        <v>2235</v>
      </c>
      <c r="D118" s="8" t="s">
        <v>17</v>
      </c>
      <c r="E118" s="3" t="n">
        <f aca="false">IF(Tabla2[[#This Row],[Frecuencia]]="Annual", Tabla2[[#This Row],[Cosecha/Tarea]]/12,Tabla2[[#This Row],[Cosecha/Tarea]])</f>
        <v>2235</v>
      </c>
      <c r="F118" s="3" t="n">
        <v>17199</v>
      </c>
      <c r="G118" s="2" t="s">
        <v>18</v>
      </c>
      <c r="H118" s="2" t="n">
        <f aca="false">F118/Tabla2[[#This Row],[Cosecha Mensual]]</f>
        <v>7.69530201342282</v>
      </c>
      <c r="I118" s="2" t="n">
        <f aca="false">H118*_xlfn.XLOOKUP(Tabla2[[#This Row],[Unidad de producción]],Tabla3[Medida],Tabla3[Equivalencia en Kg],"ELVIS",0)</f>
        <v>349.058899328859</v>
      </c>
      <c r="J118" s="2" t="n">
        <v>179.815</v>
      </c>
      <c r="K118" s="2" t="s">
        <v>18</v>
      </c>
      <c r="L118" s="2" t="n">
        <f aca="false">J118/_xlfn.XLOOKUP(Tabla2[[#This Row],[Unidad de precio]],Tabla3[Medida],Tabla3[Equivalencia en Kg],"ELVIS",0)</f>
        <v>3.96417548500882</v>
      </c>
      <c r="N118" s="3" t="n">
        <f aca="false">(Tabla2[[#This Row],[Productividad (kg/TAS)]]*Tabla2[[#This Row],[Precio por kg]]-Tabla2[[#This Row],[Costos (En RD$/Tarea)]])</f>
        <v>1383.73073154362</v>
      </c>
      <c r="O118" s="9" t="n">
        <f aca="false">IF(Tabla2[[#This Row],[Costos (En RD$/Tarea)]]=0,0,Tabla2[[#This Row],[Beneficio Neto  (En RD$/Tarea)]]/Tabla2[[#This Row],[Costos (En RD$/Tarea)]])</f>
        <v>0</v>
      </c>
      <c r="P118" s="7" t="n">
        <f aca="false">Tabla2[[#This Row],[Rentabilidad (%)]]/12</f>
        <v>0</v>
      </c>
    </row>
    <row r="119" customFormat="false" ht="14.25" hidden="false" customHeight="false" outlineLevel="0" collapsed="false">
      <c r="A119" s="1" t="n">
        <v>36800</v>
      </c>
      <c r="B119" s="2" t="s">
        <v>28</v>
      </c>
      <c r="C119" s="3" t="n">
        <v>18849</v>
      </c>
      <c r="D119" s="8" t="s">
        <v>17</v>
      </c>
      <c r="E119" s="3" t="n">
        <f aca="false">IF(Tabla2[[#This Row],[Frecuencia]]="Annual", Tabla2[[#This Row],[Cosecha/Tarea]]/12,Tabla2[[#This Row],[Cosecha/Tarea]])</f>
        <v>18849</v>
      </c>
      <c r="F119" s="3" t="n">
        <v>34864</v>
      </c>
      <c r="G119" s="2" t="s">
        <v>18</v>
      </c>
      <c r="H119" s="2" t="n">
        <f aca="false">F119/Tabla2[[#This Row],[Cosecha Mensual]]</f>
        <v>1.84964719613773</v>
      </c>
      <c r="I119" s="2" t="n">
        <f aca="false">H119*_xlfn.XLOOKUP(Tabla2[[#This Row],[Unidad de producción]],Tabla3[Medida],Tabla3[Equivalencia en Kg],"ELVIS",0)</f>
        <v>83.8999968168073</v>
      </c>
      <c r="J119" s="2" t="n">
        <v>943.334</v>
      </c>
      <c r="K119" s="2" t="s">
        <v>29</v>
      </c>
      <c r="L119" s="2" t="n">
        <f aca="false">J119/_xlfn.XLOOKUP(Tabla2[[#This Row],[Unidad de precio]],Tabla3[Medida],Tabla3[Equivalencia en Kg],"ELVIS",0)</f>
        <v>1.67751538215315</v>
      </c>
      <c r="N119" s="3" t="n">
        <f aca="false">(Tabla2[[#This Row],[Productividad (kg/TAS)]]*Tabla2[[#This Row],[Precio por kg]]-Tabla2[[#This Row],[Costos (En RD$/Tarea)]])</f>
        <v>140.743535222794</v>
      </c>
      <c r="O119" s="9" t="n">
        <f aca="false">IF(Tabla2[[#This Row],[Costos (En RD$/Tarea)]]=0,0,Tabla2[[#This Row],[Beneficio Neto  (En RD$/Tarea)]]/Tabla2[[#This Row],[Costos (En RD$/Tarea)]])</f>
        <v>0</v>
      </c>
      <c r="P119" s="7" t="n">
        <f aca="false">Tabla2[[#This Row],[Rentabilidad (%)]]/12</f>
        <v>0</v>
      </c>
    </row>
    <row r="120" customFormat="false" ht="14.25" hidden="false" customHeight="false" outlineLevel="0" collapsed="false">
      <c r="A120" s="1" t="n">
        <v>36800</v>
      </c>
      <c r="B120" s="2" t="s">
        <v>30</v>
      </c>
      <c r="C120" s="3" t="n">
        <v>235362</v>
      </c>
      <c r="D120" s="3" t="s">
        <v>31</v>
      </c>
      <c r="E120" s="3" t="n">
        <f aca="false">IF(Tabla2[[#This Row],[Frecuencia]]="Annual", Tabla2[[#This Row],[Cosecha/Tarea]]/12,Tabla2[[#This Row],[Cosecha/Tarea]])</f>
        <v>19613.5</v>
      </c>
      <c r="F120" s="3" t="n">
        <v>1479204</v>
      </c>
      <c r="G120" s="2" t="s">
        <v>32</v>
      </c>
      <c r="H120" s="2" t="n">
        <f aca="false">F120/Tabla2[[#This Row],[Cosecha Mensual]]</f>
        <v>75.4176460091264</v>
      </c>
      <c r="I120" s="2" t="n">
        <f aca="false">H120*_xlfn.XLOOKUP(Tabla2[[#This Row],[Unidad de producción]],Tabla3[Medida],Tabla3[Equivalencia en Kg],"ELVIS",0)</f>
        <v>2052.11414790833</v>
      </c>
      <c r="J120" s="2" t="n">
        <v>23.442</v>
      </c>
      <c r="K120" s="2" t="s">
        <v>32</v>
      </c>
      <c r="L120" s="2" t="n">
        <f aca="false">J120/_xlfn.XLOOKUP(Tabla2[[#This Row],[Unidad de precio]],Tabla3[Medida],Tabla3[Equivalencia en Kg],"ELVIS",0)</f>
        <v>0.861521499448732</v>
      </c>
      <c r="M120" s="3"/>
      <c r="N120" s="3" t="n">
        <f aca="false">(Tabla2[[#This Row],[Productividad (kg/TAS)]]*Tabla2[[#This Row],[Precio por kg]]-Tabla2[[#This Row],[Costos (En RD$/Tarea)]])</f>
        <v>1767.94045774594</v>
      </c>
      <c r="O120" s="9" t="n">
        <f aca="false">IF(Tabla2[[#This Row],[Costos (En RD$/Tarea)]]=0,0,Tabla2[[#This Row],[Beneficio Neto  (En RD$/Tarea)]]/Tabla2[[#This Row],[Costos (En RD$/Tarea)]])</f>
        <v>0</v>
      </c>
      <c r="P120" s="7" t="n">
        <f aca="false">Tabla2[[#This Row],[Rentabilidad (%)]]/12</f>
        <v>0</v>
      </c>
    </row>
    <row r="121" customFormat="false" ht="14.25" hidden="false" customHeight="false" outlineLevel="0" collapsed="false">
      <c r="A121" s="1" t="n">
        <v>36800</v>
      </c>
      <c r="B121" s="2" t="s">
        <v>33</v>
      </c>
      <c r="C121" s="3" t="n">
        <v>570834</v>
      </c>
      <c r="D121" s="3" t="s">
        <v>31</v>
      </c>
      <c r="E121" s="3" t="n">
        <f aca="false">IF(Tabla2[[#This Row],[Frecuencia]]="Annual", Tabla2[[#This Row],[Cosecha/Tarea]]/12,Tabla2[[#This Row],[Cosecha/Tarea]])</f>
        <v>47569.5</v>
      </c>
      <c r="F121" s="3" t="n">
        <v>107808</v>
      </c>
      <c r="G121" s="2" t="s">
        <v>34</v>
      </c>
      <c r="H121" s="2" t="n">
        <f aca="false">F121/Tabla2[[#This Row],[Cosecha Mensual]]</f>
        <v>2.26632611231987</v>
      </c>
      <c r="I121" s="2" t="n">
        <f aca="false">H121*_xlfn.XLOOKUP(Tabla2[[#This Row],[Unidad de producción]],Tabla3[Medida],Tabla3[Equivalencia en Kg],"ELVIS",0)</f>
        <v>925.001002743354</v>
      </c>
      <c r="J121" s="2" t="n">
        <v>1266.516</v>
      </c>
      <c r="K121" s="2" t="s">
        <v>34</v>
      </c>
      <c r="L121" s="2" t="n">
        <f aca="false">J121/_xlfn.XLOOKUP(Tabla2[[#This Row],[Unidad de precio]],Tabla3[Medida],Tabla3[Equivalencia en Kg],"ELVIS",0)</f>
        <v>3.10306504961411</v>
      </c>
      <c r="M121" s="3"/>
      <c r="N121" s="3" t="n">
        <f aca="false">(Tabla2[[#This Row],[Productividad (kg/TAS)]]*Tabla2[[#This Row],[Precio por kg]]-Tabla2[[#This Row],[Costos (En RD$/Tarea)]])</f>
        <v>2870.33828247091</v>
      </c>
      <c r="O121" s="9" t="n">
        <f aca="false">IF(Tabla2[[#This Row],[Costos (En RD$/Tarea)]]=0,0,Tabla2[[#This Row],[Beneficio Neto  (En RD$/Tarea)]]/Tabla2[[#This Row],[Costos (En RD$/Tarea)]])</f>
        <v>0</v>
      </c>
      <c r="P121" s="7" t="n">
        <f aca="false">Tabla2[[#This Row],[Rentabilidad (%)]]/12</f>
        <v>0</v>
      </c>
    </row>
    <row r="122" customFormat="false" ht="14.25" hidden="false" customHeight="false" outlineLevel="0" collapsed="false">
      <c r="A122" s="1" t="n">
        <v>36831</v>
      </c>
      <c r="B122" s="2" t="s">
        <v>16</v>
      </c>
      <c r="C122" s="8" t="n">
        <v>300096</v>
      </c>
      <c r="D122" s="8" t="s">
        <v>17</v>
      </c>
      <c r="E122" s="8" t="n">
        <f aca="false">IF(Tabla2[[#This Row],[Frecuencia]]="Annual", Tabla2[[#This Row],[Cosecha/Tarea]]/12,Tabla2[[#This Row],[Cosecha/Tarea]])</f>
        <v>300096</v>
      </c>
      <c r="F122" s="3" t="n">
        <v>1038734</v>
      </c>
      <c r="G122" s="2" t="s">
        <v>18</v>
      </c>
      <c r="H122" s="2" t="n">
        <f aca="false">F122/Tabla2[[#This Row],[Cosecha Mensual]]</f>
        <v>3.46133903817445</v>
      </c>
      <c r="I122" s="2" t="n">
        <f aca="false">H122*_xlfn.XLOOKUP(Tabla2[[#This Row],[Unidad de producción]],Tabla3[Medida],Tabla3[Equivalencia en Kg],"ELVIS",0)</f>
        <v>157.006338771593</v>
      </c>
      <c r="J122" s="2" t="n">
        <v>996.655665566557</v>
      </c>
      <c r="K122" s="2" t="s">
        <v>19</v>
      </c>
      <c r="L122" s="2" t="n">
        <f aca="false">J122/_xlfn.XLOOKUP(Tabla2[[#This Row],[Unidad de precio]],Tabla3[Medida],Tabla3[Equivalencia en Kg],"ELVIS",0)</f>
        <v>9.06050605060506</v>
      </c>
      <c r="N122" s="3" t="n">
        <f aca="false">(Tabla2[[#This Row],[Productividad (kg/TAS)]]*Tabla2[[#This Row],[Precio por kg]]-Tabla2[[#This Row],[Costos (En RD$/Tarea)]])</f>
        <v>1422.55688242337</v>
      </c>
      <c r="O122" s="9" t="n">
        <f aca="false">IF(Tabla2[[#This Row],[Costos (En RD$/Tarea)]]=0,0,Tabla2[[#This Row],[Beneficio Neto  (En RD$/Tarea)]]/Tabla2[[#This Row],[Costos (En RD$/Tarea)]])</f>
        <v>0</v>
      </c>
      <c r="P122" s="7" t="n">
        <f aca="false">Tabla2[[#This Row],[Rentabilidad (%)]]/12</f>
        <v>0</v>
      </c>
    </row>
    <row r="123" customFormat="false" ht="14.25" hidden="false" customHeight="false" outlineLevel="0" collapsed="false">
      <c r="A123" s="1" t="n">
        <v>36831</v>
      </c>
      <c r="B123" s="2" t="s">
        <v>20</v>
      </c>
      <c r="C123" s="3" t="n">
        <v>36728</v>
      </c>
      <c r="D123" s="8" t="s">
        <v>17</v>
      </c>
      <c r="E123" s="3" t="n">
        <f aca="false">IF(Tabla2[[#This Row],[Frecuencia]]="Annual", Tabla2[[#This Row],[Cosecha/Tarea]]/12,Tabla2[[#This Row],[Cosecha/Tarea]])</f>
        <v>36728</v>
      </c>
      <c r="F123" s="3" t="n">
        <v>63486</v>
      </c>
      <c r="G123" s="2" t="s">
        <v>18</v>
      </c>
      <c r="H123" s="2" t="n">
        <f aca="false">F123/Tabla2[[#This Row],[Cosecha Mensual]]</f>
        <v>1.72854497930734</v>
      </c>
      <c r="I123" s="2" t="n">
        <f aca="false">H123*_xlfn.XLOOKUP(Tabla2[[#This Row],[Unidad de producción]],Tabla3[Medida],Tabla3[Equivalencia en Kg],"ELVIS",0)</f>
        <v>78.406800261381</v>
      </c>
      <c r="J123" s="2" t="n">
        <v>118.041</v>
      </c>
      <c r="K123" s="2" t="s">
        <v>18</v>
      </c>
      <c r="L123" s="2" t="n">
        <f aca="false">J123/_xlfn.XLOOKUP(Tabla2[[#This Row],[Unidad de precio]],Tabla3[Medida],Tabla3[Equivalencia en Kg],"ELVIS",0)</f>
        <v>2.60231481481482</v>
      </c>
      <c r="N123" s="3" t="n">
        <f aca="false">(Tabla2[[#This Row],[Productividad (kg/TAS)]]*Tabla2[[#This Row],[Precio por kg]]-Tabla2[[#This Row],[Costos (En RD$/Tarea)]])</f>
        <v>204.039177902418</v>
      </c>
      <c r="O123" s="9" t="n">
        <f aca="false">IF(Tabla2[[#This Row],[Costos (En RD$/Tarea)]]=0,0,Tabla2[[#This Row],[Beneficio Neto  (En RD$/Tarea)]]/Tabla2[[#This Row],[Costos (En RD$/Tarea)]])</f>
        <v>0</v>
      </c>
      <c r="P123" s="7" t="n">
        <f aca="false">Tabla2[[#This Row],[Rentabilidad (%)]]/12</f>
        <v>0</v>
      </c>
    </row>
    <row r="124" customFormat="false" ht="14.25" hidden="false" customHeight="false" outlineLevel="0" collapsed="false">
      <c r="A124" s="1" t="n">
        <v>36831</v>
      </c>
      <c r="B124" s="2" t="s">
        <v>21</v>
      </c>
      <c r="C124" s="3" t="n">
        <v>5259</v>
      </c>
      <c r="D124" s="8" t="s">
        <v>17</v>
      </c>
      <c r="E124" s="3" t="n">
        <f aca="false">IF(Tabla2[[#This Row],[Frecuencia]]="Annual", Tabla2[[#This Row],[Cosecha/Tarea]]/12,Tabla2[[#This Row],[Cosecha/Tarea]])</f>
        <v>5259</v>
      </c>
      <c r="F124" s="3" t="n">
        <v>48016</v>
      </c>
      <c r="G124" s="2" t="s">
        <v>18</v>
      </c>
      <c r="H124" s="2" t="n">
        <f aca="false">F124/Tabla2[[#This Row],[Cosecha Mensual]]</f>
        <v>9.13025289979083</v>
      </c>
      <c r="I124" s="2" t="n">
        <f aca="false">H124*_xlfn.XLOOKUP(Tabla2[[#This Row],[Unidad de producción]],Tabla3[Medida],Tabla3[Equivalencia en Kg],"ELVIS",0)</f>
        <v>414.148271534512</v>
      </c>
      <c r="J124" s="2" t="n">
        <v>168.366</v>
      </c>
      <c r="K124" s="2" t="s">
        <v>18</v>
      </c>
      <c r="L124" s="2" t="n">
        <f aca="false">J124/_xlfn.XLOOKUP(Tabla2[[#This Row],[Unidad de precio]],Tabla3[Medida],Tabla3[Equivalencia en Kg],"ELVIS",0)</f>
        <v>3.71177248677249</v>
      </c>
      <c r="N124" s="3" t="n">
        <f aca="false">(Tabla2[[#This Row],[Productividad (kg/TAS)]]*Tabla2[[#This Row],[Precio por kg]]-Tabla2[[#This Row],[Costos (En RD$/Tarea)]])</f>
        <v>1537.22415972618</v>
      </c>
      <c r="O124" s="9" t="n">
        <f aca="false">IF(Tabla2[[#This Row],[Costos (En RD$/Tarea)]]=0,0,Tabla2[[#This Row],[Beneficio Neto  (En RD$/Tarea)]]/Tabla2[[#This Row],[Costos (En RD$/Tarea)]])</f>
        <v>0</v>
      </c>
      <c r="P124" s="7" t="n">
        <f aca="false">Tabla2[[#This Row],[Rentabilidad (%)]]/12</f>
        <v>0</v>
      </c>
    </row>
    <row r="125" customFormat="false" ht="14.25" hidden="false" customHeight="false" outlineLevel="0" collapsed="false">
      <c r="A125" s="1" t="n">
        <v>36831</v>
      </c>
      <c r="B125" s="2" t="s">
        <v>22</v>
      </c>
      <c r="C125" s="3" t="n">
        <v>1685</v>
      </c>
      <c r="D125" s="8" t="s">
        <v>17</v>
      </c>
      <c r="E125" s="3" t="n">
        <f aca="false">IF(Tabla2[[#This Row],[Frecuencia]]="Annual", Tabla2[[#This Row],[Cosecha/Tarea]]/12,Tabla2[[#This Row],[Cosecha/Tarea]])</f>
        <v>1685</v>
      </c>
      <c r="F125" s="3" t="n">
        <v>14424</v>
      </c>
      <c r="G125" s="2" t="s">
        <v>18</v>
      </c>
      <c r="H125" s="2" t="n">
        <f aca="false">F125/Tabla2[[#This Row],[Cosecha Mensual]]</f>
        <v>8.56023738872404</v>
      </c>
      <c r="I125" s="2" t="n">
        <f aca="false">H125*_xlfn.XLOOKUP(Tabla2[[#This Row],[Unidad de producción]],Tabla3[Medida],Tabla3[Equivalencia en Kg],"ELVIS",0)</f>
        <v>388.292367952522</v>
      </c>
      <c r="J125" s="2" t="n">
        <v>195.9375</v>
      </c>
      <c r="K125" s="2" t="s">
        <v>18</v>
      </c>
      <c r="L125" s="2" t="n">
        <f aca="false">J125/_xlfn.XLOOKUP(Tabla2[[#This Row],[Unidad de precio]],Tabla3[Medida],Tabla3[Equivalencia en Kg],"ELVIS",0)</f>
        <v>4.31960978835979</v>
      </c>
      <c r="N125" s="3" t="n">
        <f aca="false">(Tabla2[[#This Row],[Productividad (kg/TAS)]]*Tabla2[[#This Row],[Precio por kg]]-Tabla2[[#This Row],[Costos (En RD$/Tarea)]])</f>
        <v>1677.27151335312</v>
      </c>
      <c r="O125" s="9" t="n">
        <f aca="false">IF(Tabla2[[#This Row],[Costos (En RD$/Tarea)]]=0,0,Tabla2[[#This Row],[Beneficio Neto  (En RD$/Tarea)]]/Tabla2[[#This Row],[Costos (En RD$/Tarea)]])</f>
        <v>0</v>
      </c>
      <c r="P125" s="7" t="n">
        <f aca="false">Tabla2[[#This Row],[Rentabilidad (%)]]/12</f>
        <v>0</v>
      </c>
    </row>
    <row r="126" customFormat="false" ht="14.25" hidden="false" customHeight="false" outlineLevel="0" collapsed="false">
      <c r="A126" s="1" t="n">
        <v>36831</v>
      </c>
      <c r="B126" s="2" t="s">
        <v>23</v>
      </c>
      <c r="C126" s="3" t="n">
        <v>1066</v>
      </c>
      <c r="D126" s="8" t="s">
        <v>17</v>
      </c>
      <c r="E126" s="3" t="n">
        <f aca="false">IF(Tabla2[[#This Row],[Frecuencia]]="Annual", Tabla2[[#This Row],[Cosecha/Tarea]]/12,Tabla2[[#This Row],[Cosecha/Tarea]])</f>
        <v>1066</v>
      </c>
      <c r="F126" s="3" t="n">
        <v>19142</v>
      </c>
      <c r="G126" s="2" t="s">
        <v>18</v>
      </c>
      <c r="H126" s="2" t="n">
        <f aca="false">F126/Tabla2[[#This Row],[Cosecha Mensual]]</f>
        <v>17.9568480300188</v>
      </c>
      <c r="I126" s="2" t="n">
        <f aca="false">H126*_xlfn.XLOOKUP(Tabla2[[#This Row],[Unidad de producción]],Tabla3[Medida],Tabla3[Equivalencia en Kg],"ELVIS",0)</f>
        <v>814.522626641651</v>
      </c>
      <c r="J126" s="2" t="n">
        <v>321.25</v>
      </c>
      <c r="K126" s="2" t="s">
        <v>18</v>
      </c>
      <c r="L126" s="2" t="n">
        <f aca="false">J126/_xlfn.XLOOKUP(Tabla2[[#This Row],[Unidad de precio]],Tabla3[Medida],Tabla3[Equivalencia en Kg],"ELVIS",0)</f>
        <v>7.08223104056437</v>
      </c>
      <c r="N126" s="3" t="n">
        <f aca="false">(Tabla2[[#This Row],[Productividad (kg/TAS)]]*Tabla2[[#This Row],[Precio por kg]]-Tabla2[[#This Row],[Costos (En RD$/Tarea)]])</f>
        <v>5768.63742964353</v>
      </c>
      <c r="O126" s="9" t="n">
        <f aca="false">IF(Tabla2[[#This Row],[Costos (En RD$/Tarea)]]=0,0,Tabla2[[#This Row],[Beneficio Neto  (En RD$/Tarea)]]/Tabla2[[#This Row],[Costos (En RD$/Tarea)]])</f>
        <v>0</v>
      </c>
      <c r="P126" s="7" t="n">
        <f aca="false">Tabla2[[#This Row],[Rentabilidad (%)]]/12</f>
        <v>0</v>
      </c>
    </row>
    <row r="127" customFormat="false" ht="14.25" hidden="false" customHeight="false" outlineLevel="0" collapsed="false">
      <c r="A127" s="1" t="n">
        <v>36831</v>
      </c>
      <c r="B127" s="2" t="s">
        <v>24</v>
      </c>
      <c r="C127" s="3" t="n">
        <v>7460</v>
      </c>
      <c r="D127" s="8" t="s">
        <v>17</v>
      </c>
      <c r="E127" s="3" t="n">
        <f aca="false">IF(Tabla2[[#This Row],[Frecuencia]]="Annual", Tabla2[[#This Row],[Cosecha/Tarea]]/12,Tabla2[[#This Row],[Cosecha/Tarea]])</f>
        <v>7460</v>
      </c>
      <c r="F127" s="3" t="n">
        <v>80290</v>
      </c>
      <c r="G127" s="2" t="s">
        <v>18</v>
      </c>
      <c r="H127" s="2" t="n">
        <f aca="false">F127/Tabla2[[#This Row],[Cosecha Mensual]]</f>
        <v>10.7627345844504</v>
      </c>
      <c r="I127" s="2" t="n">
        <f aca="false">H127*_xlfn.XLOOKUP(Tabla2[[#This Row],[Unidad de producción]],Tabla3[Medida],Tabla3[Equivalencia en Kg],"ELVIS",0)</f>
        <v>488.19764075067</v>
      </c>
      <c r="J127" s="2" t="n">
        <v>594.416666666667</v>
      </c>
      <c r="K127" s="2" t="s">
        <v>18</v>
      </c>
      <c r="L127" s="2" t="n">
        <f aca="false">J127/_xlfn.XLOOKUP(Tabla2[[#This Row],[Unidad de precio]],Tabla3[Medida],Tabla3[Equivalencia en Kg],"ELVIS",0)</f>
        <v>13.1044238683128</v>
      </c>
      <c r="N127" s="3" t="n">
        <f aca="false">(Tabla2[[#This Row],[Productividad (kg/TAS)]]*Tabla2[[#This Row],[Precio por kg]]-Tabla2[[#This Row],[Costos (En RD$/Tarea)]])</f>
        <v>6397.54881590706</v>
      </c>
      <c r="O127" s="9" t="n">
        <f aca="false">IF(Tabla2[[#This Row],[Costos (En RD$/Tarea)]]=0,0,Tabla2[[#This Row],[Beneficio Neto  (En RD$/Tarea)]]/Tabla2[[#This Row],[Costos (En RD$/Tarea)]])</f>
        <v>0</v>
      </c>
      <c r="P127" s="7" t="n">
        <f aca="false">Tabla2[[#This Row],[Rentabilidad (%)]]/12</f>
        <v>0</v>
      </c>
    </row>
    <row r="128" customFormat="false" ht="14.25" hidden="false" customHeight="false" outlineLevel="0" collapsed="false">
      <c r="A128" s="1" t="n">
        <v>36831</v>
      </c>
      <c r="B128" s="2" t="s">
        <v>25</v>
      </c>
      <c r="C128" s="3" t="n">
        <v>24844</v>
      </c>
      <c r="D128" s="8" t="s">
        <v>17</v>
      </c>
      <c r="E128" s="3" t="n">
        <f aca="false">IF(Tabla2[[#This Row],[Frecuencia]]="Annual", Tabla2[[#This Row],[Cosecha/Tarea]]/12,Tabla2[[#This Row],[Cosecha/Tarea]])</f>
        <v>24844</v>
      </c>
      <c r="F128" s="3" t="n">
        <v>246411</v>
      </c>
      <c r="G128" s="2" t="s">
        <v>18</v>
      </c>
      <c r="H128" s="2" t="n">
        <f aca="false">F128/Tabla2[[#This Row],[Cosecha Mensual]]</f>
        <v>9.91833038158107</v>
      </c>
      <c r="I128" s="2" t="n">
        <f aca="false">H128*_xlfn.XLOOKUP(Tabla2[[#This Row],[Unidad de producción]],Tabla3[Medida],Tabla3[Equivalencia en Kg],"ELVIS",0)</f>
        <v>449.895466108517</v>
      </c>
      <c r="J128" s="2" t="n">
        <v>117.125</v>
      </c>
      <c r="K128" s="2" t="s">
        <v>18</v>
      </c>
      <c r="L128" s="2" t="n">
        <f aca="false">J128/_xlfn.XLOOKUP(Tabla2[[#This Row],[Unidad de precio]],Tabla3[Medida],Tabla3[Equivalencia en Kg],"ELVIS",0)</f>
        <v>2.58212081128748</v>
      </c>
      <c r="N128" s="3" t="n">
        <f aca="false">(Tabla2[[#This Row],[Productividad (kg/TAS)]]*Tabla2[[#This Row],[Precio por kg]]-Tabla2[[#This Row],[Costos (En RD$/Tarea)]])</f>
        <v>1161.68444594268</v>
      </c>
      <c r="O128" s="9" t="n">
        <f aca="false">IF(Tabla2[[#This Row],[Costos (En RD$/Tarea)]]=0,0,Tabla2[[#This Row],[Beneficio Neto  (En RD$/Tarea)]]/Tabla2[[#This Row],[Costos (En RD$/Tarea)]])</f>
        <v>0</v>
      </c>
      <c r="P128" s="7" t="n">
        <f aca="false">Tabla2[[#This Row],[Rentabilidad (%)]]/12</f>
        <v>0</v>
      </c>
    </row>
    <row r="129" customFormat="false" ht="14.25" hidden="false" customHeight="false" outlineLevel="0" collapsed="false">
      <c r="A129" s="1" t="n">
        <v>36831</v>
      </c>
      <c r="B129" s="2" t="s">
        <v>26</v>
      </c>
      <c r="C129" s="3" t="n">
        <v>8240</v>
      </c>
      <c r="D129" s="8" t="s">
        <v>17</v>
      </c>
      <c r="E129" s="3" t="n">
        <f aca="false">IF(Tabla2[[#This Row],[Frecuencia]]="Annual", Tabla2[[#This Row],[Cosecha/Tarea]]/12,Tabla2[[#This Row],[Cosecha/Tarea]])</f>
        <v>8240</v>
      </c>
      <c r="F129" s="3" t="n">
        <v>44695</v>
      </c>
      <c r="G129" s="2" t="s">
        <v>18</v>
      </c>
      <c r="H129" s="2" t="n">
        <f aca="false">F129/Tabla2[[#This Row],[Cosecha Mensual]]</f>
        <v>5.42415048543689</v>
      </c>
      <c r="I129" s="2" t="n">
        <f aca="false">H129*_xlfn.XLOOKUP(Tabla2[[#This Row],[Unidad de producción]],Tabla3[Medida],Tabla3[Equivalencia en Kg],"ELVIS",0)</f>
        <v>246.039466019418</v>
      </c>
      <c r="J129" s="2" t="n">
        <v>198.524285714286</v>
      </c>
      <c r="K129" s="2" t="s">
        <v>18</v>
      </c>
      <c r="L129" s="2" t="n">
        <f aca="false">J129/_xlfn.XLOOKUP(Tabla2[[#This Row],[Unidad de precio]],Tabla3[Medida],Tabla3[Equivalencia en Kg],"ELVIS",0)</f>
        <v>4.37663769211389</v>
      </c>
      <c r="N129" s="3" t="n">
        <f aca="false">(Tabla2[[#This Row],[Productividad (kg/TAS)]]*Tabla2[[#This Row],[Precio por kg]]-Tabla2[[#This Row],[Costos (En RD$/Tarea)]])</f>
        <v>1076.82560072816</v>
      </c>
      <c r="O129" s="9" t="n">
        <f aca="false">IF(Tabla2[[#This Row],[Costos (En RD$/Tarea)]]=0,0,Tabla2[[#This Row],[Beneficio Neto  (En RD$/Tarea)]]/Tabla2[[#This Row],[Costos (En RD$/Tarea)]])</f>
        <v>0</v>
      </c>
      <c r="P129" s="7" t="n">
        <f aca="false">Tabla2[[#This Row],[Rentabilidad (%)]]/12</f>
        <v>0</v>
      </c>
    </row>
    <row r="130" customFormat="false" ht="14.25" hidden="false" customHeight="false" outlineLevel="0" collapsed="false">
      <c r="A130" s="1" t="n">
        <v>36831</v>
      </c>
      <c r="B130" s="2" t="s">
        <v>27</v>
      </c>
      <c r="C130" s="3" t="n">
        <v>1954</v>
      </c>
      <c r="D130" s="8" t="s">
        <v>17</v>
      </c>
      <c r="E130" s="3" t="n">
        <f aca="false">IF(Tabla2[[#This Row],[Frecuencia]]="Annual", Tabla2[[#This Row],[Cosecha/Tarea]]/12,Tabla2[[#This Row],[Cosecha/Tarea]])</f>
        <v>1954</v>
      </c>
      <c r="F130" s="3" t="n">
        <v>12127</v>
      </c>
      <c r="G130" s="2" t="s">
        <v>18</v>
      </c>
      <c r="H130" s="2" t="n">
        <f aca="false">F130/Tabla2[[#This Row],[Cosecha Mensual]]</f>
        <v>6.20624360286592</v>
      </c>
      <c r="I130" s="2" t="n">
        <f aca="false">H130*_xlfn.XLOOKUP(Tabla2[[#This Row],[Unidad de producción]],Tabla3[Medida],Tabla3[Equivalencia en Kg],"ELVIS",0)</f>
        <v>281.515209825998</v>
      </c>
      <c r="J130" s="2" t="n">
        <v>164.583333333333</v>
      </c>
      <c r="K130" s="2" t="s">
        <v>18</v>
      </c>
      <c r="L130" s="2" t="n">
        <f aca="false">J130/_xlfn.XLOOKUP(Tabla2[[#This Row],[Unidad de precio]],Tabla3[Medida],Tabla3[Equivalencia en Kg],"ELVIS",0)</f>
        <v>3.62838036449147</v>
      </c>
      <c r="N130" s="3" t="n">
        <f aca="false">(Tabla2[[#This Row],[Productividad (kg/TAS)]]*Tabla2[[#This Row],[Precio por kg]]-Tabla2[[#This Row],[Costos (En RD$/Tarea)]])</f>
        <v>1021.44425963835</v>
      </c>
      <c r="O130" s="9" t="n">
        <f aca="false">IF(Tabla2[[#This Row],[Costos (En RD$/Tarea)]]=0,0,Tabla2[[#This Row],[Beneficio Neto  (En RD$/Tarea)]]/Tabla2[[#This Row],[Costos (En RD$/Tarea)]])</f>
        <v>0</v>
      </c>
      <c r="P130" s="7" t="n">
        <f aca="false">Tabla2[[#This Row],[Rentabilidad (%)]]/12</f>
        <v>0</v>
      </c>
    </row>
    <row r="131" customFormat="false" ht="14.25" hidden="false" customHeight="false" outlineLevel="0" collapsed="false">
      <c r="A131" s="1" t="n">
        <v>36831</v>
      </c>
      <c r="B131" s="2" t="s">
        <v>28</v>
      </c>
      <c r="C131" s="3" t="n">
        <v>14085</v>
      </c>
      <c r="D131" s="8" t="s">
        <v>17</v>
      </c>
      <c r="E131" s="3" t="n">
        <f aca="false">IF(Tabla2[[#This Row],[Frecuencia]]="Annual", Tabla2[[#This Row],[Cosecha/Tarea]]/12,Tabla2[[#This Row],[Cosecha/Tarea]])</f>
        <v>14085</v>
      </c>
      <c r="F131" s="3" t="n">
        <v>25207</v>
      </c>
      <c r="G131" s="2" t="s">
        <v>18</v>
      </c>
      <c r="H131" s="2" t="n">
        <f aca="false">F131/Tabla2[[#This Row],[Cosecha Mensual]]</f>
        <v>1.7896343627973</v>
      </c>
      <c r="I131" s="2" t="n">
        <f aca="false">H131*_xlfn.XLOOKUP(Tabla2[[#This Row],[Unidad de producción]],Tabla3[Medida],Tabla3[Equivalencia en Kg],"ELVIS",0)</f>
        <v>81.1778146964856</v>
      </c>
      <c r="J131" s="2" t="n">
        <v>1960</v>
      </c>
      <c r="K131" s="2" t="s">
        <v>29</v>
      </c>
      <c r="L131" s="2" t="n">
        <f aca="false">J131/_xlfn.XLOOKUP(Tabla2[[#This Row],[Unidad de precio]],Tabla3[Medida],Tabla3[Equivalencia en Kg],"ELVIS",0)</f>
        <v>3.48543585731052</v>
      </c>
      <c r="N131" s="3" t="n">
        <f aca="false">(Tabla2[[#This Row],[Productividad (kg/TAS)]]*Tabla2[[#This Row],[Precio por kg]]-Tabla2[[#This Row],[Costos (En RD$/Tarea)]])</f>
        <v>282.94006616124</v>
      </c>
      <c r="O131" s="9" t="n">
        <f aca="false">IF(Tabla2[[#This Row],[Costos (En RD$/Tarea)]]=0,0,Tabla2[[#This Row],[Beneficio Neto  (En RD$/Tarea)]]/Tabla2[[#This Row],[Costos (En RD$/Tarea)]])</f>
        <v>0</v>
      </c>
      <c r="P131" s="7" t="n">
        <f aca="false">Tabla2[[#This Row],[Rentabilidad (%)]]/12</f>
        <v>0</v>
      </c>
    </row>
    <row r="132" customFormat="false" ht="14.25" hidden="false" customHeight="false" outlineLevel="0" collapsed="false">
      <c r="A132" s="1" t="n">
        <v>36831</v>
      </c>
      <c r="B132" s="2" t="s">
        <v>30</v>
      </c>
      <c r="C132" s="3" t="n">
        <v>324794</v>
      </c>
      <c r="D132" s="3" t="s">
        <v>31</v>
      </c>
      <c r="E132" s="3" t="n">
        <f aca="false">IF(Tabla2[[#This Row],[Frecuencia]]="Annual", Tabla2[[#This Row],[Cosecha/Tarea]]/12,Tabla2[[#This Row],[Cosecha/Tarea]])</f>
        <v>27066.1666666667</v>
      </c>
      <c r="F132" s="3" t="n">
        <v>1583062</v>
      </c>
      <c r="G132" s="2" t="s">
        <v>32</v>
      </c>
      <c r="H132" s="2" t="n">
        <f aca="false">F132/Tabla2[[#This Row],[Cosecha Mensual]]</f>
        <v>58.4885927695709</v>
      </c>
      <c r="I132" s="2" t="n">
        <f aca="false">H132*_xlfn.XLOOKUP(Tabla2[[#This Row],[Unidad de producción]],Tabla3[Medida],Tabla3[Equivalencia en Kg],"ELVIS",0)</f>
        <v>1591.47460926002</v>
      </c>
      <c r="J132" s="2" t="n">
        <v>23.0114285714286</v>
      </c>
      <c r="K132" s="2" t="s">
        <v>32</v>
      </c>
      <c r="L132" s="2" t="n">
        <f aca="false">J132/_xlfn.XLOOKUP(Tabla2[[#This Row],[Unidad de precio]],Tabla3[Medida],Tabla3[Equivalencia en Kg],"ELVIS",0)</f>
        <v>0.845697485168269</v>
      </c>
      <c r="M132" s="3"/>
      <c r="N132" s="3" t="n">
        <f aca="false">(Tabla2[[#This Row],[Productividad (kg/TAS)]]*Tabla2[[#This Row],[Precio por kg]]-Tabla2[[#This Row],[Costos (En RD$/Tarea)]])</f>
        <v>1345.90607476036</v>
      </c>
      <c r="O132" s="9" t="n">
        <f aca="false">IF(Tabla2[[#This Row],[Costos (En RD$/Tarea)]]=0,0,Tabla2[[#This Row],[Beneficio Neto  (En RD$/Tarea)]]/Tabla2[[#This Row],[Costos (En RD$/Tarea)]])</f>
        <v>0</v>
      </c>
      <c r="P132" s="7" t="n">
        <f aca="false">Tabla2[[#This Row],[Rentabilidad (%)]]/12</f>
        <v>0</v>
      </c>
    </row>
    <row r="133" customFormat="false" ht="14.25" hidden="false" customHeight="false" outlineLevel="0" collapsed="false">
      <c r="A133" s="1" t="n">
        <v>36831</v>
      </c>
      <c r="B133" s="2" t="s">
        <v>33</v>
      </c>
      <c r="C133" s="3" t="n">
        <v>575291</v>
      </c>
      <c r="D133" s="3" t="s">
        <v>31</v>
      </c>
      <c r="E133" s="3" t="n">
        <f aca="false">IF(Tabla2[[#This Row],[Frecuencia]]="Annual", Tabla2[[#This Row],[Cosecha/Tarea]]/12,Tabla2[[#This Row],[Cosecha/Tarea]])</f>
        <v>47940.9166666667</v>
      </c>
      <c r="F133" s="3" t="n">
        <v>76017</v>
      </c>
      <c r="G133" s="2" t="s">
        <v>34</v>
      </c>
      <c r="H133" s="2" t="n">
        <f aca="false">F133/Tabla2[[#This Row],[Cosecha Mensual]]</f>
        <v>1.58563926777926</v>
      </c>
      <c r="I133" s="2" t="n">
        <f aca="false">H133*_xlfn.XLOOKUP(Tabla2[[#This Row],[Unidad de producción]],Tabla3[Medida],Tabla3[Equivalencia en Kg],"ELVIS",0)</f>
        <v>647.178667144106</v>
      </c>
      <c r="J133" s="2" t="n">
        <v>1496.73857142857</v>
      </c>
      <c r="K133" s="2" t="s">
        <v>34</v>
      </c>
      <c r="L133" s="2" t="n">
        <f aca="false">J133/_xlfn.XLOOKUP(Tabla2[[#This Row],[Unidad de precio]],Tabla3[Medida],Tabla3[Equivalencia en Kg],"ELVIS",0)</f>
        <v>3.66712868168215</v>
      </c>
      <c r="M133" s="3"/>
      <c r="N133" s="3" t="n">
        <f aca="false">(Tabla2[[#This Row],[Productividad (kg/TAS)]]*Tabla2[[#This Row],[Precio por kg]]-Tabla2[[#This Row],[Costos (En RD$/Tarea)]])</f>
        <v>2373.28745245698</v>
      </c>
      <c r="O133" s="9" t="n">
        <f aca="false">IF(Tabla2[[#This Row],[Costos (En RD$/Tarea)]]=0,0,Tabla2[[#This Row],[Beneficio Neto  (En RD$/Tarea)]]/Tabla2[[#This Row],[Costos (En RD$/Tarea)]])</f>
        <v>0</v>
      </c>
      <c r="P133" s="7" t="n">
        <f aca="false">Tabla2[[#This Row],[Rentabilidad (%)]]/12</f>
        <v>0</v>
      </c>
    </row>
    <row r="134" customFormat="false" ht="14.25" hidden="false" customHeight="false" outlineLevel="0" collapsed="false">
      <c r="A134" s="1" t="n">
        <v>36861</v>
      </c>
      <c r="B134" s="2" t="s">
        <v>16</v>
      </c>
      <c r="C134" s="8" t="n">
        <v>164365</v>
      </c>
      <c r="D134" s="8" t="s">
        <v>17</v>
      </c>
      <c r="E134" s="8" t="n">
        <f aca="false">IF(Tabla2[[#This Row],[Frecuencia]]="Annual", Tabla2[[#This Row],[Cosecha/Tarea]]/12,Tabla2[[#This Row],[Cosecha/Tarea]])</f>
        <v>164365</v>
      </c>
      <c r="F134" s="3" t="n">
        <v>546838</v>
      </c>
      <c r="G134" s="2" t="s">
        <v>18</v>
      </c>
      <c r="H134" s="2" t="n">
        <f aca="false">F134/Tabla2[[#This Row],[Cosecha Mensual]]</f>
        <v>3.3269735040915</v>
      </c>
      <c r="I134" s="2" t="n">
        <f aca="false">H134*_xlfn.XLOOKUP(Tabla2[[#This Row],[Unidad de producción]],Tabla3[Medida],Tabla3[Equivalencia en Kg],"ELVIS",0)</f>
        <v>150.911518145591</v>
      </c>
      <c r="J134" s="2" t="n">
        <v>1068.85148514851</v>
      </c>
      <c r="K134" s="2" t="s">
        <v>19</v>
      </c>
      <c r="L134" s="2" t="n">
        <f aca="false">J134/_xlfn.XLOOKUP(Tabla2[[#This Row],[Unidad de precio]],Tabla3[Medida],Tabla3[Equivalencia en Kg],"ELVIS",0)</f>
        <v>9.71683168316827</v>
      </c>
      <c r="N134" s="3" t="n">
        <f aca="false">(Tabla2[[#This Row],[Productividad (kg/TAS)]]*Tabla2[[#This Row],[Precio por kg]]-Tabla2[[#This Row],[Costos (En RD$/Tarea)]])</f>
        <v>1466.3818208721</v>
      </c>
      <c r="O134" s="9" t="n">
        <f aca="false">IF(Tabla2[[#This Row],[Costos (En RD$/Tarea)]]=0,0,Tabla2[[#This Row],[Beneficio Neto  (En RD$/Tarea)]]/Tabla2[[#This Row],[Costos (En RD$/Tarea)]])</f>
        <v>0</v>
      </c>
      <c r="P134" s="7" t="n">
        <f aca="false">Tabla2[[#This Row],[Rentabilidad (%)]]/12</f>
        <v>0</v>
      </c>
    </row>
    <row r="135" customFormat="false" ht="14.25" hidden="false" customHeight="false" outlineLevel="0" collapsed="false">
      <c r="A135" s="1" t="n">
        <v>36861</v>
      </c>
      <c r="B135" s="2" t="s">
        <v>20</v>
      </c>
      <c r="C135" s="3" t="n">
        <v>27775</v>
      </c>
      <c r="D135" s="8" t="s">
        <v>17</v>
      </c>
      <c r="E135" s="3" t="n">
        <f aca="false">IF(Tabla2[[#This Row],[Frecuencia]]="Annual", Tabla2[[#This Row],[Cosecha/Tarea]]/12,Tabla2[[#This Row],[Cosecha/Tarea]])</f>
        <v>27775</v>
      </c>
      <c r="F135" s="3" t="n">
        <v>40210</v>
      </c>
      <c r="G135" s="2" t="s">
        <v>18</v>
      </c>
      <c r="H135" s="2" t="n">
        <f aca="false">F135/Tabla2[[#This Row],[Cosecha Mensual]]</f>
        <v>1.44770477047705</v>
      </c>
      <c r="I135" s="2" t="n">
        <f aca="false">H135*_xlfn.XLOOKUP(Tabla2[[#This Row],[Unidad de producción]],Tabla3[Medida],Tabla3[Equivalencia en Kg],"ELVIS",0)</f>
        <v>65.6678883888389</v>
      </c>
      <c r="J135" s="2" t="n">
        <v>127.902083333333</v>
      </c>
      <c r="K135" s="2" t="s">
        <v>18</v>
      </c>
      <c r="L135" s="2" t="n">
        <f aca="false">J135/_xlfn.XLOOKUP(Tabla2[[#This Row],[Unidad de precio]],Tabla3[Medida],Tabla3[Equivalencia en Kg],"ELVIS",0)</f>
        <v>2.8197108318636</v>
      </c>
      <c r="N135" s="3" t="n">
        <f aca="false">(Tabla2[[#This Row],[Productividad (kg/TAS)]]*Tabla2[[#This Row],[Precio por kg]]-Tabla2[[#This Row],[Costos (En RD$/Tarea)]])</f>
        <v>185.164456195619</v>
      </c>
      <c r="O135" s="9" t="n">
        <f aca="false">IF(Tabla2[[#This Row],[Costos (En RD$/Tarea)]]=0,0,Tabla2[[#This Row],[Beneficio Neto  (En RD$/Tarea)]]/Tabla2[[#This Row],[Costos (En RD$/Tarea)]])</f>
        <v>0</v>
      </c>
      <c r="P135" s="7" t="n">
        <f aca="false">Tabla2[[#This Row],[Rentabilidad (%)]]/12</f>
        <v>0</v>
      </c>
    </row>
    <row r="136" customFormat="false" ht="14.25" hidden="false" customHeight="false" outlineLevel="0" collapsed="false">
      <c r="A136" s="1" t="n">
        <v>36861</v>
      </c>
      <c r="B136" s="2" t="s">
        <v>21</v>
      </c>
      <c r="C136" s="3" t="n">
        <v>6686</v>
      </c>
      <c r="D136" s="8" t="s">
        <v>17</v>
      </c>
      <c r="E136" s="3" t="n">
        <f aca="false">IF(Tabla2[[#This Row],[Frecuencia]]="Annual", Tabla2[[#This Row],[Cosecha/Tarea]]/12,Tabla2[[#This Row],[Cosecha/Tarea]])</f>
        <v>6686</v>
      </c>
      <c r="F136" s="3" t="n">
        <v>50546</v>
      </c>
      <c r="G136" s="2" t="s">
        <v>18</v>
      </c>
      <c r="H136" s="2" t="n">
        <f aca="false">F136/Tabla2[[#This Row],[Cosecha Mensual]]</f>
        <v>7.55997606939874</v>
      </c>
      <c r="I136" s="2" t="n">
        <f aca="false">H136*_xlfn.XLOOKUP(Tabla2[[#This Row],[Unidad de producción]],Tabla3[Medida],Tabla3[Equivalencia en Kg],"ELVIS",0)</f>
        <v>342.920514507927</v>
      </c>
      <c r="J136" s="2" t="n">
        <v>157.5</v>
      </c>
      <c r="K136" s="2" t="s">
        <v>18</v>
      </c>
      <c r="L136" s="2" t="n">
        <f aca="false">J136/_xlfn.XLOOKUP(Tabla2[[#This Row],[Unidad de precio]],Tabla3[Medida],Tabla3[Equivalencia en Kg],"ELVIS",0)</f>
        <v>3.47222222222222</v>
      </c>
      <c r="N136" s="3" t="n">
        <f aca="false">(Tabla2[[#This Row],[Productividad (kg/TAS)]]*Tabla2[[#This Row],[Precio por kg]]-Tabla2[[#This Row],[Costos (En RD$/Tarea)]])</f>
        <v>1190.6962309303</v>
      </c>
      <c r="O136" s="9" t="n">
        <f aca="false">IF(Tabla2[[#This Row],[Costos (En RD$/Tarea)]]=0,0,Tabla2[[#This Row],[Beneficio Neto  (En RD$/Tarea)]]/Tabla2[[#This Row],[Costos (En RD$/Tarea)]])</f>
        <v>0</v>
      </c>
      <c r="P136" s="7" t="n">
        <f aca="false">Tabla2[[#This Row],[Rentabilidad (%)]]/12</f>
        <v>0</v>
      </c>
    </row>
    <row r="137" customFormat="false" ht="14.25" hidden="false" customHeight="false" outlineLevel="0" collapsed="false">
      <c r="A137" s="1" t="n">
        <v>36861</v>
      </c>
      <c r="B137" s="2" t="s">
        <v>22</v>
      </c>
      <c r="C137" s="3" t="n">
        <v>1781</v>
      </c>
      <c r="D137" s="8" t="s">
        <v>17</v>
      </c>
      <c r="E137" s="3" t="n">
        <f aca="false">IF(Tabla2[[#This Row],[Frecuencia]]="Annual", Tabla2[[#This Row],[Cosecha/Tarea]]/12,Tabla2[[#This Row],[Cosecha/Tarea]])</f>
        <v>1781</v>
      </c>
      <c r="F137" s="3" t="n">
        <v>15535</v>
      </c>
      <c r="G137" s="2" t="s">
        <v>18</v>
      </c>
      <c r="H137" s="2" t="n">
        <f aca="false">F137/Tabla2[[#This Row],[Cosecha Mensual]]</f>
        <v>8.72262773722628</v>
      </c>
      <c r="I137" s="2" t="n">
        <f aca="false">H137*_xlfn.XLOOKUP(Tabla2[[#This Row],[Unidad de producción]],Tabla3[Medida],Tabla3[Equivalencia en Kg],"ELVIS",0)</f>
        <v>395.658394160584</v>
      </c>
      <c r="J137" s="2" t="n">
        <v>187.916666666667</v>
      </c>
      <c r="K137" s="2" t="s">
        <v>18</v>
      </c>
      <c r="L137" s="2" t="n">
        <f aca="false">J137/_xlfn.XLOOKUP(Tabla2[[#This Row],[Unidad de precio]],Tabla3[Medida],Tabla3[Equivalencia en Kg],"ELVIS",0)</f>
        <v>4.14278365667255</v>
      </c>
      <c r="N137" s="3" t="n">
        <f aca="false">(Tabla2[[#This Row],[Productividad (kg/TAS)]]*Tabla2[[#This Row],[Precio por kg]]-Tabla2[[#This Row],[Costos (En RD$/Tarea)]])</f>
        <v>1639.12712895377</v>
      </c>
      <c r="O137" s="9" t="n">
        <f aca="false">IF(Tabla2[[#This Row],[Costos (En RD$/Tarea)]]=0,0,Tabla2[[#This Row],[Beneficio Neto  (En RD$/Tarea)]]/Tabla2[[#This Row],[Costos (En RD$/Tarea)]])</f>
        <v>0</v>
      </c>
      <c r="P137" s="7" t="n">
        <f aca="false">Tabla2[[#This Row],[Rentabilidad (%)]]/12</f>
        <v>0</v>
      </c>
    </row>
    <row r="138" customFormat="false" ht="14.25" hidden="false" customHeight="false" outlineLevel="0" collapsed="false">
      <c r="A138" s="1" t="n">
        <v>36861</v>
      </c>
      <c r="B138" s="2" t="s">
        <v>23</v>
      </c>
      <c r="C138" s="3" t="n">
        <v>1869</v>
      </c>
      <c r="D138" s="8" t="s">
        <v>17</v>
      </c>
      <c r="E138" s="3" t="n">
        <f aca="false">IF(Tabla2[[#This Row],[Frecuencia]]="Annual", Tabla2[[#This Row],[Cosecha/Tarea]]/12,Tabla2[[#This Row],[Cosecha/Tarea]])</f>
        <v>1869</v>
      </c>
      <c r="F138" s="3" t="n">
        <v>39010</v>
      </c>
      <c r="G138" s="2" t="s">
        <v>18</v>
      </c>
      <c r="H138" s="2" t="n">
        <f aca="false">F138/Tabla2[[#This Row],[Cosecha Mensual]]</f>
        <v>20.8721241305511</v>
      </c>
      <c r="I138" s="2" t="n">
        <f aca="false">H138*_xlfn.XLOOKUP(Tabla2[[#This Row],[Unidad de producción]],Tabla3[Medida],Tabla3[Equivalencia en Kg],"ELVIS",0)</f>
        <v>946.759550561798</v>
      </c>
      <c r="J138" s="2" t="n">
        <v>375</v>
      </c>
      <c r="K138" s="2" t="s">
        <v>18</v>
      </c>
      <c r="L138" s="2" t="n">
        <f aca="false">J138/_xlfn.XLOOKUP(Tabla2[[#This Row],[Unidad de precio]],Tabla3[Medida],Tabla3[Equivalencia en Kg],"ELVIS",0)</f>
        <v>8.26719576719577</v>
      </c>
      <c r="N138" s="3" t="n">
        <f aca="false">(Tabla2[[#This Row],[Productividad (kg/TAS)]]*Tabla2[[#This Row],[Precio por kg]]-Tabla2[[#This Row],[Costos (En RD$/Tarea)]])</f>
        <v>7827.04654895666</v>
      </c>
      <c r="O138" s="9" t="n">
        <f aca="false">IF(Tabla2[[#This Row],[Costos (En RD$/Tarea)]]=0,0,Tabla2[[#This Row],[Beneficio Neto  (En RD$/Tarea)]]/Tabla2[[#This Row],[Costos (En RD$/Tarea)]])</f>
        <v>0</v>
      </c>
      <c r="P138" s="7" t="n">
        <f aca="false">Tabla2[[#This Row],[Rentabilidad (%)]]/12</f>
        <v>0</v>
      </c>
    </row>
    <row r="139" customFormat="false" ht="14.25" hidden="false" customHeight="false" outlineLevel="0" collapsed="false">
      <c r="A139" s="1" t="n">
        <v>36861</v>
      </c>
      <c r="B139" s="2" t="s">
        <v>24</v>
      </c>
      <c r="C139" s="3" t="n">
        <v>8894</v>
      </c>
      <c r="D139" s="8" t="s">
        <v>17</v>
      </c>
      <c r="E139" s="3" t="n">
        <f aca="false">IF(Tabla2[[#This Row],[Frecuencia]]="Annual", Tabla2[[#This Row],[Cosecha/Tarea]]/12,Tabla2[[#This Row],[Cosecha/Tarea]])</f>
        <v>8894</v>
      </c>
      <c r="F139" s="3" t="n">
        <v>94196</v>
      </c>
      <c r="G139" s="2" t="s">
        <v>18</v>
      </c>
      <c r="H139" s="2" t="n">
        <f aca="false">F139/Tabla2[[#This Row],[Cosecha Mensual]]</f>
        <v>10.5909601978862</v>
      </c>
      <c r="I139" s="2" t="n">
        <f aca="false">H139*_xlfn.XLOOKUP(Tabla2[[#This Row],[Unidad de producción]],Tabla3[Medida],Tabla3[Equivalencia en Kg],"ELVIS",0)</f>
        <v>480.405954576119</v>
      </c>
      <c r="J139" s="2" t="n">
        <v>649.25</v>
      </c>
      <c r="K139" s="2" t="s">
        <v>18</v>
      </c>
      <c r="L139" s="2" t="n">
        <f aca="false">J139/_xlfn.XLOOKUP(Tabla2[[#This Row],[Unidad de precio]],Tabla3[Medida],Tabla3[Equivalencia en Kg],"ELVIS",0)</f>
        <v>14.3132716049383</v>
      </c>
      <c r="N139" s="3" t="n">
        <f aca="false">(Tabla2[[#This Row],[Productividad (kg/TAS)]]*Tabla2[[#This Row],[Precio por kg]]-Tabla2[[#This Row],[Costos (En RD$/Tarea)]])</f>
        <v>6876.18090847763</v>
      </c>
      <c r="O139" s="9" t="n">
        <f aca="false">IF(Tabla2[[#This Row],[Costos (En RD$/Tarea)]]=0,0,Tabla2[[#This Row],[Beneficio Neto  (En RD$/Tarea)]]/Tabla2[[#This Row],[Costos (En RD$/Tarea)]])</f>
        <v>0</v>
      </c>
      <c r="P139" s="7" t="n">
        <f aca="false">Tabla2[[#This Row],[Rentabilidad (%)]]/12</f>
        <v>0</v>
      </c>
    </row>
    <row r="140" customFormat="false" ht="14.25" hidden="false" customHeight="false" outlineLevel="0" collapsed="false">
      <c r="A140" s="1" t="n">
        <v>36861</v>
      </c>
      <c r="B140" s="2" t="s">
        <v>25</v>
      </c>
      <c r="C140" s="3" t="n">
        <v>24997</v>
      </c>
      <c r="D140" s="8" t="s">
        <v>17</v>
      </c>
      <c r="E140" s="3" t="n">
        <f aca="false">IF(Tabla2[[#This Row],[Frecuencia]]="Annual", Tabla2[[#This Row],[Cosecha/Tarea]]/12,Tabla2[[#This Row],[Cosecha/Tarea]])</f>
        <v>24997</v>
      </c>
      <c r="F140" s="3" t="n">
        <v>241651</v>
      </c>
      <c r="G140" s="2" t="s">
        <v>18</v>
      </c>
      <c r="H140" s="2" t="n">
        <f aca="false">F140/Tabla2[[#This Row],[Cosecha Mensual]]</f>
        <v>9.66720006400768</v>
      </c>
      <c r="I140" s="2" t="n">
        <f aca="false">H140*_xlfn.XLOOKUP(Tabla2[[#This Row],[Unidad de producción]],Tabla3[Medida],Tabla3[Equivalencia en Kg],"ELVIS",0)</f>
        <v>438.504194903388</v>
      </c>
      <c r="J140" s="2" t="n">
        <v>109.754166666667</v>
      </c>
      <c r="K140" s="2" t="s">
        <v>18</v>
      </c>
      <c r="L140" s="2" t="n">
        <f aca="false">J140/_xlfn.XLOOKUP(Tabla2[[#This Row],[Unidad de precio]],Tabla3[Medida],Tabla3[Equivalencia en Kg],"ELVIS",0)</f>
        <v>2.41962448559672</v>
      </c>
      <c r="N140" s="3" t="n">
        <f aca="false">(Tabla2[[#This Row],[Productividad (kg/TAS)]]*Tabla2[[#This Row],[Precio por kg]]-Tabla2[[#This Row],[Costos (En RD$/Tarea)]])</f>
        <v>1061.01548702511</v>
      </c>
      <c r="O140" s="9" t="n">
        <f aca="false">IF(Tabla2[[#This Row],[Costos (En RD$/Tarea)]]=0,0,Tabla2[[#This Row],[Beneficio Neto  (En RD$/Tarea)]]/Tabla2[[#This Row],[Costos (En RD$/Tarea)]])</f>
        <v>0</v>
      </c>
      <c r="P140" s="7" t="n">
        <f aca="false">Tabla2[[#This Row],[Rentabilidad (%)]]/12</f>
        <v>0</v>
      </c>
    </row>
    <row r="141" customFormat="false" ht="14.25" hidden="false" customHeight="false" outlineLevel="0" collapsed="false">
      <c r="A141" s="1" t="n">
        <v>36861</v>
      </c>
      <c r="B141" s="2" t="s">
        <v>26</v>
      </c>
      <c r="C141" s="3" t="n">
        <v>9718</v>
      </c>
      <c r="D141" s="8" t="s">
        <v>17</v>
      </c>
      <c r="E141" s="3" t="n">
        <f aca="false">IF(Tabla2[[#This Row],[Frecuencia]]="Annual", Tabla2[[#This Row],[Cosecha/Tarea]]/12,Tabla2[[#This Row],[Cosecha/Tarea]])</f>
        <v>9718</v>
      </c>
      <c r="F141" s="3" t="n">
        <v>57852</v>
      </c>
      <c r="G141" s="2" t="s">
        <v>18</v>
      </c>
      <c r="H141" s="2" t="n">
        <f aca="false">F141/Tabla2[[#This Row],[Cosecha Mensual]]</f>
        <v>5.95307676476641</v>
      </c>
      <c r="I141" s="2" t="n">
        <f aca="false">H141*_xlfn.XLOOKUP(Tabla2[[#This Row],[Unidad de producción]],Tabla3[Medida],Tabla3[Equivalencia en Kg],"ELVIS",0)</f>
        <v>270.031562049805</v>
      </c>
      <c r="J141" s="2" t="n">
        <v>167.9</v>
      </c>
      <c r="K141" s="2" t="s">
        <v>18</v>
      </c>
      <c r="L141" s="2" t="n">
        <f aca="false">J141/_xlfn.XLOOKUP(Tabla2[[#This Row],[Unidad de precio]],Tabla3[Medida],Tabla3[Equivalencia en Kg],"ELVIS",0)</f>
        <v>3.70149911816579</v>
      </c>
      <c r="N141" s="3" t="n">
        <f aca="false">(Tabla2[[#This Row],[Productividad (kg/TAS)]]*Tabla2[[#This Row],[Precio por kg]]-Tabla2[[#This Row],[Costos (En RD$/Tarea)]])</f>
        <v>999.521588804281</v>
      </c>
      <c r="O141" s="9" t="n">
        <f aca="false">IF(Tabla2[[#This Row],[Costos (En RD$/Tarea)]]=0,0,Tabla2[[#This Row],[Beneficio Neto  (En RD$/Tarea)]]/Tabla2[[#This Row],[Costos (En RD$/Tarea)]])</f>
        <v>0</v>
      </c>
      <c r="P141" s="7" t="n">
        <f aca="false">Tabla2[[#This Row],[Rentabilidad (%)]]/12</f>
        <v>0</v>
      </c>
    </row>
    <row r="142" customFormat="false" ht="14.25" hidden="false" customHeight="false" outlineLevel="0" collapsed="false">
      <c r="A142" s="1" t="n">
        <v>36861</v>
      </c>
      <c r="B142" s="2" t="s">
        <v>27</v>
      </c>
      <c r="C142" s="3" t="n">
        <v>2277</v>
      </c>
      <c r="D142" s="8" t="s">
        <v>17</v>
      </c>
      <c r="E142" s="3" t="n">
        <f aca="false">IF(Tabla2[[#This Row],[Frecuencia]]="Annual", Tabla2[[#This Row],[Cosecha/Tarea]]/12,Tabla2[[#This Row],[Cosecha/Tarea]])</f>
        <v>2277</v>
      </c>
      <c r="F142" s="3" t="n">
        <v>18817</v>
      </c>
      <c r="G142" s="2" t="s">
        <v>18</v>
      </c>
      <c r="H142" s="2" t="n">
        <f aca="false">F142/Tabla2[[#This Row],[Cosecha Mensual]]</f>
        <v>8.26394378568292</v>
      </c>
      <c r="I142" s="2" t="n">
        <f aca="false">H142*_xlfn.XLOOKUP(Tabla2[[#This Row],[Unidad de producción]],Tabla3[Medida],Tabla3[Equivalencia en Kg],"ELVIS",0)</f>
        <v>374.852490118577</v>
      </c>
      <c r="J142" s="2" t="n">
        <v>148.166666666667</v>
      </c>
      <c r="K142" s="2" t="s">
        <v>18</v>
      </c>
      <c r="L142" s="2" t="n">
        <f aca="false">J142/_xlfn.XLOOKUP(Tabla2[[#This Row],[Unidad de precio]],Tabla3[Medida],Tabla3[Equivalencia en Kg],"ELVIS",0)</f>
        <v>3.2664609053498</v>
      </c>
      <c r="N142" s="3" t="n">
        <f aca="false">(Tabla2[[#This Row],[Productividad (kg/TAS)]]*Tabla2[[#This Row],[Precio por kg]]-Tabla2[[#This Row],[Costos (En RD$/Tarea)]])</f>
        <v>1224.44100424535</v>
      </c>
      <c r="O142" s="9" t="n">
        <f aca="false">IF(Tabla2[[#This Row],[Costos (En RD$/Tarea)]]=0,0,Tabla2[[#This Row],[Beneficio Neto  (En RD$/Tarea)]]/Tabla2[[#This Row],[Costos (En RD$/Tarea)]])</f>
        <v>0</v>
      </c>
      <c r="P142" s="7" t="n">
        <f aca="false">Tabla2[[#This Row],[Rentabilidad (%)]]/12</f>
        <v>0</v>
      </c>
    </row>
    <row r="143" customFormat="false" ht="14.25" hidden="false" customHeight="false" outlineLevel="0" collapsed="false">
      <c r="A143" s="1" t="n">
        <v>36861</v>
      </c>
      <c r="B143" s="2" t="s">
        <v>28</v>
      </c>
      <c r="C143" s="3" t="n">
        <v>15627</v>
      </c>
      <c r="D143" s="8" t="s">
        <v>17</v>
      </c>
      <c r="E143" s="3" t="n">
        <f aca="false">IF(Tabla2[[#This Row],[Frecuencia]]="Annual", Tabla2[[#This Row],[Cosecha/Tarea]]/12,Tabla2[[#This Row],[Cosecha/Tarea]])</f>
        <v>15627</v>
      </c>
      <c r="F143" s="3" t="n">
        <v>37827</v>
      </c>
      <c r="G143" s="2" t="s">
        <v>18</v>
      </c>
      <c r="H143" s="2" t="n">
        <f aca="false">F143/Tabla2[[#This Row],[Cosecha Mensual]]</f>
        <v>2.42061816087541</v>
      </c>
      <c r="I143" s="2" t="n">
        <f aca="false">H143*_xlfn.XLOOKUP(Tabla2[[#This Row],[Unidad de producción]],Tabla3[Medida],Tabla3[Equivalencia en Kg],"ELVIS",0)</f>
        <v>109.799239777309</v>
      </c>
      <c r="J143" s="2" t="n">
        <v>2662.5</v>
      </c>
      <c r="K143" s="2" t="s">
        <v>29</v>
      </c>
      <c r="L143" s="2" t="n">
        <f aca="false">J143/_xlfn.XLOOKUP(Tabla2[[#This Row],[Unidad de precio]],Tabla3[Medida],Tabla3[Equivalencia en Kg],"ELVIS",0)</f>
        <v>4.73468008678024</v>
      </c>
      <c r="N143" s="3" t="n">
        <f aca="false">(Tabla2[[#This Row],[Productividad (kg/TAS)]]*Tabla2[[#This Row],[Precio por kg]]-Tabla2[[#This Row],[Costos (En RD$/Tarea)]])</f>
        <v>519.864274117231</v>
      </c>
      <c r="O143" s="9" t="n">
        <f aca="false">IF(Tabla2[[#This Row],[Costos (En RD$/Tarea)]]=0,0,Tabla2[[#This Row],[Beneficio Neto  (En RD$/Tarea)]]/Tabla2[[#This Row],[Costos (En RD$/Tarea)]])</f>
        <v>0</v>
      </c>
      <c r="P143" s="7" t="n">
        <f aca="false">Tabla2[[#This Row],[Rentabilidad (%)]]/12</f>
        <v>0</v>
      </c>
    </row>
    <row r="144" customFormat="false" ht="14.25" hidden="false" customHeight="false" outlineLevel="0" collapsed="false">
      <c r="A144" s="1" t="n">
        <v>36861</v>
      </c>
      <c r="B144" s="2" t="s">
        <v>30</v>
      </c>
      <c r="C144" s="3" t="n">
        <v>259643</v>
      </c>
      <c r="D144" s="3" t="s">
        <v>31</v>
      </c>
      <c r="E144" s="3" t="n">
        <f aca="false">IF(Tabla2[[#This Row],[Frecuencia]]="Annual", Tabla2[[#This Row],[Cosecha/Tarea]]/12,Tabla2[[#This Row],[Cosecha/Tarea]])</f>
        <v>21636.9166666667</v>
      </c>
      <c r="F144" s="3" t="n">
        <v>1533707</v>
      </c>
      <c r="G144" s="2" t="s">
        <v>32</v>
      </c>
      <c r="H144" s="2" t="n">
        <f aca="false">F144/Tabla2[[#This Row],[Cosecha Mensual]]</f>
        <v>70.8838058410972</v>
      </c>
      <c r="I144" s="2" t="n">
        <f aca="false">H144*_xlfn.XLOOKUP(Tabla2[[#This Row],[Unidad de producción]],Tabla3[Medida],Tabla3[Equivalencia en Kg],"ELVIS",0)</f>
        <v>1928.74835693625</v>
      </c>
      <c r="J144" s="2" t="n">
        <v>24.125</v>
      </c>
      <c r="K144" s="2" t="s">
        <v>32</v>
      </c>
      <c r="L144" s="2" t="n">
        <f aca="false">J144/_xlfn.XLOOKUP(Tabla2[[#This Row],[Unidad de precio]],Tabla3[Medida],Tabla3[Equivalencia en Kg],"ELVIS",0)</f>
        <v>0.88662256523337</v>
      </c>
      <c r="M144" s="3"/>
      <c r="N144" s="3" t="n">
        <f aca="false">(Tabla2[[#This Row],[Productividad (kg/TAS)]]*Tabla2[[#This Row],[Precio por kg]]-Tabla2[[#This Row],[Costos (En RD$/Tarea)]])</f>
        <v>1710.07181591647</v>
      </c>
      <c r="O144" s="9" t="n">
        <f aca="false">IF(Tabla2[[#This Row],[Costos (En RD$/Tarea)]]=0,0,Tabla2[[#This Row],[Beneficio Neto  (En RD$/Tarea)]]/Tabla2[[#This Row],[Costos (En RD$/Tarea)]])</f>
        <v>0</v>
      </c>
      <c r="P144" s="7" t="n">
        <f aca="false">Tabla2[[#This Row],[Rentabilidad (%)]]/12</f>
        <v>0</v>
      </c>
    </row>
    <row r="145" customFormat="false" ht="14.25" hidden="false" customHeight="false" outlineLevel="0" collapsed="false">
      <c r="A145" s="1" t="n">
        <v>36861</v>
      </c>
      <c r="B145" s="2" t="s">
        <v>33</v>
      </c>
      <c r="C145" s="3" t="n">
        <v>562094</v>
      </c>
      <c r="D145" s="3" t="s">
        <v>31</v>
      </c>
      <c r="E145" s="3" t="n">
        <f aca="false">IF(Tabla2[[#This Row],[Frecuencia]]="Annual", Tabla2[[#This Row],[Cosecha/Tarea]]/12,Tabla2[[#This Row],[Cosecha/Tarea]])</f>
        <v>46841.1666666667</v>
      </c>
      <c r="F145" s="3" t="n">
        <v>78057</v>
      </c>
      <c r="G145" s="2" t="s">
        <v>34</v>
      </c>
      <c r="H145" s="2" t="n">
        <f aca="false">F145/Tabla2[[#This Row],[Cosecha Mensual]]</f>
        <v>1.6664187840468</v>
      </c>
      <c r="I145" s="2" t="n">
        <f aca="false">H145*_xlfn.XLOOKUP(Tabla2[[#This Row],[Unidad de producción]],Tabla3[Medida],Tabla3[Equivalencia en Kg],"ELVIS",0)</f>
        <v>680.1488267087</v>
      </c>
      <c r="J145" s="2" t="n">
        <v>1429.75</v>
      </c>
      <c r="K145" s="2" t="s">
        <v>34</v>
      </c>
      <c r="L145" s="2" t="n">
        <f aca="false">J145/_xlfn.XLOOKUP(Tabla2[[#This Row],[Unidad de precio]],Tabla3[Medida],Tabla3[Equivalencia en Kg],"ELVIS",0)</f>
        <v>3.5030013475438</v>
      </c>
      <c r="M145" s="3"/>
      <c r="N145" s="3" t="n">
        <f aca="false">(Tabla2[[#This Row],[Productividad (kg/TAS)]]*Tabla2[[#This Row],[Precio por kg]]-Tabla2[[#This Row],[Costos (En RD$/Tarea)]])</f>
        <v>2382.56225649091</v>
      </c>
      <c r="O145" s="9" t="n">
        <f aca="false">IF(Tabla2[[#This Row],[Costos (En RD$/Tarea)]]=0,0,Tabla2[[#This Row],[Beneficio Neto  (En RD$/Tarea)]]/Tabla2[[#This Row],[Costos (En RD$/Tarea)]])</f>
        <v>0</v>
      </c>
      <c r="P145" s="7" t="n">
        <f aca="false">Tabla2[[#This Row],[Rentabilidad (%)]]/12</f>
        <v>0</v>
      </c>
    </row>
    <row r="146" customFormat="false" ht="14.25" hidden="false" customHeight="false" outlineLevel="0" collapsed="false">
      <c r="A146" s="1" t="n">
        <v>36892</v>
      </c>
      <c r="B146" s="2" t="s">
        <v>16</v>
      </c>
      <c r="C146" s="3" t="n">
        <v>58745</v>
      </c>
      <c r="D146" s="8" t="s">
        <v>17</v>
      </c>
      <c r="E146" s="3" t="n">
        <f aca="false">IF(Tabla2[[#This Row],[Frecuencia]]="Annual", Tabla2[[#This Row],[Cosecha/Tarea]]/12,Tabla2[[#This Row],[Cosecha/Tarea]])</f>
        <v>58745</v>
      </c>
      <c r="F146" s="3" t="n">
        <v>175343</v>
      </c>
      <c r="G146" s="2" t="s">
        <v>18</v>
      </c>
      <c r="H146" s="2" t="n">
        <f aca="false">F146/Tabla2[[#This Row],[Cosecha Mensual]]</f>
        <v>2.98481572899821</v>
      </c>
      <c r="I146" s="2" t="n">
        <f aca="false">H146*_xlfn.XLOOKUP(Tabla2[[#This Row],[Unidad de producción]],Tabla3[Medida],Tabla3[Equivalencia en Kg],"ELVIS",0)</f>
        <v>135.391241467359</v>
      </c>
      <c r="J146" s="2" t="n">
        <v>968.290429042904</v>
      </c>
      <c r="K146" s="2" t="s">
        <v>19</v>
      </c>
      <c r="L146" s="2" t="n">
        <f aca="false">J146/_xlfn.XLOOKUP(Tabla2[[#This Row],[Unidad de precio]],Tabla3[Medida],Tabla3[Equivalencia en Kg],"ELVIS",0)</f>
        <v>8.8026402640264</v>
      </c>
      <c r="N146" s="3" t="n">
        <f aca="false">(Tabla2[[#This Row],[Productividad (kg/TAS)]]*Tabla2[[#This Row],[Precio por kg]]-Tabla2[[#This Row],[Costos (En RD$/Tarea)]])</f>
        <v>1191.80039353709</v>
      </c>
      <c r="O146" s="9" t="n">
        <f aca="false">IF(Tabla2[[#This Row],[Costos (En RD$/Tarea)]]=0,0,Tabla2[[#This Row],[Beneficio Neto  (En RD$/Tarea)]]/Tabla2[[#This Row],[Costos (En RD$/Tarea)]])</f>
        <v>0</v>
      </c>
      <c r="P146" s="7" t="n">
        <f aca="false">Tabla2[[#This Row],[Rentabilidad (%)]]/12</f>
        <v>0</v>
      </c>
    </row>
    <row r="147" customFormat="false" ht="14.25" hidden="false" customHeight="false" outlineLevel="0" collapsed="false">
      <c r="A147" s="1" t="n">
        <v>36892</v>
      </c>
      <c r="B147" s="2" t="s">
        <v>20</v>
      </c>
      <c r="C147" s="3" t="n">
        <v>30716</v>
      </c>
      <c r="D147" s="8" t="s">
        <v>17</v>
      </c>
      <c r="E147" s="3" t="n">
        <f aca="false">IF(Tabla2[[#This Row],[Frecuencia]]="Annual", Tabla2[[#This Row],[Cosecha/Tarea]]/12,Tabla2[[#This Row],[Cosecha/Tarea]])</f>
        <v>30716</v>
      </c>
      <c r="F147" s="3" t="n">
        <v>48838</v>
      </c>
      <c r="G147" s="2" t="s">
        <v>18</v>
      </c>
      <c r="H147" s="2" t="n">
        <f aca="false">F147/Tabla2[[#This Row],[Cosecha Mensual]]</f>
        <v>1.58998567521813</v>
      </c>
      <c r="I147" s="2" t="n">
        <f aca="false">H147*_xlfn.XLOOKUP(Tabla2[[#This Row],[Unidad de producción]],Tabla3[Medida],Tabla3[Equivalencia en Kg],"ELVIS",0)</f>
        <v>72.1217502278943</v>
      </c>
      <c r="J147" s="2" t="n">
        <v>134.583166666667</v>
      </c>
      <c r="K147" s="2" t="s">
        <v>18</v>
      </c>
      <c r="L147" s="2" t="n">
        <f aca="false">J147/_xlfn.XLOOKUP(Tabla2[[#This Row],[Unidad de precio]],Tabla3[Medida],Tabla3[Equivalencia en Kg],"ELVIS",0)</f>
        <v>2.96700102880659</v>
      </c>
      <c r="N147" s="3" t="n">
        <f aca="false">(Tabla2[[#This Row],[Productividad (kg/TAS)]]*Tabla2[[#This Row],[Precio por kg]]-Tabla2[[#This Row],[Costos (En RD$/Tarea)]])</f>
        <v>213.985307125494</v>
      </c>
      <c r="O147" s="9" t="n">
        <f aca="false">IF(Tabla2[[#This Row],[Costos (En RD$/Tarea)]]=0,0,Tabla2[[#This Row],[Beneficio Neto  (En RD$/Tarea)]]/Tabla2[[#This Row],[Costos (En RD$/Tarea)]])</f>
        <v>0</v>
      </c>
      <c r="P147" s="7" t="n">
        <f aca="false">Tabla2[[#This Row],[Rentabilidad (%)]]/12</f>
        <v>0</v>
      </c>
    </row>
    <row r="148" customFormat="false" ht="14.25" hidden="false" customHeight="false" outlineLevel="0" collapsed="false">
      <c r="A148" s="1" t="n">
        <v>36892</v>
      </c>
      <c r="B148" s="2" t="s">
        <v>21</v>
      </c>
      <c r="C148" s="3" t="n">
        <v>5227</v>
      </c>
      <c r="D148" s="8" t="s">
        <v>17</v>
      </c>
      <c r="E148" s="3" t="n">
        <f aca="false">IF(Tabla2[[#This Row],[Frecuencia]]="Annual", Tabla2[[#This Row],[Cosecha/Tarea]]/12,Tabla2[[#This Row],[Cosecha/Tarea]])</f>
        <v>5227</v>
      </c>
      <c r="F148" s="3" t="n">
        <v>43395</v>
      </c>
      <c r="G148" s="2" t="s">
        <v>18</v>
      </c>
      <c r="H148" s="2" t="n">
        <f aca="false">F148/Tabla2[[#This Row],[Cosecha Mensual]]</f>
        <v>8.30208532619093</v>
      </c>
      <c r="I148" s="2" t="n">
        <f aca="false">H148*_xlfn.XLOOKUP(Tabla2[[#This Row],[Unidad de producción]],Tabla3[Medida],Tabla3[Equivalencia en Kg],"ELVIS",0)</f>
        <v>376.582590396021</v>
      </c>
      <c r="J148" s="2" t="n">
        <v>161.76</v>
      </c>
      <c r="K148" s="2" t="s">
        <v>18</v>
      </c>
      <c r="L148" s="2" t="n">
        <f aca="false">J148/_xlfn.XLOOKUP(Tabla2[[#This Row],[Unidad de precio]],Tabla3[Medida],Tabla3[Equivalencia en Kg],"ELVIS",0)</f>
        <v>3.56613756613757</v>
      </c>
      <c r="N148" s="3" t="n">
        <f aca="false">(Tabla2[[#This Row],[Productividad (kg/TAS)]]*Tabla2[[#This Row],[Precio por kg]]-Tabla2[[#This Row],[Costos (En RD$/Tarea)]])</f>
        <v>1342.94532236465</v>
      </c>
      <c r="O148" s="9" t="n">
        <f aca="false">IF(Tabla2[[#This Row],[Costos (En RD$/Tarea)]]=0,0,Tabla2[[#This Row],[Beneficio Neto  (En RD$/Tarea)]]/Tabla2[[#This Row],[Costos (En RD$/Tarea)]])</f>
        <v>0</v>
      </c>
      <c r="P148" s="7" t="n">
        <f aca="false">Tabla2[[#This Row],[Rentabilidad (%)]]/12</f>
        <v>0</v>
      </c>
    </row>
    <row r="149" customFormat="false" ht="14.25" hidden="false" customHeight="false" outlineLevel="0" collapsed="false">
      <c r="A149" s="1" t="n">
        <v>36892</v>
      </c>
      <c r="B149" s="2" t="s">
        <v>22</v>
      </c>
      <c r="C149" s="3" t="n">
        <v>3270</v>
      </c>
      <c r="D149" s="8" t="s">
        <v>17</v>
      </c>
      <c r="E149" s="3" t="n">
        <f aca="false">IF(Tabla2[[#This Row],[Frecuencia]]="Annual", Tabla2[[#This Row],[Cosecha/Tarea]]/12,Tabla2[[#This Row],[Cosecha/Tarea]])</f>
        <v>3270</v>
      </c>
      <c r="F149" s="3" t="n">
        <v>29165</v>
      </c>
      <c r="G149" s="2" t="s">
        <v>18</v>
      </c>
      <c r="H149" s="2" t="n">
        <f aca="false">F149/Tabla2[[#This Row],[Cosecha Mensual]]</f>
        <v>8.91896024464832</v>
      </c>
      <c r="I149" s="2" t="n">
        <f aca="false">H149*_xlfn.XLOOKUP(Tabla2[[#This Row],[Unidad de producción]],Tabla3[Medida],Tabla3[Equivalencia en Kg],"ELVIS",0)</f>
        <v>404.564036697248</v>
      </c>
      <c r="J149" s="2" t="n">
        <v>350.136</v>
      </c>
      <c r="K149" s="2" t="s">
        <v>18</v>
      </c>
      <c r="L149" s="2" t="n">
        <f aca="false">J149/_xlfn.XLOOKUP(Tabla2[[#This Row],[Unidad de precio]],Tabla3[Medida],Tabla3[Equivalencia en Kg],"ELVIS",0)</f>
        <v>7.71904761904762</v>
      </c>
      <c r="N149" s="3" t="n">
        <f aca="false">(Tabla2[[#This Row],[Productividad (kg/TAS)]]*Tabla2[[#This Row],[Precio por kg]]-Tabla2[[#This Row],[Costos (En RD$/Tarea)]])</f>
        <v>3122.84906422018</v>
      </c>
      <c r="O149" s="9" t="n">
        <f aca="false">IF(Tabla2[[#This Row],[Costos (En RD$/Tarea)]]=0,0,Tabla2[[#This Row],[Beneficio Neto  (En RD$/Tarea)]]/Tabla2[[#This Row],[Costos (En RD$/Tarea)]])</f>
        <v>0</v>
      </c>
      <c r="P149" s="7" t="n">
        <f aca="false">Tabla2[[#This Row],[Rentabilidad (%)]]/12</f>
        <v>0</v>
      </c>
    </row>
    <row r="150" customFormat="false" ht="14.25" hidden="false" customHeight="false" outlineLevel="0" collapsed="false">
      <c r="A150" s="1" t="n">
        <v>36892</v>
      </c>
      <c r="B150" s="2" t="s">
        <v>23</v>
      </c>
      <c r="C150" s="3" t="n">
        <v>2216</v>
      </c>
      <c r="D150" s="8" t="s">
        <v>17</v>
      </c>
      <c r="E150" s="3" t="n">
        <f aca="false">IF(Tabla2[[#This Row],[Frecuencia]]="Annual", Tabla2[[#This Row],[Cosecha/Tarea]]/12,Tabla2[[#This Row],[Cosecha/Tarea]])</f>
        <v>2216</v>
      </c>
      <c r="F150" s="3" t="n">
        <v>35568</v>
      </c>
      <c r="G150" s="2" t="s">
        <v>18</v>
      </c>
      <c r="H150" s="2" t="n">
        <f aca="false">F150/Tabla2[[#This Row],[Cosecha Mensual]]</f>
        <v>16.0505415162455</v>
      </c>
      <c r="I150" s="2" t="n">
        <f aca="false">H150*_xlfn.XLOOKUP(Tabla2[[#This Row],[Unidad de producción]],Tabla3[Medida],Tabla3[Equivalencia en Kg],"ELVIS",0)</f>
        <v>728.052563176895</v>
      </c>
      <c r="J150" s="2" t="n">
        <v>389.5125</v>
      </c>
      <c r="K150" s="2" t="s">
        <v>18</v>
      </c>
      <c r="L150" s="2" t="n">
        <f aca="false">J150/_xlfn.XLOOKUP(Tabla2[[#This Row],[Unidad de precio]],Tabla3[Medida],Tabla3[Equivalencia en Kg],"ELVIS",0)</f>
        <v>8.58713624338624</v>
      </c>
      <c r="N150" s="3" t="n">
        <f aca="false">(Tabla2[[#This Row],[Productividad (kg/TAS)]]*Tabla2[[#This Row],[Precio por kg]]-Tabla2[[#This Row],[Costos (En RD$/Tarea)]])</f>
        <v>6251.88655234657</v>
      </c>
      <c r="O150" s="9" t="n">
        <f aca="false">IF(Tabla2[[#This Row],[Costos (En RD$/Tarea)]]=0,0,Tabla2[[#This Row],[Beneficio Neto  (En RD$/Tarea)]]/Tabla2[[#This Row],[Costos (En RD$/Tarea)]])</f>
        <v>0</v>
      </c>
      <c r="P150" s="7" t="n">
        <f aca="false">Tabla2[[#This Row],[Rentabilidad (%)]]/12</f>
        <v>0</v>
      </c>
    </row>
    <row r="151" customFormat="false" ht="14.25" hidden="false" customHeight="false" outlineLevel="0" collapsed="false">
      <c r="A151" s="1" t="n">
        <v>36892</v>
      </c>
      <c r="B151" s="2" t="s">
        <v>24</v>
      </c>
      <c r="C151" s="3" t="n">
        <v>8013</v>
      </c>
      <c r="D151" s="8" t="s">
        <v>17</v>
      </c>
      <c r="E151" s="3" t="n">
        <f aca="false">IF(Tabla2[[#This Row],[Frecuencia]]="Annual", Tabla2[[#This Row],[Cosecha/Tarea]]/12,Tabla2[[#This Row],[Cosecha/Tarea]])</f>
        <v>8013</v>
      </c>
      <c r="F151" s="3" t="n">
        <v>86422</v>
      </c>
      <c r="G151" s="2" t="s">
        <v>18</v>
      </c>
      <c r="H151" s="2" t="n">
        <f aca="false">F151/Tabla2[[#This Row],[Cosecha Mensual]]</f>
        <v>10.7852240109822</v>
      </c>
      <c r="I151" s="2" t="n">
        <f aca="false">H151*_xlfn.XLOOKUP(Tabla2[[#This Row],[Unidad de producción]],Tabla3[Medida],Tabla3[Equivalencia en Kg],"ELVIS",0)</f>
        <v>489.217761138151</v>
      </c>
      <c r="J151" s="2" t="n">
        <v>382</v>
      </c>
      <c r="K151" s="2" t="s">
        <v>18</v>
      </c>
      <c r="L151" s="2" t="n">
        <f aca="false">J151/_xlfn.XLOOKUP(Tabla2[[#This Row],[Unidad de precio]],Tabla3[Medida],Tabla3[Equivalencia en Kg],"ELVIS",0)</f>
        <v>8.42151675485009</v>
      </c>
      <c r="N151" s="3" t="n">
        <f aca="false">(Tabla2[[#This Row],[Productividad (kg/TAS)]]*Tabla2[[#This Row],[Precio por kg]]-Tabla2[[#This Row],[Costos (En RD$/Tarea)]])</f>
        <v>4119.95557219518</v>
      </c>
      <c r="O151" s="9" t="n">
        <f aca="false">IF(Tabla2[[#This Row],[Costos (En RD$/Tarea)]]=0,0,Tabla2[[#This Row],[Beneficio Neto  (En RD$/Tarea)]]/Tabla2[[#This Row],[Costos (En RD$/Tarea)]])</f>
        <v>0</v>
      </c>
      <c r="P151" s="7" t="n">
        <f aca="false">Tabla2[[#This Row],[Rentabilidad (%)]]/12</f>
        <v>0</v>
      </c>
    </row>
    <row r="152" customFormat="false" ht="14.25" hidden="false" customHeight="false" outlineLevel="0" collapsed="false">
      <c r="A152" s="1" t="n">
        <v>36892</v>
      </c>
      <c r="B152" s="2" t="s">
        <v>25</v>
      </c>
      <c r="C152" s="3" t="n">
        <v>26496</v>
      </c>
      <c r="D152" s="8" t="s">
        <v>17</v>
      </c>
      <c r="E152" s="3" t="n">
        <f aca="false">IF(Tabla2[[#This Row],[Frecuencia]]="Annual", Tabla2[[#This Row],[Cosecha/Tarea]]/12,Tabla2[[#This Row],[Cosecha/Tarea]])</f>
        <v>26496</v>
      </c>
      <c r="F152" s="3" t="n">
        <v>254180</v>
      </c>
      <c r="G152" s="2" t="s">
        <v>18</v>
      </c>
      <c r="H152" s="2" t="n">
        <f aca="false">F152/Tabla2[[#This Row],[Cosecha Mensual]]</f>
        <v>9.5931461352657</v>
      </c>
      <c r="I152" s="2" t="n">
        <f aca="false">H152*_xlfn.XLOOKUP(Tabla2[[#This Row],[Unidad de producción]],Tabla3[Medida],Tabla3[Equivalencia en Kg],"ELVIS",0)</f>
        <v>435.145108695652</v>
      </c>
      <c r="J152" s="2" t="n">
        <v>107.485</v>
      </c>
      <c r="K152" s="2" t="s">
        <v>18</v>
      </c>
      <c r="L152" s="2" t="n">
        <f aca="false">J152/_xlfn.XLOOKUP(Tabla2[[#This Row],[Unidad de precio]],Tabla3[Medida],Tabla3[Equivalencia en Kg],"ELVIS",0)</f>
        <v>2.3695987654321</v>
      </c>
      <c r="N152" s="3" t="n">
        <f aca="false">(Tabla2[[#This Row],[Productividad (kg/TAS)]]*Tabla2[[#This Row],[Precio por kg]]-Tabla2[[#This Row],[Costos (En RD$/Tarea)]])</f>
        <v>1031.11931234903</v>
      </c>
      <c r="O152" s="9" t="n">
        <f aca="false">IF(Tabla2[[#This Row],[Costos (En RD$/Tarea)]]=0,0,Tabla2[[#This Row],[Beneficio Neto  (En RD$/Tarea)]]/Tabla2[[#This Row],[Costos (En RD$/Tarea)]])</f>
        <v>0</v>
      </c>
      <c r="P152" s="7" t="n">
        <f aca="false">Tabla2[[#This Row],[Rentabilidad (%)]]/12</f>
        <v>0</v>
      </c>
    </row>
    <row r="153" customFormat="false" ht="14.25" hidden="false" customHeight="false" outlineLevel="0" collapsed="false">
      <c r="A153" s="1" t="n">
        <v>36892</v>
      </c>
      <c r="B153" s="2" t="s">
        <v>26</v>
      </c>
      <c r="C153" s="3" t="n">
        <v>10283</v>
      </c>
      <c r="D153" s="8" t="s">
        <v>17</v>
      </c>
      <c r="E153" s="3" t="n">
        <f aca="false">IF(Tabla2[[#This Row],[Frecuencia]]="Annual", Tabla2[[#This Row],[Cosecha/Tarea]]/12,Tabla2[[#This Row],[Cosecha/Tarea]])</f>
        <v>10283</v>
      </c>
      <c r="F153" s="3" t="n">
        <v>62590</v>
      </c>
      <c r="G153" s="2" t="s">
        <v>18</v>
      </c>
      <c r="H153" s="2" t="n">
        <f aca="false">F153/Tabla2[[#This Row],[Cosecha Mensual]]</f>
        <v>6.08674511329379</v>
      </c>
      <c r="I153" s="2" t="n">
        <f aca="false">H153*_xlfn.XLOOKUP(Tabla2[[#This Row],[Unidad de producción]],Tabla3[Medida],Tabla3[Equivalencia en Kg],"ELVIS",0)</f>
        <v>276.094758339006</v>
      </c>
      <c r="J153" s="2" t="n">
        <v>174.16</v>
      </c>
      <c r="K153" s="2" t="s">
        <v>18</v>
      </c>
      <c r="L153" s="2" t="n">
        <f aca="false">J153/_xlfn.XLOOKUP(Tabla2[[#This Row],[Unidad de precio]],Tabla3[Medida],Tabla3[Equivalencia en Kg],"ELVIS",0)</f>
        <v>3.83950617283951</v>
      </c>
      <c r="N153" s="3" t="n">
        <f aca="false">(Tabla2[[#This Row],[Productividad (kg/TAS)]]*Tabla2[[#This Row],[Precio por kg]]-Tabla2[[#This Row],[Costos (En RD$/Tarea)]])</f>
        <v>1060.06752893125</v>
      </c>
      <c r="O153" s="9" t="n">
        <f aca="false">IF(Tabla2[[#This Row],[Costos (En RD$/Tarea)]]=0,0,Tabla2[[#This Row],[Beneficio Neto  (En RD$/Tarea)]]/Tabla2[[#This Row],[Costos (En RD$/Tarea)]])</f>
        <v>0</v>
      </c>
      <c r="P153" s="7" t="n">
        <f aca="false">Tabla2[[#This Row],[Rentabilidad (%)]]/12</f>
        <v>0</v>
      </c>
    </row>
    <row r="154" customFormat="false" ht="14.25" hidden="false" customHeight="false" outlineLevel="0" collapsed="false">
      <c r="A154" s="1" t="n">
        <v>36892</v>
      </c>
      <c r="B154" s="2" t="s">
        <v>27</v>
      </c>
      <c r="C154" s="3" t="n">
        <v>4300</v>
      </c>
      <c r="D154" s="8" t="s">
        <v>17</v>
      </c>
      <c r="E154" s="3" t="n">
        <f aca="false">IF(Tabla2[[#This Row],[Frecuencia]]="Annual", Tabla2[[#This Row],[Cosecha/Tarea]]/12,Tabla2[[#This Row],[Cosecha/Tarea]])</f>
        <v>4300</v>
      </c>
      <c r="F154" s="3" t="n">
        <v>44267</v>
      </c>
      <c r="G154" s="2" t="s">
        <v>18</v>
      </c>
      <c r="H154" s="2" t="n">
        <f aca="false">F154/Tabla2[[#This Row],[Cosecha Mensual]]</f>
        <v>10.2946511627907</v>
      </c>
      <c r="I154" s="2" t="n">
        <f aca="false">H154*_xlfn.XLOOKUP(Tabla2[[#This Row],[Unidad de producción]],Tabla3[Medida],Tabla3[Equivalencia en Kg],"ELVIS",0)</f>
        <v>466.965376744186</v>
      </c>
      <c r="J154" s="2" t="n">
        <v>180.416666666667</v>
      </c>
      <c r="K154" s="2" t="s">
        <v>18</v>
      </c>
      <c r="L154" s="2" t="n">
        <f aca="false">J154/_xlfn.XLOOKUP(Tabla2[[#This Row],[Unidad de precio]],Tabla3[Medida],Tabla3[Equivalencia en Kg],"ELVIS",0)</f>
        <v>3.97743974132864</v>
      </c>
      <c r="N154" s="3" t="n">
        <f aca="false">(Tabla2[[#This Row],[Productividad (kg/TAS)]]*Tabla2[[#This Row],[Precio por kg]]-Tabla2[[#This Row],[Costos (En RD$/Tarea)]])</f>
        <v>1857.32664728683</v>
      </c>
      <c r="O154" s="9" t="n">
        <f aca="false">IF(Tabla2[[#This Row],[Costos (En RD$/Tarea)]]=0,0,Tabla2[[#This Row],[Beneficio Neto  (En RD$/Tarea)]]/Tabla2[[#This Row],[Costos (En RD$/Tarea)]])</f>
        <v>0</v>
      </c>
      <c r="P154" s="7" t="n">
        <f aca="false">Tabla2[[#This Row],[Rentabilidad (%)]]/12</f>
        <v>0</v>
      </c>
    </row>
    <row r="155" customFormat="false" ht="14.25" hidden="false" customHeight="false" outlineLevel="0" collapsed="false">
      <c r="A155" s="1" t="n">
        <v>36892</v>
      </c>
      <c r="B155" s="2" t="s">
        <v>28</v>
      </c>
      <c r="C155" s="3" t="n">
        <v>2388</v>
      </c>
      <c r="D155" s="8" t="s">
        <v>17</v>
      </c>
      <c r="E155" s="3" t="n">
        <f aca="false">IF(Tabla2[[#This Row],[Frecuencia]]="Annual", Tabla2[[#This Row],[Cosecha/Tarea]]/12,Tabla2[[#This Row],[Cosecha/Tarea]])</f>
        <v>2388</v>
      </c>
      <c r="F155" s="3" t="n">
        <v>1189</v>
      </c>
      <c r="G155" s="2" t="s">
        <v>18</v>
      </c>
      <c r="H155" s="2" t="n">
        <f aca="false">F155/Tabla2[[#This Row],[Cosecha Mensual]]</f>
        <v>0.497906197654941</v>
      </c>
      <c r="I155" s="2" t="n">
        <f aca="false">H155*_xlfn.XLOOKUP(Tabla2[[#This Row],[Unidad de producción]],Tabla3[Medida],Tabla3[Equivalencia en Kg],"ELVIS",0)</f>
        <v>22.5850251256281</v>
      </c>
      <c r="J155" s="2" t="n">
        <v>1950</v>
      </c>
      <c r="K155" s="2" t="s">
        <v>29</v>
      </c>
      <c r="L155" s="2" t="n">
        <f aca="false">J155/_xlfn.XLOOKUP(Tabla2[[#This Row],[Unidad de precio]],Tabla3[Medida],Tabla3[Equivalencia en Kg],"ELVIS",0)</f>
        <v>3.46765302130384</v>
      </c>
      <c r="N155" s="3" t="n">
        <f aca="false">(Tabla2[[#This Row],[Productividad (kg/TAS)]]*Tabla2[[#This Row],[Precio por kg]]-Tabla2[[#This Row],[Costos (En RD$/Tarea)]])</f>
        <v>78.3170306131075</v>
      </c>
      <c r="O155" s="9" t="n">
        <f aca="false">IF(Tabla2[[#This Row],[Costos (En RD$/Tarea)]]=0,0,Tabla2[[#This Row],[Beneficio Neto  (En RD$/Tarea)]]/Tabla2[[#This Row],[Costos (En RD$/Tarea)]])</f>
        <v>0</v>
      </c>
      <c r="P155" s="7" t="n">
        <f aca="false">Tabla2[[#This Row],[Rentabilidad (%)]]/12</f>
        <v>0</v>
      </c>
    </row>
    <row r="156" customFormat="false" ht="14.25" hidden="false" customHeight="false" outlineLevel="0" collapsed="false">
      <c r="A156" s="1" t="n">
        <v>36892</v>
      </c>
      <c r="B156" s="2" t="s">
        <v>30</v>
      </c>
      <c r="C156" s="3" t="n">
        <v>262060</v>
      </c>
      <c r="D156" s="3" t="s">
        <v>31</v>
      </c>
      <c r="E156" s="3" t="n">
        <f aca="false">IF(Tabla2[[#This Row],[Frecuencia]]="Annual", Tabla2[[#This Row],[Cosecha/Tarea]]/12,Tabla2[[#This Row],[Cosecha/Tarea]])</f>
        <v>21838.3333333333</v>
      </c>
      <c r="F156" s="3" t="n">
        <v>1496409</v>
      </c>
      <c r="G156" s="2" t="s">
        <v>32</v>
      </c>
      <c r="H156" s="2" t="n">
        <f aca="false">F156/Tabla2[[#This Row],[Cosecha Mensual]]</f>
        <v>68.5221247042662</v>
      </c>
      <c r="I156" s="2" t="n">
        <f aca="false">H156*_xlfn.XLOOKUP(Tabla2[[#This Row],[Unidad de producción]],Tabla3[Medida],Tabla3[Equivalencia en Kg],"ELVIS",0)</f>
        <v>1864.48701320308</v>
      </c>
      <c r="J156" s="2" t="n">
        <v>26.375</v>
      </c>
      <c r="K156" s="2" t="s">
        <v>32</v>
      </c>
      <c r="L156" s="2" t="n">
        <f aca="false">J156/_xlfn.XLOOKUP(Tabla2[[#This Row],[Unidad de precio]],Tabla3[Medida],Tabla3[Equivalencia en Kg],"ELVIS",0)</f>
        <v>0.969312752664462</v>
      </c>
      <c r="M156" s="3"/>
      <c r="N156" s="3" t="n">
        <f aca="false">(Tabla2[[#This Row],[Productividad (kg/TAS)]]*Tabla2[[#This Row],[Precio por kg]]-Tabla2[[#This Row],[Costos (En RD$/Tarea)]])</f>
        <v>1807.27103907502</v>
      </c>
      <c r="O156" s="9" t="n">
        <f aca="false">IF(Tabla2[[#This Row],[Costos (En RD$/Tarea)]]=0,0,Tabla2[[#This Row],[Beneficio Neto  (En RD$/Tarea)]]/Tabla2[[#This Row],[Costos (En RD$/Tarea)]])</f>
        <v>0</v>
      </c>
      <c r="P156" s="7" t="n">
        <f aca="false">Tabla2[[#This Row],[Rentabilidad (%)]]/12</f>
        <v>0</v>
      </c>
    </row>
    <row r="157" customFormat="false" ht="14.25" hidden="false" customHeight="false" outlineLevel="0" collapsed="false">
      <c r="A157" s="1" t="n">
        <v>36892</v>
      </c>
      <c r="B157" s="2" t="s">
        <v>33</v>
      </c>
      <c r="C157" s="3" t="n">
        <v>615721</v>
      </c>
      <c r="D157" s="3" t="s">
        <v>31</v>
      </c>
      <c r="E157" s="3" t="n">
        <f aca="false">IF(Tabla2[[#This Row],[Frecuencia]]="Annual", Tabla2[[#This Row],[Cosecha/Tarea]]/12,Tabla2[[#This Row],[Cosecha/Tarea]])</f>
        <v>51310.0833333333</v>
      </c>
      <c r="F157" s="3" t="n">
        <v>76185</v>
      </c>
      <c r="G157" s="2" t="s">
        <v>34</v>
      </c>
      <c r="H157" s="2" t="n">
        <f aca="false">F157/Tabla2[[#This Row],[Cosecha Mensual]]</f>
        <v>1.48479587345567</v>
      </c>
      <c r="I157" s="2" t="n">
        <f aca="false">H157*_xlfn.XLOOKUP(Tabla2[[#This Row],[Unidad de producción]],Tabla3[Medida],Tabla3[Equivalencia en Kg],"ELVIS",0)</f>
        <v>606.019435750933</v>
      </c>
      <c r="J157" s="2" t="n">
        <v>1594.08333333333</v>
      </c>
      <c r="K157" s="2" t="s">
        <v>34</v>
      </c>
      <c r="L157" s="2" t="n">
        <f aca="false">J157/_xlfn.XLOOKUP(Tabla2[[#This Row],[Unidad de precio]],Tabla3[Medida],Tabla3[Equivalencia en Kg],"ELVIS",0)</f>
        <v>3.9056310996774</v>
      </c>
      <c r="M157" s="3"/>
      <c r="N157" s="3" t="n">
        <f aca="false">(Tabla2[[#This Row],[Productividad (kg/TAS)]]*Tabla2[[#This Row],[Precio por kg]]-Tabla2[[#This Row],[Costos (En RD$/Tarea)]])</f>
        <v>2366.88835527779</v>
      </c>
      <c r="O157" s="9" t="n">
        <f aca="false">IF(Tabla2[[#This Row],[Costos (En RD$/Tarea)]]=0,0,Tabla2[[#This Row],[Beneficio Neto  (En RD$/Tarea)]]/Tabla2[[#This Row],[Costos (En RD$/Tarea)]])</f>
        <v>0</v>
      </c>
      <c r="P157" s="7" t="n">
        <f aca="false">Tabla2[[#This Row],[Rentabilidad (%)]]/12</f>
        <v>0</v>
      </c>
    </row>
    <row r="158" customFormat="false" ht="14.25" hidden="false" customHeight="false" outlineLevel="0" collapsed="false">
      <c r="A158" s="1" t="n">
        <v>36923</v>
      </c>
      <c r="B158" s="2" t="s">
        <v>16</v>
      </c>
      <c r="C158" s="3" t="n">
        <v>16321</v>
      </c>
      <c r="D158" s="8" t="s">
        <v>17</v>
      </c>
      <c r="E158" s="3" t="n">
        <f aca="false">IF(Tabla2[[#This Row],[Frecuencia]]="Annual", Tabla2[[#This Row],[Cosecha/Tarea]]/12,Tabla2[[#This Row],[Cosecha/Tarea]])</f>
        <v>16321</v>
      </c>
      <c r="F158" s="3" t="n">
        <v>53626</v>
      </c>
      <c r="G158" s="2" t="s">
        <v>18</v>
      </c>
      <c r="H158" s="2" t="n">
        <f aca="false">F158/Tabla2[[#This Row],[Cosecha Mensual]]</f>
        <v>3.28570553274922</v>
      </c>
      <c r="I158" s="2" t="n">
        <f aca="false">H158*_xlfn.XLOOKUP(Tabla2[[#This Row],[Unidad de producción]],Tabla3[Medida],Tabla3[Equivalencia en Kg],"ELVIS",0)</f>
        <v>149.039602965505</v>
      </c>
      <c r="J158" s="2" t="n">
        <v>1210.12101210121</v>
      </c>
      <c r="K158" s="2" t="s">
        <v>19</v>
      </c>
      <c r="L158" s="2" t="n">
        <f aca="false">J158/_xlfn.XLOOKUP(Tabla2[[#This Row],[Unidad de precio]],Tabla3[Medida],Tabla3[Equivalencia en Kg],"ELVIS",0)</f>
        <v>11.001100110011</v>
      </c>
      <c r="N158" s="3" t="n">
        <f aca="false">(Tabla2[[#This Row],[Productividad (kg/TAS)]]*Tabla2[[#This Row],[Precio por kg]]-Tabla2[[#This Row],[Costos (En RD$/Tarea)]])</f>
        <v>1639.59959257981</v>
      </c>
      <c r="O158" s="9" t="n">
        <f aca="false">IF(Tabla2[[#This Row],[Costos (En RD$/Tarea)]]=0,0,Tabla2[[#This Row],[Beneficio Neto  (En RD$/Tarea)]]/Tabla2[[#This Row],[Costos (En RD$/Tarea)]])</f>
        <v>0</v>
      </c>
      <c r="P158" s="7" t="n">
        <f aca="false">Tabla2[[#This Row],[Rentabilidad (%)]]/12</f>
        <v>0</v>
      </c>
    </row>
    <row r="159" customFormat="false" ht="14.25" hidden="false" customHeight="false" outlineLevel="0" collapsed="false">
      <c r="A159" s="1" t="n">
        <v>36923</v>
      </c>
      <c r="B159" s="2" t="s">
        <v>20</v>
      </c>
      <c r="C159" s="3" t="n">
        <v>29076</v>
      </c>
      <c r="D159" s="8" t="s">
        <v>17</v>
      </c>
      <c r="E159" s="3" t="n">
        <f aca="false">IF(Tabla2[[#This Row],[Frecuencia]]="Annual", Tabla2[[#This Row],[Cosecha/Tarea]]/12,Tabla2[[#This Row],[Cosecha/Tarea]])</f>
        <v>29076</v>
      </c>
      <c r="F159" s="3" t="n">
        <v>48309</v>
      </c>
      <c r="G159" s="2" t="s">
        <v>18</v>
      </c>
      <c r="H159" s="2" t="n">
        <f aca="false">F159/Tabla2[[#This Row],[Cosecha Mensual]]</f>
        <v>1.66147338010731</v>
      </c>
      <c r="I159" s="2" t="n">
        <f aca="false">H159*_xlfn.XLOOKUP(Tabla2[[#This Row],[Unidad de producción]],Tabla3[Medida],Tabla3[Equivalencia en Kg],"ELVIS",0)</f>
        <v>75.3644325216674</v>
      </c>
      <c r="J159" s="2" t="n">
        <v>128.9432375</v>
      </c>
      <c r="K159" s="2" t="s">
        <v>18</v>
      </c>
      <c r="L159" s="2" t="n">
        <f aca="false">J159/_xlfn.XLOOKUP(Tabla2[[#This Row],[Unidad de precio]],Tabla3[Medida],Tabla3[Equivalencia en Kg],"ELVIS",0)</f>
        <v>2.84266396604938</v>
      </c>
      <c r="N159" s="3" t="n">
        <f aca="false">(Tabla2[[#This Row],[Productividad (kg/TAS)]]*Tabla2[[#This Row],[Precio por kg]]-Tabla2[[#This Row],[Costos (En RD$/Tarea)]])</f>
        <v>214.235756651104</v>
      </c>
      <c r="O159" s="9" t="n">
        <f aca="false">IF(Tabla2[[#This Row],[Costos (En RD$/Tarea)]]=0,0,Tabla2[[#This Row],[Beneficio Neto  (En RD$/Tarea)]]/Tabla2[[#This Row],[Costos (En RD$/Tarea)]])</f>
        <v>0</v>
      </c>
      <c r="P159" s="7" t="n">
        <f aca="false">Tabla2[[#This Row],[Rentabilidad (%)]]/12</f>
        <v>0</v>
      </c>
    </row>
    <row r="160" customFormat="false" ht="14.25" hidden="false" customHeight="false" outlineLevel="0" collapsed="false">
      <c r="A160" s="1" t="n">
        <v>36923</v>
      </c>
      <c r="B160" s="2" t="s">
        <v>21</v>
      </c>
      <c r="C160" s="3" t="n">
        <v>8354</v>
      </c>
      <c r="D160" s="8" t="s">
        <v>17</v>
      </c>
      <c r="E160" s="3" t="n">
        <f aca="false">IF(Tabla2[[#This Row],[Frecuencia]]="Annual", Tabla2[[#This Row],[Cosecha/Tarea]]/12,Tabla2[[#This Row],[Cosecha/Tarea]])</f>
        <v>8354</v>
      </c>
      <c r="F160" s="3" t="n">
        <v>67789</v>
      </c>
      <c r="G160" s="2" t="s">
        <v>18</v>
      </c>
      <c r="H160" s="2" t="n">
        <f aca="false">F160/Tabla2[[#This Row],[Cosecha Mensual]]</f>
        <v>8.11455590136462</v>
      </c>
      <c r="I160" s="2" t="n">
        <f aca="false">H160*_xlfn.XLOOKUP(Tabla2[[#This Row],[Unidad de producción]],Tabla3[Medida],Tabla3[Equivalencia en Kg],"ELVIS",0)</f>
        <v>368.076255685899</v>
      </c>
      <c r="J160" s="2" t="n">
        <v>169.071428571429</v>
      </c>
      <c r="K160" s="2" t="s">
        <v>18</v>
      </c>
      <c r="L160" s="2" t="n">
        <f aca="false">J160/_xlfn.XLOOKUP(Tabla2[[#This Row],[Unidad de precio]],Tabla3[Medida],Tabla3[Equivalencia en Kg],"ELVIS",0)</f>
        <v>3.72732426303856</v>
      </c>
      <c r="N160" s="3" t="n">
        <f aca="false">(Tabla2[[#This Row],[Productividad (kg/TAS)]]*Tabla2[[#This Row],[Precio por kg]]-Tabla2[[#This Row],[Costos (En RD$/Tarea)]])</f>
        <v>1371.93955846644</v>
      </c>
      <c r="O160" s="9" t="n">
        <f aca="false">IF(Tabla2[[#This Row],[Costos (En RD$/Tarea)]]=0,0,Tabla2[[#This Row],[Beneficio Neto  (En RD$/Tarea)]]/Tabla2[[#This Row],[Costos (En RD$/Tarea)]])</f>
        <v>0</v>
      </c>
      <c r="P160" s="7" t="n">
        <f aca="false">Tabla2[[#This Row],[Rentabilidad (%)]]/12</f>
        <v>0</v>
      </c>
    </row>
    <row r="161" customFormat="false" ht="14.25" hidden="false" customHeight="false" outlineLevel="0" collapsed="false">
      <c r="A161" s="1" t="n">
        <v>36923</v>
      </c>
      <c r="B161" s="2" t="s">
        <v>22</v>
      </c>
      <c r="C161" s="3" t="n">
        <v>5299</v>
      </c>
      <c r="D161" s="8" t="s">
        <v>17</v>
      </c>
      <c r="E161" s="3" t="n">
        <f aca="false">IF(Tabla2[[#This Row],[Frecuencia]]="Annual", Tabla2[[#This Row],[Cosecha/Tarea]]/12,Tabla2[[#This Row],[Cosecha/Tarea]])</f>
        <v>5299</v>
      </c>
      <c r="F161" s="3" t="n">
        <v>48567</v>
      </c>
      <c r="G161" s="2" t="s">
        <v>18</v>
      </c>
      <c r="H161" s="2" t="n">
        <f aca="false">F161/Tabla2[[#This Row],[Cosecha Mensual]]</f>
        <v>9.16531421022835</v>
      </c>
      <c r="I161" s="2" t="n">
        <f aca="false">H161*_xlfn.XLOOKUP(Tabla2[[#This Row],[Unidad de producción]],Tabla3[Medida],Tabla3[Equivalencia en Kg],"ELVIS",0)</f>
        <v>415.738652575958</v>
      </c>
      <c r="J161" s="2" t="n">
        <v>259.6</v>
      </c>
      <c r="K161" s="2" t="s">
        <v>18</v>
      </c>
      <c r="L161" s="2" t="n">
        <f aca="false">J161/_xlfn.XLOOKUP(Tabla2[[#This Row],[Unidad de precio]],Tabla3[Medida],Tabla3[Equivalencia en Kg],"ELVIS",0)</f>
        <v>5.72310405643739</v>
      </c>
      <c r="N161" s="3" t="n">
        <f aca="false">(Tabla2[[#This Row],[Productividad (kg/TAS)]]*Tabla2[[#This Row],[Precio por kg]]-Tabla2[[#This Row],[Costos (En RD$/Tarea)]])</f>
        <v>2379.31556897528</v>
      </c>
      <c r="O161" s="9" t="n">
        <f aca="false">IF(Tabla2[[#This Row],[Costos (En RD$/Tarea)]]=0,0,Tabla2[[#This Row],[Beneficio Neto  (En RD$/Tarea)]]/Tabla2[[#This Row],[Costos (En RD$/Tarea)]])</f>
        <v>0</v>
      </c>
      <c r="P161" s="7" t="n">
        <f aca="false">Tabla2[[#This Row],[Rentabilidad (%)]]/12</f>
        <v>0</v>
      </c>
    </row>
    <row r="162" customFormat="false" ht="14.25" hidden="false" customHeight="false" outlineLevel="0" collapsed="false">
      <c r="A162" s="1" t="n">
        <v>36923</v>
      </c>
      <c r="B162" s="2" t="s">
        <v>23</v>
      </c>
      <c r="C162" s="3" t="n">
        <v>2156</v>
      </c>
      <c r="D162" s="8" t="s">
        <v>17</v>
      </c>
      <c r="E162" s="3" t="n">
        <f aca="false">IF(Tabla2[[#This Row],[Frecuencia]]="Annual", Tabla2[[#This Row],[Cosecha/Tarea]]/12,Tabla2[[#This Row],[Cosecha/Tarea]])</f>
        <v>2156</v>
      </c>
      <c r="F162" s="3" t="n">
        <v>49676</v>
      </c>
      <c r="G162" s="2" t="s">
        <v>18</v>
      </c>
      <c r="H162" s="2" t="n">
        <f aca="false">F162/Tabla2[[#This Row],[Cosecha Mensual]]</f>
        <v>23.0408163265306</v>
      </c>
      <c r="I162" s="2" t="n">
        <f aca="false">H162*_xlfn.XLOOKUP(Tabla2[[#This Row],[Unidad de producción]],Tabla3[Medida],Tabla3[Equivalencia en Kg],"ELVIS",0)</f>
        <v>1045.13142857143</v>
      </c>
      <c r="J162" s="2" t="n">
        <v>304.166666666667</v>
      </c>
      <c r="K162" s="2" t="s">
        <v>18</v>
      </c>
      <c r="L162" s="2" t="n">
        <f aca="false">J162/_xlfn.XLOOKUP(Tabla2[[#This Row],[Unidad de precio]],Tabla3[Medida],Tabla3[Equivalencia en Kg],"ELVIS",0)</f>
        <v>6.70561434450324</v>
      </c>
      <c r="N162" s="3" t="n">
        <f aca="false">(Tabla2[[#This Row],[Productividad (kg/TAS)]]*Tabla2[[#This Row],[Precio por kg]]-Tabla2[[#This Row],[Costos (En RD$/Tarea)]])</f>
        <v>7008.24829931974</v>
      </c>
      <c r="O162" s="9" t="n">
        <f aca="false">IF(Tabla2[[#This Row],[Costos (En RD$/Tarea)]]=0,0,Tabla2[[#This Row],[Beneficio Neto  (En RD$/Tarea)]]/Tabla2[[#This Row],[Costos (En RD$/Tarea)]])</f>
        <v>0</v>
      </c>
      <c r="P162" s="7" t="n">
        <f aca="false">Tabla2[[#This Row],[Rentabilidad (%)]]/12</f>
        <v>0</v>
      </c>
    </row>
    <row r="163" customFormat="false" ht="14.25" hidden="false" customHeight="false" outlineLevel="0" collapsed="false">
      <c r="A163" s="1" t="n">
        <v>36923</v>
      </c>
      <c r="B163" s="2" t="s">
        <v>24</v>
      </c>
      <c r="C163" s="3" t="n">
        <v>7970</v>
      </c>
      <c r="D163" s="8" t="s">
        <v>17</v>
      </c>
      <c r="E163" s="3" t="n">
        <f aca="false">IF(Tabla2[[#This Row],[Frecuencia]]="Annual", Tabla2[[#This Row],[Cosecha/Tarea]]/12,Tabla2[[#This Row],[Cosecha/Tarea]])</f>
        <v>7970</v>
      </c>
      <c r="F163" s="3" t="n">
        <v>83859</v>
      </c>
      <c r="G163" s="2" t="s">
        <v>18</v>
      </c>
      <c r="H163" s="2" t="n">
        <f aca="false">F163/Tabla2[[#This Row],[Cosecha Mensual]]</f>
        <v>10.5218318695107</v>
      </c>
      <c r="I163" s="2" t="n">
        <f aca="false">H163*_xlfn.XLOOKUP(Tabla2[[#This Row],[Unidad de producción]],Tabla3[Medida],Tabla3[Equivalencia en Kg],"ELVIS",0)</f>
        <v>477.270293601004</v>
      </c>
      <c r="J163" s="2" t="n">
        <v>509.166666666667</v>
      </c>
      <c r="K163" s="2" t="s">
        <v>18</v>
      </c>
      <c r="L163" s="2" t="n">
        <f aca="false">J163/_xlfn.XLOOKUP(Tabla2[[#This Row],[Unidad de precio]],Tabla3[Medida],Tabla3[Equivalencia en Kg],"ELVIS",0)</f>
        <v>11.2250146972369</v>
      </c>
      <c r="N163" s="3" t="n">
        <f aca="false">(Tabla2[[#This Row],[Productividad (kg/TAS)]]*Tabla2[[#This Row],[Precio por kg]]-Tabla2[[#This Row],[Costos (En RD$/Tarea)]])</f>
        <v>5357.36606022585</v>
      </c>
      <c r="O163" s="9" t="n">
        <f aca="false">IF(Tabla2[[#This Row],[Costos (En RD$/Tarea)]]=0,0,Tabla2[[#This Row],[Beneficio Neto  (En RD$/Tarea)]]/Tabla2[[#This Row],[Costos (En RD$/Tarea)]])</f>
        <v>0</v>
      </c>
      <c r="P163" s="7" t="n">
        <f aca="false">Tabla2[[#This Row],[Rentabilidad (%)]]/12</f>
        <v>0</v>
      </c>
    </row>
    <row r="164" customFormat="false" ht="14.25" hidden="false" customHeight="false" outlineLevel="0" collapsed="false">
      <c r="A164" s="1" t="n">
        <v>36923</v>
      </c>
      <c r="B164" s="2" t="s">
        <v>25</v>
      </c>
      <c r="C164" s="3" t="n">
        <v>32251</v>
      </c>
      <c r="D164" s="8" t="s">
        <v>17</v>
      </c>
      <c r="E164" s="3" t="n">
        <f aca="false">IF(Tabla2[[#This Row],[Frecuencia]]="Annual", Tabla2[[#This Row],[Cosecha/Tarea]]/12,Tabla2[[#This Row],[Cosecha/Tarea]])</f>
        <v>32251</v>
      </c>
      <c r="F164" s="3" t="n">
        <v>339467</v>
      </c>
      <c r="G164" s="2" t="s">
        <v>18</v>
      </c>
      <c r="H164" s="2" t="n">
        <f aca="false">F164/Tabla2[[#This Row],[Cosecha Mensual]]</f>
        <v>10.52578214629</v>
      </c>
      <c r="I164" s="2" t="n">
        <f aca="false">H164*_xlfn.XLOOKUP(Tabla2[[#This Row],[Unidad de producción]],Tabla3[Medida],Tabla3[Equivalencia en Kg],"ELVIS",0)</f>
        <v>477.449478155716</v>
      </c>
      <c r="J164" s="2" t="n">
        <v>103.575214285714</v>
      </c>
      <c r="K164" s="2" t="s">
        <v>18</v>
      </c>
      <c r="L164" s="2" t="n">
        <f aca="false">J164/_xlfn.XLOOKUP(Tabla2[[#This Row],[Unidad de precio]],Tabla3[Medida],Tabla3[Equivalencia en Kg],"ELVIS",0)</f>
        <v>2.28340419501133</v>
      </c>
      <c r="N164" s="3" t="n">
        <f aca="false">(Tabla2[[#This Row],[Productividad (kg/TAS)]]*Tabla2[[#This Row],[Precio por kg]]-Tabla2[[#This Row],[Costos (En RD$/Tarea)]])</f>
        <v>1090.21014132673</v>
      </c>
      <c r="O164" s="9" t="n">
        <f aca="false">IF(Tabla2[[#This Row],[Costos (En RD$/Tarea)]]=0,0,Tabla2[[#This Row],[Beneficio Neto  (En RD$/Tarea)]]/Tabla2[[#This Row],[Costos (En RD$/Tarea)]])</f>
        <v>0</v>
      </c>
      <c r="P164" s="7" t="n">
        <f aca="false">Tabla2[[#This Row],[Rentabilidad (%)]]/12</f>
        <v>0</v>
      </c>
    </row>
    <row r="165" customFormat="false" ht="14.25" hidden="false" customHeight="false" outlineLevel="0" collapsed="false">
      <c r="A165" s="1" t="n">
        <v>36923</v>
      </c>
      <c r="B165" s="2" t="s">
        <v>26</v>
      </c>
      <c r="C165" s="3" t="n">
        <v>16566</v>
      </c>
      <c r="D165" s="8" t="s">
        <v>17</v>
      </c>
      <c r="E165" s="3" t="n">
        <f aca="false">IF(Tabla2[[#This Row],[Frecuencia]]="Annual", Tabla2[[#This Row],[Cosecha/Tarea]]/12,Tabla2[[#This Row],[Cosecha/Tarea]])</f>
        <v>16566</v>
      </c>
      <c r="F165" s="3" t="n">
        <v>65295</v>
      </c>
      <c r="G165" s="2" t="s">
        <v>18</v>
      </c>
      <c r="H165" s="2" t="n">
        <f aca="false">F165/Tabla2[[#This Row],[Cosecha Mensual]]</f>
        <v>3.94150670047084</v>
      </c>
      <c r="I165" s="2" t="n">
        <f aca="false">H165*_xlfn.XLOOKUP(Tabla2[[#This Row],[Unidad de producción]],Tabla3[Medida],Tabla3[Equivalencia en Kg],"ELVIS",0)</f>
        <v>178.786743933357</v>
      </c>
      <c r="J165" s="2" t="n">
        <v>160.083333333333</v>
      </c>
      <c r="K165" s="2" t="s">
        <v>18</v>
      </c>
      <c r="L165" s="2" t="n">
        <f aca="false">J165/_xlfn.XLOOKUP(Tabla2[[#This Row],[Unidad de precio]],Tabla3[Medida],Tabla3[Equivalencia en Kg],"ELVIS",0)</f>
        <v>3.52917401528512</v>
      </c>
      <c r="N165" s="3" t="n">
        <f aca="false">(Tabla2[[#This Row],[Productividad (kg/TAS)]]*Tabla2[[#This Row],[Precio por kg]]-Tabla2[[#This Row],[Costos (En RD$/Tarea)]])</f>
        <v>630.96953096704</v>
      </c>
      <c r="O165" s="9" t="n">
        <f aca="false">IF(Tabla2[[#This Row],[Costos (En RD$/Tarea)]]=0,0,Tabla2[[#This Row],[Beneficio Neto  (En RD$/Tarea)]]/Tabla2[[#This Row],[Costos (En RD$/Tarea)]])</f>
        <v>0</v>
      </c>
      <c r="P165" s="7" t="n">
        <f aca="false">Tabla2[[#This Row],[Rentabilidad (%)]]/12</f>
        <v>0</v>
      </c>
    </row>
    <row r="166" customFormat="false" ht="14.25" hidden="false" customHeight="false" outlineLevel="0" collapsed="false">
      <c r="A166" s="1" t="n">
        <v>36923</v>
      </c>
      <c r="B166" s="2" t="s">
        <v>27</v>
      </c>
      <c r="C166" s="3" t="n">
        <v>5031</v>
      </c>
      <c r="D166" s="8" t="s">
        <v>17</v>
      </c>
      <c r="E166" s="3" t="n">
        <f aca="false">IF(Tabla2[[#This Row],[Frecuencia]]="Annual", Tabla2[[#This Row],[Cosecha/Tarea]]/12,Tabla2[[#This Row],[Cosecha/Tarea]])</f>
        <v>5031</v>
      </c>
      <c r="F166" s="3" t="n">
        <v>44821</v>
      </c>
      <c r="G166" s="2" t="s">
        <v>18</v>
      </c>
      <c r="H166" s="2" t="n">
        <f aca="false">F166/Tabla2[[#This Row],[Cosecha Mensual]]</f>
        <v>8.90896442059233</v>
      </c>
      <c r="I166" s="2" t="n">
        <f aca="false">H166*_xlfn.XLOOKUP(Tabla2[[#This Row],[Unidad de producción]],Tabla3[Medida],Tabla3[Equivalencia en Kg],"ELVIS",0)</f>
        <v>404.110626118068</v>
      </c>
      <c r="J166" s="2" t="n">
        <v>137.25</v>
      </c>
      <c r="K166" s="2" t="s">
        <v>18</v>
      </c>
      <c r="L166" s="2" t="n">
        <f aca="false">J166/_xlfn.XLOOKUP(Tabla2[[#This Row],[Unidad de precio]],Tabla3[Medida],Tabla3[Equivalencia en Kg],"ELVIS",0)</f>
        <v>3.02579365079365</v>
      </c>
      <c r="N166" s="3" t="n">
        <f aca="false">(Tabla2[[#This Row],[Productividad (kg/TAS)]]*Tabla2[[#This Row],[Precio por kg]]-Tabla2[[#This Row],[Costos (En RD$/Tarea)]])</f>
        <v>1222.7553667263</v>
      </c>
      <c r="O166" s="9" t="n">
        <f aca="false">IF(Tabla2[[#This Row],[Costos (En RD$/Tarea)]]=0,0,Tabla2[[#This Row],[Beneficio Neto  (En RD$/Tarea)]]/Tabla2[[#This Row],[Costos (En RD$/Tarea)]])</f>
        <v>0</v>
      </c>
      <c r="P166" s="7" t="n">
        <f aca="false">Tabla2[[#This Row],[Rentabilidad (%)]]/12</f>
        <v>0</v>
      </c>
    </row>
    <row r="167" customFormat="false" ht="14.25" hidden="false" customHeight="false" outlineLevel="0" collapsed="false">
      <c r="A167" s="1" t="n">
        <v>36923</v>
      </c>
      <c r="B167" s="2" t="s">
        <v>28</v>
      </c>
      <c r="C167" s="3" t="n">
        <v>4937</v>
      </c>
      <c r="D167" s="8" t="s">
        <v>17</v>
      </c>
      <c r="E167" s="3" t="n">
        <f aca="false">IF(Tabla2[[#This Row],[Frecuencia]]="Annual", Tabla2[[#This Row],[Cosecha/Tarea]]/12,Tabla2[[#This Row],[Cosecha/Tarea]])</f>
        <v>4937</v>
      </c>
      <c r="F167" s="3" t="n">
        <v>13682</v>
      </c>
      <c r="G167" s="2" t="s">
        <v>18</v>
      </c>
      <c r="H167" s="2" t="n">
        <f aca="false">F167/Tabla2[[#This Row],[Cosecha Mensual]]</f>
        <v>2.77131861454324</v>
      </c>
      <c r="I167" s="2" t="n">
        <f aca="false">H167*_xlfn.XLOOKUP(Tabla2[[#This Row],[Unidad de producción]],Tabla3[Medida],Tabla3[Equivalencia en Kg],"ELVIS",0)</f>
        <v>125.707012355682</v>
      </c>
      <c r="J167" s="2" t="n">
        <v>2000</v>
      </c>
      <c r="K167" s="2" t="s">
        <v>29</v>
      </c>
      <c r="L167" s="2" t="n">
        <f aca="false">J167/_xlfn.XLOOKUP(Tabla2[[#This Row],[Unidad de precio]],Tabla3[Medida],Tabla3[Equivalencia en Kg],"ELVIS",0)</f>
        <v>3.55656720133727</v>
      </c>
      <c r="N167" s="3" t="n">
        <f aca="false">(Tabla2[[#This Row],[Productividad (kg/TAS)]]*Tabla2[[#This Row],[Precio por kg]]-Tabla2[[#This Row],[Costos (En RD$/Tarea)]])</f>
        <v>447.085437122316</v>
      </c>
      <c r="O167" s="9" t="n">
        <f aca="false">IF(Tabla2[[#This Row],[Costos (En RD$/Tarea)]]=0,0,Tabla2[[#This Row],[Beneficio Neto  (En RD$/Tarea)]]/Tabla2[[#This Row],[Costos (En RD$/Tarea)]])</f>
        <v>0</v>
      </c>
      <c r="P167" s="7" t="n">
        <f aca="false">Tabla2[[#This Row],[Rentabilidad (%)]]/12</f>
        <v>0</v>
      </c>
    </row>
    <row r="168" customFormat="false" ht="14.25" hidden="false" customHeight="false" outlineLevel="0" collapsed="false">
      <c r="A168" s="1" t="n">
        <v>36923</v>
      </c>
      <c r="B168" s="2" t="s">
        <v>30</v>
      </c>
      <c r="C168" s="3" t="n">
        <v>236684</v>
      </c>
      <c r="D168" s="3" t="s">
        <v>31</v>
      </c>
      <c r="E168" s="3" t="n">
        <f aca="false">IF(Tabla2[[#This Row],[Frecuencia]]="Annual", Tabla2[[#This Row],[Cosecha/Tarea]]/12,Tabla2[[#This Row],[Cosecha/Tarea]])</f>
        <v>19723.6666666667</v>
      </c>
      <c r="F168" s="3" t="n">
        <v>1102392</v>
      </c>
      <c r="G168" s="2" t="s">
        <v>32</v>
      </c>
      <c r="H168" s="2" t="n">
        <f aca="false">F168/Tabla2[[#This Row],[Cosecha Mensual]]</f>
        <v>55.891838907573</v>
      </c>
      <c r="I168" s="2" t="n">
        <f aca="false">H168*_xlfn.XLOOKUP(Tabla2[[#This Row],[Unidad de producción]],Tabla3[Medida],Tabla3[Equivalencia en Kg],"ELVIS",0)</f>
        <v>1520.81693667506</v>
      </c>
      <c r="J168" s="2" t="n">
        <v>27.39375</v>
      </c>
      <c r="K168" s="2" t="s">
        <v>32</v>
      </c>
      <c r="L168" s="2" t="n">
        <f aca="false">J168/_xlfn.XLOOKUP(Tabla2[[#This Row],[Unidad de precio]],Tabla3[Medida],Tabla3[Equivalencia en Kg],"ELVIS",0)</f>
        <v>1.00675303197354</v>
      </c>
      <c r="M168" s="3"/>
      <c r="N168" s="3" t="n">
        <f aca="false">(Tabla2[[#This Row],[Productividad (kg/TAS)]]*Tabla2[[#This Row],[Precio por kg]]-Tabla2[[#This Row],[Costos (En RD$/Tarea)]])</f>
        <v>1531.08706207433</v>
      </c>
      <c r="O168" s="9" t="n">
        <f aca="false">IF(Tabla2[[#This Row],[Costos (En RD$/Tarea)]]=0,0,Tabla2[[#This Row],[Beneficio Neto  (En RD$/Tarea)]]/Tabla2[[#This Row],[Costos (En RD$/Tarea)]])</f>
        <v>0</v>
      </c>
      <c r="P168" s="7" t="n">
        <f aca="false">Tabla2[[#This Row],[Rentabilidad (%)]]/12</f>
        <v>0</v>
      </c>
    </row>
    <row r="169" customFormat="false" ht="14.25" hidden="false" customHeight="false" outlineLevel="0" collapsed="false">
      <c r="A169" s="1" t="n">
        <v>36923</v>
      </c>
      <c r="B169" s="2" t="s">
        <v>33</v>
      </c>
      <c r="C169" s="3" t="n">
        <v>643333</v>
      </c>
      <c r="D169" s="3" t="s">
        <v>31</v>
      </c>
      <c r="E169" s="3" t="n">
        <f aca="false">IF(Tabla2[[#This Row],[Frecuencia]]="Annual", Tabla2[[#This Row],[Cosecha/Tarea]]/12,Tabla2[[#This Row],[Cosecha/Tarea]])</f>
        <v>53611.0833333333</v>
      </c>
      <c r="F169" s="3" t="n">
        <v>71598</v>
      </c>
      <c r="G169" s="2" t="s">
        <v>34</v>
      </c>
      <c r="H169" s="2" t="n">
        <f aca="false">F169/Tabla2[[#This Row],[Cosecha Mensual]]</f>
        <v>1.33550742772406</v>
      </c>
      <c r="I169" s="2" t="n">
        <f aca="false">H169*_xlfn.XLOOKUP(Tabla2[[#This Row],[Unidad de producción]],Tabla3[Medida],Tabla3[Equivalencia en Kg],"ELVIS",0)</f>
        <v>545.087356625573</v>
      </c>
      <c r="J169" s="2" t="n">
        <v>1434.6875</v>
      </c>
      <c r="K169" s="2" t="s">
        <v>34</v>
      </c>
      <c r="L169" s="2" t="n">
        <f aca="false">J169/_xlfn.XLOOKUP(Tabla2[[#This Row],[Unidad de precio]],Tabla3[Medida],Tabla3[Equivalencia en Kg],"ELVIS",0)</f>
        <v>3.51509861570501</v>
      </c>
      <c r="M169" s="3"/>
      <c r="N169" s="3" t="n">
        <f aca="false">(Tabla2[[#This Row],[Productividad (kg/TAS)]]*Tabla2[[#This Row],[Precio por kg]]-Tabla2[[#This Row],[Costos (En RD$/Tarea)]])</f>
        <v>1916.03581271286</v>
      </c>
      <c r="O169" s="9" t="n">
        <f aca="false">IF(Tabla2[[#This Row],[Costos (En RD$/Tarea)]]=0,0,Tabla2[[#This Row],[Beneficio Neto  (En RD$/Tarea)]]/Tabla2[[#This Row],[Costos (En RD$/Tarea)]])</f>
        <v>0</v>
      </c>
      <c r="P169" s="7" t="n">
        <f aca="false">Tabla2[[#This Row],[Rentabilidad (%)]]/12</f>
        <v>0</v>
      </c>
    </row>
    <row r="170" customFormat="false" ht="14.25" hidden="false" customHeight="false" outlineLevel="0" collapsed="false">
      <c r="A170" s="1" t="n">
        <v>36951</v>
      </c>
      <c r="B170" s="2" t="s">
        <v>16</v>
      </c>
      <c r="C170" s="3" t="n">
        <v>5760</v>
      </c>
      <c r="D170" s="8" t="s">
        <v>17</v>
      </c>
      <c r="E170" s="3" t="n">
        <f aca="false">IF(Tabla2[[#This Row],[Frecuencia]]="Annual", Tabla2[[#This Row],[Cosecha/Tarea]]/12,Tabla2[[#This Row],[Cosecha/Tarea]])</f>
        <v>5760</v>
      </c>
      <c r="F170" s="3" t="n">
        <v>22549</v>
      </c>
      <c r="G170" s="2" t="s">
        <v>18</v>
      </c>
      <c r="H170" s="2" t="n">
        <f aca="false">F170/Tabla2[[#This Row],[Cosecha Mensual]]</f>
        <v>3.91475694444444</v>
      </c>
      <c r="I170" s="2" t="n">
        <f aca="false">H170*_xlfn.XLOOKUP(Tabla2[[#This Row],[Unidad de producción]],Tabla3[Medida],Tabla3[Equivalencia en Kg],"ELVIS",0)</f>
        <v>177.573375</v>
      </c>
      <c r="J170" s="2" t="n">
        <v>1111.30253025303</v>
      </c>
      <c r="K170" s="2" t="s">
        <v>19</v>
      </c>
      <c r="L170" s="2" t="n">
        <f aca="false">J170/_xlfn.XLOOKUP(Tabla2[[#This Row],[Unidad de precio]],Tabla3[Medida],Tabla3[Equivalencia en Kg],"ELVIS",0)</f>
        <v>10.1027502750275</v>
      </c>
      <c r="N170" s="3" t="n">
        <f aca="false">(Tabla2[[#This Row],[Productividad (kg/TAS)]]*Tabla2[[#This Row],[Precio por kg]]-Tabla2[[#This Row],[Costos (En RD$/Tarea)]])</f>
        <v>1793.97946311882</v>
      </c>
      <c r="O170" s="9" t="n">
        <f aca="false">IF(Tabla2[[#This Row],[Costos (En RD$/Tarea)]]=0,0,Tabla2[[#This Row],[Beneficio Neto  (En RD$/Tarea)]]/Tabla2[[#This Row],[Costos (En RD$/Tarea)]])</f>
        <v>0</v>
      </c>
      <c r="P170" s="7" t="n">
        <f aca="false">Tabla2[[#This Row],[Rentabilidad (%)]]/12</f>
        <v>0</v>
      </c>
    </row>
    <row r="171" customFormat="false" ht="14.25" hidden="false" customHeight="false" outlineLevel="0" collapsed="false">
      <c r="A171" s="1" t="n">
        <v>36951</v>
      </c>
      <c r="B171" s="2" t="s">
        <v>20</v>
      </c>
      <c r="C171" s="3" t="n">
        <v>28827</v>
      </c>
      <c r="D171" s="8" t="s">
        <v>17</v>
      </c>
      <c r="E171" s="3" t="n">
        <f aca="false">IF(Tabla2[[#This Row],[Frecuencia]]="Annual", Tabla2[[#This Row],[Cosecha/Tarea]]/12,Tabla2[[#This Row],[Cosecha/Tarea]])</f>
        <v>28827</v>
      </c>
      <c r="F171" s="3" t="n">
        <v>48561</v>
      </c>
      <c r="G171" s="2" t="s">
        <v>18</v>
      </c>
      <c r="H171" s="2" t="n">
        <f aca="false">F171/Tabla2[[#This Row],[Cosecha Mensual]]</f>
        <v>1.68456655219065</v>
      </c>
      <c r="I171" s="2" t="n">
        <f aca="false">H171*_xlfn.XLOOKUP(Tabla2[[#This Row],[Unidad de producción]],Tabla3[Medida],Tabla3[Equivalencia en Kg],"ELVIS",0)</f>
        <v>76.4119388073681</v>
      </c>
      <c r="J171" s="2" t="n">
        <v>136.219416666667</v>
      </c>
      <c r="K171" s="2" t="s">
        <v>18</v>
      </c>
      <c r="L171" s="2" t="n">
        <f aca="false">J171/_xlfn.XLOOKUP(Tabla2[[#This Row],[Unidad de precio]],Tabla3[Medida],Tabla3[Equivalencia en Kg],"ELVIS",0)</f>
        <v>3.00307355967079</v>
      </c>
      <c r="N171" s="3" t="n">
        <f aca="false">(Tabla2[[#This Row],[Productividad (kg/TAS)]]*Tabla2[[#This Row],[Precio por kg]]-Tabla2[[#This Row],[Costos (En RD$/Tarea)]])</f>
        <v>229.470673075589</v>
      </c>
      <c r="O171" s="9" t="n">
        <f aca="false">IF(Tabla2[[#This Row],[Costos (En RD$/Tarea)]]=0,0,Tabla2[[#This Row],[Beneficio Neto  (En RD$/Tarea)]]/Tabla2[[#This Row],[Costos (En RD$/Tarea)]])</f>
        <v>0</v>
      </c>
      <c r="P171" s="7" t="n">
        <f aca="false">Tabla2[[#This Row],[Rentabilidad (%)]]/12</f>
        <v>0</v>
      </c>
    </row>
    <row r="172" customFormat="false" ht="14.25" hidden="false" customHeight="false" outlineLevel="0" collapsed="false">
      <c r="A172" s="1" t="n">
        <v>36951</v>
      </c>
      <c r="B172" s="2" t="s">
        <v>21</v>
      </c>
      <c r="C172" s="3" t="n">
        <v>9326</v>
      </c>
      <c r="D172" s="8" t="s">
        <v>17</v>
      </c>
      <c r="E172" s="3" t="n">
        <f aca="false">IF(Tabla2[[#This Row],[Frecuencia]]="Annual", Tabla2[[#This Row],[Cosecha/Tarea]]/12,Tabla2[[#This Row],[Cosecha/Tarea]])</f>
        <v>9326</v>
      </c>
      <c r="F172" s="3" t="n">
        <v>76307</v>
      </c>
      <c r="G172" s="2" t="s">
        <v>18</v>
      </c>
      <c r="H172" s="2" t="n">
        <f aca="false">F172/Tabla2[[#This Row],[Cosecha Mensual]]</f>
        <v>8.1821788548145</v>
      </c>
      <c r="I172" s="2" t="n">
        <f aca="false">H172*_xlfn.XLOOKUP(Tabla2[[#This Row],[Unidad de producción]],Tabla3[Medida],Tabla3[Equivalencia en Kg],"ELVIS",0)</f>
        <v>371.143632854386</v>
      </c>
      <c r="J172" s="2" t="n">
        <v>164.224</v>
      </c>
      <c r="K172" s="2" t="s">
        <v>18</v>
      </c>
      <c r="L172" s="2" t="n">
        <f aca="false">J172/_xlfn.XLOOKUP(Tabla2[[#This Row],[Unidad de precio]],Tabla3[Medida],Tabla3[Equivalencia en Kg],"ELVIS",0)</f>
        <v>3.62045855379189</v>
      </c>
      <c r="N172" s="3" t="n">
        <f aca="false">(Tabla2[[#This Row],[Productividad (kg/TAS)]]*Tabla2[[#This Row],[Precio por kg]]-Tabla2[[#This Row],[Costos (En RD$/Tarea)]])</f>
        <v>1343.71014025306</v>
      </c>
      <c r="O172" s="9" t="n">
        <f aca="false">IF(Tabla2[[#This Row],[Costos (En RD$/Tarea)]]=0,0,Tabla2[[#This Row],[Beneficio Neto  (En RD$/Tarea)]]/Tabla2[[#This Row],[Costos (En RD$/Tarea)]])</f>
        <v>0</v>
      </c>
      <c r="P172" s="7" t="n">
        <f aca="false">Tabla2[[#This Row],[Rentabilidad (%)]]/12</f>
        <v>0</v>
      </c>
    </row>
    <row r="173" customFormat="false" ht="14.25" hidden="false" customHeight="false" outlineLevel="0" collapsed="false">
      <c r="A173" s="1" t="n">
        <v>36951</v>
      </c>
      <c r="B173" s="2" t="s">
        <v>22</v>
      </c>
      <c r="C173" s="3" t="n">
        <v>4433</v>
      </c>
      <c r="D173" s="8" t="s">
        <v>17</v>
      </c>
      <c r="E173" s="3" t="n">
        <f aca="false">IF(Tabla2[[#This Row],[Frecuencia]]="Annual", Tabla2[[#This Row],[Cosecha/Tarea]]/12,Tabla2[[#This Row],[Cosecha/Tarea]])</f>
        <v>4433</v>
      </c>
      <c r="F173" s="3" t="n">
        <v>39635</v>
      </c>
      <c r="G173" s="2" t="s">
        <v>18</v>
      </c>
      <c r="H173" s="2" t="n">
        <f aca="false">F173/Tabla2[[#This Row],[Cosecha Mensual]]</f>
        <v>8.94089781186555</v>
      </c>
      <c r="I173" s="2" t="n">
        <f aca="false">H173*_xlfn.XLOOKUP(Tabla2[[#This Row],[Unidad de producción]],Tabla3[Medida],Tabla3[Equivalencia en Kg],"ELVIS",0)</f>
        <v>405.559124746222</v>
      </c>
      <c r="J173" s="2" t="n">
        <v>342.763333333333</v>
      </c>
      <c r="K173" s="2" t="s">
        <v>18</v>
      </c>
      <c r="L173" s="2" t="n">
        <f aca="false">J173/_xlfn.XLOOKUP(Tabla2[[#This Row],[Unidad de precio]],Tabla3[Medida],Tabla3[Equivalencia en Kg],"ELVIS",0)</f>
        <v>7.55651087595531</v>
      </c>
      <c r="N173" s="3" t="n">
        <f aca="false">(Tabla2[[#This Row],[Productividad (kg/TAS)]]*Tabla2[[#This Row],[Precio por kg]]-Tabla2[[#This Row],[Costos (En RD$/Tarea)]])</f>
        <v>3064.61193698774</v>
      </c>
      <c r="O173" s="9" t="n">
        <f aca="false">IF(Tabla2[[#This Row],[Costos (En RD$/Tarea)]]=0,0,Tabla2[[#This Row],[Beneficio Neto  (En RD$/Tarea)]]/Tabla2[[#This Row],[Costos (En RD$/Tarea)]])</f>
        <v>0</v>
      </c>
      <c r="P173" s="7" t="n">
        <f aca="false">Tabla2[[#This Row],[Rentabilidad (%)]]/12</f>
        <v>0</v>
      </c>
    </row>
    <row r="174" customFormat="false" ht="14.25" hidden="false" customHeight="false" outlineLevel="0" collapsed="false">
      <c r="A174" s="1" t="n">
        <v>36951</v>
      </c>
      <c r="B174" s="2" t="s">
        <v>23</v>
      </c>
      <c r="C174" s="3" t="n">
        <v>4906</v>
      </c>
      <c r="D174" s="8" t="s">
        <v>17</v>
      </c>
      <c r="E174" s="3" t="n">
        <f aca="false">IF(Tabla2[[#This Row],[Frecuencia]]="Annual", Tabla2[[#This Row],[Cosecha/Tarea]]/12,Tabla2[[#This Row],[Cosecha/Tarea]])</f>
        <v>4906</v>
      </c>
      <c r="F174" s="3" t="n">
        <v>133411</v>
      </c>
      <c r="G174" s="2" t="s">
        <v>18</v>
      </c>
      <c r="H174" s="2" t="n">
        <f aca="false">F174/Tabla2[[#This Row],[Cosecha Mensual]]</f>
        <v>27.1934366082348</v>
      </c>
      <c r="I174" s="2" t="n">
        <f aca="false">H174*_xlfn.XLOOKUP(Tabla2[[#This Row],[Unidad de producción]],Tabla3[Medida],Tabla3[Equivalencia en Kg],"ELVIS",0)</f>
        <v>1233.49428454953</v>
      </c>
      <c r="J174" s="2" t="n">
        <v>234.0475</v>
      </c>
      <c r="K174" s="2" t="s">
        <v>18</v>
      </c>
      <c r="L174" s="2" t="n">
        <f aca="false">J174/_xlfn.XLOOKUP(Tabla2[[#This Row],[Unidad de precio]],Tabla3[Medida],Tabla3[Equivalencia en Kg],"ELVIS",0)</f>
        <v>5.15977733686067</v>
      </c>
      <c r="N174" s="3" t="n">
        <f aca="false">(Tabla2[[#This Row],[Productividad (kg/TAS)]]*Tabla2[[#This Row],[Precio por kg]]-Tabla2[[#This Row],[Costos (En RD$/Tarea)]])</f>
        <v>6364.55585456584</v>
      </c>
      <c r="O174" s="9" t="n">
        <f aca="false">IF(Tabla2[[#This Row],[Costos (En RD$/Tarea)]]=0,0,Tabla2[[#This Row],[Beneficio Neto  (En RD$/Tarea)]]/Tabla2[[#This Row],[Costos (En RD$/Tarea)]])</f>
        <v>0</v>
      </c>
      <c r="P174" s="7" t="n">
        <f aca="false">Tabla2[[#This Row],[Rentabilidad (%)]]/12</f>
        <v>0</v>
      </c>
    </row>
    <row r="175" customFormat="false" ht="14.25" hidden="false" customHeight="false" outlineLevel="0" collapsed="false">
      <c r="A175" s="1" t="n">
        <v>36951</v>
      </c>
      <c r="B175" s="2" t="s">
        <v>24</v>
      </c>
      <c r="C175" s="3" t="n">
        <v>6831</v>
      </c>
      <c r="D175" s="8" t="s">
        <v>17</v>
      </c>
      <c r="E175" s="3" t="n">
        <f aca="false">IF(Tabla2[[#This Row],[Frecuencia]]="Annual", Tabla2[[#This Row],[Cosecha/Tarea]]/12,Tabla2[[#This Row],[Cosecha/Tarea]])</f>
        <v>6831</v>
      </c>
      <c r="F175" s="3" t="n">
        <v>57763</v>
      </c>
      <c r="G175" s="2" t="s">
        <v>18</v>
      </c>
      <c r="H175" s="2" t="n">
        <f aca="false">F175/Tabla2[[#This Row],[Cosecha Mensual]]</f>
        <v>8.45600936905285</v>
      </c>
      <c r="I175" s="2" t="n">
        <f aca="false">H175*_xlfn.XLOOKUP(Tabla2[[#This Row],[Unidad de producción]],Tabla3[Medida],Tabla3[Equivalencia en Kg],"ELVIS",0)</f>
        <v>383.564584980237</v>
      </c>
      <c r="J175" s="2" t="n">
        <v>465.653333333333</v>
      </c>
      <c r="K175" s="2" t="s">
        <v>18</v>
      </c>
      <c r="L175" s="2" t="n">
        <f aca="false">J175/_xlfn.XLOOKUP(Tabla2[[#This Row],[Unidad de precio]],Tabla3[Medida],Tabla3[Equivalencia en Kg],"ELVIS",0)</f>
        <v>10.2657260435038</v>
      </c>
      <c r="N175" s="3" t="n">
        <f aca="false">(Tabla2[[#This Row],[Productividad (kg/TAS)]]*Tabla2[[#This Row],[Precio por kg]]-Tabla2[[#This Row],[Costos (En RD$/Tarea)]])</f>
        <v>3937.56894939735</v>
      </c>
      <c r="O175" s="9" t="n">
        <f aca="false">IF(Tabla2[[#This Row],[Costos (En RD$/Tarea)]]=0,0,Tabla2[[#This Row],[Beneficio Neto  (En RD$/Tarea)]]/Tabla2[[#This Row],[Costos (En RD$/Tarea)]])</f>
        <v>0</v>
      </c>
      <c r="P175" s="7" t="n">
        <f aca="false">Tabla2[[#This Row],[Rentabilidad (%)]]/12</f>
        <v>0</v>
      </c>
    </row>
    <row r="176" customFormat="false" ht="14.25" hidden="false" customHeight="false" outlineLevel="0" collapsed="false">
      <c r="A176" s="1" t="n">
        <v>36951</v>
      </c>
      <c r="B176" s="2" t="s">
        <v>25</v>
      </c>
      <c r="C176" s="3" t="n">
        <v>25982</v>
      </c>
      <c r="D176" s="8" t="s">
        <v>17</v>
      </c>
      <c r="E176" s="3" t="n">
        <f aca="false">IF(Tabla2[[#This Row],[Frecuencia]]="Annual", Tabla2[[#This Row],[Cosecha/Tarea]]/12,Tabla2[[#This Row],[Cosecha/Tarea]])</f>
        <v>25982</v>
      </c>
      <c r="F176" s="3" t="n">
        <v>263920</v>
      </c>
      <c r="G176" s="2" t="s">
        <v>18</v>
      </c>
      <c r="H176" s="2" t="n">
        <f aca="false">F176/Tabla2[[#This Row],[Cosecha Mensual]]</f>
        <v>10.1578015549226</v>
      </c>
      <c r="I176" s="2" t="n">
        <f aca="false">H176*_xlfn.XLOOKUP(Tabla2[[#This Row],[Unidad de producción]],Tabla3[Medida],Tabla3[Equivalencia en Kg],"ELVIS",0)</f>
        <v>460.757878531291</v>
      </c>
      <c r="J176" s="2" t="n">
        <v>91.9645685</v>
      </c>
      <c r="K176" s="2" t="s">
        <v>18</v>
      </c>
      <c r="L176" s="2" t="n">
        <f aca="false">J176/_xlfn.XLOOKUP(Tabla2[[#This Row],[Unidad de precio]],Tabla3[Medida],Tabla3[Equivalencia en Kg],"ELVIS",0)</f>
        <v>2.02743757716049</v>
      </c>
      <c r="N176" s="3" t="n">
        <f aca="false">(Tabla2[[#This Row],[Productividad (kg/TAS)]]*Tabla2[[#This Row],[Precio por kg]]-Tabla2[[#This Row],[Costos (En RD$/Tarea)]])</f>
        <v>934.15783690709</v>
      </c>
      <c r="O176" s="9" t="n">
        <f aca="false">IF(Tabla2[[#This Row],[Costos (En RD$/Tarea)]]=0,0,Tabla2[[#This Row],[Beneficio Neto  (En RD$/Tarea)]]/Tabla2[[#This Row],[Costos (En RD$/Tarea)]])</f>
        <v>0</v>
      </c>
      <c r="P176" s="7" t="n">
        <f aca="false">Tabla2[[#This Row],[Rentabilidad (%)]]/12</f>
        <v>0</v>
      </c>
    </row>
    <row r="177" customFormat="false" ht="14.25" hidden="false" customHeight="false" outlineLevel="0" collapsed="false">
      <c r="A177" s="1" t="n">
        <v>36951</v>
      </c>
      <c r="B177" s="2" t="s">
        <v>26</v>
      </c>
      <c r="C177" s="3" t="n">
        <v>13350</v>
      </c>
      <c r="D177" s="8" t="s">
        <v>17</v>
      </c>
      <c r="E177" s="3" t="n">
        <f aca="false">IF(Tabla2[[#This Row],[Frecuencia]]="Annual", Tabla2[[#This Row],[Cosecha/Tarea]]/12,Tabla2[[#This Row],[Cosecha/Tarea]])</f>
        <v>13350</v>
      </c>
      <c r="F177" s="3" t="n">
        <v>83310</v>
      </c>
      <c r="G177" s="2" t="s">
        <v>18</v>
      </c>
      <c r="H177" s="2" t="n">
        <f aca="false">F177/Tabla2[[#This Row],[Cosecha Mensual]]</f>
        <v>6.24044943820225</v>
      </c>
      <c r="I177" s="2" t="n">
        <f aca="false">H177*_xlfn.XLOOKUP(Tabla2[[#This Row],[Unidad de producción]],Tabla3[Medida],Tabla3[Equivalencia en Kg],"ELVIS",0)</f>
        <v>283.066786516854</v>
      </c>
      <c r="J177" s="2" t="n">
        <v>146</v>
      </c>
      <c r="K177" s="2" t="s">
        <v>18</v>
      </c>
      <c r="L177" s="2" t="n">
        <f aca="false">J177/_xlfn.XLOOKUP(Tabla2[[#This Row],[Unidad de precio]],Tabla3[Medida],Tabla3[Equivalencia en Kg],"ELVIS",0)</f>
        <v>3.21869488536155</v>
      </c>
      <c r="N177" s="3" t="n">
        <f aca="false">(Tabla2[[#This Row],[Productividad (kg/TAS)]]*Tabla2[[#This Row],[Precio por kg]]-Tabla2[[#This Row],[Costos (En RD$/Tarea)]])</f>
        <v>911.105617977528</v>
      </c>
      <c r="O177" s="9" t="n">
        <f aca="false">IF(Tabla2[[#This Row],[Costos (En RD$/Tarea)]]=0,0,Tabla2[[#This Row],[Beneficio Neto  (En RD$/Tarea)]]/Tabla2[[#This Row],[Costos (En RD$/Tarea)]])</f>
        <v>0</v>
      </c>
      <c r="P177" s="7" t="n">
        <f aca="false">Tabla2[[#This Row],[Rentabilidad (%)]]/12</f>
        <v>0</v>
      </c>
    </row>
    <row r="178" customFormat="false" ht="14.25" hidden="false" customHeight="false" outlineLevel="0" collapsed="false">
      <c r="A178" s="1" t="n">
        <v>36951</v>
      </c>
      <c r="B178" s="2" t="s">
        <v>27</v>
      </c>
      <c r="C178" s="3" t="n">
        <v>5885</v>
      </c>
      <c r="D178" s="8" t="s">
        <v>17</v>
      </c>
      <c r="E178" s="3" t="n">
        <f aca="false">IF(Tabla2[[#This Row],[Frecuencia]]="Annual", Tabla2[[#This Row],[Cosecha/Tarea]]/12,Tabla2[[#This Row],[Cosecha/Tarea]])</f>
        <v>5885</v>
      </c>
      <c r="F178" s="3" t="n">
        <v>44432</v>
      </c>
      <c r="G178" s="2" t="s">
        <v>18</v>
      </c>
      <c r="H178" s="2" t="n">
        <f aca="false">F178/Tabla2[[#This Row],[Cosecha Mensual]]</f>
        <v>7.5500424808836</v>
      </c>
      <c r="I178" s="2" t="n">
        <f aca="false">H178*_xlfn.XLOOKUP(Tabla2[[#This Row],[Unidad de producción]],Tabla3[Medida],Tabla3[Equivalencia en Kg],"ELVIS",0)</f>
        <v>342.46992693288</v>
      </c>
      <c r="J178" s="2" t="n">
        <v>182.916666666667</v>
      </c>
      <c r="K178" s="2" t="s">
        <v>18</v>
      </c>
      <c r="L178" s="2" t="n">
        <f aca="false">J178/_xlfn.XLOOKUP(Tabla2[[#This Row],[Unidad de precio]],Tabla3[Medida],Tabla3[Equivalencia en Kg],"ELVIS",0)</f>
        <v>4.03255437977661</v>
      </c>
      <c r="N178" s="3" t="n">
        <f aca="false">(Tabla2[[#This Row],[Productividad (kg/TAS)]]*Tabla2[[#This Row],[Precio por kg]]-Tabla2[[#This Row],[Costos (En RD$/Tarea)]])</f>
        <v>1381.02860379496</v>
      </c>
      <c r="O178" s="9" t="n">
        <f aca="false">IF(Tabla2[[#This Row],[Costos (En RD$/Tarea)]]=0,0,Tabla2[[#This Row],[Beneficio Neto  (En RD$/Tarea)]]/Tabla2[[#This Row],[Costos (En RD$/Tarea)]])</f>
        <v>0</v>
      </c>
      <c r="P178" s="7" t="n">
        <f aca="false">Tabla2[[#This Row],[Rentabilidad (%)]]/12</f>
        <v>0</v>
      </c>
    </row>
    <row r="179" customFormat="false" ht="14.25" hidden="false" customHeight="false" outlineLevel="0" collapsed="false">
      <c r="A179" s="1" t="n">
        <v>36951</v>
      </c>
      <c r="B179" s="2" t="s">
        <v>28</v>
      </c>
      <c r="C179" s="3" t="n">
        <v>660</v>
      </c>
      <c r="D179" s="8" t="s">
        <v>17</v>
      </c>
      <c r="E179" s="3" t="n">
        <f aca="false">IF(Tabla2[[#This Row],[Frecuencia]]="Annual", Tabla2[[#This Row],[Cosecha/Tarea]]/12,Tabla2[[#This Row],[Cosecha/Tarea]])</f>
        <v>660</v>
      </c>
      <c r="F179" s="3" t="n">
        <v>530</v>
      </c>
      <c r="G179" s="2" t="s">
        <v>18</v>
      </c>
      <c r="H179" s="2" t="n">
        <f aca="false">F179/Tabla2[[#This Row],[Cosecha Mensual]]</f>
        <v>0.803030303030303</v>
      </c>
      <c r="I179" s="2" t="n">
        <f aca="false">H179*_xlfn.XLOOKUP(Tabla2[[#This Row],[Unidad de producción]],Tabla3[Medida],Tabla3[Equivalencia en Kg],"ELVIS",0)</f>
        <v>36.4254545454545</v>
      </c>
      <c r="J179" s="2" t="n">
        <v>3312.5</v>
      </c>
      <c r="K179" s="2" t="s">
        <v>29</v>
      </c>
      <c r="L179" s="2" t="n">
        <f aca="false">J179/_xlfn.XLOOKUP(Tabla2[[#This Row],[Unidad de precio]],Tabla3[Medida],Tabla3[Equivalencia en Kg],"ELVIS",0)</f>
        <v>5.89056442721485</v>
      </c>
      <c r="N179" s="3" t="n">
        <f aca="false">(Tabla2[[#This Row],[Productividad (kg/TAS)]]*Tabla2[[#This Row],[Precio por kg]]-Tabla2[[#This Row],[Costos (En RD$/Tarea)]])</f>
        <v>214.566486790586</v>
      </c>
      <c r="O179" s="9" t="n">
        <f aca="false">IF(Tabla2[[#This Row],[Costos (En RD$/Tarea)]]=0,0,Tabla2[[#This Row],[Beneficio Neto  (En RD$/Tarea)]]/Tabla2[[#This Row],[Costos (En RD$/Tarea)]])</f>
        <v>0</v>
      </c>
      <c r="P179" s="7" t="n">
        <f aca="false">Tabla2[[#This Row],[Rentabilidad (%)]]/12</f>
        <v>0</v>
      </c>
    </row>
    <row r="180" customFormat="false" ht="14.25" hidden="false" customHeight="false" outlineLevel="0" collapsed="false">
      <c r="A180" s="1" t="n">
        <v>36951</v>
      </c>
      <c r="B180" s="2" t="s">
        <v>30</v>
      </c>
      <c r="C180" s="3" t="n">
        <v>235745</v>
      </c>
      <c r="D180" s="3" t="s">
        <v>31</v>
      </c>
      <c r="E180" s="3" t="n">
        <f aca="false">IF(Tabla2[[#This Row],[Frecuencia]]="Annual", Tabla2[[#This Row],[Cosecha/Tarea]]/12,Tabla2[[#This Row],[Cosecha/Tarea]])</f>
        <v>19645.4166666667</v>
      </c>
      <c r="F180" s="3" t="n">
        <v>1261443</v>
      </c>
      <c r="G180" s="2" t="s">
        <v>32</v>
      </c>
      <c r="H180" s="2" t="n">
        <f aca="false">F180/Tabla2[[#This Row],[Cosecha Mensual]]</f>
        <v>64.2105495344546</v>
      </c>
      <c r="I180" s="2" t="n">
        <f aca="false">H180*_xlfn.XLOOKUP(Tabla2[[#This Row],[Unidad de producción]],Tabla3[Medida],Tabla3[Equivalencia en Kg],"ELVIS",0)</f>
        <v>1747.16905283251</v>
      </c>
      <c r="J180" s="2" t="n">
        <v>25.8133333333333</v>
      </c>
      <c r="K180" s="2" t="s">
        <v>32</v>
      </c>
      <c r="L180" s="2" t="n">
        <f aca="false">J180/_xlfn.XLOOKUP(Tabla2[[#This Row],[Unidad de precio]],Tabla3[Medida],Tabla3[Equivalencia en Kg],"ELVIS",0)</f>
        <v>0.948670831802032</v>
      </c>
      <c r="M180" s="3"/>
      <c r="N180" s="3" t="n">
        <f aca="false">(Tabla2[[#This Row],[Productividad (kg/TAS)]]*Tabla2[[#This Row],[Precio por kg]]-Tabla2[[#This Row],[Costos (En RD$/Tarea)]])</f>
        <v>1657.48831864939</v>
      </c>
      <c r="O180" s="9" t="n">
        <f aca="false">IF(Tabla2[[#This Row],[Costos (En RD$/Tarea)]]=0,0,Tabla2[[#This Row],[Beneficio Neto  (En RD$/Tarea)]]/Tabla2[[#This Row],[Costos (En RD$/Tarea)]])</f>
        <v>0</v>
      </c>
      <c r="P180" s="7" t="n">
        <f aca="false">Tabla2[[#This Row],[Rentabilidad (%)]]/12</f>
        <v>0</v>
      </c>
    </row>
    <row r="181" customFormat="false" ht="14.25" hidden="false" customHeight="false" outlineLevel="0" collapsed="false">
      <c r="A181" s="1" t="n">
        <v>36951</v>
      </c>
      <c r="B181" s="2" t="s">
        <v>33</v>
      </c>
      <c r="C181" s="3" t="n">
        <v>644090</v>
      </c>
      <c r="D181" s="3" t="s">
        <v>31</v>
      </c>
      <c r="E181" s="3" t="n">
        <f aca="false">IF(Tabla2[[#This Row],[Frecuencia]]="Annual", Tabla2[[#This Row],[Cosecha/Tarea]]/12,Tabla2[[#This Row],[Cosecha/Tarea]])</f>
        <v>53674.1666666667</v>
      </c>
      <c r="F181" s="3" t="n">
        <v>83925</v>
      </c>
      <c r="G181" s="2" t="s">
        <v>34</v>
      </c>
      <c r="H181" s="2" t="n">
        <f aca="false">F181/Tabla2[[#This Row],[Cosecha Mensual]]</f>
        <v>1.56360136005838</v>
      </c>
      <c r="I181" s="2" t="n">
        <f aca="false">H181*_xlfn.XLOOKUP(Tabla2[[#This Row],[Unidad de producción]],Tabla3[Medida],Tabla3[Equivalencia en Kg],"ELVIS",0)</f>
        <v>638.183895107827</v>
      </c>
      <c r="J181" s="2" t="n">
        <v>1040.27166666667</v>
      </c>
      <c r="K181" s="2" t="s">
        <v>34</v>
      </c>
      <c r="L181" s="2" t="n">
        <f aca="false">J181/_xlfn.XLOOKUP(Tabla2[[#This Row],[Unidad de precio]],Tabla3[Medida],Tabla3[Equivalencia en Kg],"ELVIS",0)</f>
        <v>2.54874841765692</v>
      </c>
      <c r="M181" s="3"/>
      <c r="N181" s="3" t="n">
        <f aca="false">(Tabla2[[#This Row],[Productividad (kg/TAS)]]*Tabla2[[#This Row],[Precio por kg]]-Tabla2[[#This Row],[Costos (En RD$/Tarea)]])</f>
        <v>1626.5701928302</v>
      </c>
      <c r="O181" s="9" t="n">
        <f aca="false">IF(Tabla2[[#This Row],[Costos (En RD$/Tarea)]]=0,0,Tabla2[[#This Row],[Beneficio Neto  (En RD$/Tarea)]]/Tabla2[[#This Row],[Costos (En RD$/Tarea)]])</f>
        <v>0</v>
      </c>
      <c r="P181" s="7" t="n">
        <f aca="false">Tabla2[[#This Row],[Rentabilidad (%)]]/12</f>
        <v>0</v>
      </c>
    </row>
    <row r="182" customFormat="false" ht="14.25" hidden="false" customHeight="false" outlineLevel="0" collapsed="false">
      <c r="A182" s="1" t="n">
        <v>36982</v>
      </c>
      <c r="B182" s="2" t="s">
        <v>16</v>
      </c>
      <c r="C182" s="3" t="n">
        <v>25713</v>
      </c>
      <c r="D182" s="8" t="s">
        <v>17</v>
      </c>
      <c r="E182" s="3" t="n">
        <f aca="false">IF(Tabla2[[#This Row],[Frecuencia]]="Annual", Tabla2[[#This Row],[Cosecha/Tarea]]/12,Tabla2[[#This Row],[Cosecha/Tarea]])</f>
        <v>25713</v>
      </c>
      <c r="F182" s="3" t="n">
        <v>120636</v>
      </c>
      <c r="G182" s="2" t="s">
        <v>18</v>
      </c>
      <c r="H182" s="2" t="n">
        <f aca="false">F182/Tabla2[[#This Row],[Cosecha Mensual]]</f>
        <v>4.69163458172909</v>
      </c>
      <c r="I182" s="2" t="n">
        <f aca="false">H182*_xlfn.XLOOKUP(Tabla2[[#This Row],[Unidad de producción]],Tabla3[Medida],Tabla3[Equivalencia en Kg],"ELVIS",0)</f>
        <v>212.812544627231</v>
      </c>
      <c r="J182" s="2" t="n">
        <v>1060.06600660066</v>
      </c>
      <c r="K182" s="2" t="s">
        <v>19</v>
      </c>
      <c r="L182" s="2" t="n">
        <f aca="false">J182/_xlfn.XLOOKUP(Tabla2[[#This Row],[Unidad de precio]],Tabla3[Medida],Tabla3[Equivalencia en Kg],"ELVIS",0)</f>
        <v>9.63696369636964</v>
      </c>
      <c r="N182" s="3" t="n">
        <f aca="false">(Tabla2[[#This Row],[Productividad (kg/TAS)]]*Tabla2[[#This Row],[Precio por kg]]-Tabla2[[#This Row],[Costos (En RD$/Tarea)]])</f>
        <v>2050.86676670467</v>
      </c>
      <c r="O182" s="9" t="n">
        <f aca="false">IF(Tabla2[[#This Row],[Costos (En RD$/Tarea)]]=0,0,Tabla2[[#This Row],[Beneficio Neto  (En RD$/Tarea)]]/Tabla2[[#This Row],[Costos (En RD$/Tarea)]])</f>
        <v>0</v>
      </c>
      <c r="P182" s="7" t="n">
        <f aca="false">Tabla2[[#This Row],[Rentabilidad (%)]]/12</f>
        <v>0</v>
      </c>
    </row>
    <row r="183" customFormat="false" ht="14.25" hidden="false" customHeight="false" outlineLevel="0" collapsed="false">
      <c r="A183" s="1" t="n">
        <v>36982</v>
      </c>
      <c r="B183" s="2" t="s">
        <v>20</v>
      </c>
      <c r="C183" s="3" t="n">
        <v>54214</v>
      </c>
      <c r="D183" s="8" t="s">
        <v>17</v>
      </c>
      <c r="E183" s="3" t="n">
        <f aca="false">IF(Tabla2[[#This Row],[Frecuencia]]="Annual", Tabla2[[#This Row],[Cosecha/Tarea]]/12,Tabla2[[#This Row],[Cosecha/Tarea]])</f>
        <v>54214</v>
      </c>
      <c r="F183" s="3" t="n">
        <v>126837</v>
      </c>
      <c r="G183" s="2" t="s">
        <v>18</v>
      </c>
      <c r="H183" s="2" t="n">
        <f aca="false">F183/Tabla2[[#This Row],[Cosecha Mensual]]</f>
        <v>2.33956173682075</v>
      </c>
      <c r="I183" s="2" t="n">
        <f aca="false">H183*_xlfn.XLOOKUP(Tabla2[[#This Row],[Unidad de producción]],Tabla3[Medida],Tabla3[Equivalencia en Kg],"ELVIS",0)</f>
        <v>106.122520382189</v>
      </c>
      <c r="J183" s="2" t="n">
        <v>132.354285714286</v>
      </c>
      <c r="K183" s="2" t="s">
        <v>18</v>
      </c>
      <c r="L183" s="2" t="n">
        <f aca="false">J183/_xlfn.XLOOKUP(Tabla2[[#This Row],[Unidad de precio]],Tabla3[Medida],Tabla3[Equivalencia en Kg],"ELVIS",0)</f>
        <v>2.91786344167297</v>
      </c>
      <c r="N183" s="3" t="n">
        <f aca="false">(Tabla2[[#This Row],[Productividad (kg/TAS)]]*Tabla2[[#This Row],[Precio por kg]]-Tabla2[[#This Row],[Costos (En RD$/Tarea)]])</f>
        <v>309.651022561384</v>
      </c>
      <c r="O183" s="9" t="n">
        <f aca="false">IF(Tabla2[[#This Row],[Costos (En RD$/Tarea)]]=0,0,Tabla2[[#This Row],[Beneficio Neto  (En RD$/Tarea)]]/Tabla2[[#This Row],[Costos (En RD$/Tarea)]])</f>
        <v>0</v>
      </c>
      <c r="P183" s="7" t="n">
        <f aca="false">Tabla2[[#This Row],[Rentabilidad (%)]]/12</f>
        <v>0</v>
      </c>
    </row>
    <row r="184" customFormat="false" ht="14.25" hidden="false" customHeight="false" outlineLevel="0" collapsed="false">
      <c r="A184" s="1" t="n">
        <v>36982</v>
      </c>
      <c r="B184" s="2" t="s">
        <v>21</v>
      </c>
      <c r="C184" s="3" t="n">
        <v>9745</v>
      </c>
      <c r="D184" s="8" t="s">
        <v>17</v>
      </c>
      <c r="E184" s="3" t="n">
        <f aca="false">IF(Tabla2[[#This Row],[Frecuencia]]="Annual", Tabla2[[#This Row],[Cosecha/Tarea]]/12,Tabla2[[#This Row],[Cosecha/Tarea]])</f>
        <v>9745</v>
      </c>
      <c r="F184" s="3" t="n">
        <v>77871</v>
      </c>
      <c r="G184" s="2" t="s">
        <v>18</v>
      </c>
      <c r="H184" s="2" t="n">
        <f aca="false">F184/Tabla2[[#This Row],[Cosecha Mensual]]</f>
        <v>7.99086711133915</v>
      </c>
      <c r="I184" s="2" t="n">
        <f aca="false">H184*_xlfn.XLOOKUP(Tabla2[[#This Row],[Unidad de producción]],Tabla3[Medida],Tabla3[Equivalencia en Kg],"ELVIS",0)</f>
        <v>362.465732170344</v>
      </c>
      <c r="J184" s="2" t="n">
        <v>134.104</v>
      </c>
      <c r="K184" s="2" t="s">
        <v>18</v>
      </c>
      <c r="L184" s="2" t="n">
        <f aca="false">J184/_xlfn.XLOOKUP(Tabla2[[#This Row],[Unidad de precio]],Tabla3[Medida],Tabla3[Equivalencia en Kg],"ELVIS",0)</f>
        <v>2.95643738977072</v>
      </c>
      <c r="N184" s="3" t="n">
        <f aca="false">(Tabla2[[#This Row],[Productividad (kg/TAS)]]*Tabla2[[#This Row],[Precio por kg]]-Tabla2[[#This Row],[Costos (En RD$/Tarea)]])</f>
        <v>1071.60724309903</v>
      </c>
      <c r="O184" s="9" t="n">
        <f aca="false">IF(Tabla2[[#This Row],[Costos (En RD$/Tarea)]]=0,0,Tabla2[[#This Row],[Beneficio Neto  (En RD$/Tarea)]]/Tabla2[[#This Row],[Costos (En RD$/Tarea)]])</f>
        <v>0</v>
      </c>
      <c r="P184" s="7" t="n">
        <f aca="false">Tabla2[[#This Row],[Rentabilidad (%)]]/12</f>
        <v>0</v>
      </c>
    </row>
    <row r="185" customFormat="false" ht="14.25" hidden="false" customHeight="false" outlineLevel="0" collapsed="false">
      <c r="A185" s="1" t="n">
        <v>36982</v>
      </c>
      <c r="B185" s="2" t="s">
        <v>22</v>
      </c>
      <c r="C185" s="3" t="n">
        <v>3993</v>
      </c>
      <c r="D185" s="8" t="s">
        <v>17</v>
      </c>
      <c r="E185" s="3" t="n">
        <f aca="false">IF(Tabla2[[#This Row],[Frecuencia]]="Annual", Tabla2[[#This Row],[Cosecha/Tarea]]/12,Tabla2[[#This Row],[Cosecha/Tarea]])</f>
        <v>3993</v>
      </c>
      <c r="F185" s="3" t="n">
        <v>33781</v>
      </c>
      <c r="G185" s="2" t="s">
        <v>18</v>
      </c>
      <c r="H185" s="2" t="n">
        <f aca="false">F185/Tabla2[[#This Row],[Cosecha Mensual]]</f>
        <v>8.46005509641873</v>
      </c>
      <c r="I185" s="2" t="n">
        <f aca="false">H185*_xlfn.XLOOKUP(Tabla2[[#This Row],[Unidad de producción]],Tabla3[Medida],Tabla3[Equivalencia en Kg],"ELVIS",0)</f>
        <v>383.748099173554</v>
      </c>
      <c r="J185" s="2" t="n">
        <v>360</v>
      </c>
      <c r="K185" s="2" t="s">
        <v>18</v>
      </c>
      <c r="L185" s="2" t="n">
        <f aca="false">J185/_xlfn.XLOOKUP(Tabla2[[#This Row],[Unidad de precio]],Tabla3[Medida],Tabla3[Equivalencia en Kg],"ELVIS",0)</f>
        <v>7.93650793650794</v>
      </c>
      <c r="N185" s="3" t="n">
        <f aca="false">(Tabla2[[#This Row],[Productividad (kg/TAS)]]*Tabla2[[#This Row],[Precio por kg]]-Tabla2[[#This Row],[Costos (En RD$/Tarea)]])</f>
        <v>3045.61983471074</v>
      </c>
      <c r="O185" s="9" t="n">
        <f aca="false">IF(Tabla2[[#This Row],[Costos (En RD$/Tarea)]]=0,0,Tabla2[[#This Row],[Beneficio Neto  (En RD$/Tarea)]]/Tabla2[[#This Row],[Costos (En RD$/Tarea)]])</f>
        <v>0</v>
      </c>
      <c r="P185" s="7" t="n">
        <f aca="false">Tabla2[[#This Row],[Rentabilidad (%)]]/12</f>
        <v>0</v>
      </c>
    </row>
    <row r="186" customFormat="false" ht="14.25" hidden="false" customHeight="false" outlineLevel="0" collapsed="false">
      <c r="A186" s="1" t="n">
        <v>36982</v>
      </c>
      <c r="B186" s="2" t="s">
        <v>23</v>
      </c>
      <c r="C186" s="3" t="n">
        <v>9997</v>
      </c>
      <c r="D186" s="8" t="s">
        <v>17</v>
      </c>
      <c r="E186" s="3" t="n">
        <f aca="false">IF(Tabla2[[#This Row],[Frecuencia]]="Annual", Tabla2[[#This Row],[Cosecha/Tarea]]/12,Tabla2[[#This Row],[Cosecha/Tarea]])</f>
        <v>9997</v>
      </c>
      <c r="F186" s="3" t="n">
        <v>228159</v>
      </c>
      <c r="G186" s="2" t="s">
        <v>18</v>
      </c>
      <c r="H186" s="2" t="n">
        <f aca="false">F186/Tabla2[[#This Row],[Cosecha Mensual]]</f>
        <v>22.8227468240472</v>
      </c>
      <c r="I186" s="2" t="n">
        <f aca="false">H186*_xlfn.XLOOKUP(Tabla2[[#This Row],[Unidad de producción]],Tabla3[Medida],Tabla3[Equivalencia en Kg],"ELVIS",0)</f>
        <v>1035.23979593878</v>
      </c>
      <c r="J186" s="2" t="n">
        <v>350</v>
      </c>
      <c r="K186" s="2" t="s">
        <v>18</v>
      </c>
      <c r="L186" s="2" t="n">
        <f aca="false">J186/_xlfn.XLOOKUP(Tabla2[[#This Row],[Unidad de precio]],Tabla3[Medida],Tabla3[Equivalencia en Kg],"ELVIS",0)</f>
        <v>7.71604938271605</v>
      </c>
      <c r="N186" s="3" t="n">
        <f aca="false">(Tabla2[[#This Row],[Productividad (kg/TAS)]]*Tabla2[[#This Row],[Precio por kg]]-Tabla2[[#This Row],[Costos (En RD$/Tarea)]])</f>
        <v>7987.96138841653</v>
      </c>
      <c r="O186" s="9" t="n">
        <f aca="false">IF(Tabla2[[#This Row],[Costos (En RD$/Tarea)]]=0,0,Tabla2[[#This Row],[Beneficio Neto  (En RD$/Tarea)]]/Tabla2[[#This Row],[Costos (En RD$/Tarea)]])</f>
        <v>0</v>
      </c>
      <c r="P186" s="7" t="n">
        <f aca="false">Tabla2[[#This Row],[Rentabilidad (%)]]/12</f>
        <v>0</v>
      </c>
    </row>
    <row r="187" customFormat="false" ht="14.25" hidden="false" customHeight="false" outlineLevel="0" collapsed="false">
      <c r="A187" s="1" t="n">
        <v>36982</v>
      </c>
      <c r="B187" s="2" t="s">
        <v>24</v>
      </c>
      <c r="C187" s="3" t="n">
        <v>7875</v>
      </c>
      <c r="D187" s="8" t="s">
        <v>17</v>
      </c>
      <c r="E187" s="3" t="n">
        <f aca="false">IF(Tabla2[[#This Row],[Frecuencia]]="Annual", Tabla2[[#This Row],[Cosecha/Tarea]]/12,Tabla2[[#This Row],[Cosecha/Tarea]])</f>
        <v>7875</v>
      </c>
      <c r="F187" s="3" t="n">
        <v>68714</v>
      </c>
      <c r="G187" s="2" t="s">
        <v>18</v>
      </c>
      <c r="H187" s="2" t="n">
        <f aca="false">F187/Tabla2[[#This Row],[Cosecha Mensual]]</f>
        <v>8.7255873015873</v>
      </c>
      <c r="I187" s="2" t="n">
        <f aca="false">H187*_xlfn.XLOOKUP(Tabla2[[#This Row],[Unidad de producción]],Tabla3[Medida],Tabla3[Equivalencia en Kg],"ELVIS",0)</f>
        <v>395.79264</v>
      </c>
      <c r="J187" s="2" t="n">
        <v>449.118571428571</v>
      </c>
      <c r="K187" s="2" t="s">
        <v>18</v>
      </c>
      <c r="L187" s="2" t="n">
        <f aca="false">J187/_xlfn.XLOOKUP(Tabla2[[#This Row],[Unidad de precio]],Tabla3[Medida],Tabla3[Equivalencia en Kg],"ELVIS",0)</f>
        <v>9.90120307382211</v>
      </c>
      <c r="N187" s="3" t="n">
        <f aca="false">(Tabla2[[#This Row],[Productividad (kg/TAS)]]*Tabla2[[#This Row],[Precio por kg]]-Tabla2[[#This Row],[Costos (En RD$/Tarea)]])</f>
        <v>3918.82330376417</v>
      </c>
      <c r="O187" s="9" t="n">
        <f aca="false">IF(Tabla2[[#This Row],[Costos (En RD$/Tarea)]]=0,0,Tabla2[[#This Row],[Beneficio Neto  (En RD$/Tarea)]]/Tabla2[[#This Row],[Costos (En RD$/Tarea)]])</f>
        <v>0</v>
      </c>
      <c r="P187" s="7" t="n">
        <f aca="false">Tabla2[[#This Row],[Rentabilidad (%)]]/12</f>
        <v>0</v>
      </c>
    </row>
    <row r="188" customFormat="false" ht="14.25" hidden="false" customHeight="false" outlineLevel="0" collapsed="false">
      <c r="A188" s="1" t="n">
        <v>36982</v>
      </c>
      <c r="B188" s="2" t="s">
        <v>25</v>
      </c>
      <c r="C188" s="3" t="n">
        <v>27183</v>
      </c>
      <c r="D188" s="8" t="s">
        <v>17</v>
      </c>
      <c r="E188" s="3" t="n">
        <f aca="false">IF(Tabla2[[#This Row],[Frecuencia]]="Annual", Tabla2[[#This Row],[Cosecha/Tarea]]/12,Tabla2[[#This Row],[Cosecha/Tarea]])</f>
        <v>27183</v>
      </c>
      <c r="F188" s="3" t="n">
        <v>264286</v>
      </c>
      <c r="G188" s="2" t="s">
        <v>18</v>
      </c>
      <c r="H188" s="2" t="n">
        <f aca="false">F188/Tabla2[[#This Row],[Cosecha Mensual]]</f>
        <v>9.72247360482655</v>
      </c>
      <c r="I188" s="2" t="n">
        <f aca="false">H188*_xlfn.XLOOKUP(Tabla2[[#This Row],[Unidad de producción]],Tabla3[Medida],Tabla3[Equivalencia en Kg],"ELVIS",0)</f>
        <v>441.011402714932</v>
      </c>
      <c r="J188" s="2" t="n">
        <v>101.892</v>
      </c>
      <c r="K188" s="2" t="s">
        <v>18</v>
      </c>
      <c r="L188" s="2" t="n">
        <f aca="false">J188/_xlfn.XLOOKUP(Tabla2[[#This Row],[Unidad de precio]],Tabla3[Medida],Tabla3[Equivalencia en Kg],"ELVIS",0)</f>
        <v>2.2462962962963</v>
      </c>
      <c r="N188" s="3" t="n">
        <f aca="false">(Tabla2[[#This Row],[Productividad (kg/TAS)]]*Tabla2[[#This Row],[Precio por kg]]-Tabla2[[#This Row],[Costos (En RD$/Tarea)]])</f>
        <v>990.642280542986</v>
      </c>
      <c r="O188" s="9" t="n">
        <f aca="false">IF(Tabla2[[#This Row],[Costos (En RD$/Tarea)]]=0,0,Tabla2[[#This Row],[Beneficio Neto  (En RD$/Tarea)]]/Tabla2[[#This Row],[Costos (En RD$/Tarea)]])</f>
        <v>0</v>
      </c>
      <c r="P188" s="7" t="n">
        <f aca="false">Tabla2[[#This Row],[Rentabilidad (%)]]/12</f>
        <v>0</v>
      </c>
    </row>
    <row r="189" customFormat="false" ht="14.25" hidden="false" customHeight="false" outlineLevel="0" collapsed="false">
      <c r="A189" s="1" t="n">
        <v>36982</v>
      </c>
      <c r="B189" s="2" t="s">
        <v>26</v>
      </c>
      <c r="C189" s="3" t="n">
        <v>15144</v>
      </c>
      <c r="D189" s="8" t="s">
        <v>17</v>
      </c>
      <c r="E189" s="3" t="n">
        <f aca="false">IF(Tabla2[[#This Row],[Frecuencia]]="Annual", Tabla2[[#This Row],[Cosecha/Tarea]]/12,Tabla2[[#This Row],[Cosecha/Tarea]])</f>
        <v>15144</v>
      </c>
      <c r="F189" s="3" t="n">
        <v>91987</v>
      </c>
      <c r="G189" s="2" t="s">
        <v>18</v>
      </c>
      <c r="H189" s="2" t="n">
        <f aca="false">F189/Tabla2[[#This Row],[Cosecha Mensual]]</f>
        <v>6.07415478077126</v>
      </c>
      <c r="I189" s="2" t="n">
        <f aca="false">H189*_xlfn.XLOOKUP(Tabla2[[#This Row],[Unidad de producción]],Tabla3[Medida],Tabla3[Equivalencia en Kg],"ELVIS",0)</f>
        <v>275.523660855785</v>
      </c>
      <c r="J189" s="2" t="n">
        <v>153.75</v>
      </c>
      <c r="K189" s="2" t="s">
        <v>18</v>
      </c>
      <c r="L189" s="2" t="n">
        <f aca="false">J189/_xlfn.XLOOKUP(Tabla2[[#This Row],[Unidad de precio]],Tabla3[Medida],Tabla3[Equivalencia en Kg],"ELVIS",0)</f>
        <v>3.38955026455026</v>
      </c>
      <c r="N189" s="3" t="n">
        <f aca="false">(Tabla2[[#This Row],[Productividad (kg/TAS)]]*Tabla2[[#This Row],[Precio por kg]]-Tabla2[[#This Row],[Costos (En RD$/Tarea)]])</f>
        <v>933.901297543582</v>
      </c>
      <c r="O189" s="9" t="n">
        <f aca="false">IF(Tabla2[[#This Row],[Costos (En RD$/Tarea)]]=0,0,Tabla2[[#This Row],[Beneficio Neto  (En RD$/Tarea)]]/Tabla2[[#This Row],[Costos (En RD$/Tarea)]])</f>
        <v>0</v>
      </c>
      <c r="P189" s="7" t="n">
        <f aca="false">Tabla2[[#This Row],[Rentabilidad (%)]]/12</f>
        <v>0</v>
      </c>
    </row>
    <row r="190" customFormat="false" ht="14.25" hidden="false" customHeight="false" outlineLevel="0" collapsed="false">
      <c r="A190" s="1" t="n">
        <v>36982</v>
      </c>
      <c r="B190" s="2" t="s">
        <v>27</v>
      </c>
      <c r="C190" s="3" t="n">
        <v>4229</v>
      </c>
      <c r="D190" s="8" t="s">
        <v>17</v>
      </c>
      <c r="E190" s="3" t="n">
        <f aca="false">IF(Tabla2[[#This Row],[Frecuencia]]="Annual", Tabla2[[#This Row],[Cosecha/Tarea]]/12,Tabla2[[#This Row],[Cosecha/Tarea]])</f>
        <v>4229</v>
      </c>
      <c r="F190" s="3" t="n">
        <v>38388</v>
      </c>
      <c r="G190" s="2" t="s">
        <v>18</v>
      </c>
      <c r="H190" s="2" t="n">
        <f aca="false">F190/Tabla2[[#This Row],[Cosecha Mensual]]</f>
        <v>9.07732324426578</v>
      </c>
      <c r="I190" s="2" t="n">
        <f aca="false">H190*_xlfn.XLOOKUP(Tabla2[[#This Row],[Unidad de producción]],Tabla3[Medida],Tabla3[Equivalencia en Kg],"ELVIS",0)</f>
        <v>411.747382359896</v>
      </c>
      <c r="J190" s="2" t="n">
        <v>164.421428571429</v>
      </c>
      <c r="K190" s="2" t="s">
        <v>18</v>
      </c>
      <c r="L190" s="2" t="n">
        <f aca="false">J190/_xlfn.XLOOKUP(Tabla2[[#This Row],[Unidad de precio]],Tabla3[Medida],Tabla3[Equivalencia en Kg],"ELVIS",0)</f>
        <v>3.62481103552533</v>
      </c>
      <c r="N190" s="3" t="n">
        <f aca="false">(Tabla2[[#This Row],[Productividad (kg/TAS)]]*Tabla2[[#This Row],[Precio por kg]]-Tabla2[[#This Row],[Costos (En RD$/Tarea)]])</f>
        <v>1492.50645542682</v>
      </c>
      <c r="O190" s="9" t="n">
        <f aca="false">IF(Tabla2[[#This Row],[Costos (En RD$/Tarea)]]=0,0,Tabla2[[#This Row],[Beneficio Neto  (En RD$/Tarea)]]/Tabla2[[#This Row],[Costos (En RD$/Tarea)]])</f>
        <v>0</v>
      </c>
      <c r="P190" s="7" t="n">
        <f aca="false">Tabla2[[#This Row],[Rentabilidad (%)]]/12</f>
        <v>0</v>
      </c>
    </row>
    <row r="191" customFormat="false" ht="14.25" hidden="false" customHeight="false" outlineLevel="0" collapsed="false">
      <c r="A191" s="1" t="n">
        <v>36982</v>
      </c>
      <c r="B191" s="2" t="s">
        <v>28</v>
      </c>
      <c r="C191" s="3" t="n">
        <v>291</v>
      </c>
      <c r="D191" s="8" t="s">
        <v>17</v>
      </c>
      <c r="E191" s="3" t="n">
        <f aca="false">IF(Tabla2[[#This Row],[Frecuencia]]="Annual", Tabla2[[#This Row],[Cosecha/Tarea]]/12,Tabla2[[#This Row],[Cosecha/Tarea]])</f>
        <v>291</v>
      </c>
      <c r="F191" s="3" t="n">
        <v>517</v>
      </c>
      <c r="G191" s="2" t="s">
        <v>18</v>
      </c>
      <c r="H191" s="2" t="n">
        <f aca="false">F191/Tabla2[[#This Row],[Cosecha Mensual]]</f>
        <v>1.7766323024055</v>
      </c>
      <c r="I191" s="2" t="n">
        <f aca="false">H191*_xlfn.XLOOKUP(Tabla2[[#This Row],[Unidad de producción]],Tabla3[Medida],Tabla3[Equivalencia en Kg],"ELVIS",0)</f>
        <v>80.5880412371134</v>
      </c>
      <c r="J191" s="2" t="n">
        <v>3533.33333333333</v>
      </c>
      <c r="K191" s="2" t="s">
        <v>29</v>
      </c>
      <c r="L191" s="2" t="n">
        <f aca="false">J191/_xlfn.XLOOKUP(Tabla2[[#This Row],[Unidad de precio]],Tabla3[Medida],Tabla3[Equivalencia en Kg],"ELVIS",0)</f>
        <v>6.2832687223625</v>
      </c>
      <c r="N191" s="3" t="n">
        <f aca="false">(Tabla2[[#This Row],[Productividad (kg/TAS)]]*Tabla2[[#This Row],[Precio por kg]]-Tabla2[[#This Row],[Costos (En RD$/Tarea)]])</f>
        <v>506.356318901614</v>
      </c>
      <c r="O191" s="9" t="n">
        <f aca="false">IF(Tabla2[[#This Row],[Costos (En RD$/Tarea)]]=0,0,Tabla2[[#This Row],[Beneficio Neto  (En RD$/Tarea)]]/Tabla2[[#This Row],[Costos (En RD$/Tarea)]])</f>
        <v>0</v>
      </c>
      <c r="P191" s="7" t="n">
        <f aca="false">Tabla2[[#This Row],[Rentabilidad (%)]]/12</f>
        <v>0</v>
      </c>
    </row>
    <row r="192" customFormat="false" ht="14.25" hidden="false" customHeight="false" outlineLevel="0" collapsed="false">
      <c r="A192" s="1" t="n">
        <v>36982</v>
      </c>
      <c r="B192" s="2" t="s">
        <v>30</v>
      </c>
      <c r="C192" s="3" t="n">
        <v>241834</v>
      </c>
      <c r="D192" s="3" t="s">
        <v>31</v>
      </c>
      <c r="E192" s="3" t="n">
        <f aca="false">IF(Tabla2[[#This Row],[Frecuencia]]="Annual", Tabla2[[#This Row],[Cosecha/Tarea]]/12,Tabla2[[#This Row],[Cosecha/Tarea]])</f>
        <v>20152.8333333333</v>
      </c>
      <c r="F192" s="3" t="n">
        <v>1437043</v>
      </c>
      <c r="G192" s="2" t="s">
        <v>32</v>
      </c>
      <c r="H192" s="2" t="n">
        <f aca="false">F192/Tabla2[[#This Row],[Cosecha Mensual]]</f>
        <v>71.307243811871</v>
      </c>
      <c r="I192" s="2" t="n">
        <f aca="false">H192*_xlfn.XLOOKUP(Tabla2[[#This Row],[Unidad de producción]],Tabla3[Medida],Tabla3[Equivalencia en Kg],"ELVIS",0)</f>
        <v>1940.27010412101</v>
      </c>
      <c r="J192" s="2" t="n">
        <v>22.6185714285714</v>
      </c>
      <c r="K192" s="2" t="s">
        <v>32</v>
      </c>
      <c r="L192" s="2" t="n">
        <f aca="false">J192/_xlfn.XLOOKUP(Tabla2[[#This Row],[Unidad de precio]],Tabla3[Medida],Tabla3[Equivalencia en Kg],"ELVIS",0)</f>
        <v>0.831259515934267</v>
      </c>
      <c r="M192" s="3"/>
      <c r="N192" s="3" t="n">
        <f aca="false">(Tabla2[[#This Row],[Productividad (kg/TAS)]]*Tabla2[[#This Row],[Precio por kg]]-Tabla2[[#This Row],[Costos (En RD$/Tarea)]])</f>
        <v>1612.86798753336</v>
      </c>
      <c r="O192" s="9" t="n">
        <f aca="false">IF(Tabla2[[#This Row],[Costos (En RD$/Tarea)]]=0,0,Tabla2[[#This Row],[Beneficio Neto  (En RD$/Tarea)]]/Tabla2[[#This Row],[Costos (En RD$/Tarea)]])</f>
        <v>0</v>
      </c>
      <c r="P192" s="7" t="n">
        <f aca="false">Tabla2[[#This Row],[Rentabilidad (%)]]/12</f>
        <v>0</v>
      </c>
    </row>
    <row r="193" customFormat="false" ht="14.25" hidden="false" customHeight="false" outlineLevel="0" collapsed="false">
      <c r="A193" s="1" t="n">
        <v>36982</v>
      </c>
      <c r="B193" s="2" t="s">
        <v>33</v>
      </c>
      <c r="C193" s="3" t="n">
        <v>663727</v>
      </c>
      <c r="D193" s="3" t="s">
        <v>31</v>
      </c>
      <c r="E193" s="3" t="n">
        <f aca="false">IF(Tabla2[[#This Row],[Frecuencia]]="Annual", Tabla2[[#This Row],[Cosecha/Tarea]]/12,Tabla2[[#This Row],[Cosecha/Tarea]])</f>
        <v>55310.5833333333</v>
      </c>
      <c r="F193" s="3" t="n">
        <v>108938</v>
      </c>
      <c r="G193" s="2" t="s">
        <v>34</v>
      </c>
      <c r="H193" s="2" t="n">
        <f aca="false">F193/Tabla2[[#This Row],[Cosecha Mensual]]</f>
        <v>1.96956881368394</v>
      </c>
      <c r="I193" s="2" t="n">
        <f aca="false">H193*_xlfn.XLOOKUP(Tabla2[[#This Row],[Unidad de producción]],Tabla3[Medida],Tabla3[Equivalencia en Kg],"ELVIS",0)</f>
        <v>803.8795113051</v>
      </c>
      <c r="J193" s="2" t="n">
        <v>773.607142857143</v>
      </c>
      <c r="K193" s="2" t="s">
        <v>34</v>
      </c>
      <c r="L193" s="2" t="n">
        <f aca="false">J193/_xlfn.XLOOKUP(Tabla2[[#This Row],[Unidad de precio]],Tabla3[Medida],Tabla3[Equivalencia en Kg],"ELVIS",0)</f>
        <v>1.89539910047077</v>
      </c>
      <c r="M193" s="3"/>
      <c r="N193" s="3" t="n">
        <f aca="false">(Tabla2[[#This Row],[Productividad (kg/TAS)]]*Tabla2[[#This Row],[Precio por kg]]-Tabla2[[#This Row],[Costos (En RD$/Tarea)]])</f>
        <v>1523.67250261456</v>
      </c>
      <c r="O193" s="9" t="n">
        <f aca="false">IF(Tabla2[[#This Row],[Costos (En RD$/Tarea)]]=0,0,Tabla2[[#This Row],[Beneficio Neto  (En RD$/Tarea)]]/Tabla2[[#This Row],[Costos (En RD$/Tarea)]])</f>
        <v>0</v>
      </c>
      <c r="P193" s="7" t="n">
        <f aca="false">Tabla2[[#This Row],[Rentabilidad (%)]]/12</f>
        <v>0</v>
      </c>
    </row>
    <row r="194" customFormat="false" ht="14.25" hidden="false" customHeight="false" outlineLevel="0" collapsed="false">
      <c r="A194" s="1" t="n">
        <v>37012</v>
      </c>
      <c r="B194" s="2" t="s">
        <v>16</v>
      </c>
      <c r="C194" s="3" t="n">
        <v>121993</v>
      </c>
      <c r="D194" s="8" t="s">
        <v>17</v>
      </c>
      <c r="E194" s="3" t="n">
        <f aca="false">IF(Tabla2[[#This Row],[Frecuencia]]="Annual", Tabla2[[#This Row],[Cosecha/Tarea]]/12,Tabla2[[#This Row],[Cosecha/Tarea]])</f>
        <v>121993</v>
      </c>
      <c r="F194" s="3" t="n">
        <v>581527</v>
      </c>
      <c r="G194" s="2" t="s">
        <v>18</v>
      </c>
      <c r="H194" s="2" t="n">
        <f aca="false">F194/Tabla2[[#This Row],[Cosecha Mensual]]</f>
        <v>4.76688826408073</v>
      </c>
      <c r="I194" s="2" t="n">
        <f aca="false">H194*_xlfn.XLOOKUP(Tabla2[[#This Row],[Unidad de producción]],Tabla3[Medida],Tabla3[Equivalencia en Kg],"ELVIS",0)</f>
        <v>216.226051658702</v>
      </c>
      <c r="J194" s="2" t="n">
        <v>1004.20682068207</v>
      </c>
      <c r="K194" s="2" t="s">
        <v>19</v>
      </c>
      <c r="L194" s="2" t="n">
        <f aca="false">J194/_xlfn.XLOOKUP(Tabla2[[#This Row],[Unidad de precio]],Tabla3[Medida],Tabla3[Equivalencia en Kg],"ELVIS",0)</f>
        <v>9.12915291529155</v>
      </c>
      <c r="N194" s="3" t="n">
        <f aca="false">(Tabla2[[#This Row],[Productividad (kg/TAS)]]*Tabla2[[#This Row],[Precio por kg]]-Tabla2[[#This Row],[Costos (En RD$/Tarea)]])</f>
        <v>1973.96068986202</v>
      </c>
      <c r="O194" s="9" t="n">
        <f aca="false">IF(Tabla2[[#This Row],[Costos (En RD$/Tarea)]]=0,0,Tabla2[[#This Row],[Beneficio Neto  (En RD$/Tarea)]]/Tabla2[[#This Row],[Costos (En RD$/Tarea)]])</f>
        <v>0</v>
      </c>
      <c r="P194" s="7" t="n">
        <f aca="false">Tabla2[[#This Row],[Rentabilidad (%)]]/12</f>
        <v>0</v>
      </c>
    </row>
    <row r="195" customFormat="false" ht="14.25" hidden="false" customHeight="false" outlineLevel="0" collapsed="false">
      <c r="A195" s="1" t="n">
        <v>37012</v>
      </c>
      <c r="B195" s="2" t="s">
        <v>20</v>
      </c>
      <c r="C195" s="3" t="n">
        <v>22982</v>
      </c>
      <c r="D195" s="8" t="s">
        <v>17</v>
      </c>
      <c r="E195" s="3" t="n">
        <f aca="false">IF(Tabla2[[#This Row],[Frecuencia]]="Annual", Tabla2[[#This Row],[Cosecha/Tarea]]/12,Tabla2[[#This Row],[Cosecha/Tarea]])</f>
        <v>22982</v>
      </c>
      <c r="F195" s="3" t="n">
        <v>44654</v>
      </c>
      <c r="G195" s="2" t="s">
        <v>18</v>
      </c>
      <c r="H195" s="2" t="n">
        <f aca="false">F195/Tabla2[[#This Row],[Cosecha Mensual]]</f>
        <v>1.94299886867984</v>
      </c>
      <c r="I195" s="2" t="n">
        <f aca="false">H195*_xlfn.XLOOKUP(Tabla2[[#This Row],[Unidad de producción]],Tabla3[Medida],Tabla3[Equivalencia en Kg],"ELVIS",0)</f>
        <v>88.1344286833174</v>
      </c>
      <c r="J195" s="2" t="n">
        <v>135.975</v>
      </c>
      <c r="K195" s="2" t="s">
        <v>18</v>
      </c>
      <c r="L195" s="2" t="n">
        <f aca="false">J195/_xlfn.XLOOKUP(Tabla2[[#This Row],[Unidad de precio]],Tabla3[Medida],Tabla3[Equivalencia en Kg],"ELVIS",0)</f>
        <v>2.99768518518519</v>
      </c>
      <c r="N195" s="3" t="n">
        <f aca="false">(Tabla2[[#This Row],[Productividad (kg/TAS)]]*Tabla2[[#This Row],[Precio por kg]]-Tabla2[[#This Row],[Costos (En RD$/Tarea)]])</f>
        <v>264.199271168741</v>
      </c>
      <c r="O195" s="9" t="n">
        <f aca="false">IF(Tabla2[[#This Row],[Costos (En RD$/Tarea)]]=0,0,Tabla2[[#This Row],[Beneficio Neto  (En RD$/Tarea)]]/Tabla2[[#This Row],[Costos (En RD$/Tarea)]])</f>
        <v>0</v>
      </c>
      <c r="P195" s="7" t="n">
        <f aca="false">Tabla2[[#This Row],[Rentabilidad (%)]]/12</f>
        <v>0</v>
      </c>
    </row>
    <row r="196" customFormat="false" ht="14.25" hidden="false" customHeight="false" outlineLevel="0" collapsed="false">
      <c r="A196" s="1" t="n">
        <v>37012</v>
      </c>
      <c r="B196" s="2" t="s">
        <v>21</v>
      </c>
      <c r="C196" s="3" t="n">
        <v>10000</v>
      </c>
      <c r="D196" s="8" t="s">
        <v>17</v>
      </c>
      <c r="E196" s="3" t="n">
        <f aca="false">IF(Tabla2[[#This Row],[Frecuencia]]="Annual", Tabla2[[#This Row],[Cosecha/Tarea]]/12,Tabla2[[#This Row],[Cosecha/Tarea]])</f>
        <v>10000</v>
      </c>
      <c r="F196" s="3" t="n">
        <v>86355</v>
      </c>
      <c r="G196" s="2" t="s">
        <v>18</v>
      </c>
      <c r="H196" s="2" t="n">
        <f aca="false">F196/Tabla2[[#This Row],[Cosecha Mensual]]</f>
        <v>8.6355</v>
      </c>
      <c r="I196" s="2" t="n">
        <f aca="false">H196*_xlfn.XLOOKUP(Tabla2[[#This Row],[Unidad de producción]],Tabla3[Medida],Tabla3[Equivalencia en Kg],"ELVIS",0)</f>
        <v>391.70628</v>
      </c>
      <c r="J196" s="2" t="n">
        <v>135.2925</v>
      </c>
      <c r="K196" s="2" t="s">
        <v>18</v>
      </c>
      <c r="L196" s="2" t="n">
        <f aca="false">J196/_xlfn.XLOOKUP(Tabla2[[#This Row],[Unidad de precio]],Tabla3[Medida],Tabla3[Equivalencia en Kg],"ELVIS",0)</f>
        <v>2.98263888888889</v>
      </c>
      <c r="N196" s="3" t="n">
        <f aca="false">(Tabla2[[#This Row],[Productividad (kg/TAS)]]*Tabla2[[#This Row],[Precio por kg]]-Tabla2[[#This Row],[Costos (En RD$/Tarea)]])</f>
        <v>1168.31838375</v>
      </c>
      <c r="O196" s="9" t="n">
        <f aca="false">IF(Tabla2[[#This Row],[Costos (En RD$/Tarea)]]=0,0,Tabla2[[#This Row],[Beneficio Neto  (En RD$/Tarea)]]/Tabla2[[#This Row],[Costos (En RD$/Tarea)]])</f>
        <v>0</v>
      </c>
      <c r="P196" s="7" t="n">
        <f aca="false">Tabla2[[#This Row],[Rentabilidad (%)]]/12</f>
        <v>0</v>
      </c>
    </row>
    <row r="197" customFormat="false" ht="14.25" hidden="false" customHeight="false" outlineLevel="0" collapsed="false">
      <c r="A197" s="1" t="n">
        <v>37012</v>
      </c>
      <c r="B197" s="2" t="s">
        <v>22</v>
      </c>
      <c r="C197" s="3" t="n">
        <v>3149</v>
      </c>
      <c r="D197" s="8" t="s">
        <v>17</v>
      </c>
      <c r="E197" s="3" t="n">
        <f aca="false">IF(Tabla2[[#This Row],[Frecuencia]]="Annual", Tabla2[[#This Row],[Cosecha/Tarea]]/12,Tabla2[[#This Row],[Cosecha/Tarea]])</f>
        <v>3149</v>
      </c>
      <c r="F197" s="3" t="n">
        <v>28343</v>
      </c>
      <c r="G197" s="2" t="s">
        <v>18</v>
      </c>
      <c r="H197" s="2" t="n">
        <f aca="false">F197/Tabla2[[#This Row],[Cosecha Mensual]]</f>
        <v>9.00063512226104</v>
      </c>
      <c r="I197" s="2" t="n">
        <f aca="false">H197*_xlfn.XLOOKUP(Tabla2[[#This Row],[Unidad de producción]],Tabla3[Medida],Tabla3[Equivalencia en Kg],"ELVIS",0)</f>
        <v>408.268809145761</v>
      </c>
      <c r="J197" s="2" t="n">
        <v>380</v>
      </c>
      <c r="K197" s="2" t="s">
        <v>18</v>
      </c>
      <c r="L197" s="2" t="n">
        <f aca="false">J197/_xlfn.XLOOKUP(Tabla2[[#This Row],[Unidad de precio]],Tabla3[Medida],Tabla3[Equivalencia en Kg],"ELVIS",0)</f>
        <v>8.37742504409171</v>
      </c>
      <c r="N197" s="3" t="n">
        <f aca="false">(Tabla2[[#This Row],[Productividad (kg/TAS)]]*Tabla2[[#This Row],[Precio por kg]]-Tabla2[[#This Row],[Costos (En RD$/Tarea)]])</f>
        <v>3420.24134645919</v>
      </c>
      <c r="O197" s="9" t="n">
        <f aca="false">IF(Tabla2[[#This Row],[Costos (En RD$/Tarea)]]=0,0,Tabla2[[#This Row],[Beneficio Neto  (En RD$/Tarea)]]/Tabla2[[#This Row],[Costos (En RD$/Tarea)]])</f>
        <v>0</v>
      </c>
      <c r="P197" s="7" t="n">
        <f aca="false">Tabla2[[#This Row],[Rentabilidad (%)]]/12</f>
        <v>0</v>
      </c>
    </row>
    <row r="198" customFormat="false" ht="14.25" hidden="false" customHeight="false" outlineLevel="0" collapsed="false">
      <c r="A198" s="1" t="n">
        <v>37012</v>
      </c>
      <c r="B198" s="2" t="s">
        <v>23</v>
      </c>
      <c r="C198" s="3" t="n">
        <v>5645</v>
      </c>
      <c r="D198" s="8" t="s">
        <v>17</v>
      </c>
      <c r="E198" s="3" t="n">
        <f aca="false">IF(Tabla2[[#This Row],[Frecuencia]]="Annual", Tabla2[[#This Row],[Cosecha/Tarea]]/12,Tabla2[[#This Row],[Cosecha/Tarea]])</f>
        <v>5645</v>
      </c>
      <c r="F198" s="3" t="n">
        <v>147612</v>
      </c>
      <c r="G198" s="2" t="s">
        <v>18</v>
      </c>
      <c r="H198" s="2" t="n">
        <f aca="false">F198/Tabla2[[#This Row],[Cosecha Mensual]]</f>
        <v>26.1491585473871</v>
      </c>
      <c r="I198" s="2" t="n">
        <f aca="false">H198*_xlfn.XLOOKUP(Tabla2[[#This Row],[Unidad de producción]],Tabla3[Medida],Tabla3[Equivalencia en Kg],"ELVIS",0)</f>
        <v>1186.12583170948</v>
      </c>
      <c r="J198" s="2" t="n">
        <v>238.75</v>
      </c>
      <c r="K198" s="2" t="s">
        <v>18</v>
      </c>
      <c r="L198" s="2" t="n">
        <f aca="false">J198/_xlfn.XLOOKUP(Tabla2[[#This Row],[Unidad de precio]],Tabla3[Medida],Tabla3[Equivalencia en Kg],"ELVIS",0)</f>
        <v>5.26344797178131</v>
      </c>
      <c r="N198" s="3" t="n">
        <f aca="false">(Tabla2[[#This Row],[Productividad (kg/TAS)]]*Tabla2[[#This Row],[Precio por kg]]-Tabla2[[#This Row],[Costos (En RD$/Tarea)]])</f>
        <v>6243.11160318866</v>
      </c>
      <c r="O198" s="9" t="n">
        <f aca="false">IF(Tabla2[[#This Row],[Costos (En RD$/Tarea)]]=0,0,Tabla2[[#This Row],[Beneficio Neto  (En RD$/Tarea)]]/Tabla2[[#This Row],[Costos (En RD$/Tarea)]])</f>
        <v>0</v>
      </c>
      <c r="P198" s="7" t="n">
        <f aca="false">Tabla2[[#This Row],[Rentabilidad (%)]]/12</f>
        <v>0</v>
      </c>
    </row>
    <row r="199" customFormat="false" ht="14.25" hidden="false" customHeight="false" outlineLevel="0" collapsed="false">
      <c r="A199" s="1" t="n">
        <v>37012</v>
      </c>
      <c r="B199" s="2" t="s">
        <v>24</v>
      </c>
      <c r="C199" s="3" t="n">
        <v>7842</v>
      </c>
      <c r="D199" s="8" t="s">
        <v>17</v>
      </c>
      <c r="E199" s="3" t="n">
        <f aca="false">IF(Tabla2[[#This Row],[Frecuencia]]="Annual", Tabla2[[#This Row],[Cosecha/Tarea]]/12,Tabla2[[#This Row],[Cosecha/Tarea]])</f>
        <v>7842</v>
      </c>
      <c r="F199" s="3" t="n">
        <v>128221</v>
      </c>
      <c r="G199" s="2" t="s">
        <v>18</v>
      </c>
      <c r="H199" s="2" t="n">
        <f aca="false">F199/Tabla2[[#This Row],[Cosecha Mensual]]</f>
        <v>16.3505483295078</v>
      </c>
      <c r="I199" s="2" t="n">
        <f aca="false">H199*_xlfn.XLOOKUP(Tabla2[[#This Row],[Unidad de producción]],Tabla3[Medida],Tabla3[Equivalencia en Kg],"ELVIS",0)</f>
        <v>741.660872226473</v>
      </c>
      <c r="J199" s="2" t="n">
        <v>466.666666666667</v>
      </c>
      <c r="K199" s="2" t="s">
        <v>18</v>
      </c>
      <c r="L199" s="2" t="n">
        <f aca="false">J199/_xlfn.XLOOKUP(Tabla2[[#This Row],[Unidad de precio]],Tabla3[Medida],Tabla3[Equivalencia en Kg],"ELVIS",0)</f>
        <v>10.2880658436214</v>
      </c>
      <c r="N199" s="3" t="n">
        <f aca="false">(Tabla2[[#This Row],[Productividad (kg/TAS)]]*Tabla2[[#This Row],[Precio por kg]]-Tabla2[[#This Row],[Costos (En RD$/Tarea)]])</f>
        <v>7630.25588710363</v>
      </c>
      <c r="O199" s="9" t="n">
        <f aca="false">IF(Tabla2[[#This Row],[Costos (En RD$/Tarea)]]=0,0,Tabla2[[#This Row],[Beneficio Neto  (En RD$/Tarea)]]/Tabla2[[#This Row],[Costos (En RD$/Tarea)]])</f>
        <v>0</v>
      </c>
      <c r="P199" s="7" t="n">
        <f aca="false">Tabla2[[#This Row],[Rentabilidad (%)]]/12</f>
        <v>0</v>
      </c>
    </row>
    <row r="200" customFormat="false" ht="14.25" hidden="false" customHeight="false" outlineLevel="0" collapsed="false">
      <c r="A200" s="1" t="n">
        <v>37012</v>
      </c>
      <c r="B200" s="2" t="s">
        <v>25</v>
      </c>
      <c r="C200" s="3" t="n">
        <v>23264</v>
      </c>
      <c r="D200" s="8" t="s">
        <v>17</v>
      </c>
      <c r="E200" s="3" t="n">
        <f aca="false">IF(Tabla2[[#This Row],[Frecuencia]]="Annual", Tabla2[[#This Row],[Cosecha/Tarea]]/12,Tabla2[[#This Row],[Cosecha/Tarea]])</f>
        <v>23264</v>
      </c>
      <c r="F200" s="3" t="n">
        <v>213820</v>
      </c>
      <c r="G200" s="2" t="s">
        <v>18</v>
      </c>
      <c r="H200" s="2" t="n">
        <f aca="false">F200/Tabla2[[#This Row],[Cosecha Mensual]]</f>
        <v>9.19102475928473</v>
      </c>
      <c r="I200" s="2" t="n">
        <f aca="false">H200*_xlfn.XLOOKUP(Tabla2[[#This Row],[Unidad de producción]],Tabla3[Medida],Tabla3[Equivalencia en Kg],"ELVIS",0)</f>
        <v>416.904883081155</v>
      </c>
      <c r="J200" s="2" t="n">
        <v>143.782333333333</v>
      </c>
      <c r="K200" s="2" t="s">
        <v>18</v>
      </c>
      <c r="L200" s="2" t="n">
        <f aca="false">J200/_xlfn.XLOOKUP(Tabla2[[#This Row],[Unidad de precio]],Tabla3[Medida],Tabla3[Equivalencia en Kg],"ELVIS",0)</f>
        <v>3.16980452674896</v>
      </c>
      <c r="N200" s="3" t="n">
        <f aca="false">(Tabla2[[#This Row],[Productividad (kg/TAS)]]*Tabla2[[#This Row],[Precio por kg]]-Tabla2[[#This Row],[Costos (En RD$/Tarea)]])</f>
        <v>1321.50698561439</v>
      </c>
      <c r="O200" s="9" t="n">
        <f aca="false">IF(Tabla2[[#This Row],[Costos (En RD$/Tarea)]]=0,0,Tabla2[[#This Row],[Beneficio Neto  (En RD$/Tarea)]]/Tabla2[[#This Row],[Costos (En RD$/Tarea)]])</f>
        <v>0</v>
      </c>
      <c r="P200" s="7" t="n">
        <f aca="false">Tabla2[[#This Row],[Rentabilidad (%)]]/12</f>
        <v>0</v>
      </c>
    </row>
    <row r="201" customFormat="false" ht="14.25" hidden="false" customHeight="false" outlineLevel="0" collapsed="false">
      <c r="A201" s="1" t="n">
        <v>37012</v>
      </c>
      <c r="B201" s="2" t="s">
        <v>26</v>
      </c>
      <c r="C201" s="3" t="n">
        <v>15202</v>
      </c>
      <c r="D201" s="8" t="s">
        <v>17</v>
      </c>
      <c r="E201" s="3" t="n">
        <f aca="false">IF(Tabla2[[#This Row],[Frecuencia]]="Annual", Tabla2[[#This Row],[Cosecha/Tarea]]/12,Tabla2[[#This Row],[Cosecha/Tarea]])</f>
        <v>15202</v>
      </c>
      <c r="F201" s="3" t="n">
        <v>118385</v>
      </c>
      <c r="G201" s="2" t="s">
        <v>18</v>
      </c>
      <c r="H201" s="2" t="n">
        <f aca="false">F201/Tabla2[[#This Row],[Cosecha Mensual]]</f>
        <v>7.78746217602947</v>
      </c>
      <c r="I201" s="2" t="n">
        <f aca="false">H201*_xlfn.XLOOKUP(Tabla2[[#This Row],[Unidad de producción]],Tabla3[Medida],Tabla3[Equivalencia en Kg],"ELVIS",0)</f>
        <v>353.239284304697</v>
      </c>
      <c r="J201" s="2" t="n">
        <v>136.875</v>
      </c>
      <c r="K201" s="2" t="s">
        <v>18</v>
      </c>
      <c r="L201" s="2" t="n">
        <f aca="false">J201/_xlfn.XLOOKUP(Tabla2[[#This Row],[Unidad de precio]],Tabla3[Medida],Tabla3[Equivalencia en Kg],"ELVIS",0)</f>
        <v>3.01752645502646</v>
      </c>
      <c r="N201" s="3" t="n">
        <f aca="false">(Tabla2[[#This Row],[Productividad (kg/TAS)]]*Tabla2[[#This Row],[Precio por kg]]-Tabla2[[#This Row],[Costos (En RD$/Tarea)]])</f>
        <v>1065.90888534403</v>
      </c>
      <c r="O201" s="9" t="n">
        <f aca="false">IF(Tabla2[[#This Row],[Costos (En RD$/Tarea)]]=0,0,Tabla2[[#This Row],[Beneficio Neto  (En RD$/Tarea)]]/Tabla2[[#This Row],[Costos (En RD$/Tarea)]])</f>
        <v>0</v>
      </c>
      <c r="P201" s="7" t="n">
        <f aca="false">Tabla2[[#This Row],[Rentabilidad (%)]]/12</f>
        <v>0</v>
      </c>
    </row>
    <row r="202" customFormat="false" ht="14.25" hidden="false" customHeight="false" outlineLevel="0" collapsed="false">
      <c r="A202" s="1" t="n">
        <v>37012</v>
      </c>
      <c r="B202" s="2" t="s">
        <v>27</v>
      </c>
      <c r="C202" s="3" t="n">
        <v>3828</v>
      </c>
      <c r="D202" s="8" t="s">
        <v>17</v>
      </c>
      <c r="E202" s="3" t="n">
        <f aca="false">IF(Tabla2[[#This Row],[Frecuencia]]="Annual", Tabla2[[#This Row],[Cosecha/Tarea]]/12,Tabla2[[#This Row],[Cosecha/Tarea]])</f>
        <v>3828</v>
      </c>
      <c r="F202" s="3" t="n">
        <v>28655</v>
      </c>
      <c r="G202" s="2" t="s">
        <v>18</v>
      </c>
      <c r="H202" s="2" t="n">
        <f aca="false">F202/Tabla2[[#This Row],[Cosecha Mensual]]</f>
        <v>7.48563218390805</v>
      </c>
      <c r="I202" s="2" t="n">
        <f aca="false">H202*_xlfn.XLOOKUP(Tabla2[[#This Row],[Unidad de producción]],Tabla3[Medida],Tabla3[Equivalencia en Kg],"ELVIS",0)</f>
        <v>339.548275862069</v>
      </c>
      <c r="J202" s="2" t="n">
        <v>188.583333333333</v>
      </c>
      <c r="K202" s="2" t="s">
        <v>18</v>
      </c>
      <c r="L202" s="2" t="n">
        <f aca="false">J202/_xlfn.XLOOKUP(Tabla2[[#This Row],[Unidad de precio]],Tabla3[Medida],Tabla3[Equivalencia en Kg],"ELVIS",0)</f>
        <v>4.157480893592</v>
      </c>
      <c r="N202" s="3" t="n">
        <f aca="false">(Tabla2[[#This Row],[Productividad (kg/TAS)]]*Tabla2[[#This Row],[Precio por kg]]-Tabla2[[#This Row],[Costos (En RD$/Tarea)]])</f>
        <v>1411.66546934866</v>
      </c>
      <c r="O202" s="9" t="n">
        <f aca="false">IF(Tabla2[[#This Row],[Costos (En RD$/Tarea)]]=0,0,Tabla2[[#This Row],[Beneficio Neto  (En RD$/Tarea)]]/Tabla2[[#This Row],[Costos (En RD$/Tarea)]])</f>
        <v>0</v>
      </c>
      <c r="P202" s="7" t="n">
        <f aca="false">Tabla2[[#This Row],[Rentabilidad (%)]]/12</f>
        <v>0</v>
      </c>
    </row>
    <row r="203" customFormat="false" ht="14.25" hidden="false" customHeight="false" outlineLevel="0" collapsed="false">
      <c r="A203" s="1" t="n">
        <v>37012</v>
      </c>
      <c r="B203" s="2" t="s">
        <v>28</v>
      </c>
      <c r="C203" s="3" t="n">
        <v>42</v>
      </c>
      <c r="D203" s="8" t="s">
        <v>17</v>
      </c>
      <c r="E203" s="3" t="n">
        <f aca="false">IF(Tabla2[[#This Row],[Frecuencia]]="Annual", Tabla2[[#This Row],[Cosecha/Tarea]]/12,Tabla2[[#This Row],[Cosecha/Tarea]])</f>
        <v>42</v>
      </c>
      <c r="F203" s="3" t="n">
        <v>114</v>
      </c>
      <c r="G203" s="2" t="s">
        <v>18</v>
      </c>
      <c r="H203" s="2" t="n">
        <f aca="false">F203/Tabla2[[#This Row],[Cosecha Mensual]]</f>
        <v>2.71428571428571</v>
      </c>
      <c r="I203" s="2" t="n">
        <f aca="false">H203*_xlfn.XLOOKUP(Tabla2[[#This Row],[Unidad de producción]],Tabla3[Medida],Tabla3[Equivalencia en Kg],"ELVIS",0)</f>
        <v>123.12</v>
      </c>
      <c r="J203" s="2" t="n">
        <v>5500</v>
      </c>
      <c r="K203" s="2" t="s">
        <v>29</v>
      </c>
      <c r="L203" s="2" t="n">
        <f aca="false">J203/_xlfn.XLOOKUP(Tabla2[[#This Row],[Unidad de precio]],Tabla3[Medida],Tabla3[Equivalencia en Kg],"ELVIS",0)</f>
        <v>9.78055980367749</v>
      </c>
      <c r="N203" s="3" t="n">
        <f aca="false">(Tabla2[[#This Row],[Productividad (kg/TAS)]]*Tabla2[[#This Row],[Precio por kg]]-Tabla2[[#This Row],[Costos (En RD$/Tarea)]])</f>
        <v>1204.18252302877</v>
      </c>
      <c r="O203" s="9" t="n">
        <f aca="false">IF(Tabla2[[#This Row],[Costos (En RD$/Tarea)]]=0,0,Tabla2[[#This Row],[Beneficio Neto  (En RD$/Tarea)]]/Tabla2[[#This Row],[Costos (En RD$/Tarea)]])</f>
        <v>0</v>
      </c>
      <c r="P203" s="7" t="n">
        <f aca="false">Tabla2[[#This Row],[Rentabilidad (%)]]/12</f>
        <v>0</v>
      </c>
    </row>
    <row r="204" customFormat="false" ht="14.25" hidden="false" customHeight="false" outlineLevel="0" collapsed="false">
      <c r="A204" s="1" t="n">
        <v>37012</v>
      </c>
      <c r="B204" s="2" t="s">
        <v>30</v>
      </c>
      <c r="C204" s="3" t="n">
        <v>215704</v>
      </c>
      <c r="D204" s="3" t="s">
        <v>31</v>
      </c>
      <c r="E204" s="3" t="n">
        <f aca="false">IF(Tabla2[[#This Row],[Frecuencia]]="Annual", Tabla2[[#This Row],[Cosecha/Tarea]]/12,Tabla2[[#This Row],[Cosecha/Tarea]])</f>
        <v>17975.3333333333</v>
      </c>
      <c r="F204" s="3" t="n">
        <v>1590318</v>
      </c>
      <c r="G204" s="2" t="s">
        <v>32</v>
      </c>
      <c r="H204" s="2" t="n">
        <f aca="false">F204/Tabla2[[#This Row],[Cosecha Mensual]]</f>
        <v>88.4722397359344</v>
      </c>
      <c r="I204" s="2" t="n">
        <f aca="false">H204*_xlfn.XLOOKUP(Tabla2[[#This Row],[Unidad de producción]],Tabla3[Medida],Tabla3[Equivalencia en Kg],"ELVIS",0)</f>
        <v>2407.32964321478</v>
      </c>
      <c r="J204" s="2" t="n">
        <v>56.195</v>
      </c>
      <c r="K204" s="2" t="s">
        <v>32</v>
      </c>
      <c r="L204" s="2" t="n">
        <f aca="false">J204/_xlfn.XLOOKUP(Tabla2[[#This Row],[Unidad de precio]],Tabla3[Medida],Tabla3[Equivalencia en Kg],"ELVIS",0)</f>
        <v>2.06523337008453</v>
      </c>
      <c r="M204" s="3"/>
      <c r="N204" s="3" t="n">
        <f aca="false">(Tabla2[[#This Row],[Productividad (kg/TAS)]]*Tabla2[[#This Row],[Precio por kg]]-Tabla2[[#This Row],[Costos (En RD$/Tarea)]])</f>
        <v>4971.69751196084</v>
      </c>
      <c r="O204" s="9" t="n">
        <f aca="false">IF(Tabla2[[#This Row],[Costos (En RD$/Tarea)]]=0,0,Tabla2[[#This Row],[Beneficio Neto  (En RD$/Tarea)]]/Tabla2[[#This Row],[Costos (En RD$/Tarea)]])</f>
        <v>0</v>
      </c>
      <c r="P204" s="7" t="n">
        <f aca="false">Tabla2[[#This Row],[Rentabilidad (%)]]/12</f>
        <v>0</v>
      </c>
    </row>
    <row r="205" customFormat="false" ht="14.25" hidden="false" customHeight="false" outlineLevel="0" collapsed="false">
      <c r="A205" s="1" t="n">
        <v>37012</v>
      </c>
      <c r="B205" s="2" t="s">
        <v>33</v>
      </c>
      <c r="C205" s="3" t="n">
        <v>679450</v>
      </c>
      <c r="D205" s="3" t="s">
        <v>31</v>
      </c>
      <c r="E205" s="3" t="n">
        <f aca="false">IF(Tabla2[[#This Row],[Frecuencia]]="Annual", Tabla2[[#This Row],[Cosecha/Tarea]]/12,Tabla2[[#This Row],[Cosecha/Tarea]])</f>
        <v>56620.8333333333</v>
      </c>
      <c r="F205" s="3" t="n">
        <v>131583</v>
      </c>
      <c r="G205" s="2" t="s">
        <v>34</v>
      </c>
      <c r="H205" s="2" t="n">
        <f aca="false">F205/Tabla2[[#This Row],[Cosecha Mensual]]</f>
        <v>2.32393259253808</v>
      </c>
      <c r="I205" s="2" t="n">
        <f aca="false">H205*_xlfn.XLOOKUP(Tabla2[[#This Row],[Unidad de producción]],Tabla3[Medida],Tabla3[Equivalencia en Kg],"ELVIS",0)</f>
        <v>948.513087644418</v>
      </c>
      <c r="J205" s="2" t="n">
        <v>718</v>
      </c>
      <c r="K205" s="2" t="s">
        <v>34</v>
      </c>
      <c r="L205" s="2" t="n">
        <f aca="false">J205/_xlfn.XLOOKUP(Tabla2[[#This Row],[Unidad de precio]],Tabla3[Medida],Tabla3[Equivalencia en Kg],"ELVIS",0)</f>
        <v>1.75915717260811</v>
      </c>
      <c r="M205" s="3"/>
      <c r="N205" s="3" t="n">
        <f aca="false">(Tabla2[[#This Row],[Productividad (kg/TAS)]]*Tabla2[[#This Row],[Precio por kg]]-Tabla2[[#This Row],[Costos (En RD$/Tarea)]])</f>
        <v>1668.58360144234</v>
      </c>
      <c r="O205" s="9" t="n">
        <f aca="false">IF(Tabla2[[#This Row],[Costos (En RD$/Tarea)]]=0,0,Tabla2[[#This Row],[Beneficio Neto  (En RD$/Tarea)]]/Tabla2[[#This Row],[Costos (En RD$/Tarea)]])</f>
        <v>0</v>
      </c>
      <c r="P205" s="7" t="n">
        <f aca="false">Tabla2[[#This Row],[Rentabilidad (%)]]/12</f>
        <v>0</v>
      </c>
    </row>
    <row r="206" customFormat="false" ht="14.25" hidden="false" customHeight="false" outlineLevel="0" collapsed="false">
      <c r="A206" s="1" t="n">
        <v>37043</v>
      </c>
      <c r="B206" s="2" t="s">
        <v>16</v>
      </c>
      <c r="C206" s="3" t="n">
        <v>470883</v>
      </c>
      <c r="D206" s="8" t="s">
        <v>17</v>
      </c>
      <c r="E206" s="3" t="n">
        <f aca="false">IF(Tabla2[[#This Row],[Frecuencia]]="Annual", Tabla2[[#This Row],[Cosecha/Tarea]]/12,Tabla2[[#This Row],[Cosecha/Tarea]])</f>
        <v>470883</v>
      </c>
      <c r="F206" s="3" t="n">
        <v>2424189</v>
      </c>
      <c r="G206" s="2" t="s">
        <v>18</v>
      </c>
      <c r="H206" s="2" t="n">
        <f aca="false">F206/Tabla2[[#This Row],[Cosecha Mensual]]</f>
        <v>5.14817693567192</v>
      </c>
      <c r="I206" s="2" t="n">
        <f aca="false">H206*_xlfn.XLOOKUP(Tabla2[[#This Row],[Unidad de producción]],Tabla3[Medida],Tabla3[Equivalencia en Kg],"ELVIS",0)</f>
        <v>233.521305802078</v>
      </c>
      <c r="J206" s="2" t="n">
        <v>1096.3696369637</v>
      </c>
      <c r="K206" s="2" t="s">
        <v>19</v>
      </c>
      <c r="L206" s="2" t="n">
        <f aca="false">J206/_xlfn.XLOOKUP(Tabla2[[#This Row],[Unidad de precio]],Tabla3[Medida],Tabla3[Equivalencia en Kg],"ELVIS",0)</f>
        <v>9.96699669967</v>
      </c>
      <c r="N206" s="3" t="n">
        <f aca="false">(Tabla2[[#This Row],[Productividad (kg/TAS)]]*Tabla2[[#This Row],[Precio por kg]]-Tabla2[[#This Row],[Costos (En RD$/Tarea)]])</f>
        <v>2327.50608423194</v>
      </c>
      <c r="O206" s="9" t="n">
        <f aca="false">IF(Tabla2[[#This Row],[Costos (En RD$/Tarea)]]=0,0,Tabla2[[#This Row],[Beneficio Neto  (En RD$/Tarea)]]/Tabla2[[#This Row],[Costos (En RD$/Tarea)]])</f>
        <v>0</v>
      </c>
      <c r="P206" s="7" t="n">
        <f aca="false">Tabla2[[#This Row],[Rentabilidad (%)]]/12</f>
        <v>0</v>
      </c>
    </row>
    <row r="207" customFormat="false" ht="14.25" hidden="false" customHeight="false" outlineLevel="0" collapsed="false">
      <c r="A207" s="1" t="n">
        <v>37043</v>
      </c>
      <c r="B207" s="2" t="s">
        <v>20</v>
      </c>
      <c r="C207" s="3" t="n">
        <v>24680</v>
      </c>
      <c r="D207" s="8" t="s">
        <v>17</v>
      </c>
      <c r="E207" s="3" t="n">
        <f aca="false">IF(Tabla2[[#This Row],[Frecuencia]]="Annual", Tabla2[[#This Row],[Cosecha/Tarea]]/12,Tabla2[[#This Row],[Cosecha/Tarea]])</f>
        <v>24680</v>
      </c>
      <c r="F207" s="3" t="n">
        <v>77617</v>
      </c>
      <c r="G207" s="2" t="s">
        <v>18</v>
      </c>
      <c r="H207" s="2" t="n">
        <f aca="false">F207/Tabla2[[#This Row],[Cosecha Mensual]]</f>
        <v>3.14493517017828</v>
      </c>
      <c r="I207" s="2" t="n">
        <f aca="false">H207*_xlfn.XLOOKUP(Tabla2[[#This Row],[Unidad de producción]],Tabla3[Medida],Tabla3[Equivalencia en Kg],"ELVIS",0)</f>
        <v>142.654259319287</v>
      </c>
      <c r="J207" s="2" t="n">
        <v>137.17</v>
      </c>
      <c r="K207" s="2" t="s">
        <v>18</v>
      </c>
      <c r="L207" s="2" t="n">
        <f aca="false">J207/_xlfn.XLOOKUP(Tabla2[[#This Row],[Unidad de precio]],Tabla3[Medida],Tabla3[Equivalencia en Kg],"ELVIS",0)</f>
        <v>3.02402998236332</v>
      </c>
      <c r="N207" s="3" t="n">
        <f aca="false">(Tabla2[[#This Row],[Productividad (kg/TAS)]]*Tabla2[[#This Row],[Precio por kg]]-Tabla2[[#This Row],[Costos (En RD$/Tarea)]])</f>
        <v>431.390757293355</v>
      </c>
      <c r="O207" s="9" t="n">
        <f aca="false">IF(Tabla2[[#This Row],[Costos (En RD$/Tarea)]]=0,0,Tabla2[[#This Row],[Beneficio Neto  (En RD$/Tarea)]]/Tabla2[[#This Row],[Costos (En RD$/Tarea)]])</f>
        <v>0</v>
      </c>
      <c r="P207" s="7" t="n">
        <f aca="false">Tabla2[[#This Row],[Rentabilidad (%)]]/12</f>
        <v>0</v>
      </c>
    </row>
    <row r="208" customFormat="false" ht="14.25" hidden="false" customHeight="false" outlineLevel="0" collapsed="false">
      <c r="A208" s="1" t="n">
        <v>37043</v>
      </c>
      <c r="B208" s="2" t="s">
        <v>21</v>
      </c>
      <c r="C208" s="3" t="n">
        <v>6041</v>
      </c>
      <c r="D208" s="8" t="s">
        <v>17</v>
      </c>
      <c r="E208" s="3" t="n">
        <f aca="false">IF(Tabla2[[#This Row],[Frecuencia]]="Annual", Tabla2[[#This Row],[Cosecha/Tarea]]/12,Tabla2[[#This Row],[Cosecha/Tarea]])</f>
        <v>6041</v>
      </c>
      <c r="F208" s="3" t="n">
        <v>59122</v>
      </c>
      <c r="G208" s="2" t="s">
        <v>18</v>
      </c>
      <c r="H208" s="2" t="n">
        <f aca="false">F208/Tabla2[[#This Row],[Cosecha Mensual]]</f>
        <v>9.78679026651217</v>
      </c>
      <c r="I208" s="2" t="n">
        <f aca="false">H208*_xlfn.XLOOKUP(Tabla2[[#This Row],[Unidad de producción]],Tabla3[Medida],Tabla3[Equivalencia en Kg],"ELVIS",0)</f>
        <v>443.928806488992</v>
      </c>
      <c r="J208" s="2" t="n">
        <v>123.355</v>
      </c>
      <c r="K208" s="2" t="s">
        <v>18</v>
      </c>
      <c r="L208" s="2" t="n">
        <f aca="false">J208/_xlfn.XLOOKUP(Tabla2[[#This Row],[Unidad de precio]],Tabla3[Medida],Tabla3[Equivalencia en Kg],"ELVIS",0)</f>
        <v>2.71946649029982</v>
      </c>
      <c r="N208" s="3" t="n">
        <f aca="false">(Tabla2[[#This Row],[Productividad (kg/TAS)]]*Tabla2[[#This Row],[Precio por kg]]-Tabla2[[#This Row],[Costos (En RD$/Tarea)]])</f>
        <v>1207.24951332561</v>
      </c>
      <c r="O208" s="9" t="n">
        <f aca="false">IF(Tabla2[[#This Row],[Costos (En RD$/Tarea)]]=0,0,Tabla2[[#This Row],[Beneficio Neto  (En RD$/Tarea)]]/Tabla2[[#This Row],[Costos (En RD$/Tarea)]])</f>
        <v>0</v>
      </c>
      <c r="P208" s="7" t="n">
        <f aca="false">Tabla2[[#This Row],[Rentabilidad (%)]]/12</f>
        <v>0</v>
      </c>
    </row>
    <row r="209" customFormat="false" ht="14.25" hidden="false" customHeight="false" outlineLevel="0" collapsed="false">
      <c r="A209" s="1" t="n">
        <v>37043</v>
      </c>
      <c r="B209" s="2" t="s">
        <v>22</v>
      </c>
      <c r="C209" s="3" t="n">
        <v>2865</v>
      </c>
      <c r="D209" s="8" t="s">
        <v>17</v>
      </c>
      <c r="E209" s="3" t="n">
        <f aca="false">IF(Tabla2[[#This Row],[Frecuencia]]="Annual", Tabla2[[#This Row],[Cosecha/Tarea]]/12,Tabla2[[#This Row],[Cosecha/Tarea]])</f>
        <v>2865</v>
      </c>
      <c r="F209" s="3" t="n">
        <v>25377</v>
      </c>
      <c r="G209" s="2" t="s">
        <v>18</v>
      </c>
      <c r="H209" s="2" t="n">
        <f aca="false">F209/Tabla2[[#This Row],[Cosecha Mensual]]</f>
        <v>8.85759162303665</v>
      </c>
      <c r="I209" s="2" t="n">
        <f aca="false">H209*_xlfn.XLOOKUP(Tabla2[[#This Row],[Unidad de producción]],Tabla3[Medida],Tabla3[Equivalencia en Kg],"ELVIS",0)</f>
        <v>401.780356020942</v>
      </c>
      <c r="J209" s="2" t="n">
        <v>362.333333333333</v>
      </c>
      <c r="K209" s="2" t="s">
        <v>18</v>
      </c>
      <c r="L209" s="2" t="n">
        <f aca="false">J209/_xlfn.XLOOKUP(Tabla2[[#This Row],[Unidad de precio]],Tabla3[Medida],Tabla3[Equivalencia en Kg],"ELVIS",0)</f>
        <v>7.98794826572604</v>
      </c>
      <c r="N209" s="3" t="n">
        <f aca="false">(Tabla2[[#This Row],[Productividad (kg/TAS)]]*Tabla2[[#This Row],[Precio por kg]]-Tabla2[[#This Row],[Costos (En RD$/Tarea)]])</f>
        <v>3209.40069808028</v>
      </c>
      <c r="O209" s="9" t="n">
        <f aca="false">IF(Tabla2[[#This Row],[Costos (En RD$/Tarea)]]=0,0,Tabla2[[#This Row],[Beneficio Neto  (En RD$/Tarea)]]/Tabla2[[#This Row],[Costos (En RD$/Tarea)]])</f>
        <v>0</v>
      </c>
      <c r="P209" s="7" t="n">
        <f aca="false">Tabla2[[#This Row],[Rentabilidad (%)]]/12</f>
        <v>0</v>
      </c>
    </row>
    <row r="210" customFormat="false" ht="14.25" hidden="false" customHeight="false" outlineLevel="0" collapsed="false">
      <c r="A210" s="1" t="n">
        <v>37043</v>
      </c>
      <c r="B210" s="2" t="s">
        <v>23</v>
      </c>
      <c r="C210" s="3" t="n">
        <v>5385</v>
      </c>
      <c r="D210" s="8" t="s">
        <v>17</v>
      </c>
      <c r="E210" s="3" t="n">
        <f aca="false">IF(Tabla2[[#This Row],[Frecuencia]]="Annual", Tabla2[[#This Row],[Cosecha/Tarea]]/12,Tabla2[[#This Row],[Cosecha/Tarea]])</f>
        <v>5385</v>
      </c>
      <c r="F210" s="3" t="n">
        <v>126813</v>
      </c>
      <c r="G210" s="2" t="s">
        <v>18</v>
      </c>
      <c r="H210" s="2" t="n">
        <f aca="false">F210/Tabla2[[#This Row],[Cosecha Mensual]]</f>
        <v>23.5493036211699</v>
      </c>
      <c r="I210" s="2" t="n">
        <f aca="false">H210*_xlfn.XLOOKUP(Tabla2[[#This Row],[Unidad de producción]],Tabla3[Medida],Tabla3[Equivalencia en Kg],"ELVIS",0)</f>
        <v>1068.19641225627</v>
      </c>
      <c r="J210" s="2" t="n">
        <v>292.25</v>
      </c>
      <c r="K210" s="2" t="s">
        <v>18</v>
      </c>
      <c r="L210" s="2" t="n">
        <f aca="false">J210/_xlfn.XLOOKUP(Tabla2[[#This Row],[Unidad de precio]],Tabla3[Medida],Tabla3[Equivalencia en Kg],"ELVIS",0)</f>
        <v>6.4429012345679</v>
      </c>
      <c r="N210" s="3" t="n">
        <f aca="false">(Tabla2[[#This Row],[Productividad (kg/TAS)]]*Tabla2[[#This Row],[Precio por kg]]-Tabla2[[#This Row],[Costos (En RD$/Tarea)]])</f>
        <v>6882.28398328691</v>
      </c>
      <c r="O210" s="9" t="n">
        <f aca="false">IF(Tabla2[[#This Row],[Costos (En RD$/Tarea)]]=0,0,Tabla2[[#This Row],[Beneficio Neto  (En RD$/Tarea)]]/Tabla2[[#This Row],[Costos (En RD$/Tarea)]])</f>
        <v>0</v>
      </c>
      <c r="P210" s="7" t="n">
        <f aca="false">Tabla2[[#This Row],[Rentabilidad (%)]]/12</f>
        <v>0</v>
      </c>
    </row>
    <row r="211" customFormat="false" ht="14.25" hidden="false" customHeight="false" outlineLevel="0" collapsed="false">
      <c r="A211" s="1" t="n">
        <v>37043</v>
      </c>
      <c r="B211" s="2" t="s">
        <v>24</v>
      </c>
      <c r="C211" s="3" t="n">
        <v>5985</v>
      </c>
      <c r="D211" s="8" t="s">
        <v>17</v>
      </c>
      <c r="E211" s="3" t="n">
        <f aca="false">IF(Tabla2[[#This Row],[Frecuencia]]="Annual", Tabla2[[#This Row],[Cosecha/Tarea]]/12,Tabla2[[#This Row],[Cosecha/Tarea]])</f>
        <v>5985</v>
      </c>
      <c r="F211" s="3" t="n">
        <v>63275</v>
      </c>
      <c r="G211" s="2" t="s">
        <v>18</v>
      </c>
      <c r="H211" s="2" t="n">
        <f aca="false">F211/Tabla2[[#This Row],[Cosecha Mensual]]</f>
        <v>10.5722639933166</v>
      </c>
      <c r="I211" s="2" t="n">
        <f aca="false">H211*_xlfn.XLOOKUP(Tabla2[[#This Row],[Unidad de producción]],Tabla3[Medida],Tabla3[Equivalencia en Kg],"ELVIS",0)</f>
        <v>479.557894736842</v>
      </c>
      <c r="J211" s="2" t="n">
        <v>449.9375</v>
      </c>
      <c r="K211" s="2" t="s">
        <v>18</v>
      </c>
      <c r="L211" s="2" t="n">
        <f aca="false">J211/_xlfn.XLOOKUP(Tabla2[[#This Row],[Unidad de precio]],Tabla3[Medida],Tabla3[Equivalencia en Kg],"ELVIS",0)</f>
        <v>9.91925705467372</v>
      </c>
      <c r="N211" s="3" t="n">
        <f aca="false">(Tabla2[[#This Row],[Productividad (kg/TAS)]]*Tabla2[[#This Row],[Precio por kg]]-Tabla2[[#This Row],[Costos (En RD$/Tarea)]])</f>
        <v>4756.8580304929</v>
      </c>
      <c r="O211" s="9" t="n">
        <f aca="false">IF(Tabla2[[#This Row],[Costos (En RD$/Tarea)]]=0,0,Tabla2[[#This Row],[Beneficio Neto  (En RD$/Tarea)]]/Tabla2[[#This Row],[Costos (En RD$/Tarea)]])</f>
        <v>0</v>
      </c>
      <c r="P211" s="7" t="n">
        <f aca="false">Tabla2[[#This Row],[Rentabilidad (%)]]/12</f>
        <v>0</v>
      </c>
    </row>
    <row r="212" customFormat="false" ht="14.25" hidden="false" customHeight="false" outlineLevel="0" collapsed="false">
      <c r="A212" s="1" t="n">
        <v>37043</v>
      </c>
      <c r="B212" s="2" t="s">
        <v>25</v>
      </c>
      <c r="C212" s="3" t="n">
        <v>20345</v>
      </c>
      <c r="D212" s="8" t="s">
        <v>17</v>
      </c>
      <c r="E212" s="3" t="n">
        <f aca="false">IF(Tabla2[[#This Row],[Frecuencia]]="Annual", Tabla2[[#This Row],[Cosecha/Tarea]]/12,Tabla2[[#This Row],[Cosecha/Tarea]])</f>
        <v>20345</v>
      </c>
      <c r="F212" s="3" t="n">
        <v>168744</v>
      </c>
      <c r="G212" s="2" t="s">
        <v>18</v>
      </c>
      <c r="H212" s="2" t="n">
        <f aca="false">F212/Tabla2[[#This Row],[Cosecha Mensual]]</f>
        <v>8.29412632096338</v>
      </c>
      <c r="I212" s="2" t="n">
        <f aca="false">H212*_xlfn.XLOOKUP(Tabla2[[#This Row],[Unidad de producción]],Tabla3[Medida],Tabla3[Equivalencia en Kg],"ELVIS",0)</f>
        <v>376.221569918899</v>
      </c>
      <c r="J212" s="2" t="n">
        <v>148.6</v>
      </c>
      <c r="K212" s="2" t="s">
        <v>18</v>
      </c>
      <c r="L212" s="2" t="n">
        <f aca="false">J212/_xlfn.XLOOKUP(Tabla2[[#This Row],[Unidad de precio]],Tabla3[Medida],Tabla3[Equivalencia en Kg],"ELVIS",0)</f>
        <v>3.27601410934744</v>
      </c>
      <c r="N212" s="3" t="n">
        <f aca="false">(Tabla2[[#This Row],[Productividad (kg/TAS)]]*Tabla2[[#This Row],[Precio por kg]]-Tabla2[[#This Row],[Costos (En RD$/Tarea)]])</f>
        <v>1232.50717129516</v>
      </c>
      <c r="O212" s="9" t="n">
        <f aca="false">IF(Tabla2[[#This Row],[Costos (En RD$/Tarea)]]=0,0,Tabla2[[#This Row],[Beneficio Neto  (En RD$/Tarea)]]/Tabla2[[#This Row],[Costos (En RD$/Tarea)]])</f>
        <v>0</v>
      </c>
      <c r="P212" s="7" t="n">
        <f aca="false">Tabla2[[#This Row],[Rentabilidad (%)]]/12</f>
        <v>0</v>
      </c>
    </row>
    <row r="213" customFormat="false" ht="14.25" hidden="false" customHeight="false" outlineLevel="0" collapsed="false">
      <c r="A213" s="1" t="n">
        <v>37043</v>
      </c>
      <c r="B213" s="2" t="s">
        <v>26</v>
      </c>
      <c r="C213" s="3" t="n">
        <v>8473</v>
      </c>
      <c r="D213" s="8" t="s">
        <v>17</v>
      </c>
      <c r="E213" s="3" t="n">
        <f aca="false">IF(Tabla2[[#This Row],[Frecuencia]]="Annual", Tabla2[[#This Row],[Cosecha/Tarea]]/12,Tabla2[[#This Row],[Cosecha/Tarea]])</f>
        <v>8473</v>
      </c>
      <c r="F213" s="3" t="n">
        <v>66677</v>
      </c>
      <c r="G213" s="2" t="s">
        <v>18</v>
      </c>
      <c r="H213" s="2" t="n">
        <f aca="false">F213/Tabla2[[#This Row],[Cosecha Mensual]]</f>
        <v>7.86934969904402</v>
      </c>
      <c r="I213" s="2" t="n">
        <f aca="false">H213*_xlfn.XLOOKUP(Tabla2[[#This Row],[Unidad de producción]],Tabla3[Medida],Tabla3[Equivalencia en Kg],"ELVIS",0)</f>
        <v>356.953702348637</v>
      </c>
      <c r="J213" s="2" t="n">
        <v>198.35</v>
      </c>
      <c r="K213" s="2" t="s">
        <v>18</v>
      </c>
      <c r="L213" s="2" t="n">
        <f aca="false">J213/_xlfn.XLOOKUP(Tabla2[[#This Row],[Unidad de precio]],Tabla3[Medida],Tabla3[Equivalencia en Kg],"ELVIS",0)</f>
        <v>4.37279541446208</v>
      </c>
      <c r="N213" s="3" t="n">
        <f aca="false">(Tabla2[[#This Row],[Productividad (kg/TAS)]]*Tabla2[[#This Row],[Precio por kg]]-Tabla2[[#This Row],[Costos (En RD$/Tarea)]])</f>
        <v>1560.88551280538</v>
      </c>
      <c r="O213" s="9" t="n">
        <f aca="false">IF(Tabla2[[#This Row],[Costos (En RD$/Tarea)]]=0,0,Tabla2[[#This Row],[Beneficio Neto  (En RD$/Tarea)]]/Tabla2[[#This Row],[Costos (En RD$/Tarea)]])</f>
        <v>0</v>
      </c>
      <c r="P213" s="7" t="n">
        <f aca="false">Tabla2[[#This Row],[Rentabilidad (%)]]/12</f>
        <v>0</v>
      </c>
    </row>
    <row r="214" customFormat="false" ht="14.25" hidden="false" customHeight="false" outlineLevel="0" collapsed="false">
      <c r="A214" s="1" t="n">
        <v>37043</v>
      </c>
      <c r="B214" s="2" t="s">
        <v>27</v>
      </c>
      <c r="C214" s="3" t="n">
        <v>3959</v>
      </c>
      <c r="D214" s="8" t="s">
        <v>17</v>
      </c>
      <c r="E214" s="3" t="n">
        <f aca="false">IF(Tabla2[[#This Row],[Frecuencia]]="Annual", Tabla2[[#This Row],[Cosecha/Tarea]]/12,Tabla2[[#This Row],[Cosecha/Tarea]])</f>
        <v>3959</v>
      </c>
      <c r="F214" s="3" t="n">
        <v>30587</v>
      </c>
      <c r="G214" s="2" t="s">
        <v>18</v>
      </c>
      <c r="H214" s="2" t="n">
        <f aca="false">F214/Tabla2[[#This Row],[Cosecha Mensual]]</f>
        <v>7.72594089416519</v>
      </c>
      <c r="I214" s="2" t="n">
        <f aca="false">H214*_xlfn.XLOOKUP(Tabla2[[#This Row],[Unidad de producción]],Tabla3[Medida],Tabla3[Equivalencia en Kg],"ELVIS",0)</f>
        <v>350.448678959333</v>
      </c>
      <c r="J214" s="2" t="n">
        <v>197.433333333333</v>
      </c>
      <c r="K214" s="2" t="s">
        <v>18</v>
      </c>
      <c r="L214" s="2" t="n">
        <f aca="false">J214/_xlfn.XLOOKUP(Tabla2[[#This Row],[Unidad de precio]],Tabla3[Medida],Tabla3[Equivalencia en Kg],"ELVIS",0)</f>
        <v>4.35258671369782</v>
      </c>
      <c r="N214" s="3" t="n">
        <f aca="false">(Tabla2[[#This Row],[Productividad (kg/TAS)]]*Tabla2[[#This Row],[Precio por kg]]-Tabla2[[#This Row],[Costos (En RD$/Tarea)]])</f>
        <v>1525.35826387135</v>
      </c>
      <c r="O214" s="9" t="n">
        <f aca="false">IF(Tabla2[[#This Row],[Costos (En RD$/Tarea)]]=0,0,Tabla2[[#This Row],[Beneficio Neto  (En RD$/Tarea)]]/Tabla2[[#This Row],[Costos (En RD$/Tarea)]])</f>
        <v>0</v>
      </c>
      <c r="P214" s="7" t="n">
        <f aca="false">Tabla2[[#This Row],[Rentabilidad (%)]]/12</f>
        <v>0</v>
      </c>
    </row>
    <row r="215" customFormat="false" ht="14.25" hidden="false" customHeight="false" outlineLevel="0" collapsed="false">
      <c r="A215" s="1" t="n">
        <v>37043</v>
      </c>
      <c r="B215" s="2" t="s">
        <v>28</v>
      </c>
      <c r="C215" s="3" t="n">
        <v>1682</v>
      </c>
      <c r="D215" s="8" t="s">
        <v>17</v>
      </c>
      <c r="E215" s="3" t="n">
        <f aca="false">IF(Tabla2[[#This Row],[Frecuencia]]="Annual", Tabla2[[#This Row],[Cosecha/Tarea]]/12,Tabla2[[#This Row],[Cosecha/Tarea]])</f>
        <v>1682</v>
      </c>
      <c r="F215" s="3" t="n">
        <v>4741</v>
      </c>
      <c r="G215" s="2" t="s">
        <v>18</v>
      </c>
      <c r="H215" s="2" t="n">
        <f aca="false">F215/Tabla2[[#This Row],[Cosecha Mensual]]</f>
        <v>2.81866825208086</v>
      </c>
      <c r="I215" s="2" t="n">
        <f aca="false">H215*_xlfn.XLOOKUP(Tabla2[[#This Row],[Unidad de producción]],Tabla3[Medida],Tabla3[Equivalencia en Kg],"ELVIS",0)</f>
        <v>127.854791914388</v>
      </c>
      <c r="J215" s="2" t="n">
        <v>1783.33333333333</v>
      </c>
      <c r="K215" s="2" t="s">
        <v>29</v>
      </c>
      <c r="L215" s="2" t="n">
        <f aca="false">J215/_xlfn.XLOOKUP(Tabla2[[#This Row],[Unidad de precio]],Tabla3[Medida],Tabla3[Equivalencia en Kg],"ELVIS",0)</f>
        <v>3.17127242119239</v>
      </c>
      <c r="N215" s="3" t="n">
        <f aca="false">(Tabla2[[#This Row],[Productividad (kg/TAS)]]*Tabla2[[#This Row],[Precio por kg]]-Tabla2[[#This Row],[Costos (En RD$/Tarea)]])</f>
        <v>405.46237551539</v>
      </c>
      <c r="O215" s="9" t="n">
        <f aca="false">IF(Tabla2[[#This Row],[Costos (En RD$/Tarea)]]=0,0,Tabla2[[#This Row],[Beneficio Neto  (En RD$/Tarea)]]/Tabla2[[#This Row],[Costos (En RD$/Tarea)]])</f>
        <v>0</v>
      </c>
      <c r="P215" s="7" t="n">
        <f aca="false">Tabla2[[#This Row],[Rentabilidad (%)]]/12</f>
        <v>0</v>
      </c>
    </row>
    <row r="216" customFormat="false" ht="14.25" hidden="false" customHeight="false" outlineLevel="0" collapsed="false">
      <c r="A216" s="1" t="n">
        <v>37043</v>
      </c>
      <c r="B216" s="2" t="s">
        <v>30</v>
      </c>
      <c r="C216" s="3" t="n">
        <v>359994</v>
      </c>
      <c r="D216" s="3" t="s">
        <v>31</v>
      </c>
      <c r="E216" s="3" t="n">
        <f aca="false">IF(Tabla2[[#This Row],[Frecuencia]]="Annual", Tabla2[[#This Row],[Cosecha/Tarea]]/12,Tabla2[[#This Row],[Cosecha/Tarea]])</f>
        <v>29999.5</v>
      </c>
      <c r="F216" s="3" t="n">
        <v>1679103</v>
      </c>
      <c r="G216" s="2" t="s">
        <v>32</v>
      </c>
      <c r="H216" s="2" t="n">
        <f aca="false">F216/Tabla2[[#This Row],[Cosecha Mensual]]</f>
        <v>55.9710328505475</v>
      </c>
      <c r="I216" s="2" t="n">
        <f aca="false">H216*_xlfn.XLOOKUP(Tabla2[[#This Row],[Unidad de producción]],Tabla3[Medida],Tabla3[Equivalencia en Kg],"ELVIS",0)</f>
        <v>1522.9718038634</v>
      </c>
      <c r="J216" s="2" t="n">
        <v>20.8714285714286</v>
      </c>
      <c r="K216" s="2" t="s">
        <v>32</v>
      </c>
      <c r="L216" s="2" t="n">
        <f aca="false">J216/_xlfn.XLOOKUP(Tabla2[[#This Row],[Unidad de precio]],Tabla3[Medida],Tabla3[Equivalencia en Kg],"ELVIS",0)</f>
        <v>0.767049929122697</v>
      </c>
      <c r="M216" s="3"/>
      <c r="N216" s="3" t="n">
        <f aca="false">(Tabla2[[#This Row],[Productividad (kg/TAS)]]*Tabla2[[#This Row],[Precio por kg]]-Tabla2[[#This Row],[Costos (En RD$/Tarea)]])</f>
        <v>1168.19541420929</v>
      </c>
      <c r="O216" s="9" t="n">
        <f aca="false">IF(Tabla2[[#This Row],[Costos (En RD$/Tarea)]]=0,0,Tabla2[[#This Row],[Beneficio Neto  (En RD$/Tarea)]]/Tabla2[[#This Row],[Costos (En RD$/Tarea)]])</f>
        <v>0</v>
      </c>
      <c r="P216" s="7" t="n">
        <f aca="false">Tabla2[[#This Row],[Rentabilidad (%)]]/12</f>
        <v>0</v>
      </c>
    </row>
    <row r="217" customFormat="false" ht="14.25" hidden="false" customHeight="false" outlineLevel="0" collapsed="false">
      <c r="A217" s="1" t="n">
        <v>37043</v>
      </c>
      <c r="B217" s="2" t="s">
        <v>33</v>
      </c>
      <c r="C217" s="3" t="n">
        <v>563812</v>
      </c>
      <c r="D217" s="3" t="s">
        <v>31</v>
      </c>
      <c r="E217" s="3" t="n">
        <f aca="false">IF(Tabla2[[#This Row],[Frecuencia]]="Annual", Tabla2[[#This Row],[Cosecha/Tarea]]/12,Tabla2[[#This Row],[Cosecha/Tarea]])</f>
        <v>46984.3333333333</v>
      </c>
      <c r="F217" s="3" t="n">
        <v>128943</v>
      </c>
      <c r="G217" s="2" t="s">
        <v>34</v>
      </c>
      <c r="H217" s="2" t="n">
        <f aca="false">F217/Tabla2[[#This Row],[Cosecha Mensual]]</f>
        <v>2.74438287939952</v>
      </c>
      <c r="I217" s="2" t="n">
        <f aca="false">H217*_xlfn.XLOOKUP(Tabla2[[#This Row],[Unidad de producción]],Tabla3[Medida],Tabla3[Equivalencia en Kg],"ELVIS",0)</f>
        <v>1120.11987222691</v>
      </c>
      <c r="J217" s="2" t="n">
        <v>629.585714285714</v>
      </c>
      <c r="K217" s="2" t="s">
        <v>34</v>
      </c>
      <c r="L217" s="2" t="n">
        <f aca="false">J217/_xlfn.XLOOKUP(Tabla2[[#This Row],[Unidad de precio]],Tabla3[Medida],Tabla3[Equivalencia en Kg],"ELVIS",0)</f>
        <v>1.5425351323918</v>
      </c>
      <c r="M217" s="3"/>
      <c r="N217" s="3" t="n">
        <f aca="false">(Tabla2[[#This Row],[Productividad (kg/TAS)]]*Tabla2[[#This Row],[Precio por kg]]-Tabla2[[#This Row],[Costos (En RD$/Tarea)]])</f>
        <v>1727.82425540023</v>
      </c>
      <c r="O217" s="9" t="n">
        <f aca="false">IF(Tabla2[[#This Row],[Costos (En RD$/Tarea)]]=0,0,Tabla2[[#This Row],[Beneficio Neto  (En RD$/Tarea)]]/Tabla2[[#This Row],[Costos (En RD$/Tarea)]])</f>
        <v>0</v>
      </c>
      <c r="P217" s="7" t="n">
        <f aca="false">Tabla2[[#This Row],[Rentabilidad (%)]]/12</f>
        <v>0</v>
      </c>
    </row>
    <row r="218" customFormat="false" ht="14.25" hidden="false" customHeight="false" outlineLevel="0" collapsed="false">
      <c r="A218" s="1" t="n">
        <v>37073</v>
      </c>
      <c r="B218" s="2" t="s">
        <v>16</v>
      </c>
      <c r="C218" s="3" t="n">
        <v>374523</v>
      </c>
      <c r="D218" s="8" t="s">
        <v>17</v>
      </c>
      <c r="E218" s="3" t="n">
        <f aca="false">IF(Tabla2[[#This Row],[Frecuencia]]="Annual", Tabla2[[#This Row],[Cosecha/Tarea]]/12,Tabla2[[#This Row],[Cosecha/Tarea]])</f>
        <v>374523</v>
      </c>
      <c r="F218" s="3" t="n">
        <v>2049275</v>
      </c>
      <c r="G218" s="2" t="s">
        <v>18</v>
      </c>
      <c r="H218" s="2" t="n">
        <f aca="false">F218/Tabla2[[#This Row],[Cosecha Mensual]]</f>
        <v>5.47169332724559</v>
      </c>
      <c r="I218" s="2" t="n">
        <f aca="false">H218*_xlfn.XLOOKUP(Tabla2[[#This Row],[Unidad de producción]],Tabla3[Medida],Tabla3[Equivalencia en Kg],"ELVIS",0)</f>
        <v>248.19600932386</v>
      </c>
      <c r="J218" s="2" t="n">
        <v>797.130913091309</v>
      </c>
      <c r="K218" s="2" t="s">
        <v>19</v>
      </c>
      <c r="L218" s="2" t="n">
        <f aca="false">J218/_xlfn.XLOOKUP(Tabla2[[#This Row],[Unidad de precio]],Tabla3[Medida],Tabla3[Equivalencia en Kg],"ELVIS",0)</f>
        <v>7.24664466446645</v>
      </c>
      <c r="N218" s="3" t="n">
        <f aca="false">(Tabla2[[#This Row],[Productividad (kg/TAS)]]*Tabla2[[#This Row],[Precio por kg]]-Tabla2[[#This Row],[Costos (En RD$/Tarea)]])</f>
        <v>1798.58828670861</v>
      </c>
      <c r="O218" s="9" t="n">
        <f aca="false">IF(Tabla2[[#This Row],[Costos (En RD$/Tarea)]]=0,0,Tabla2[[#This Row],[Beneficio Neto  (En RD$/Tarea)]]/Tabla2[[#This Row],[Costos (En RD$/Tarea)]])</f>
        <v>0</v>
      </c>
      <c r="P218" s="7" t="n">
        <f aca="false">Tabla2[[#This Row],[Rentabilidad (%)]]/12</f>
        <v>0</v>
      </c>
    </row>
    <row r="219" customFormat="false" ht="14.25" hidden="false" customHeight="false" outlineLevel="0" collapsed="false">
      <c r="A219" s="1" t="n">
        <v>37073</v>
      </c>
      <c r="B219" s="2" t="s">
        <v>20</v>
      </c>
      <c r="C219" s="3" t="n">
        <v>34223</v>
      </c>
      <c r="D219" s="8" t="s">
        <v>17</v>
      </c>
      <c r="E219" s="3" t="n">
        <f aca="false">IF(Tabla2[[#This Row],[Frecuencia]]="Annual", Tabla2[[#This Row],[Cosecha/Tarea]]/12,Tabla2[[#This Row],[Cosecha/Tarea]])</f>
        <v>34223</v>
      </c>
      <c r="F219" s="3" t="n">
        <v>65214</v>
      </c>
      <c r="G219" s="2" t="s">
        <v>18</v>
      </c>
      <c r="H219" s="2" t="n">
        <f aca="false">F219/Tabla2[[#This Row],[Cosecha Mensual]]</f>
        <v>1.90556058790872</v>
      </c>
      <c r="I219" s="2" t="n">
        <f aca="false">H219*_xlfn.XLOOKUP(Tabla2[[#This Row],[Unidad de producción]],Tabla3[Medida],Tabla3[Equivalencia en Kg],"ELVIS",0)</f>
        <v>86.4362282675394</v>
      </c>
      <c r="J219" s="2" t="n">
        <v>120.384285714286</v>
      </c>
      <c r="K219" s="2" t="s">
        <v>18</v>
      </c>
      <c r="L219" s="2" t="n">
        <f aca="false">J219/_xlfn.XLOOKUP(Tabla2[[#This Row],[Unidad de precio]],Tabla3[Medida],Tabla3[Equivalencia en Kg],"ELVIS",0)</f>
        <v>2.65397455278408</v>
      </c>
      <c r="N219" s="3" t="n">
        <f aca="false">(Tabla2[[#This Row],[Productividad (kg/TAS)]]*Tabla2[[#This Row],[Precio por kg]]-Tabla2[[#This Row],[Costos (En RD$/Tarea)]])</f>
        <v>229.399550260686</v>
      </c>
      <c r="O219" s="9" t="n">
        <f aca="false">IF(Tabla2[[#This Row],[Costos (En RD$/Tarea)]]=0,0,Tabla2[[#This Row],[Beneficio Neto  (En RD$/Tarea)]]/Tabla2[[#This Row],[Costos (En RD$/Tarea)]])</f>
        <v>0</v>
      </c>
      <c r="P219" s="7" t="n">
        <f aca="false">Tabla2[[#This Row],[Rentabilidad (%)]]/12</f>
        <v>0</v>
      </c>
    </row>
    <row r="220" customFormat="false" ht="14.25" hidden="false" customHeight="false" outlineLevel="0" collapsed="false">
      <c r="A220" s="1" t="n">
        <v>37073</v>
      </c>
      <c r="B220" s="2" t="s">
        <v>21</v>
      </c>
      <c r="C220" s="3" t="n">
        <v>5658</v>
      </c>
      <c r="D220" s="8" t="s">
        <v>17</v>
      </c>
      <c r="E220" s="3" t="n">
        <f aca="false">IF(Tabla2[[#This Row],[Frecuencia]]="Annual", Tabla2[[#This Row],[Cosecha/Tarea]]/12,Tabla2[[#This Row],[Cosecha/Tarea]])</f>
        <v>5658</v>
      </c>
      <c r="F220" s="3" t="n">
        <v>48819</v>
      </c>
      <c r="G220" s="2" t="s">
        <v>18</v>
      </c>
      <c r="H220" s="2" t="n">
        <f aca="false">F220/Tabla2[[#This Row],[Cosecha Mensual]]</f>
        <v>8.62831389183457</v>
      </c>
      <c r="I220" s="2" t="n">
        <f aca="false">H220*_xlfn.XLOOKUP(Tabla2[[#This Row],[Unidad de producción]],Tabla3[Medida],Tabla3[Equivalencia en Kg],"ELVIS",0)</f>
        <v>391.380318133616</v>
      </c>
      <c r="J220" s="2" t="n">
        <v>135.278333333333</v>
      </c>
      <c r="K220" s="2" t="s">
        <v>18</v>
      </c>
      <c r="L220" s="2" t="n">
        <f aca="false">J220/_xlfn.XLOOKUP(Tabla2[[#This Row],[Unidad de precio]],Tabla3[Medida],Tabla3[Equivalencia en Kg],"ELVIS",0)</f>
        <v>2.98232657260434</v>
      </c>
      <c r="N220" s="3" t="n">
        <f aca="false">(Tabla2[[#This Row],[Productividad (kg/TAS)]]*Tabla2[[#This Row],[Precio por kg]]-Tabla2[[#This Row],[Costos (En RD$/Tarea)]])</f>
        <v>1167.22392276422</v>
      </c>
      <c r="O220" s="9" t="n">
        <f aca="false">IF(Tabla2[[#This Row],[Costos (En RD$/Tarea)]]=0,0,Tabla2[[#This Row],[Beneficio Neto  (En RD$/Tarea)]]/Tabla2[[#This Row],[Costos (En RD$/Tarea)]])</f>
        <v>0</v>
      </c>
      <c r="P220" s="7" t="n">
        <f aca="false">Tabla2[[#This Row],[Rentabilidad (%)]]/12</f>
        <v>0</v>
      </c>
    </row>
    <row r="221" customFormat="false" ht="14.25" hidden="false" customHeight="false" outlineLevel="0" collapsed="false">
      <c r="A221" s="1" t="n">
        <v>37073</v>
      </c>
      <c r="B221" s="2" t="s">
        <v>22</v>
      </c>
      <c r="C221" s="3" t="n">
        <v>5031</v>
      </c>
      <c r="D221" s="8" t="s">
        <v>17</v>
      </c>
      <c r="E221" s="3" t="n">
        <f aca="false">IF(Tabla2[[#This Row],[Frecuencia]]="Annual", Tabla2[[#This Row],[Cosecha/Tarea]]/12,Tabla2[[#This Row],[Cosecha/Tarea]])</f>
        <v>5031</v>
      </c>
      <c r="F221" s="3" t="n">
        <v>33899</v>
      </c>
      <c r="G221" s="2" t="s">
        <v>18</v>
      </c>
      <c r="H221" s="2" t="n">
        <f aca="false">F221/Tabla2[[#This Row],[Cosecha Mensual]]</f>
        <v>6.73802424965216</v>
      </c>
      <c r="I221" s="2" t="n">
        <f aca="false">H221*_xlfn.XLOOKUP(Tabla2[[#This Row],[Unidad de producción]],Tabla3[Medida],Tabla3[Equivalencia en Kg],"ELVIS",0)</f>
        <v>305.636779964222</v>
      </c>
      <c r="J221" s="2" t="n">
        <v>262.5</v>
      </c>
      <c r="K221" s="2" t="s">
        <v>18</v>
      </c>
      <c r="L221" s="2" t="n">
        <f aca="false">J221/_xlfn.XLOOKUP(Tabla2[[#This Row],[Unidad de precio]],Tabla3[Medida],Tabla3[Equivalencia en Kg],"ELVIS",0)</f>
        <v>5.78703703703704</v>
      </c>
      <c r="N221" s="3" t="n">
        <f aca="false">(Tabla2[[#This Row],[Productividad (kg/TAS)]]*Tabla2[[#This Row],[Precio por kg]]-Tabla2[[#This Row],[Costos (En RD$/Tarea)]])</f>
        <v>1768.73136553369</v>
      </c>
      <c r="O221" s="9" t="n">
        <f aca="false">IF(Tabla2[[#This Row],[Costos (En RD$/Tarea)]]=0,0,Tabla2[[#This Row],[Beneficio Neto  (En RD$/Tarea)]]/Tabla2[[#This Row],[Costos (En RD$/Tarea)]])</f>
        <v>0</v>
      </c>
      <c r="P221" s="7" t="n">
        <f aca="false">Tabla2[[#This Row],[Rentabilidad (%)]]/12</f>
        <v>0</v>
      </c>
    </row>
    <row r="222" customFormat="false" ht="14.25" hidden="false" customHeight="false" outlineLevel="0" collapsed="false">
      <c r="A222" s="1" t="n">
        <v>37073</v>
      </c>
      <c r="B222" s="2" t="s">
        <v>23</v>
      </c>
      <c r="C222" s="3" t="n">
        <v>5020</v>
      </c>
      <c r="D222" s="8" t="s">
        <v>17</v>
      </c>
      <c r="E222" s="3" t="n">
        <f aca="false">IF(Tabla2[[#This Row],[Frecuencia]]="Annual", Tabla2[[#This Row],[Cosecha/Tarea]]/12,Tabla2[[#This Row],[Cosecha/Tarea]])</f>
        <v>5020</v>
      </c>
      <c r="F222" s="3" t="n">
        <v>136075</v>
      </c>
      <c r="G222" s="2" t="s">
        <v>18</v>
      </c>
      <c r="H222" s="2" t="n">
        <f aca="false">F222/Tabla2[[#This Row],[Cosecha Mensual]]</f>
        <v>27.1065737051793</v>
      </c>
      <c r="I222" s="2" t="n">
        <f aca="false">H222*_xlfn.XLOOKUP(Tabla2[[#This Row],[Unidad de producción]],Tabla3[Medida],Tabla3[Equivalencia en Kg],"ELVIS",0)</f>
        <v>1229.55418326693</v>
      </c>
      <c r="J222" s="2" t="n">
        <v>282.666666666667</v>
      </c>
      <c r="K222" s="2" t="s">
        <v>18</v>
      </c>
      <c r="L222" s="2" t="n">
        <f aca="false">J222/_xlfn.XLOOKUP(Tabla2[[#This Row],[Unidad de precio]],Tabla3[Medida],Tabla3[Equivalencia en Kg],"ELVIS",0)</f>
        <v>6.23162845385068</v>
      </c>
      <c r="N222" s="3" t="n">
        <f aca="false">(Tabla2[[#This Row],[Productividad (kg/TAS)]]*Tabla2[[#This Row],[Precio por kg]]-Tabla2[[#This Row],[Costos (En RD$/Tarea)]])</f>
        <v>7662.12483399735</v>
      </c>
      <c r="O222" s="9" t="n">
        <f aca="false">IF(Tabla2[[#This Row],[Costos (En RD$/Tarea)]]=0,0,Tabla2[[#This Row],[Beneficio Neto  (En RD$/Tarea)]]/Tabla2[[#This Row],[Costos (En RD$/Tarea)]])</f>
        <v>0</v>
      </c>
      <c r="P222" s="7" t="n">
        <f aca="false">Tabla2[[#This Row],[Rentabilidad (%)]]/12</f>
        <v>0</v>
      </c>
    </row>
    <row r="223" customFormat="false" ht="14.25" hidden="false" customHeight="false" outlineLevel="0" collapsed="false">
      <c r="A223" s="1" t="n">
        <v>37073</v>
      </c>
      <c r="B223" s="2" t="s">
        <v>24</v>
      </c>
      <c r="C223" s="3" t="n">
        <v>4604</v>
      </c>
      <c r="D223" s="8" t="s">
        <v>17</v>
      </c>
      <c r="E223" s="3" t="n">
        <f aca="false">IF(Tabla2[[#This Row],[Frecuencia]]="Annual", Tabla2[[#This Row],[Cosecha/Tarea]]/12,Tabla2[[#This Row],[Cosecha/Tarea]])</f>
        <v>4604</v>
      </c>
      <c r="F223" s="3" t="n">
        <v>47357</v>
      </c>
      <c r="G223" s="2" t="s">
        <v>18</v>
      </c>
      <c r="H223" s="2" t="n">
        <f aca="false">F223/Tabla2[[#This Row],[Cosecha Mensual]]</f>
        <v>10.2860556038228</v>
      </c>
      <c r="I223" s="2" t="n">
        <f aca="false">H223*_xlfn.XLOOKUP(Tabla2[[#This Row],[Unidad de producción]],Tabla3[Medida],Tabla3[Equivalencia en Kg],"ELVIS",0)</f>
        <v>466.575482189401</v>
      </c>
      <c r="J223" s="2" t="n">
        <v>535.431666666667</v>
      </c>
      <c r="K223" s="2" t="s">
        <v>18</v>
      </c>
      <c r="L223" s="2" t="n">
        <f aca="false">J223/_xlfn.XLOOKUP(Tabla2[[#This Row],[Unidad de precio]],Tabla3[Medida],Tabla3[Equivalencia en Kg],"ELVIS",0)</f>
        <v>11.8040490887713</v>
      </c>
      <c r="N223" s="3" t="n">
        <f aca="false">(Tabla2[[#This Row],[Productividad (kg/TAS)]]*Tabla2[[#This Row],[Precio por kg]]-Tabla2[[#This Row],[Costos (En RD$/Tarea)]])</f>
        <v>5507.47989538083</v>
      </c>
      <c r="O223" s="9" t="n">
        <f aca="false">IF(Tabla2[[#This Row],[Costos (En RD$/Tarea)]]=0,0,Tabla2[[#This Row],[Beneficio Neto  (En RD$/Tarea)]]/Tabla2[[#This Row],[Costos (En RD$/Tarea)]])</f>
        <v>0</v>
      </c>
      <c r="P223" s="7" t="n">
        <f aca="false">Tabla2[[#This Row],[Rentabilidad (%)]]/12</f>
        <v>0</v>
      </c>
    </row>
    <row r="224" customFormat="false" ht="14.25" hidden="false" customHeight="false" outlineLevel="0" collapsed="false">
      <c r="A224" s="1" t="n">
        <v>37073</v>
      </c>
      <c r="B224" s="2" t="s">
        <v>25</v>
      </c>
      <c r="C224" s="3" t="n">
        <v>19186</v>
      </c>
      <c r="D224" s="8" t="s">
        <v>17</v>
      </c>
      <c r="E224" s="3" t="n">
        <f aca="false">IF(Tabla2[[#This Row],[Frecuencia]]="Annual", Tabla2[[#This Row],[Cosecha/Tarea]]/12,Tabla2[[#This Row],[Cosecha/Tarea]])</f>
        <v>19186</v>
      </c>
      <c r="F224" s="3" t="n">
        <v>195879</v>
      </c>
      <c r="G224" s="2" t="s">
        <v>18</v>
      </c>
      <c r="H224" s="2" t="n">
        <f aca="false">F224/Tabla2[[#This Row],[Cosecha Mensual]]</f>
        <v>10.2094756593349</v>
      </c>
      <c r="I224" s="2" t="n">
        <f aca="false">H224*_xlfn.XLOOKUP(Tabla2[[#This Row],[Unidad de producción]],Tabla3[Medida],Tabla3[Equivalencia en Kg],"ELVIS",0)</f>
        <v>463.101815907432</v>
      </c>
      <c r="J224" s="2" t="n">
        <v>94.55576</v>
      </c>
      <c r="K224" s="2" t="s">
        <v>18</v>
      </c>
      <c r="L224" s="2" t="n">
        <f aca="false">J224/_xlfn.XLOOKUP(Tabla2[[#This Row],[Unidad de precio]],Tabla3[Medida],Tabla3[Equivalencia en Kg],"ELVIS",0)</f>
        <v>2.08456261022928</v>
      </c>
      <c r="N224" s="3" t="n">
        <f aca="false">(Tabla2[[#This Row],[Productividad (kg/TAS)]]*Tabla2[[#This Row],[Precio por kg]]-Tabla2[[#This Row],[Costos (En RD$/Tarea)]])</f>
        <v>965.364730169915</v>
      </c>
      <c r="O224" s="9" t="n">
        <f aca="false">IF(Tabla2[[#This Row],[Costos (En RD$/Tarea)]]=0,0,Tabla2[[#This Row],[Beneficio Neto  (En RD$/Tarea)]]/Tabla2[[#This Row],[Costos (En RD$/Tarea)]])</f>
        <v>0</v>
      </c>
      <c r="P224" s="7" t="n">
        <f aca="false">Tabla2[[#This Row],[Rentabilidad (%)]]/12</f>
        <v>0</v>
      </c>
    </row>
    <row r="225" customFormat="false" ht="14.25" hidden="false" customHeight="false" outlineLevel="0" collapsed="false">
      <c r="A225" s="1" t="n">
        <v>37073</v>
      </c>
      <c r="B225" s="2" t="s">
        <v>26</v>
      </c>
      <c r="C225" s="3" t="n">
        <v>6183</v>
      </c>
      <c r="D225" s="8" t="s">
        <v>17</v>
      </c>
      <c r="E225" s="3" t="n">
        <f aca="false">IF(Tabla2[[#This Row],[Frecuencia]]="Annual", Tabla2[[#This Row],[Cosecha/Tarea]]/12,Tabla2[[#This Row],[Cosecha/Tarea]])</f>
        <v>6183</v>
      </c>
      <c r="F225" s="3" t="n">
        <v>34050</v>
      </c>
      <c r="G225" s="2" t="s">
        <v>18</v>
      </c>
      <c r="H225" s="2" t="n">
        <f aca="false">F225/Tabla2[[#This Row],[Cosecha Mensual]]</f>
        <v>5.50703541969918</v>
      </c>
      <c r="I225" s="2" t="n">
        <f aca="false">H225*_xlfn.XLOOKUP(Tabla2[[#This Row],[Unidad de producción]],Tabla3[Medida],Tabla3[Equivalencia en Kg],"ELVIS",0)</f>
        <v>249.799126637555</v>
      </c>
      <c r="J225" s="2" t="n">
        <v>236.666666666667</v>
      </c>
      <c r="K225" s="2" t="s">
        <v>18</v>
      </c>
      <c r="L225" s="2" t="n">
        <f aca="false">J225/_xlfn.XLOOKUP(Tabla2[[#This Row],[Unidad de precio]],Tabla3[Medida],Tabla3[Equivalencia en Kg],"ELVIS",0)</f>
        <v>5.217519106408</v>
      </c>
      <c r="N225" s="3" t="n">
        <f aca="false">(Tabla2[[#This Row],[Productividad (kg/TAS)]]*Tabla2[[#This Row],[Precio por kg]]-Tabla2[[#This Row],[Costos (En RD$/Tarea)]])</f>
        <v>1303.33171599547</v>
      </c>
      <c r="O225" s="9" t="n">
        <f aca="false">IF(Tabla2[[#This Row],[Costos (En RD$/Tarea)]]=0,0,Tabla2[[#This Row],[Beneficio Neto  (En RD$/Tarea)]]/Tabla2[[#This Row],[Costos (En RD$/Tarea)]])</f>
        <v>0</v>
      </c>
      <c r="P225" s="7" t="n">
        <f aca="false">Tabla2[[#This Row],[Rentabilidad (%)]]/12</f>
        <v>0</v>
      </c>
    </row>
    <row r="226" customFormat="false" ht="14.25" hidden="false" customHeight="false" outlineLevel="0" collapsed="false">
      <c r="A226" s="1" t="n">
        <v>37073</v>
      </c>
      <c r="B226" s="2" t="s">
        <v>27</v>
      </c>
      <c r="C226" s="3" t="n">
        <v>4466</v>
      </c>
      <c r="D226" s="8" t="s">
        <v>17</v>
      </c>
      <c r="E226" s="3" t="n">
        <f aca="false">IF(Tabla2[[#This Row],[Frecuencia]]="Annual", Tabla2[[#This Row],[Cosecha/Tarea]]/12,Tabla2[[#This Row],[Cosecha/Tarea]])</f>
        <v>4466</v>
      </c>
      <c r="F226" s="3" t="n">
        <v>39968</v>
      </c>
      <c r="G226" s="2" t="s">
        <v>18</v>
      </c>
      <c r="H226" s="2" t="n">
        <f aca="false">F226/Tabla2[[#This Row],[Cosecha Mensual]]</f>
        <v>8.94939543215405</v>
      </c>
      <c r="I226" s="2" t="n">
        <f aca="false">H226*_xlfn.XLOOKUP(Tabla2[[#This Row],[Unidad de producción]],Tabla3[Medida],Tabla3[Equivalencia en Kg],"ELVIS",0)</f>
        <v>405.944576802508</v>
      </c>
      <c r="J226" s="2" t="n">
        <v>209.571428571429</v>
      </c>
      <c r="K226" s="2" t="s">
        <v>18</v>
      </c>
      <c r="L226" s="2" t="n">
        <f aca="false">J226/_xlfn.XLOOKUP(Tabla2[[#This Row],[Unidad de precio]],Tabla3[Medida],Tabla3[Equivalencia en Kg],"ELVIS",0)</f>
        <v>4.6201814058957</v>
      </c>
      <c r="N226" s="3" t="n">
        <f aca="false">(Tabla2[[#This Row],[Productividad (kg/TAS)]]*Tabla2[[#This Row],[Precio por kg]]-Tabla2[[#This Row],[Costos (En RD$/Tarea)]])</f>
        <v>1875.53758556715</v>
      </c>
      <c r="O226" s="9" t="n">
        <f aca="false">IF(Tabla2[[#This Row],[Costos (En RD$/Tarea)]]=0,0,Tabla2[[#This Row],[Beneficio Neto  (En RD$/Tarea)]]/Tabla2[[#This Row],[Costos (En RD$/Tarea)]])</f>
        <v>0</v>
      </c>
      <c r="P226" s="7" t="n">
        <f aca="false">Tabla2[[#This Row],[Rentabilidad (%)]]/12</f>
        <v>0</v>
      </c>
    </row>
    <row r="227" customFormat="false" ht="14.25" hidden="false" customHeight="false" outlineLevel="0" collapsed="false">
      <c r="A227" s="1" t="n">
        <v>37073</v>
      </c>
      <c r="B227" s="2" t="s">
        <v>28</v>
      </c>
      <c r="C227" s="3" t="n">
        <v>2161</v>
      </c>
      <c r="D227" s="8" t="s">
        <v>17</v>
      </c>
      <c r="E227" s="3" t="n">
        <f aca="false">IF(Tabla2[[#This Row],[Frecuencia]]="Annual", Tabla2[[#This Row],[Cosecha/Tarea]]/12,Tabla2[[#This Row],[Cosecha/Tarea]])</f>
        <v>2161</v>
      </c>
      <c r="F227" s="3" t="n">
        <v>6496</v>
      </c>
      <c r="G227" s="2" t="s">
        <v>18</v>
      </c>
      <c r="H227" s="2" t="n">
        <f aca="false">F227/Tabla2[[#This Row],[Cosecha Mensual]]</f>
        <v>3.00601573345673</v>
      </c>
      <c r="I227" s="2" t="n">
        <f aca="false">H227*_xlfn.XLOOKUP(Tabla2[[#This Row],[Unidad de producción]],Tabla3[Medida],Tabla3[Equivalencia en Kg],"ELVIS",0)</f>
        <v>136.352873669597</v>
      </c>
      <c r="J227" s="2" t="n">
        <v>2023.084</v>
      </c>
      <c r="K227" s="2" t="s">
        <v>29</v>
      </c>
      <c r="L227" s="2" t="n">
        <f aca="false">J227/_xlfn.XLOOKUP(Tabla2[[#This Row],[Unidad de precio]],Tabla3[Medida],Tabla3[Equivalencia en Kg],"ELVIS",0)</f>
        <v>3.5976170999751</v>
      </c>
      <c r="N227" s="3" t="n">
        <f aca="false">(Tabla2[[#This Row],[Productividad (kg/TAS)]]*Tabla2[[#This Row],[Precio por kg]]-Tabla2[[#This Row],[Costos (En RD$/Tarea)]])</f>
        <v>490.545429944489</v>
      </c>
      <c r="O227" s="9" t="n">
        <f aca="false">IF(Tabla2[[#This Row],[Costos (En RD$/Tarea)]]=0,0,Tabla2[[#This Row],[Beneficio Neto  (En RD$/Tarea)]]/Tabla2[[#This Row],[Costos (En RD$/Tarea)]])</f>
        <v>0</v>
      </c>
      <c r="P227" s="7" t="n">
        <f aca="false">Tabla2[[#This Row],[Rentabilidad (%)]]/12</f>
        <v>0</v>
      </c>
    </row>
    <row r="228" customFormat="false" ht="14.25" hidden="false" customHeight="false" outlineLevel="0" collapsed="false">
      <c r="A228" s="1" t="n">
        <v>37073</v>
      </c>
      <c r="B228" s="2" t="s">
        <v>30</v>
      </c>
      <c r="C228" s="3" t="n">
        <v>250269</v>
      </c>
      <c r="D228" s="3" t="s">
        <v>31</v>
      </c>
      <c r="E228" s="3" t="n">
        <f aca="false">IF(Tabla2[[#This Row],[Frecuencia]]="Annual", Tabla2[[#This Row],[Cosecha/Tarea]]/12,Tabla2[[#This Row],[Cosecha/Tarea]])</f>
        <v>20855.75</v>
      </c>
      <c r="F228" s="3" t="n">
        <v>1750629</v>
      </c>
      <c r="G228" s="2" t="s">
        <v>32</v>
      </c>
      <c r="H228" s="2" t="n">
        <f aca="false">F228/Tabla2[[#This Row],[Cosecha Mensual]]</f>
        <v>83.9398726969781</v>
      </c>
      <c r="I228" s="2" t="n">
        <f aca="false">H228*_xlfn.XLOOKUP(Tabla2[[#This Row],[Unidad de producción]],Tabla3[Medida],Tabla3[Equivalencia en Kg],"ELVIS",0)</f>
        <v>2284.00393608477</v>
      </c>
      <c r="J228" s="2" t="n">
        <v>21.2642857142857</v>
      </c>
      <c r="K228" s="2" t="s">
        <v>32</v>
      </c>
      <c r="L228" s="2" t="n">
        <f aca="false">J228/_xlfn.XLOOKUP(Tabla2[[#This Row],[Unidad de precio]],Tabla3[Medida],Tabla3[Equivalencia en Kg],"ELVIS",0)</f>
        <v>0.781487898356696</v>
      </c>
      <c r="M228" s="3"/>
      <c r="N228" s="3" t="n">
        <f aca="false">(Tabla2[[#This Row],[Productividad (kg/TAS)]]*Tabla2[[#This Row],[Precio por kg]]-Tabla2[[#This Row],[Costos (En RD$/Tarea)]])</f>
        <v>1784.92143584931</v>
      </c>
      <c r="O228" s="9" t="n">
        <f aca="false">IF(Tabla2[[#This Row],[Costos (En RD$/Tarea)]]=0,0,Tabla2[[#This Row],[Beneficio Neto  (En RD$/Tarea)]]/Tabla2[[#This Row],[Costos (En RD$/Tarea)]])</f>
        <v>0</v>
      </c>
      <c r="P228" s="7" t="n">
        <f aca="false">Tabla2[[#This Row],[Rentabilidad (%)]]/12</f>
        <v>0</v>
      </c>
    </row>
    <row r="229" customFormat="false" ht="14.25" hidden="false" customHeight="false" outlineLevel="0" collapsed="false">
      <c r="A229" s="1" t="n">
        <v>37073</v>
      </c>
      <c r="B229" s="2" t="s">
        <v>33</v>
      </c>
      <c r="C229" s="3" t="n">
        <v>677147</v>
      </c>
      <c r="D229" s="3" t="s">
        <v>31</v>
      </c>
      <c r="E229" s="3" t="n">
        <f aca="false">IF(Tabla2[[#This Row],[Frecuencia]]="Annual", Tabla2[[#This Row],[Cosecha/Tarea]]/12,Tabla2[[#This Row],[Cosecha/Tarea]])</f>
        <v>56428.9166666667</v>
      </c>
      <c r="F229" s="3" t="n">
        <v>162572</v>
      </c>
      <c r="G229" s="2" t="s">
        <v>34</v>
      </c>
      <c r="H229" s="2" t="n">
        <f aca="false">F229/Tabla2[[#This Row],[Cosecha Mensual]]</f>
        <v>2.88100515840726</v>
      </c>
      <c r="I229" s="2" t="n">
        <f aca="false">H229*_xlfn.XLOOKUP(Tabla2[[#This Row],[Unidad de producción]],Tabla3[Medida],Tabla3[Equivalencia en Kg],"ELVIS",0)</f>
        <v>1175.88225540392</v>
      </c>
      <c r="J229" s="2" t="n">
        <v>659.095714285714</v>
      </c>
      <c r="K229" s="2" t="s">
        <v>34</v>
      </c>
      <c r="L229" s="2" t="n">
        <f aca="false">J229/_xlfn.XLOOKUP(Tabla2[[#This Row],[Unidad de precio]],Tabla3[Medida],Tabla3[Equivalencia en Kg],"ELVIS",0)</f>
        <v>1.61483698220192</v>
      </c>
      <c r="M229" s="3"/>
      <c r="N229" s="3" t="n">
        <f aca="false">(Tabla2[[#This Row],[Productividad (kg/TAS)]]*Tabla2[[#This Row],[Precio por kg]]-Tabla2[[#This Row],[Costos (En RD$/Tarea)]])</f>
        <v>1898.85815274126</v>
      </c>
      <c r="O229" s="9" t="n">
        <f aca="false">IF(Tabla2[[#This Row],[Costos (En RD$/Tarea)]]=0,0,Tabla2[[#This Row],[Beneficio Neto  (En RD$/Tarea)]]/Tabla2[[#This Row],[Costos (En RD$/Tarea)]])</f>
        <v>0</v>
      </c>
      <c r="P229" s="7" t="n">
        <f aca="false">Tabla2[[#This Row],[Rentabilidad (%)]]/12</f>
        <v>0</v>
      </c>
    </row>
    <row r="230" customFormat="false" ht="14.25" hidden="false" customHeight="false" outlineLevel="0" collapsed="false">
      <c r="A230" s="1" t="n">
        <v>37104</v>
      </c>
      <c r="B230" s="2" t="s">
        <v>16</v>
      </c>
      <c r="C230" s="3" t="n">
        <v>138680</v>
      </c>
      <c r="D230" s="8" t="s">
        <v>17</v>
      </c>
      <c r="E230" s="3" t="n">
        <f aca="false">IF(Tabla2[[#This Row],[Frecuencia]]="Annual", Tabla2[[#This Row],[Cosecha/Tarea]]/12,Tabla2[[#This Row],[Cosecha/Tarea]])</f>
        <v>138680</v>
      </c>
      <c r="F230" s="3" t="n">
        <v>657907</v>
      </c>
      <c r="G230" s="2" t="s">
        <v>18</v>
      </c>
      <c r="H230" s="2" t="n">
        <f aca="false">F230/Tabla2[[#This Row],[Cosecha Mensual]]</f>
        <v>4.74406547447361</v>
      </c>
      <c r="I230" s="2" t="n">
        <f aca="false">H230*_xlfn.XLOOKUP(Tabla2[[#This Row],[Unidad de producción]],Tabla3[Medida],Tabla3[Equivalencia en Kg],"ELVIS",0)</f>
        <v>215.190809922123</v>
      </c>
      <c r="J230" s="2" t="n">
        <v>971.485148514851</v>
      </c>
      <c r="K230" s="2" t="s">
        <v>19</v>
      </c>
      <c r="L230" s="2" t="n">
        <f aca="false">J230/_xlfn.XLOOKUP(Tabla2[[#This Row],[Unidad de precio]],Tabla3[Medida],Tabla3[Equivalencia en Kg],"ELVIS",0)</f>
        <v>8.83168316831683</v>
      </c>
      <c r="N230" s="3" t="n">
        <f aca="false">(Tabla2[[#This Row],[Productividad (kg/TAS)]]*Tabla2[[#This Row],[Precio por kg]]-Tabla2[[#This Row],[Costos (En RD$/Tarea)]])</f>
        <v>1900.49705396568</v>
      </c>
      <c r="O230" s="9" t="n">
        <f aca="false">IF(Tabla2[[#This Row],[Costos (En RD$/Tarea)]]=0,0,Tabla2[[#This Row],[Beneficio Neto  (En RD$/Tarea)]]/Tabla2[[#This Row],[Costos (En RD$/Tarea)]])</f>
        <v>0</v>
      </c>
      <c r="P230" s="7" t="n">
        <f aca="false">Tabla2[[#This Row],[Rentabilidad (%)]]/12</f>
        <v>0</v>
      </c>
    </row>
    <row r="231" customFormat="false" ht="14.25" hidden="false" customHeight="false" outlineLevel="0" collapsed="false">
      <c r="A231" s="1" t="n">
        <v>37104</v>
      </c>
      <c r="B231" s="2" t="s">
        <v>20</v>
      </c>
      <c r="C231" s="3" t="n">
        <v>51040</v>
      </c>
      <c r="D231" s="8" t="s">
        <v>17</v>
      </c>
      <c r="E231" s="3" t="n">
        <f aca="false">IF(Tabla2[[#This Row],[Frecuencia]]="Annual", Tabla2[[#This Row],[Cosecha/Tarea]]/12,Tabla2[[#This Row],[Cosecha/Tarea]])</f>
        <v>51040</v>
      </c>
      <c r="F231" s="3" t="n">
        <v>93556</v>
      </c>
      <c r="G231" s="2" t="s">
        <v>18</v>
      </c>
      <c r="H231" s="2" t="n">
        <f aca="false">F231/Tabla2[[#This Row],[Cosecha Mensual]]</f>
        <v>1.83299373040752</v>
      </c>
      <c r="I231" s="2" t="n">
        <f aca="false">H231*_xlfn.XLOOKUP(Tabla2[[#This Row],[Unidad de producción]],Tabla3[Medida],Tabla3[Equivalencia en Kg],"ELVIS",0)</f>
        <v>83.1445956112853</v>
      </c>
      <c r="J231" s="2" t="n">
        <v>110.548114285714</v>
      </c>
      <c r="K231" s="2" t="s">
        <v>18</v>
      </c>
      <c r="L231" s="2" t="n">
        <f aca="false">J231/_xlfn.XLOOKUP(Tabla2[[#This Row],[Unidad de precio]],Tabla3[Medida],Tabla3[Equivalencia en Kg],"ELVIS",0)</f>
        <v>2.43712773998488</v>
      </c>
      <c r="N231" s="3" t="n">
        <f aca="false">(Tabla2[[#This Row],[Productividad (kg/TAS)]]*Tabla2[[#This Row],[Precio por kg]]-Tabla2[[#This Row],[Costos (En RD$/Tarea)]])</f>
        <v>202.634000394088</v>
      </c>
      <c r="O231" s="9" t="n">
        <f aca="false">IF(Tabla2[[#This Row],[Costos (En RD$/Tarea)]]=0,0,Tabla2[[#This Row],[Beneficio Neto  (En RD$/Tarea)]]/Tabla2[[#This Row],[Costos (En RD$/Tarea)]])</f>
        <v>0</v>
      </c>
      <c r="P231" s="7" t="n">
        <f aca="false">Tabla2[[#This Row],[Rentabilidad (%)]]/12</f>
        <v>0</v>
      </c>
    </row>
    <row r="232" customFormat="false" ht="14.25" hidden="false" customHeight="false" outlineLevel="0" collapsed="false">
      <c r="A232" s="1" t="n">
        <v>37104</v>
      </c>
      <c r="B232" s="2" t="s">
        <v>21</v>
      </c>
      <c r="C232" s="3" t="n">
        <v>7206</v>
      </c>
      <c r="D232" s="8" t="s">
        <v>17</v>
      </c>
      <c r="E232" s="3" t="n">
        <f aca="false">IF(Tabla2[[#This Row],[Frecuencia]]="Annual", Tabla2[[#This Row],[Cosecha/Tarea]]/12,Tabla2[[#This Row],[Cosecha/Tarea]])</f>
        <v>7206</v>
      </c>
      <c r="F232" s="3" t="n">
        <v>63961</v>
      </c>
      <c r="G232" s="2" t="s">
        <v>18</v>
      </c>
      <c r="H232" s="2" t="n">
        <f aca="false">F232/Tabla2[[#This Row],[Cosecha Mensual]]</f>
        <v>8.87607549264502</v>
      </c>
      <c r="I232" s="2" t="n">
        <f aca="false">H232*_xlfn.XLOOKUP(Tabla2[[#This Row],[Unidad de producción]],Tabla3[Medida],Tabla3[Equivalencia en Kg],"ELVIS",0)</f>
        <v>402.618784346378</v>
      </c>
      <c r="J232" s="2" t="n">
        <v>149.812</v>
      </c>
      <c r="K232" s="2" t="s">
        <v>18</v>
      </c>
      <c r="L232" s="2" t="n">
        <f aca="false">J232/_xlfn.XLOOKUP(Tabla2[[#This Row],[Unidad de precio]],Tabla3[Medida],Tabla3[Equivalencia en Kg],"ELVIS",0)</f>
        <v>3.30273368606702</v>
      </c>
      <c r="N232" s="3" t="n">
        <f aca="false">(Tabla2[[#This Row],[Productividad (kg/TAS)]]*Tabla2[[#This Row],[Precio por kg]]-Tabla2[[#This Row],[Costos (En RD$/Tarea)]])</f>
        <v>1329.74262170414</v>
      </c>
      <c r="O232" s="9" t="n">
        <f aca="false">IF(Tabla2[[#This Row],[Costos (En RD$/Tarea)]]=0,0,Tabla2[[#This Row],[Beneficio Neto  (En RD$/Tarea)]]/Tabla2[[#This Row],[Costos (En RD$/Tarea)]])</f>
        <v>0</v>
      </c>
      <c r="P232" s="7" t="n">
        <f aca="false">Tabla2[[#This Row],[Rentabilidad (%)]]/12</f>
        <v>0</v>
      </c>
    </row>
    <row r="233" customFormat="false" ht="14.25" hidden="false" customHeight="false" outlineLevel="0" collapsed="false">
      <c r="A233" s="1" t="n">
        <v>37104</v>
      </c>
      <c r="B233" s="2" t="s">
        <v>22</v>
      </c>
      <c r="C233" s="3" t="n">
        <v>3883</v>
      </c>
      <c r="D233" s="8" t="s">
        <v>17</v>
      </c>
      <c r="E233" s="3" t="n">
        <f aca="false">IF(Tabla2[[#This Row],[Frecuencia]]="Annual", Tabla2[[#This Row],[Cosecha/Tarea]]/12,Tabla2[[#This Row],[Cosecha/Tarea]])</f>
        <v>3883</v>
      </c>
      <c r="F233" s="3" t="n">
        <v>33965</v>
      </c>
      <c r="G233" s="2" t="s">
        <v>18</v>
      </c>
      <c r="H233" s="2" t="n">
        <f aca="false">F233/Tabla2[[#This Row],[Cosecha Mensual]]</f>
        <v>8.74710275560134</v>
      </c>
      <c r="I233" s="2" t="n">
        <f aca="false">H233*_xlfn.XLOOKUP(Tabla2[[#This Row],[Unidad de producción]],Tabla3[Medida],Tabla3[Equivalencia en Kg],"ELVIS",0)</f>
        <v>396.768580994077</v>
      </c>
      <c r="J233" s="2" t="n">
        <v>199.0625</v>
      </c>
      <c r="K233" s="2" t="s">
        <v>18</v>
      </c>
      <c r="L233" s="2" t="n">
        <f aca="false">J233/_xlfn.XLOOKUP(Tabla2[[#This Row],[Unidad de precio]],Tabla3[Medida],Tabla3[Equivalencia en Kg],"ELVIS",0)</f>
        <v>4.38850308641975</v>
      </c>
      <c r="N233" s="3" t="n">
        <f aca="false">(Tabla2[[#This Row],[Productividad (kg/TAS)]]*Tabla2[[#This Row],[Precio por kg]]-Tabla2[[#This Row],[Costos (En RD$/Tarea)]])</f>
        <v>1741.22014228689</v>
      </c>
      <c r="O233" s="9" t="n">
        <f aca="false">IF(Tabla2[[#This Row],[Costos (En RD$/Tarea)]]=0,0,Tabla2[[#This Row],[Beneficio Neto  (En RD$/Tarea)]]/Tabla2[[#This Row],[Costos (En RD$/Tarea)]])</f>
        <v>0</v>
      </c>
      <c r="P233" s="7" t="n">
        <f aca="false">Tabla2[[#This Row],[Rentabilidad (%)]]/12</f>
        <v>0</v>
      </c>
    </row>
    <row r="234" customFormat="false" ht="14.25" hidden="false" customHeight="false" outlineLevel="0" collapsed="false">
      <c r="A234" s="1" t="n">
        <v>37104</v>
      </c>
      <c r="B234" s="2" t="s">
        <v>23</v>
      </c>
      <c r="C234" s="3" t="n">
        <v>3135</v>
      </c>
      <c r="D234" s="8" t="s">
        <v>17</v>
      </c>
      <c r="E234" s="3" t="n">
        <f aca="false">IF(Tabla2[[#This Row],[Frecuencia]]="Annual", Tabla2[[#This Row],[Cosecha/Tarea]]/12,Tabla2[[#This Row],[Cosecha/Tarea]])</f>
        <v>3135</v>
      </c>
      <c r="F234" s="3" t="n">
        <v>86986</v>
      </c>
      <c r="G234" s="2" t="s">
        <v>18</v>
      </c>
      <c r="H234" s="2" t="n">
        <f aca="false">F234/Tabla2[[#This Row],[Cosecha Mensual]]</f>
        <v>27.7467304625199</v>
      </c>
      <c r="I234" s="2" t="n">
        <f aca="false">H234*_xlfn.XLOOKUP(Tabla2[[#This Row],[Unidad de producción]],Tabla3[Medida],Tabla3[Equivalencia en Kg],"ELVIS",0)</f>
        <v>1258.5916937799</v>
      </c>
      <c r="J234" s="2" t="n">
        <v>214</v>
      </c>
      <c r="K234" s="2" t="s">
        <v>18</v>
      </c>
      <c r="L234" s="2" t="n">
        <f aca="false">J234/_xlfn.XLOOKUP(Tabla2[[#This Row],[Unidad de precio]],Tabla3[Medida],Tabla3[Equivalencia en Kg],"ELVIS",0)</f>
        <v>4.71781305114638</v>
      </c>
      <c r="N234" s="3" t="n">
        <f aca="false">(Tabla2[[#This Row],[Productividad (kg/TAS)]]*Tabla2[[#This Row],[Precio por kg]]-Tabla2[[#This Row],[Costos (En RD$/Tarea)]])</f>
        <v>5937.80031897927</v>
      </c>
      <c r="O234" s="9" t="n">
        <f aca="false">IF(Tabla2[[#This Row],[Costos (En RD$/Tarea)]]=0,0,Tabla2[[#This Row],[Beneficio Neto  (En RD$/Tarea)]]/Tabla2[[#This Row],[Costos (En RD$/Tarea)]])</f>
        <v>0</v>
      </c>
      <c r="P234" s="7" t="n">
        <f aca="false">Tabla2[[#This Row],[Rentabilidad (%)]]/12</f>
        <v>0</v>
      </c>
    </row>
    <row r="235" customFormat="false" ht="14.25" hidden="false" customHeight="false" outlineLevel="0" collapsed="false">
      <c r="A235" s="1" t="n">
        <v>37104</v>
      </c>
      <c r="B235" s="2" t="s">
        <v>24</v>
      </c>
      <c r="C235" s="3" t="n">
        <v>5206</v>
      </c>
      <c r="D235" s="8" t="s">
        <v>17</v>
      </c>
      <c r="E235" s="3" t="n">
        <f aca="false">IF(Tabla2[[#This Row],[Frecuencia]]="Annual", Tabla2[[#This Row],[Cosecha/Tarea]]/12,Tabla2[[#This Row],[Cosecha/Tarea]])</f>
        <v>5206</v>
      </c>
      <c r="F235" s="3" t="n">
        <v>51589</v>
      </c>
      <c r="G235" s="2" t="s">
        <v>18</v>
      </c>
      <c r="H235" s="2" t="n">
        <f aca="false">F235/Tabla2[[#This Row],[Cosecha Mensual]]</f>
        <v>9.9095274683058</v>
      </c>
      <c r="I235" s="2" t="n">
        <f aca="false">H235*_xlfn.XLOOKUP(Tabla2[[#This Row],[Unidad de producción]],Tabla3[Medida],Tabla3[Equivalencia en Kg],"ELVIS",0)</f>
        <v>449.496165962351</v>
      </c>
      <c r="J235" s="2" t="n">
        <v>529.934</v>
      </c>
      <c r="K235" s="2" t="s">
        <v>18</v>
      </c>
      <c r="L235" s="2" t="n">
        <f aca="false">J235/_xlfn.XLOOKUP(Tabla2[[#This Row],[Unidad de precio]],Tabla3[Medida],Tabla3[Equivalencia en Kg],"ELVIS",0)</f>
        <v>11.682848324515</v>
      </c>
      <c r="N235" s="3" t="n">
        <f aca="false">(Tabla2[[#This Row],[Productividad (kg/TAS)]]*Tabla2[[#This Row],[Precio por kg]]-Tabla2[[#This Row],[Costos (En RD$/Tarea)]])</f>
        <v>5251.39552938917</v>
      </c>
      <c r="O235" s="9" t="n">
        <f aca="false">IF(Tabla2[[#This Row],[Costos (En RD$/Tarea)]]=0,0,Tabla2[[#This Row],[Beneficio Neto  (En RD$/Tarea)]]/Tabla2[[#This Row],[Costos (En RD$/Tarea)]])</f>
        <v>0</v>
      </c>
      <c r="P235" s="7" t="n">
        <f aca="false">Tabla2[[#This Row],[Rentabilidad (%)]]/12</f>
        <v>0</v>
      </c>
    </row>
    <row r="236" customFormat="false" ht="14.25" hidden="false" customHeight="false" outlineLevel="0" collapsed="false">
      <c r="A236" s="1" t="n">
        <v>37104</v>
      </c>
      <c r="B236" s="2" t="s">
        <v>25</v>
      </c>
      <c r="C236" s="3" t="n">
        <v>21916</v>
      </c>
      <c r="D236" s="8" t="s">
        <v>17</v>
      </c>
      <c r="E236" s="3" t="n">
        <f aca="false">IF(Tabla2[[#This Row],[Frecuencia]]="Annual", Tabla2[[#This Row],[Cosecha/Tarea]]/12,Tabla2[[#This Row],[Cosecha/Tarea]])</f>
        <v>21916</v>
      </c>
      <c r="F236" s="3" t="n">
        <v>213859</v>
      </c>
      <c r="G236" s="2" t="s">
        <v>18</v>
      </c>
      <c r="H236" s="2" t="n">
        <f aca="false">F236/Tabla2[[#This Row],[Cosecha Mensual]]</f>
        <v>9.75812192005841</v>
      </c>
      <c r="I236" s="2" t="n">
        <f aca="false">H236*_xlfn.XLOOKUP(Tabla2[[#This Row],[Unidad de producción]],Tabla3[Medida],Tabla3[Equivalencia en Kg],"ELVIS",0)</f>
        <v>442.628410293849</v>
      </c>
      <c r="J236" s="2" t="n">
        <v>107.664</v>
      </c>
      <c r="K236" s="2" t="s">
        <v>18</v>
      </c>
      <c r="L236" s="2" t="n">
        <f aca="false">J236/_xlfn.XLOOKUP(Tabla2[[#This Row],[Unidad de precio]],Tabla3[Medida],Tabla3[Equivalencia en Kg],"ELVIS",0)</f>
        <v>2.37354497354497</v>
      </c>
      <c r="N236" s="3" t="n">
        <f aca="false">(Tabla2[[#This Row],[Productividad (kg/TAS)]]*Tabla2[[#This Row],[Precio por kg]]-Tabla2[[#This Row],[Costos (En RD$/Tarea)]])</f>
        <v>1050.59843840117</v>
      </c>
      <c r="O236" s="9" t="n">
        <f aca="false">IF(Tabla2[[#This Row],[Costos (En RD$/Tarea)]]=0,0,Tabla2[[#This Row],[Beneficio Neto  (En RD$/Tarea)]]/Tabla2[[#This Row],[Costos (En RD$/Tarea)]])</f>
        <v>0</v>
      </c>
      <c r="P236" s="7" t="n">
        <f aca="false">Tabla2[[#This Row],[Rentabilidad (%)]]/12</f>
        <v>0</v>
      </c>
    </row>
    <row r="237" customFormat="false" ht="14.25" hidden="false" customHeight="false" outlineLevel="0" collapsed="false">
      <c r="A237" s="1" t="n">
        <v>37104</v>
      </c>
      <c r="B237" s="2" t="s">
        <v>26</v>
      </c>
      <c r="C237" s="3" t="n">
        <v>6194</v>
      </c>
      <c r="D237" s="8" t="s">
        <v>17</v>
      </c>
      <c r="E237" s="3" t="n">
        <f aca="false">IF(Tabla2[[#This Row],[Frecuencia]]="Annual", Tabla2[[#This Row],[Cosecha/Tarea]]/12,Tabla2[[#This Row],[Cosecha/Tarea]])</f>
        <v>6194</v>
      </c>
      <c r="F237" s="3" t="n">
        <v>37383</v>
      </c>
      <c r="G237" s="2" t="s">
        <v>18</v>
      </c>
      <c r="H237" s="2" t="n">
        <f aca="false">F237/Tabla2[[#This Row],[Cosecha Mensual]]</f>
        <v>6.03535679690023</v>
      </c>
      <c r="I237" s="2" t="n">
        <f aca="false">H237*_xlfn.XLOOKUP(Tabla2[[#This Row],[Unidad de producción]],Tabla3[Medida],Tabla3[Equivalencia en Kg],"ELVIS",0)</f>
        <v>273.763784307394</v>
      </c>
      <c r="J237" s="2" t="n">
        <v>227.6675</v>
      </c>
      <c r="K237" s="2" t="s">
        <v>18</v>
      </c>
      <c r="L237" s="2" t="n">
        <f aca="false">J237/_xlfn.XLOOKUP(Tabla2[[#This Row],[Unidad de precio]],Tabla3[Medida],Tabla3[Equivalencia en Kg],"ELVIS",0)</f>
        <v>5.01912477954145</v>
      </c>
      <c r="N237" s="3" t="n">
        <f aca="false">(Tabla2[[#This Row],[Productividad (kg/TAS)]]*Tabla2[[#This Row],[Precio por kg]]-Tabla2[[#This Row],[Costos (En RD$/Tarea)]])</f>
        <v>1374.05459355828</v>
      </c>
      <c r="O237" s="9" t="n">
        <f aca="false">IF(Tabla2[[#This Row],[Costos (En RD$/Tarea)]]=0,0,Tabla2[[#This Row],[Beneficio Neto  (En RD$/Tarea)]]/Tabla2[[#This Row],[Costos (En RD$/Tarea)]])</f>
        <v>0</v>
      </c>
      <c r="P237" s="7" t="n">
        <f aca="false">Tabla2[[#This Row],[Rentabilidad (%)]]/12</f>
        <v>0</v>
      </c>
    </row>
    <row r="238" customFormat="false" ht="14.25" hidden="false" customHeight="false" outlineLevel="0" collapsed="false">
      <c r="A238" s="1" t="n">
        <v>37104</v>
      </c>
      <c r="B238" s="2" t="s">
        <v>27</v>
      </c>
      <c r="C238" s="3" t="n">
        <v>1836</v>
      </c>
      <c r="D238" s="8" t="s">
        <v>17</v>
      </c>
      <c r="E238" s="3" t="n">
        <f aca="false">IF(Tabla2[[#This Row],[Frecuencia]]="Annual", Tabla2[[#This Row],[Cosecha/Tarea]]/12,Tabla2[[#This Row],[Cosecha/Tarea]])</f>
        <v>1836</v>
      </c>
      <c r="F238" s="3" t="n">
        <v>15940</v>
      </c>
      <c r="G238" s="2" t="s">
        <v>18</v>
      </c>
      <c r="H238" s="2" t="n">
        <f aca="false">F238/Tabla2[[#This Row],[Cosecha Mensual]]</f>
        <v>8.68191721132898</v>
      </c>
      <c r="I238" s="2" t="n">
        <f aca="false">H238*_xlfn.XLOOKUP(Tabla2[[#This Row],[Unidad de producción]],Tabla3[Medida],Tabla3[Equivalencia en Kg],"ELVIS",0)</f>
        <v>393.811764705882</v>
      </c>
      <c r="J238" s="2" t="n">
        <v>212.73</v>
      </c>
      <c r="K238" s="2" t="s">
        <v>18</v>
      </c>
      <c r="L238" s="2" t="n">
        <f aca="false">J238/_xlfn.XLOOKUP(Tabla2[[#This Row],[Unidad de precio]],Tabla3[Medida],Tabla3[Equivalencia en Kg],"ELVIS",0)</f>
        <v>4.68981481481482</v>
      </c>
      <c r="N238" s="3" t="n">
        <f aca="false">(Tabla2[[#This Row],[Productividad (kg/TAS)]]*Tabla2[[#This Row],[Precio por kg]]-Tabla2[[#This Row],[Costos (En RD$/Tarea)]])</f>
        <v>1846.90424836601</v>
      </c>
      <c r="O238" s="9" t="n">
        <f aca="false">IF(Tabla2[[#This Row],[Costos (En RD$/Tarea)]]=0,0,Tabla2[[#This Row],[Beneficio Neto  (En RD$/Tarea)]]/Tabla2[[#This Row],[Costos (En RD$/Tarea)]])</f>
        <v>0</v>
      </c>
      <c r="P238" s="7" t="n">
        <f aca="false">Tabla2[[#This Row],[Rentabilidad (%)]]/12</f>
        <v>0</v>
      </c>
    </row>
    <row r="239" customFormat="false" ht="14.25" hidden="false" customHeight="false" outlineLevel="0" collapsed="false">
      <c r="A239" s="1" t="n">
        <v>37104</v>
      </c>
      <c r="B239" s="2" t="s">
        <v>28</v>
      </c>
      <c r="C239" s="3" t="n">
        <v>21636</v>
      </c>
      <c r="D239" s="8" t="s">
        <v>17</v>
      </c>
      <c r="E239" s="3" t="n">
        <f aca="false">IF(Tabla2[[#This Row],[Frecuencia]]="Annual", Tabla2[[#This Row],[Cosecha/Tarea]]/12,Tabla2[[#This Row],[Cosecha/Tarea]])</f>
        <v>21636</v>
      </c>
      <c r="F239" s="3" t="n">
        <v>37722</v>
      </c>
      <c r="G239" s="2" t="s">
        <v>18</v>
      </c>
      <c r="H239" s="2" t="n">
        <f aca="false">F239/Tabla2[[#This Row],[Cosecha Mensual]]</f>
        <v>1.74348308374931</v>
      </c>
      <c r="I239" s="2" t="n">
        <f aca="false">H239*_xlfn.XLOOKUP(Tabla2[[#This Row],[Unidad de producción]],Tabla3[Medida],Tabla3[Equivalencia en Kg],"ELVIS",0)</f>
        <v>79.0843926788686</v>
      </c>
      <c r="J239" s="2" t="n">
        <v>651.25</v>
      </c>
      <c r="K239" s="2" t="s">
        <v>29</v>
      </c>
      <c r="L239" s="2" t="n">
        <f aca="false">J239/_xlfn.XLOOKUP(Tabla2[[#This Row],[Unidad de precio]],Tabla3[Medida],Tabla3[Equivalencia en Kg],"ELVIS",0)</f>
        <v>1.15810719493545</v>
      </c>
      <c r="N239" s="3" t="n">
        <f aca="false">(Tabla2[[#This Row],[Productividad (kg/TAS)]]*Tabla2[[#This Row],[Precio por kg]]-Tabla2[[#This Row],[Costos (En RD$/Tarea)]])</f>
        <v>91.588204168498</v>
      </c>
      <c r="O239" s="9" t="n">
        <f aca="false">IF(Tabla2[[#This Row],[Costos (En RD$/Tarea)]]=0,0,Tabla2[[#This Row],[Beneficio Neto  (En RD$/Tarea)]]/Tabla2[[#This Row],[Costos (En RD$/Tarea)]])</f>
        <v>0</v>
      </c>
      <c r="P239" s="7" t="n">
        <f aca="false">Tabla2[[#This Row],[Rentabilidad (%)]]/12</f>
        <v>0</v>
      </c>
    </row>
    <row r="240" customFormat="false" ht="14.25" hidden="false" customHeight="false" outlineLevel="0" collapsed="false">
      <c r="A240" s="1" t="n">
        <v>37104</v>
      </c>
      <c r="B240" s="2" t="s">
        <v>30</v>
      </c>
      <c r="C240" s="3" t="n">
        <v>240014</v>
      </c>
      <c r="D240" s="3" t="s">
        <v>31</v>
      </c>
      <c r="E240" s="3" t="n">
        <f aca="false">IF(Tabla2[[#This Row],[Frecuencia]]="Annual", Tabla2[[#This Row],[Cosecha/Tarea]]/12,Tabla2[[#This Row],[Cosecha/Tarea]])</f>
        <v>20001.1666666667</v>
      </c>
      <c r="F240" s="3" t="n">
        <v>1683905</v>
      </c>
      <c r="G240" s="2" t="s">
        <v>32</v>
      </c>
      <c r="H240" s="2" t="n">
        <f aca="false">F240/Tabla2[[#This Row],[Cosecha Mensual]]</f>
        <v>84.1903388968977</v>
      </c>
      <c r="I240" s="2" t="n">
        <f aca="false">H240*_xlfn.XLOOKUP(Tabla2[[#This Row],[Unidad de producción]],Tabla3[Medida],Tabla3[Equivalencia en Kg],"ELVIS",0)</f>
        <v>2290.81912138459</v>
      </c>
      <c r="J240" s="2" t="n">
        <v>26.4771428571429</v>
      </c>
      <c r="K240" s="2" t="s">
        <v>32</v>
      </c>
      <c r="L240" s="2" t="n">
        <f aca="false">J240/_xlfn.XLOOKUP(Tabla2[[#This Row],[Unidad de precio]],Tabla3[Medida],Tabla3[Equivalencia en Kg],"ELVIS",0)</f>
        <v>0.973066624665303</v>
      </c>
      <c r="M240" s="3"/>
      <c r="N240" s="3" t="n">
        <f aca="false">(Tabla2[[#This Row],[Productividad (kg/TAS)]]*Tabla2[[#This Row],[Precio por kg]]-Tabla2[[#This Row],[Costos (En RD$/Tarea)]])</f>
        <v>2229.11963016443</v>
      </c>
      <c r="O240" s="9" t="n">
        <f aca="false">IF(Tabla2[[#This Row],[Costos (En RD$/Tarea)]]=0,0,Tabla2[[#This Row],[Beneficio Neto  (En RD$/Tarea)]]/Tabla2[[#This Row],[Costos (En RD$/Tarea)]])</f>
        <v>0</v>
      </c>
      <c r="P240" s="7" t="n">
        <f aca="false">Tabla2[[#This Row],[Rentabilidad (%)]]/12</f>
        <v>0</v>
      </c>
    </row>
    <row r="241" customFormat="false" ht="14.25" hidden="false" customHeight="false" outlineLevel="0" collapsed="false">
      <c r="A241" s="1" t="n">
        <v>37104</v>
      </c>
      <c r="B241" s="2" t="s">
        <v>33</v>
      </c>
      <c r="C241" s="3" t="n">
        <v>671217</v>
      </c>
      <c r="D241" s="3" t="s">
        <v>31</v>
      </c>
      <c r="E241" s="3" t="n">
        <f aca="false">IF(Tabla2[[#This Row],[Frecuencia]]="Annual", Tabla2[[#This Row],[Cosecha/Tarea]]/12,Tabla2[[#This Row],[Cosecha/Tarea]])</f>
        <v>55934.75</v>
      </c>
      <c r="F241" s="3" t="n">
        <v>123416</v>
      </c>
      <c r="G241" s="2" t="s">
        <v>34</v>
      </c>
      <c r="H241" s="2" t="n">
        <f aca="false">F241/Tabla2[[#This Row],[Cosecha Mensual]]</f>
        <v>2.20642802551187</v>
      </c>
      <c r="I241" s="2" t="n">
        <f aca="false">H241*_xlfn.XLOOKUP(Tabla2[[#This Row],[Unidad de producción]],Tabla3[Medida],Tabla3[Equivalencia en Kg],"ELVIS",0)</f>
        <v>900.553598612669</v>
      </c>
      <c r="J241" s="2" t="n">
        <v>853.416666666667</v>
      </c>
      <c r="K241" s="2" t="s">
        <v>34</v>
      </c>
      <c r="L241" s="2" t="n">
        <f aca="false">J241/_xlfn.XLOOKUP(Tabla2[[#This Row],[Unidad de precio]],Tabla3[Medida],Tabla3[Equivalencia en Kg],"ELVIS",0)</f>
        <v>2.09093878884397</v>
      </c>
      <c r="M241" s="3"/>
      <c r="N241" s="3" t="n">
        <f aca="false">(Tabla2[[#This Row],[Productividad (kg/TAS)]]*Tabla2[[#This Row],[Precio por kg]]-Tabla2[[#This Row],[Costos (En RD$/Tarea)]])</f>
        <v>1883.00245077225</v>
      </c>
      <c r="O241" s="9" t="n">
        <f aca="false">IF(Tabla2[[#This Row],[Costos (En RD$/Tarea)]]=0,0,Tabla2[[#This Row],[Beneficio Neto  (En RD$/Tarea)]]/Tabla2[[#This Row],[Costos (En RD$/Tarea)]])</f>
        <v>0</v>
      </c>
      <c r="P241" s="7" t="n">
        <f aca="false">Tabla2[[#This Row],[Rentabilidad (%)]]/12</f>
        <v>0</v>
      </c>
    </row>
    <row r="242" customFormat="false" ht="14.25" hidden="false" customHeight="false" outlineLevel="0" collapsed="false">
      <c r="A242" s="1" t="n">
        <v>37135</v>
      </c>
      <c r="B242" s="2" t="s">
        <v>16</v>
      </c>
      <c r="C242" s="3" t="n">
        <v>279516</v>
      </c>
      <c r="D242" s="8" t="s">
        <v>17</v>
      </c>
      <c r="E242" s="3" t="n">
        <f aca="false">IF(Tabla2[[#This Row],[Frecuencia]]="Annual", Tabla2[[#This Row],[Cosecha/Tarea]]/12,Tabla2[[#This Row],[Cosecha/Tarea]])</f>
        <v>279516</v>
      </c>
      <c r="F242" s="3" t="n">
        <v>1076858</v>
      </c>
      <c r="G242" s="2" t="s">
        <v>18</v>
      </c>
      <c r="H242" s="2" t="n">
        <f aca="false">F242/Tabla2[[#This Row],[Cosecha Mensual]]</f>
        <v>3.85258088982384</v>
      </c>
      <c r="I242" s="2" t="n">
        <f aca="false">H242*_xlfn.XLOOKUP(Tabla2[[#This Row],[Unidad de producción]],Tabla3[Medida],Tabla3[Equivalencia en Kg],"ELVIS",0)</f>
        <v>174.753069162409</v>
      </c>
      <c r="J242" s="2" t="n">
        <v>790.184818481848</v>
      </c>
      <c r="K242" s="2" t="s">
        <v>19</v>
      </c>
      <c r="L242" s="2" t="n">
        <f aca="false">J242/_xlfn.XLOOKUP(Tabla2[[#This Row],[Unidad de precio]],Tabla3[Medida],Tabla3[Equivalencia en Kg],"ELVIS",0)</f>
        <v>7.18349834983498</v>
      </c>
      <c r="N242" s="3" t="n">
        <f aca="false">(Tabla2[[#This Row],[Productividad (kg/TAS)]]*Tabla2[[#This Row],[Precio por kg]]-Tabla2[[#This Row],[Costos (En RD$/Tarea)]])</f>
        <v>1255.33838395677</v>
      </c>
      <c r="O242" s="9" t="n">
        <f aca="false">IF(Tabla2[[#This Row],[Costos (En RD$/Tarea)]]=0,0,Tabla2[[#This Row],[Beneficio Neto  (En RD$/Tarea)]]/Tabla2[[#This Row],[Costos (En RD$/Tarea)]])</f>
        <v>0</v>
      </c>
      <c r="P242" s="7" t="n">
        <f aca="false">Tabla2[[#This Row],[Rentabilidad (%)]]/12</f>
        <v>0</v>
      </c>
    </row>
    <row r="243" customFormat="false" ht="14.25" hidden="false" customHeight="false" outlineLevel="0" collapsed="false">
      <c r="A243" s="1" t="n">
        <v>37135</v>
      </c>
      <c r="B243" s="2" t="s">
        <v>20</v>
      </c>
      <c r="C243" s="3" t="n">
        <v>46369</v>
      </c>
      <c r="D243" s="8" t="s">
        <v>17</v>
      </c>
      <c r="E243" s="3" t="n">
        <f aca="false">IF(Tabla2[[#This Row],[Frecuencia]]="Annual", Tabla2[[#This Row],[Cosecha/Tarea]]/12,Tabla2[[#This Row],[Cosecha/Tarea]])</f>
        <v>46369</v>
      </c>
      <c r="F243" s="3" t="n">
        <v>74587</v>
      </c>
      <c r="G243" s="2" t="s">
        <v>18</v>
      </c>
      <c r="H243" s="2" t="n">
        <f aca="false">F243/Tabla2[[#This Row],[Cosecha Mensual]]</f>
        <v>1.60855312816753</v>
      </c>
      <c r="I243" s="2" t="n">
        <f aca="false">H243*_xlfn.XLOOKUP(Tabla2[[#This Row],[Unidad de producción]],Tabla3[Medida],Tabla3[Equivalencia en Kg],"ELVIS",0)</f>
        <v>72.963969893679</v>
      </c>
      <c r="J243" s="2" t="n">
        <v>117.21325</v>
      </c>
      <c r="K243" s="2" t="s">
        <v>18</v>
      </c>
      <c r="L243" s="2" t="n">
        <f aca="false">J243/_xlfn.XLOOKUP(Tabla2[[#This Row],[Unidad de precio]],Tabla3[Medida],Tabla3[Equivalencia en Kg],"ELVIS",0)</f>
        <v>2.58406635802469</v>
      </c>
      <c r="N243" s="3" t="n">
        <f aca="false">(Tabla2[[#This Row],[Productividad (kg/TAS)]]*Tabla2[[#This Row],[Precio por kg]]-Tabla2[[#This Row],[Costos (En RD$/Tarea)]])</f>
        <v>188.543739950182</v>
      </c>
      <c r="O243" s="9" t="n">
        <f aca="false">IF(Tabla2[[#This Row],[Costos (En RD$/Tarea)]]=0,0,Tabla2[[#This Row],[Beneficio Neto  (En RD$/Tarea)]]/Tabla2[[#This Row],[Costos (En RD$/Tarea)]])</f>
        <v>0</v>
      </c>
      <c r="P243" s="7" t="n">
        <f aca="false">Tabla2[[#This Row],[Rentabilidad (%)]]/12</f>
        <v>0</v>
      </c>
    </row>
    <row r="244" customFormat="false" ht="14.25" hidden="false" customHeight="false" outlineLevel="0" collapsed="false">
      <c r="A244" s="1" t="n">
        <v>37135</v>
      </c>
      <c r="B244" s="2" t="s">
        <v>21</v>
      </c>
      <c r="C244" s="3" t="n">
        <v>4703</v>
      </c>
      <c r="D244" s="8" t="s">
        <v>17</v>
      </c>
      <c r="E244" s="3" t="n">
        <f aca="false">IF(Tabla2[[#This Row],[Frecuencia]]="Annual", Tabla2[[#This Row],[Cosecha/Tarea]]/12,Tabla2[[#This Row],[Cosecha/Tarea]])</f>
        <v>4703</v>
      </c>
      <c r="F244" s="3" t="n">
        <v>40441</v>
      </c>
      <c r="G244" s="2" t="s">
        <v>18</v>
      </c>
      <c r="H244" s="2" t="n">
        <f aca="false">F244/Tabla2[[#This Row],[Cosecha Mensual]]</f>
        <v>8.59897937486711</v>
      </c>
      <c r="I244" s="2" t="n">
        <f aca="false">H244*_xlfn.XLOOKUP(Tabla2[[#This Row],[Unidad de producción]],Tabla3[Medida],Tabla3[Equivalencia en Kg],"ELVIS",0)</f>
        <v>390.049704443972</v>
      </c>
      <c r="J244" s="2" t="n">
        <v>180.125</v>
      </c>
      <c r="K244" s="2" t="s">
        <v>18</v>
      </c>
      <c r="L244" s="2" t="n">
        <f aca="false">J244/_xlfn.XLOOKUP(Tabla2[[#This Row],[Unidad de precio]],Tabla3[Medida],Tabla3[Equivalencia en Kg],"ELVIS",0)</f>
        <v>3.97100970017637</v>
      </c>
      <c r="N244" s="3" t="n">
        <f aca="false">(Tabla2[[#This Row],[Productividad (kg/TAS)]]*Tabla2[[#This Row],[Precio por kg]]-Tabla2[[#This Row],[Costos (En RD$/Tarea)]])</f>
        <v>1548.89115989794</v>
      </c>
      <c r="O244" s="9" t="n">
        <f aca="false">IF(Tabla2[[#This Row],[Costos (En RD$/Tarea)]]=0,0,Tabla2[[#This Row],[Beneficio Neto  (En RD$/Tarea)]]/Tabla2[[#This Row],[Costos (En RD$/Tarea)]])</f>
        <v>0</v>
      </c>
      <c r="P244" s="7" t="n">
        <f aca="false">Tabla2[[#This Row],[Rentabilidad (%)]]/12</f>
        <v>0</v>
      </c>
    </row>
    <row r="245" customFormat="false" ht="14.25" hidden="false" customHeight="false" outlineLevel="0" collapsed="false">
      <c r="A245" s="1" t="n">
        <v>37135</v>
      </c>
      <c r="B245" s="2" t="s">
        <v>22</v>
      </c>
      <c r="C245" s="3" t="n">
        <v>1936</v>
      </c>
      <c r="D245" s="8" t="s">
        <v>17</v>
      </c>
      <c r="E245" s="3" t="n">
        <f aca="false">IF(Tabla2[[#This Row],[Frecuencia]]="Annual", Tabla2[[#This Row],[Cosecha/Tarea]]/12,Tabla2[[#This Row],[Cosecha/Tarea]])</f>
        <v>1936</v>
      </c>
      <c r="F245" s="3" t="n">
        <v>17395</v>
      </c>
      <c r="G245" s="2" t="s">
        <v>18</v>
      </c>
      <c r="H245" s="2" t="n">
        <f aca="false">F245/Tabla2[[#This Row],[Cosecha Mensual]]</f>
        <v>8.98502066115703</v>
      </c>
      <c r="I245" s="2" t="n">
        <f aca="false">H245*_xlfn.XLOOKUP(Tabla2[[#This Row],[Unidad de producción]],Tabla3[Medida],Tabla3[Equivalencia en Kg],"ELVIS",0)</f>
        <v>407.560537190083</v>
      </c>
      <c r="J245" s="2" t="n">
        <v>246.4</v>
      </c>
      <c r="K245" s="2" t="s">
        <v>18</v>
      </c>
      <c r="L245" s="2" t="n">
        <f aca="false">J245/_xlfn.XLOOKUP(Tabla2[[#This Row],[Unidad de precio]],Tabla3[Medida],Tabla3[Equivalencia en Kg],"ELVIS",0)</f>
        <v>5.4320987654321</v>
      </c>
      <c r="N245" s="3" t="n">
        <f aca="false">(Tabla2[[#This Row],[Productividad (kg/TAS)]]*Tabla2[[#This Row],[Precio por kg]]-Tabla2[[#This Row],[Costos (En RD$/Tarea)]])</f>
        <v>2213.90909090909</v>
      </c>
      <c r="O245" s="9" t="n">
        <f aca="false">IF(Tabla2[[#This Row],[Costos (En RD$/Tarea)]]=0,0,Tabla2[[#This Row],[Beneficio Neto  (En RD$/Tarea)]]/Tabla2[[#This Row],[Costos (En RD$/Tarea)]])</f>
        <v>0</v>
      </c>
      <c r="P245" s="7" t="n">
        <f aca="false">Tabla2[[#This Row],[Rentabilidad (%)]]/12</f>
        <v>0</v>
      </c>
    </row>
    <row r="246" customFormat="false" ht="14.25" hidden="false" customHeight="false" outlineLevel="0" collapsed="false">
      <c r="A246" s="1" t="n">
        <v>37135</v>
      </c>
      <c r="B246" s="2" t="s">
        <v>23</v>
      </c>
      <c r="C246" s="3" t="n">
        <v>4838</v>
      </c>
      <c r="D246" s="8" t="s">
        <v>17</v>
      </c>
      <c r="E246" s="3" t="n">
        <f aca="false">IF(Tabla2[[#This Row],[Frecuencia]]="Annual", Tabla2[[#This Row],[Cosecha/Tarea]]/12,Tabla2[[#This Row],[Cosecha/Tarea]])</f>
        <v>4838</v>
      </c>
      <c r="F246" s="3" t="n">
        <v>181062</v>
      </c>
      <c r="G246" s="2" t="s">
        <v>18</v>
      </c>
      <c r="H246" s="2" t="n">
        <f aca="false">F246/Tabla2[[#This Row],[Cosecha Mensual]]</f>
        <v>37.4249689954527</v>
      </c>
      <c r="I246" s="2" t="n">
        <f aca="false">H246*_xlfn.XLOOKUP(Tabla2[[#This Row],[Unidad de producción]],Tabla3[Medida],Tabla3[Equivalencia en Kg],"ELVIS",0)</f>
        <v>1697.59659363373</v>
      </c>
      <c r="J246" s="2" t="n">
        <v>272.265625</v>
      </c>
      <c r="K246" s="2" t="s">
        <v>18</v>
      </c>
      <c r="L246" s="2" t="n">
        <f aca="false">J246/_xlfn.XLOOKUP(Tabla2[[#This Row],[Unidad de precio]],Tabla3[Medida],Tabla3[Equivalencia en Kg],"ELVIS",0)</f>
        <v>6.00232859347443</v>
      </c>
      <c r="N246" s="3" t="n">
        <f aca="false">(Tabla2[[#This Row],[Productividad (kg/TAS)]]*Tabla2[[#This Row],[Precio por kg]]-Tabla2[[#This Row],[Costos (En RD$/Tarea)]])</f>
        <v>10189.5325741525</v>
      </c>
      <c r="O246" s="9" t="n">
        <f aca="false">IF(Tabla2[[#This Row],[Costos (En RD$/Tarea)]]=0,0,Tabla2[[#This Row],[Beneficio Neto  (En RD$/Tarea)]]/Tabla2[[#This Row],[Costos (En RD$/Tarea)]])</f>
        <v>0</v>
      </c>
      <c r="P246" s="7" t="n">
        <f aca="false">Tabla2[[#This Row],[Rentabilidad (%)]]/12</f>
        <v>0</v>
      </c>
    </row>
    <row r="247" customFormat="false" ht="14.25" hidden="false" customHeight="false" outlineLevel="0" collapsed="false">
      <c r="A247" s="1" t="n">
        <v>37135</v>
      </c>
      <c r="B247" s="2" t="s">
        <v>24</v>
      </c>
      <c r="C247" s="3" t="n">
        <v>5664</v>
      </c>
      <c r="D247" s="8" t="s">
        <v>17</v>
      </c>
      <c r="E247" s="3" t="n">
        <f aca="false">IF(Tabla2[[#This Row],[Frecuencia]]="Annual", Tabla2[[#This Row],[Cosecha/Tarea]]/12,Tabla2[[#This Row],[Cosecha/Tarea]])</f>
        <v>5664</v>
      </c>
      <c r="F247" s="3" t="n">
        <v>58868</v>
      </c>
      <c r="G247" s="2" t="s">
        <v>18</v>
      </c>
      <c r="H247" s="2" t="n">
        <f aca="false">F247/Tabla2[[#This Row],[Cosecha Mensual]]</f>
        <v>10.3933615819209</v>
      </c>
      <c r="I247" s="2" t="n">
        <f aca="false">H247*_xlfn.XLOOKUP(Tabla2[[#This Row],[Unidad de producción]],Tabla3[Medida],Tabla3[Equivalencia en Kg],"ELVIS",0)</f>
        <v>471.442881355932</v>
      </c>
      <c r="J247" s="2" t="n">
        <v>569.25</v>
      </c>
      <c r="K247" s="2" t="s">
        <v>18</v>
      </c>
      <c r="L247" s="2" t="n">
        <f aca="false">J247/_xlfn.XLOOKUP(Tabla2[[#This Row],[Unidad de precio]],Tabla3[Medida],Tabla3[Equivalencia en Kg],"ELVIS",0)</f>
        <v>12.5496031746032</v>
      </c>
      <c r="N247" s="3" t="n">
        <f aca="false">(Tabla2[[#This Row],[Productividad (kg/TAS)]]*Tabla2[[#This Row],[Precio por kg]]-Tabla2[[#This Row],[Costos (En RD$/Tarea)]])</f>
        <v>5916.42108050847</v>
      </c>
      <c r="O247" s="9" t="n">
        <f aca="false">IF(Tabla2[[#This Row],[Costos (En RD$/Tarea)]]=0,0,Tabla2[[#This Row],[Beneficio Neto  (En RD$/Tarea)]]/Tabla2[[#This Row],[Costos (En RD$/Tarea)]])</f>
        <v>0</v>
      </c>
      <c r="P247" s="7" t="n">
        <f aca="false">Tabla2[[#This Row],[Rentabilidad (%)]]/12</f>
        <v>0</v>
      </c>
    </row>
    <row r="248" customFormat="false" ht="14.25" hidden="false" customHeight="false" outlineLevel="0" collapsed="false">
      <c r="A248" s="1" t="n">
        <v>37135</v>
      </c>
      <c r="B248" s="2" t="s">
        <v>25</v>
      </c>
      <c r="C248" s="3" t="n">
        <v>21221</v>
      </c>
      <c r="D248" s="8" t="s">
        <v>17</v>
      </c>
      <c r="E248" s="3" t="n">
        <f aca="false">IF(Tabla2[[#This Row],[Frecuencia]]="Annual", Tabla2[[#This Row],[Cosecha/Tarea]]/12,Tabla2[[#This Row],[Cosecha/Tarea]])</f>
        <v>21221</v>
      </c>
      <c r="F248" s="3" t="n">
        <v>199555</v>
      </c>
      <c r="G248" s="2" t="s">
        <v>18</v>
      </c>
      <c r="H248" s="2" t="n">
        <f aca="false">F248/Tabla2[[#This Row],[Cosecha Mensual]]</f>
        <v>9.40365675510108</v>
      </c>
      <c r="I248" s="2" t="n">
        <f aca="false">H248*_xlfn.XLOOKUP(Tabla2[[#This Row],[Unidad de producción]],Tabla3[Medida],Tabla3[Equivalencia en Kg],"ELVIS",0)</f>
        <v>426.549870411385</v>
      </c>
      <c r="J248" s="2" t="n">
        <v>108.19361</v>
      </c>
      <c r="K248" s="2" t="s">
        <v>18</v>
      </c>
      <c r="L248" s="2" t="n">
        <f aca="false">J248/_xlfn.XLOOKUP(Tabla2[[#This Row],[Unidad de precio]],Tabla3[Medida],Tabla3[Equivalencia en Kg],"ELVIS",0)</f>
        <v>2.38522067901235</v>
      </c>
      <c r="N248" s="3" t="n">
        <f aca="false">(Tabla2[[#This Row],[Productividad (kg/TAS)]]*Tabla2[[#This Row],[Precio por kg]]-Tabla2[[#This Row],[Costos (En RD$/Tarea)]])</f>
        <v>1017.41557153527</v>
      </c>
      <c r="O248" s="9" t="n">
        <f aca="false">IF(Tabla2[[#This Row],[Costos (En RD$/Tarea)]]=0,0,Tabla2[[#This Row],[Beneficio Neto  (En RD$/Tarea)]]/Tabla2[[#This Row],[Costos (En RD$/Tarea)]])</f>
        <v>0</v>
      </c>
      <c r="P248" s="7" t="n">
        <f aca="false">Tabla2[[#This Row],[Rentabilidad (%)]]/12</f>
        <v>0</v>
      </c>
    </row>
    <row r="249" customFormat="false" ht="14.25" hidden="false" customHeight="false" outlineLevel="0" collapsed="false">
      <c r="A249" s="1" t="n">
        <v>37135</v>
      </c>
      <c r="B249" s="2" t="s">
        <v>26</v>
      </c>
      <c r="C249" s="3" t="n">
        <v>6842</v>
      </c>
      <c r="D249" s="8" t="s">
        <v>17</v>
      </c>
      <c r="E249" s="3" t="n">
        <f aca="false">IF(Tabla2[[#This Row],[Frecuencia]]="Annual", Tabla2[[#This Row],[Cosecha/Tarea]]/12,Tabla2[[#This Row],[Cosecha/Tarea]])</f>
        <v>6842</v>
      </c>
      <c r="F249" s="3" t="n">
        <v>39574</v>
      </c>
      <c r="G249" s="2" t="s">
        <v>18</v>
      </c>
      <c r="H249" s="2" t="n">
        <f aca="false">F249/Tabla2[[#This Row],[Cosecha Mensual]]</f>
        <v>5.78398129201988</v>
      </c>
      <c r="I249" s="2" t="n">
        <f aca="false">H249*_xlfn.XLOOKUP(Tabla2[[#This Row],[Unidad de producción]],Tabla3[Medida],Tabla3[Equivalencia en Kg],"ELVIS",0)</f>
        <v>262.361391406022</v>
      </c>
      <c r="J249" s="2" t="n">
        <v>205.6675</v>
      </c>
      <c r="K249" s="2" t="s">
        <v>18</v>
      </c>
      <c r="L249" s="2" t="n">
        <f aca="false">J249/_xlfn.XLOOKUP(Tabla2[[#This Row],[Unidad de precio]],Tabla3[Medida],Tabla3[Equivalencia en Kg],"ELVIS",0)</f>
        <v>4.53411596119929</v>
      </c>
      <c r="N249" s="3" t="n">
        <f aca="false">(Tabla2[[#This Row],[Productividad (kg/TAS)]]*Tabla2[[#This Row],[Precio por kg]]-Tabla2[[#This Row],[Costos (En RD$/Tarea)]])</f>
        <v>1189.5769723765</v>
      </c>
      <c r="O249" s="9" t="n">
        <f aca="false">IF(Tabla2[[#This Row],[Costos (En RD$/Tarea)]]=0,0,Tabla2[[#This Row],[Beneficio Neto  (En RD$/Tarea)]]/Tabla2[[#This Row],[Costos (En RD$/Tarea)]])</f>
        <v>0</v>
      </c>
      <c r="P249" s="7" t="n">
        <f aca="false">Tabla2[[#This Row],[Rentabilidad (%)]]/12</f>
        <v>0</v>
      </c>
    </row>
    <row r="250" customFormat="false" ht="14.25" hidden="false" customHeight="false" outlineLevel="0" collapsed="false">
      <c r="A250" s="1" t="n">
        <v>37135</v>
      </c>
      <c r="B250" s="2" t="s">
        <v>27</v>
      </c>
      <c r="C250" s="3" t="n">
        <v>1873</v>
      </c>
      <c r="D250" s="8" t="s">
        <v>17</v>
      </c>
      <c r="E250" s="3" t="n">
        <f aca="false">IF(Tabla2[[#This Row],[Frecuencia]]="Annual", Tabla2[[#This Row],[Cosecha/Tarea]]/12,Tabla2[[#This Row],[Cosecha/Tarea]])</f>
        <v>1873</v>
      </c>
      <c r="F250" s="3" t="n">
        <v>14057</v>
      </c>
      <c r="G250" s="2" t="s">
        <v>18</v>
      </c>
      <c r="H250" s="2" t="n">
        <f aca="false">F250/Tabla2[[#This Row],[Cosecha Mensual]]</f>
        <v>7.50507207688201</v>
      </c>
      <c r="I250" s="2" t="n">
        <f aca="false">H250*_xlfn.XLOOKUP(Tabla2[[#This Row],[Unidad de producción]],Tabla3[Medida],Tabla3[Equivalencia en Kg],"ELVIS",0)</f>
        <v>340.430069407368</v>
      </c>
      <c r="J250" s="2" t="n">
        <v>241.8</v>
      </c>
      <c r="K250" s="2" t="s">
        <v>18</v>
      </c>
      <c r="L250" s="2" t="n">
        <f aca="false">J250/_xlfn.XLOOKUP(Tabla2[[#This Row],[Unidad de precio]],Tabla3[Medida],Tabla3[Equivalencia en Kg],"ELVIS",0)</f>
        <v>5.33068783068783</v>
      </c>
      <c r="N250" s="3" t="n">
        <f aca="false">(Tabla2[[#This Row],[Productividad (kg/TAS)]]*Tabla2[[#This Row],[Precio por kg]]-Tabla2[[#This Row],[Costos (En RD$/Tarea)]])</f>
        <v>1814.72642819007</v>
      </c>
      <c r="O250" s="9" t="n">
        <f aca="false">IF(Tabla2[[#This Row],[Costos (En RD$/Tarea)]]=0,0,Tabla2[[#This Row],[Beneficio Neto  (En RD$/Tarea)]]/Tabla2[[#This Row],[Costos (En RD$/Tarea)]])</f>
        <v>0</v>
      </c>
      <c r="P250" s="7" t="n">
        <f aca="false">Tabla2[[#This Row],[Rentabilidad (%)]]/12</f>
        <v>0</v>
      </c>
    </row>
    <row r="251" customFormat="false" ht="14.25" hidden="false" customHeight="false" outlineLevel="0" collapsed="false">
      <c r="A251" s="1" t="n">
        <v>37135</v>
      </c>
      <c r="B251" s="2" t="s">
        <v>28</v>
      </c>
      <c r="C251" s="3" t="n">
        <v>28623</v>
      </c>
      <c r="D251" s="8" t="s">
        <v>17</v>
      </c>
      <c r="E251" s="3" t="n">
        <f aca="false">IF(Tabla2[[#This Row],[Frecuencia]]="Annual", Tabla2[[#This Row],[Cosecha/Tarea]]/12,Tabla2[[#This Row],[Cosecha/Tarea]])</f>
        <v>28623</v>
      </c>
      <c r="F251" s="3" t="n">
        <v>50684</v>
      </c>
      <c r="G251" s="2" t="s">
        <v>18</v>
      </c>
      <c r="H251" s="2" t="n">
        <f aca="false">F251/Tabla2[[#This Row],[Cosecha Mensual]]</f>
        <v>1.77074380742759</v>
      </c>
      <c r="I251" s="2" t="n">
        <f aca="false">H251*_xlfn.XLOOKUP(Tabla2[[#This Row],[Unidad de producción]],Tabla3[Medida],Tabla3[Equivalencia en Kg],"ELVIS",0)</f>
        <v>80.3209391049156</v>
      </c>
      <c r="J251" s="2" t="n">
        <v>889</v>
      </c>
      <c r="K251" s="2" t="s">
        <v>29</v>
      </c>
      <c r="L251" s="2" t="n">
        <f aca="false">J251/_xlfn.XLOOKUP(Tabla2[[#This Row],[Unidad de precio]],Tabla3[Medida],Tabla3[Equivalencia en Kg],"ELVIS",0)</f>
        <v>1.58089412099442</v>
      </c>
      <c r="N251" s="3" t="n">
        <f aca="false">(Tabla2[[#This Row],[Productividad (kg/TAS)]]*Tabla2[[#This Row],[Precio por kg]]-Tabla2[[#This Row],[Costos (En RD$/Tarea)]])</f>
        <v>126.978900423712</v>
      </c>
      <c r="O251" s="9" t="n">
        <f aca="false">IF(Tabla2[[#This Row],[Costos (En RD$/Tarea)]]=0,0,Tabla2[[#This Row],[Beneficio Neto  (En RD$/Tarea)]]/Tabla2[[#This Row],[Costos (En RD$/Tarea)]])</f>
        <v>0</v>
      </c>
      <c r="P251" s="7" t="n">
        <f aca="false">Tabla2[[#This Row],[Rentabilidad (%)]]/12</f>
        <v>0</v>
      </c>
    </row>
    <row r="252" customFormat="false" ht="14.25" hidden="false" customHeight="false" outlineLevel="0" collapsed="false">
      <c r="A252" s="1" t="n">
        <v>37135</v>
      </c>
      <c r="B252" s="2" t="s">
        <v>30</v>
      </c>
      <c r="C252" s="3" t="n">
        <v>241518</v>
      </c>
      <c r="D252" s="3" t="s">
        <v>31</v>
      </c>
      <c r="E252" s="3" t="n">
        <f aca="false">IF(Tabla2[[#This Row],[Frecuencia]]="Annual", Tabla2[[#This Row],[Cosecha/Tarea]]/12,Tabla2[[#This Row],[Cosecha/Tarea]])</f>
        <v>20126.5</v>
      </c>
      <c r="F252" s="3" t="n">
        <v>1491815</v>
      </c>
      <c r="G252" s="2" t="s">
        <v>32</v>
      </c>
      <c r="H252" s="2" t="n">
        <f aca="false">F252/Tabla2[[#This Row],[Cosecha Mensual]]</f>
        <v>74.1219288003379</v>
      </c>
      <c r="I252" s="2" t="n">
        <f aca="false">H252*_xlfn.XLOOKUP(Tabla2[[#This Row],[Unidad de producción]],Tabla3[Medida],Tabla3[Equivalencia en Kg],"ELVIS",0)</f>
        <v>2016.85768265719</v>
      </c>
      <c r="J252" s="2" t="n">
        <v>26.838</v>
      </c>
      <c r="K252" s="2" t="s">
        <v>32</v>
      </c>
      <c r="L252" s="2" t="n">
        <f aca="false">J252/_xlfn.XLOOKUP(Tabla2[[#This Row],[Unidad de precio]],Tabla3[Medida],Tabla3[Equivalencia en Kg],"ELVIS",0)</f>
        <v>0.98632855567806</v>
      </c>
      <c r="M252" s="3"/>
      <c r="N252" s="3" t="n">
        <f aca="false">(Tabla2[[#This Row],[Productividad (kg/TAS)]]*Tabla2[[#This Row],[Precio por kg]]-Tabla2[[#This Row],[Costos (En RD$/Tarea)]])</f>
        <v>1989.28432514347</v>
      </c>
      <c r="O252" s="9" t="n">
        <f aca="false">IF(Tabla2[[#This Row],[Costos (En RD$/Tarea)]]=0,0,Tabla2[[#This Row],[Beneficio Neto  (En RD$/Tarea)]]/Tabla2[[#This Row],[Costos (En RD$/Tarea)]])</f>
        <v>0</v>
      </c>
      <c r="P252" s="7" t="n">
        <f aca="false">Tabla2[[#This Row],[Rentabilidad (%)]]/12</f>
        <v>0</v>
      </c>
    </row>
    <row r="253" customFormat="false" ht="14.25" hidden="false" customHeight="false" outlineLevel="0" collapsed="false">
      <c r="A253" s="1" t="n">
        <v>37135</v>
      </c>
      <c r="B253" s="2" t="s">
        <v>33</v>
      </c>
      <c r="C253" s="3" t="n">
        <v>629905</v>
      </c>
      <c r="D253" s="3" t="s">
        <v>31</v>
      </c>
      <c r="E253" s="3" t="n">
        <f aca="false">IF(Tabla2[[#This Row],[Frecuencia]]="Annual", Tabla2[[#This Row],[Cosecha/Tarea]]/12,Tabla2[[#This Row],[Cosecha/Tarea]])</f>
        <v>52492.0833333333</v>
      </c>
      <c r="F253" s="3" t="n">
        <v>106861</v>
      </c>
      <c r="G253" s="2" t="s">
        <v>34</v>
      </c>
      <c r="H253" s="2" t="n">
        <f aca="false">F253/Tabla2[[#This Row],[Cosecha Mensual]]</f>
        <v>2.03575459791556</v>
      </c>
      <c r="I253" s="2" t="n">
        <f aca="false">H253*_xlfn.XLOOKUP(Tabla2[[#This Row],[Unidad de producción]],Tabla3[Medida],Tabla3[Equivalencia en Kg],"ELVIS",0)</f>
        <v>830.893239139235</v>
      </c>
      <c r="J253" s="2" t="n">
        <v>1074.476</v>
      </c>
      <c r="K253" s="2" t="s">
        <v>34</v>
      </c>
      <c r="L253" s="2" t="n">
        <f aca="false">J253/_xlfn.XLOOKUP(Tabla2[[#This Row],[Unidad de precio]],Tabla3[Medida],Tabla3[Equivalencia en Kg],"ELVIS",0)</f>
        <v>2.63255175793213</v>
      </c>
      <c r="M253" s="3"/>
      <c r="N253" s="3" t="n">
        <f aca="false">(Tabla2[[#This Row],[Productividad (kg/TAS)]]*Tabla2[[#This Row],[Precio por kg]]-Tabla2[[#This Row],[Costos (En RD$/Tarea)]])</f>
        <v>2187.36945734992</v>
      </c>
      <c r="O253" s="9" t="n">
        <f aca="false">IF(Tabla2[[#This Row],[Costos (En RD$/Tarea)]]=0,0,Tabla2[[#This Row],[Beneficio Neto  (En RD$/Tarea)]]/Tabla2[[#This Row],[Costos (En RD$/Tarea)]])</f>
        <v>0</v>
      </c>
      <c r="P253" s="7" t="n">
        <f aca="false">Tabla2[[#This Row],[Rentabilidad (%)]]/12</f>
        <v>0</v>
      </c>
    </row>
    <row r="254" customFormat="false" ht="14.25" hidden="false" customHeight="false" outlineLevel="0" collapsed="false">
      <c r="A254" s="1" t="n">
        <v>37165</v>
      </c>
      <c r="B254" s="2" t="s">
        <v>16</v>
      </c>
      <c r="C254" s="3" t="n">
        <v>377707</v>
      </c>
      <c r="D254" s="8" t="s">
        <v>17</v>
      </c>
      <c r="E254" s="3" t="n">
        <f aca="false">IF(Tabla2[[#This Row],[Frecuencia]]="Annual", Tabla2[[#This Row],[Cosecha/Tarea]]/12,Tabla2[[#This Row],[Cosecha/Tarea]])</f>
        <v>377707</v>
      </c>
      <c r="F254" s="3" t="n">
        <v>1421548</v>
      </c>
      <c r="G254" s="2" t="s">
        <v>18</v>
      </c>
      <c r="H254" s="2" t="n">
        <f aca="false">F254/Tabla2[[#This Row],[Cosecha Mensual]]</f>
        <v>3.76362630292793</v>
      </c>
      <c r="I254" s="2" t="n">
        <f aca="false">H254*_xlfn.XLOOKUP(Tabla2[[#This Row],[Unidad de producción]],Tabla3[Medida],Tabla3[Equivalencia en Kg],"ELVIS",0)</f>
        <v>170.718089100811</v>
      </c>
      <c r="J254" s="2" t="n">
        <v>978.745874587459</v>
      </c>
      <c r="K254" s="2" t="s">
        <v>19</v>
      </c>
      <c r="L254" s="2" t="n">
        <f aca="false">J254/_xlfn.XLOOKUP(Tabla2[[#This Row],[Unidad de precio]],Tabla3[Medida],Tabla3[Equivalencia en Kg],"ELVIS",0)</f>
        <v>8.8976897689769</v>
      </c>
      <c r="N254" s="3" t="n">
        <f aca="false">(Tabla2[[#This Row],[Productividad (kg/TAS)]]*Tabla2[[#This Row],[Precio por kg]]-Tabla2[[#This Row],[Costos (En RD$/Tarea)]])</f>
        <v>1518.99659477157</v>
      </c>
      <c r="O254" s="9" t="n">
        <f aca="false">IF(Tabla2[[#This Row],[Costos (En RD$/Tarea)]]=0,0,Tabla2[[#This Row],[Beneficio Neto  (En RD$/Tarea)]]/Tabla2[[#This Row],[Costos (En RD$/Tarea)]])</f>
        <v>0</v>
      </c>
      <c r="P254" s="7" t="n">
        <f aca="false">Tabla2[[#This Row],[Rentabilidad (%)]]/12</f>
        <v>0</v>
      </c>
    </row>
    <row r="255" customFormat="false" ht="14.25" hidden="false" customHeight="false" outlineLevel="0" collapsed="false">
      <c r="A255" s="1" t="n">
        <v>37165</v>
      </c>
      <c r="B255" s="2" t="s">
        <v>20</v>
      </c>
      <c r="C255" s="3" t="n">
        <v>44100</v>
      </c>
      <c r="D255" s="8" t="s">
        <v>17</v>
      </c>
      <c r="E255" s="3" t="n">
        <f aca="false">IF(Tabla2[[#This Row],[Frecuencia]]="Annual", Tabla2[[#This Row],[Cosecha/Tarea]]/12,Tabla2[[#This Row],[Cosecha/Tarea]])</f>
        <v>44100</v>
      </c>
      <c r="F255" s="3" t="n">
        <v>78742</v>
      </c>
      <c r="G255" s="2" t="s">
        <v>18</v>
      </c>
      <c r="H255" s="2" t="n">
        <f aca="false">F255/Tabla2[[#This Row],[Cosecha Mensual]]</f>
        <v>1.78553287981859</v>
      </c>
      <c r="I255" s="2" t="n">
        <f aca="false">H255*_xlfn.XLOOKUP(Tabla2[[#This Row],[Unidad de producción]],Tabla3[Medida],Tabla3[Equivalencia en Kg],"ELVIS",0)</f>
        <v>80.9917714285714</v>
      </c>
      <c r="J255" s="2" t="n">
        <v>109.212814285714</v>
      </c>
      <c r="K255" s="2" t="s">
        <v>18</v>
      </c>
      <c r="L255" s="2" t="n">
        <f aca="false">J255/_xlfn.XLOOKUP(Tabla2[[#This Row],[Unidad de precio]],Tabla3[Medida],Tabla3[Equivalencia en Kg],"ELVIS",0)</f>
        <v>2.40768990929705</v>
      </c>
      <c r="N255" s="3" t="n">
        <f aca="false">(Tabla2[[#This Row],[Productividad (kg/TAS)]]*Tabla2[[#This Row],[Precio por kg]]-Tabla2[[#This Row],[Costos (En RD$/Tarea)]])</f>
        <v>195.003070804664</v>
      </c>
      <c r="O255" s="9" t="n">
        <f aca="false">IF(Tabla2[[#This Row],[Costos (En RD$/Tarea)]]=0,0,Tabla2[[#This Row],[Beneficio Neto  (En RD$/Tarea)]]/Tabla2[[#This Row],[Costos (En RD$/Tarea)]])</f>
        <v>0</v>
      </c>
      <c r="P255" s="7" t="n">
        <f aca="false">Tabla2[[#This Row],[Rentabilidad (%)]]/12</f>
        <v>0</v>
      </c>
    </row>
    <row r="256" customFormat="false" ht="14.25" hidden="false" customHeight="false" outlineLevel="0" collapsed="false">
      <c r="A256" s="1" t="n">
        <v>37165</v>
      </c>
      <c r="B256" s="2" t="s">
        <v>21</v>
      </c>
      <c r="C256" s="3" t="n">
        <v>5903</v>
      </c>
      <c r="D256" s="8" t="s">
        <v>17</v>
      </c>
      <c r="E256" s="3" t="n">
        <f aca="false">IF(Tabla2[[#This Row],[Frecuencia]]="Annual", Tabla2[[#This Row],[Cosecha/Tarea]]/12,Tabla2[[#This Row],[Cosecha/Tarea]])</f>
        <v>5903</v>
      </c>
      <c r="F256" s="3" t="n">
        <v>51211</v>
      </c>
      <c r="G256" s="2" t="s">
        <v>18</v>
      </c>
      <c r="H256" s="2" t="n">
        <f aca="false">F256/Tabla2[[#This Row],[Cosecha Mensual]]</f>
        <v>8.67541927833305</v>
      </c>
      <c r="I256" s="2" t="n">
        <f aca="false">H256*_xlfn.XLOOKUP(Tabla2[[#This Row],[Unidad de producción]],Tabla3[Medida],Tabla3[Equivalencia en Kg],"ELVIS",0)</f>
        <v>393.517018465187</v>
      </c>
      <c r="J256" s="2" t="n">
        <v>175.816666666667</v>
      </c>
      <c r="K256" s="2" t="s">
        <v>18</v>
      </c>
      <c r="L256" s="2" t="n">
        <f aca="false">J256/_xlfn.XLOOKUP(Tabla2[[#This Row],[Unidad de precio]],Tabla3[Medida],Tabla3[Equivalencia en Kg],"ELVIS",0)</f>
        <v>3.87602880658437</v>
      </c>
      <c r="N256" s="3" t="n">
        <f aca="false">(Tabla2[[#This Row],[Productividad (kg/TAS)]]*Tabla2[[#This Row],[Precio por kg]]-Tabla2[[#This Row],[Costos (En RD$/Tarea)]])</f>
        <v>1525.28329945226</v>
      </c>
      <c r="O256" s="9" t="n">
        <f aca="false">IF(Tabla2[[#This Row],[Costos (En RD$/Tarea)]]=0,0,Tabla2[[#This Row],[Beneficio Neto  (En RD$/Tarea)]]/Tabla2[[#This Row],[Costos (En RD$/Tarea)]])</f>
        <v>0</v>
      </c>
      <c r="P256" s="7" t="n">
        <f aca="false">Tabla2[[#This Row],[Rentabilidad (%)]]/12</f>
        <v>0</v>
      </c>
    </row>
    <row r="257" customFormat="false" ht="14.25" hidden="false" customHeight="false" outlineLevel="0" collapsed="false">
      <c r="A257" s="1" t="n">
        <v>37165</v>
      </c>
      <c r="B257" s="2" t="s">
        <v>22</v>
      </c>
      <c r="C257" s="3" t="n">
        <v>3283</v>
      </c>
      <c r="D257" s="8" t="s">
        <v>17</v>
      </c>
      <c r="E257" s="3" t="n">
        <f aca="false">IF(Tabla2[[#This Row],[Frecuencia]]="Annual", Tabla2[[#This Row],[Cosecha/Tarea]]/12,Tabla2[[#This Row],[Cosecha/Tarea]])</f>
        <v>3283</v>
      </c>
      <c r="F257" s="3" t="n">
        <v>30808</v>
      </c>
      <c r="G257" s="2" t="s">
        <v>18</v>
      </c>
      <c r="H257" s="2" t="n">
        <f aca="false">F257/Tabla2[[#This Row],[Cosecha Mensual]]</f>
        <v>9.38409990862017</v>
      </c>
      <c r="I257" s="2" t="n">
        <f aca="false">H257*_xlfn.XLOOKUP(Tabla2[[#This Row],[Unidad de producción]],Tabla3[Medida],Tabla3[Equivalencia en Kg],"ELVIS",0)</f>
        <v>425.662771855011</v>
      </c>
      <c r="J257" s="2" t="n">
        <v>184.8605</v>
      </c>
      <c r="K257" s="2" t="s">
        <v>18</v>
      </c>
      <c r="L257" s="2" t="n">
        <f aca="false">J257/_xlfn.XLOOKUP(Tabla2[[#This Row],[Unidad de precio]],Tabla3[Medida],Tabla3[Equivalencia en Kg],"ELVIS",0)</f>
        <v>4.07540784832452</v>
      </c>
      <c r="N257" s="3" t="n">
        <f aca="false">(Tabla2[[#This Row],[Productividad (kg/TAS)]]*Tabla2[[#This Row],[Precio por kg]]-Tabla2[[#This Row],[Costos (En RD$/Tarea)]])</f>
        <v>1734.74940115748</v>
      </c>
      <c r="O257" s="9" t="n">
        <f aca="false">IF(Tabla2[[#This Row],[Costos (En RD$/Tarea)]]=0,0,Tabla2[[#This Row],[Beneficio Neto  (En RD$/Tarea)]]/Tabla2[[#This Row],[Costos (En RD$/Tarea)]])</f>
        <v>0</v>
      </c>
      <c r="P257" s="7" t="n">
        <f aca="false">Tabla2[[#This Row],[Rentabilidad (%)]]/12</f>
        <v>0</v>
      </c>
    </row>
    <row r="258" customFormat="false" ht="14.25" hidden="false" customHeight="false" outlineLevel="0" collapsed="false">
      <c r="A258" s="1" t="n">
        <v>37165</v>
      </c>
      <c r="B258" s="2" t="s">
        <v>23</v>
      </c>
      <c r="C258" s="3" t="n">
        <v>5025</v>
      </c>
      <c r="D258" s="8" t="s">
        <v>17</v>
      </c>
      <c r="E258" s="3" t="n">
        <f aca="false">IF(Tabla2[[#This Row],[Frecuencia]]="Annual", Tabla2[[#This Row],[Cosecha/Tarea]]/12,Tabla2[[#This Row],[Cosecha/Tarea]])</f>
        <v>5025</v>
      </c>
      <c r="F258" s="3" t="n">
        <v>119208</v>
      </c>
      <c r="G258" s="2" t="s">
        <v>18</v>
      </c>
      <c r="H258" s="2" t="n">
        <f aca="false">F258/Tabla2[[#This Row],[Cosecha Mensual]]</f>
        <v>23.7229850746269</v>
      </c>
      <c r="I258" s="2" t="n">
        <f aca="false">H258*_xlfn.XLOOKUP(Tabla2[[#This Row],[Unidad de producción]],Tabla3[Medida],Tabla3[Equivalencia en Kg],"ELVIS",0)</f>
        <v>1076.07460298507</v>
      </c>
      <c r="J258" s="2" t="n">
        <v>264.5</v>
      </c>
      <c r="K258" s="2" t="s">
        <v>18</v>
      </c>
      <c r="L258" s="2" t="n">
        <f aca="false">J258/_xlfn.XLOOKUP(Tabla2[[#This Row],[Unidad de precio]],Tabla3[Medida],Tabla3[Equivalencia en Kg],"ELVIS",0)</f>
        <v>5.83112874779542</v>
      </c>
      <c r="N258" s="3" t="n">
        <f aca="false">(Tabla2[[#This Row],[Productividad (kg/TAS)]]*Tabla2[[#This Row],[Precio por kg]]-Tabla2[[#This Row],[Costos (En RD$/Tarea)]])</f>
        <v>6274.72955223881</v>
      </c>
      <c r="O258" s="9" t="n">
        <f aca="false">IF(Tabla2[[#This Row],[Costos (En RD$/Tarea)]]=0,0,Tabla2[[#This Row],[Beneficio Neto  (En RD$/Tarea)]]/Tabla2[[#This Row],[Costos (En RD$/Tarea)]])</f>
        <v>0</v>
      </c>
      <c r="P258" s="7" t="n">
        <f aca="false">Tabla2[[#This Row],[Rentabilidad (%)]]/12</f>
        <v>0</v>
      </c>
    </row>
    <row r="259" customFormat="false" ht="14.25" hidden="false" customHeight="false" outlineLevel="0" collapsed="false">
      <c r="A259" s="1" t="n">
        <v>37165</v>
      </c>
      <c r="B259" s="2" t="s">
        <v>24</v>
      </c>
      <c r="C259" s="3" t="n">
        <v>6508</v>
      </c>
      <c r="D259" s="8" t="s">
        <v>17</v>
      </c>
      <c r="E259" s="3" t="n">
        <f aca="false">IF(Tabla2[[#This Row],[Frecuencia]]="Annual", Tabla2[[#This Row],[Cosecha/Tarea]]/12,Tabla2[[#This Row],[Cosecha/Tarea]])</f>
        <v>6508</v>
      </c>
      <c r="F259" s="3" t="n">
        <v>62342</v>
      </c>
      <c r="G259" s="2" t="s">
        <v>18</v>
      </c>
      <c r="H259" s="2" t="n">
        <f aca="false">F259/Tabla2[[#This Row],[Cosecha Mensual]]</f>
        <v>9.57928703134604</v>
      </c>
      <c r="I259" s="2" t="n">
        <f aca="false">H259*_xlfn.XLOOKUP(Tabla2[[#This Row],[Unidad de producción]],Tabla3[Medida],Tabla3[Equivalencia en Kg],"ELVIS",0)</f>
        <v>434.516459741856</v>
      </c>
      <c r="J259" s="2" t="n">
        <v>496.945</v>
      </c>
      <c r="K259" s="2" t="s">
        <v>18</v>
      </c>
      <c r="L259" s="2" t="n">
        <f aca="false">J259/_xlfn.XLOOKUP(Tabla2[[#This Row],[Unidad de precio]],Tabla3[Medida],Tabla3[Equivalencia en Kg],"ELVIS",0)</f>
        <v>10.9555776014109</v>
      </c>
      <c r="N259" s="3" t="n">
        <f aca="false">(Tabla2[[#This Row],[Productividad (kg/TAS)]]*Tabla2[[#This Row],[Precio por kg]]-Tabla2[[#This Row],[Costos (En RD$/Tarea)]])</f>
        <v>4760.37879379226</v>
      </c>
      <c r="O259" s="9" t="n">
        <f aca="false">IF(Tabla2[[#This Row],[Costos (En RD$/Tarea)]]=0,0,Tabla2[[#This Row],[Beneficio Neto  (En RD$/Tarea)]]/Tabla2[[#This Row],[Costos (En RD$/Tarea)]])</f>
        <v>0</v>
      </c>
      <c r="P259" s="7" t="n">
        <f aca="false">Tabla2[[#This Row],[Rentabilidad (%)]]/12</f>
        <v>0</v>
      </c>
    </row>
    <row r="260" customFormat="false" ht="14.25" hidden="false" customHeight="false" outlineLevel="0" collapsed="false">
      <c r="A260" s="1" t="n">
        <v>37165</v>
      </c>
      <c r="B260" s="2" t="s">
        <v>25</v>
      </c>
      <c r="C260" s="3" t="n">
        <v>21030</v>
      </c>
      <c r="D260" s="8" t="s">
        <v>17</v>
      </c>
      <c r="E260" s="3" t="n">
        <f aca="false">IF(Tabla2[[#This Row],[Frecuencia]]="Annual", Tabla2[[#This Row],[Cosecha/Tarea]]/12,Tabla2[[#This Row],[Cosecha/Tarea]])</f>
        <v>21030</v>
      </c>
      <c r="F260" s="3" t="n">
        <v>203278</v>
      </c>
      <c r="G260" s="2" t="s">
        <v>18</v>
      </c>
      <c r="H260" s="2" t="n">
        <f aca="false">F260/Tabla2[[#This Row],[Cosecha Mensual]]</f>
        <v>9.66609605325725</v>
      </c>
      <c r="I260" s="2" t="n">
        <f aca="false">H260*_xlfn.XLOOKUP(Tabla2[[#This Row],[Unidad de producción]],Tabla3[Medida],Tabla3[Equivalencia en Kg],"ELVIS",0)</f>
        <v>438.454116975749</v>
      </c>
      <c r="J260" s="2" t="n">
        <v>101.75</v>
      </c>
      <c r="K260" s="2" t="s">
        <v>18</v>
      </c>
      <c r="L260" s="2" t="n">
        <f aca="false">J260/_xlfn.XLOOKUP(Tabla2[[#This Row],[Unidad de precio]],Tabla3[Medida],Tabla3[Equivalencia en Kg],"ELVIS",0)</f>
        <v>2.24316578483245</v>
      </c>
      <c r="N260" s="3" t="n">
        <f aca="false">(Tabla2[[#This Row],[Productividad (kg/TAS)]]*Tabla2[[#This Row],[Precio por kg]]-Tabla2[[#This Row],[Costos (En RD$/Tarea)]])</f>
        <v>983.525273418925</v>
      </c>
      <c r="O260" s="9" t="n">
        <f aca="false">IF(Tabla2[[#This Row],[Costos (En RD$/Tarea)]]=0,0,Tabla2[[#This Row],[Beneficio Neto  (En RD$/Tarea)]]/Tabla2[[#This Row],[Costos (En RD$/Tarea)]])</f>
        <v>0</v>
      </c>
      <c r="P260" s="7" t="n">
        <f aca="false">Tabla2[[#This Row],[Rentabilidad (%)]]/12</f>
        <v>0</v>
      </c>
    </row>
    <row r="261" customFormat="false" ht="14.25" hidden="false" customHeight="false" outlineLevel="0" collapsed="false">
      <c r="A261" s="1" t="n">
        <v>37165</v>
      </c>
      <c r="B261" s="2" t="s">
        <v>26</v>
      </c>
      <c r="C261" s="3" t="n">
        <v>6893</v>
      </c>
      <c r="D261" s="8" t="s">
        <v>17</v>
      </c>
      <c r="E261" s="3" t="n">
        <f aca="false">IF(Tabla2[[#This Row],[Frecuencia]]="Annual", Tabla2[[#This Row],[Cosecha/Tarea]]/12,Tabla2[[#This Row],[Cosecha/Tarea]])</f>
        <v>6893</v>
      </c>
      <c r="F261" s="3" t="n">
        <v>37704</v>
      </c>
      <c r="G261" s="2" t="s">
        <v>18</v>
      </c>
      <c r="H261" s="2" t="n">
        <f aca="false">F261/Tabla2[[#This Row],[Cosecha Mensual]]</f>
        <v>5.46989699695343</v>
      </c>
      <c r="I261" s="2" t="n">
        <f aca="false">H261*_xlfn.XLOOKUP(Tabla2[[#This Row],[Unidad de producción]],Tabla3[Medida],Tabla3[Equivalencia en Kg],"ELVIS",0)</f>
        <v>248.114527781808</v>
      </c>
      <c r="J261" s="2" t="n">
        <v>215.2</v>
      </c>
      <c r="K261" s="2" t="s">
        <v>18</v>
      </c>
      <c r="L261" s="2" t="n">
        <f aca="false">J261/_xlfn.XLOOKUP(Tabla2[[#This Row],[Unidad de precio]],Tabla3[Medida],Tabla3[Equivalencia en Kg],"ELVIS",0)</f>
        <v>4.74426807760141</v>
      </c>
      <c r="N261" s="3" t="n">
        <f aca="false">(Tabla2[[#This Row],[Productividad (kg/TAS)]]*Tabla2[[#This Row],[Precio por kg]]-Tabla2[[#This Row],[Costos (En RD$/Tarea)]])</f>
        <v>1177.12183374438</v>
      </c>
      <c r="O261" s="9" t="n">
        <f aca="false">IF(Tabla2[[#This Row],[Costos (En RD$/Tarea)]]=0,0,Tabla2[[#This Row],[Beneficio Neto  (En RD$/Tarea)]]/Tabla2[[#This Row],[Costos (En RD$/Tarea)]])</f>
        <v>0</v>
      </c>
      <c r="P261" s="7" t="n">
        <f aca="false">Tabla2[[#This Row],[Rentabilidad (%)]]/12</f>
        <v>0</v>
      </c>
    </row>
    <row r="262" customFormat="false" ht="14.25" hidden="false" customHeight="false" outlineLevel="0" collapsed="false">
      <c r="A262" s="1" t="n">
        <v>37165</v>
      </c>
      <c r="B262" s="2" t="s">
        <v>27</v>
      </c>
      <c r="C262" s="3" t="n">
        <v>1818</v>
      </c>
      <c r="D262" s="8" t="s">
        <v>17</v>
      </c>
      <c r="E262" s="3" t="n">
        <f aca="false">IF(Tabla2[[#This Row],[Frecuencia]]="Annual", Tabla2[[#This Row],[Cosecha/Tarea]]/12,Tabla2[[#This Row],[Cosecha/Tarea]])</f>
        <v>1818</v>
      </c>
      <c r="F262" s="3" t="n">
        <v>14746</v>
      </c>
      <c r="G262" s="2" t="s">
        <v>18</v>
      </c>
      <c r="H262" s="2" t="n">
        <f aca="false">F262/Tabla2[[#This Row],[Cosecha Mensual]]</f>
        <v>8.11111111111111</v>
      </c>
      <c r="I262" s="2" t="n">
        <f aca="false">H262*_xlfn.XLOOKUP(Tabla2[[#This Row],[Unidad de producción]],Tabla3[Medida],Tabla3[Equivalencia en Kg],"ELVIS",0)</f>
        <v>367.92</v>
      </c>
      <c r="J262" s="2" t="n">
        <v>285.916666666667</v>
      </c>
      <c r="K262" s="2" t="s">
        <v>18</v>
      </c>
      <c r="L262" s="2" t="n">
        <f aca="false">J262/_xlfn.XLOOKUP(Tabla2[[#This Row],[Unidad de precio]],Tabla3[Medida],Tabla3[Equivalencia en Kg],"ELVIS",0)</f>
        <v>6.30327748383305</v>
      </c>
      <c r="N262" s="3" t="n">
        <f aca="false">(Tabla2[[#This Row],[Productividad (kg/TAS)]]*Tabla2[[#This Row],[Precio por kg]]-Tabla2[[#This Row],[Costos (En RD$/Tarea)]])</f>
        <v>2319.10185185185</v>
      </c>
      <c r="O262" s="9" t="n">
        <f aca="false">IF(Tabla2[[#This Row],[Costos (En RD$/Tarea)]]=0,0,Tabla2[[#This Row],[Beneficio Neto  (En RD$/Tarea)]]/Tabla2[[#This Row],[Costos (En RD$/Tarea)]])</f>
        <v>0</v>
      </c>
      <c r="P262" s="7" t="n">
        <f aca="false">Tabla2[[#This Row],[Rentabilidad (%)]]/12</f>
        <v>0</v>
      </c>
    </row>
    <row r="263" customFormat="false" ht="14.25" hidden="false" customHeight="false" outlineLevel="0" collapsed="false">
      <c r="A263" s="1" t="n">
        <v>37165</v>
      </c>
      <c r="B263" s="2" t="s">
        <v>28</v>
      </c>
      <c r="C263" s="3" t="n">
        <v>24847</v>
      </c>
      <c r="D263" s="8" t="s">
        <v>17</v>
      </c>
      <c r="E263" s="3" t="n">
        <f aca="false">IF(Tabla2[[#This Row],[Frecuencia]]="Annual", Tabla2[[#This Row],[Cosecha/Tarea]]/12,Tabla2[[#This Row],[Cosecha/Tarea]])</f>
        <v>24847</v>
      </c>
      <c r="F263" s="3" t="n">
        <v>38878</v>
      </c>
      <c r="G263" s="2" t="s">
        <v>18</v>
      </c>
      <c r="H263" s="2" t="n">
        <f aca="false">F263/Tabla2[[#This Row],[Cosecha Mensual]]</f>
        <v>1.56469593914758</v>
      </c>
      <c r="I263" s="2" t="n">
        <f aca="false">H263*_xlfn.XLOOKUP(Tabla2[[#This Row],[Unidad de producción]],Tabla3[Medida],Tabla3[Equivalencia en Kg],"ELVIS",0)</f>
        <v>70.9746077997344</v>
      </c>
      <c r="J263" s="2" t="n">
        <v>1432.94833333333</v>
      </c>
      <c r="K263" s="2" t="s">
        <v>29</v>
      </c>
      <c r="L263" s="2" t="n">
        <f aca="false">J263/_xlfn.XLOOKUP(Tabla2[[#This Row],[Unidad de precio]],Tabla3[Medida],Tabla3[Equivalencia en Kg],"ELVIS",0)</f>
        <v>2.54818852177211</v>
      </c>
      <c r="N263" s="3" t="n">
        <f aca="false">(Tabla2[[#This Row],[Productividad (kg/TAS)]]*Tabla2[[#This Row],[Precio por kg]]-Tabla2[[#This Row],[Costos (En RD$/Tarea)]])</f>
        <v>180.856680932561</v>
      </c>
      <c r="O263" s="9" t="n">
        <f aca="false">IF(Tabla2[[#This Row],[Costos (En RD$/Tarea)]]=0,0,Tabla2[[#This Row],[Beneficio Neto  (En RD$/Tarea)]]/Tabla2[[#This Row],[Costos (En RD$/Tarea)]])</f>
        <v>0</v>
      </c>
      <c r="P263" s="7" t="n">
        <f aca="false">Tabla2[[#This Row],[Rentabilidad (%)]]/12</f>
        <v>0</v>
      </c>
    </row>
    <row r="264" customFormat="false" ht="14.25" hidden="false" customHeight="false" outlineLevel="0" collapsed="false">
      <c r="A264" s="1" t="n">
        <v>37165</v>
      </c>
      <c r="B264" s="2" t="s">
        <v>30</v>
      </c>
      <c r="C264" s="3" t="n">
        <v>235103</v>
      </c>
      <c r="D264" s="3" t="s">
        <v>31</v>
      </c>
      <c r="E264" s="3" t="n">
        <f aca="false">IF(Tabla2[[#This Row],[Frecuencia]]="Annual", Tabla2[[#This Row],[Cosecha/Tarea]]/12,Tabla2[[#This Row],[Cosecha/Tarea]])</f>
        <v>19591.9166666667</v>
      </c>
      <c r="F264" s="3" t="n">
        <v>1363225</v>
      </c>
      <c r="G264" s="2" t="s">
        <v>32</v>
      </c>
      <c r="H264" s="2" t="n">
        <f aca="false">F264/Tabla2[[#This Row],[Cosecha Mensual]]</f>
        <v>69.5809921608827</v>
      </c>
      <c r="I264" s="2" t="n">
        <f aca="false">H264*_xlfn.XLOOKUP(Tabla2[[#This Row],[Unidad de producción]],Tabla3[Medida],Tabla3[Equivalencia en Kg],"ELVIS",0)</f>
        <v>1893.29879669762</v>
      </c>
      <c r="J264" s="2" t="n">
        <v>28.5683333333333</v>
      </c>
      <c r="K264" s="2" t="s">
        <v>32</v>
      </c>
      <c r="L264" s="2" t="n">
        <f aca="false">J264/_xlfn.XLOOKUP(Tabla2[[#This Row],[Unidad de precio]],Tabla3[Medida],Tabla3[Equivalencia en Kg],"ELVIS",0)</f>
        <v>1.0499203724121</v>
      </c>
      <c r="M264" s="3"/>
      <c r="N264" s="3" t="n">
        <f aca="false">(Tabla2[[#This Row],[Productividad (kg/TAS)]]*Tabla2[[#This Row],[Precio por kg]]-Tabla2[[#This Row],[Costos (En RD$/Tarea)]])</f>
        <v>1987.81297771615</v>
      </c>
      <c r="O264" s="9" t="n">
        <f aca="false">IF(Tabla2[[#This Row],[Costos (En RD$/Tarea)]]=0,0,Tabla2[[#This Row],[Beneficio Neto  (En RD$/Tarea)]]/Tabla2[[#This Row],[Costos (En RD$/Tarea)]])</f>
        <v>0</v>
      </c>
      <c r="P264" s="7" t="n">
        <f aca="false">Tabla2[[#This Row],[Rentabilidad (%)]]/12</f>
        <v>0</v>
      </c>
    </row>
    <row r="265" customFormat="false" ht="14.25" hidden="false" customHeight="false" outlineLevel="0" collapsed="false">
      <c r="A265" s="1" t="n">
        <v>37165</v>
      </c>
      <c r="B265" s="2" t="s">
        <v>33</v>
      </c>
      <c r="C265" s="3" t="n">
        <v>644442</v>
      </c>
      <c r="D265" s="3" t="s">
        <v>31</v>
      </c>
      <c r="E265" s="3" t="n">
        <f aca="false">IF(Tabla2[[#This Row],[Frecuencia]]="Annual", Tabla2[[#This Row],[Cosecha/Tarea]]/12,Tabla2[[#This Row],[Cosecha/Tarea]])</f>
        <v>53703.5</v>
      </c>
      <c r="F265" s="3" t="n">
        <v>90731</v>
      </c>
      <c r="G265" s="2" t="s">
        <v>34</v>
      </c>
      <c r="H265" s="2" t="n">
        <f aca="false">F265/Tabla2[[#This Row],[Cosecha Mensual]]</f>
        <v>1.68948020147663</v>
      </c>
      <c r="I265" s="2" t="n">
        <f aca="false">H265*_xlfn.XLOOKUP(Tabla2[[#This Row],[Unidad de producción]],Tabla3[Medida],Tabla3[Equivalencia en Kg],"ELVIS",0)</f>
        <v>689.561344232685</v>
      </c>
      <c r="J265" s="2" t="n">
        <v>1247.22714285714</v>
      </c>
      <c r="K265" s="2" t="s">
        <v>34</v>
      </c>
      <c r="L265" s="2" t="n">
        <f aca="false">J265/_xlfn.XLOOKUP(Tabla2[[#This Row],[Unidad de precio]],Tabla3[Medida],Tabla3[Equivalencia en Kg],"ELVIS",0)</f>
        <v>3.05580581368894</v>
      </c>
      <c r="M265" s="3"/>
      <c r="N265" s="3" t="n">
        <f aca="false">(Tabla2[[#This Row],[Productividad (kg/TAS)]]*Tabla2[[#This Row],[Precio por kg]]-Tabla2[[#This Row],[Costos (En RD$/Tarea)]])</f>
        <v>2107.1655646014</v>
      </c>
      <c r="O265" s="9" t="n">
        <f aca="false">IF(Tabla2[[#This Row],[Costos (En RD$/Tarea)]]=0,0,Tabla2[[#This Row],[Beneficio Neto  (En RD$/Tarea)]]/Tabla2[[#This Row],[Costos (En RD$/Tarea)]])</f>
        <v>0</v>
      </c>
      <c r="P265" s="7" t="n">
        <f aca="false">Tabla2[[#This Row],[Rentabilidad (%)]]/12</f>
        <v>0</v>
      </c>
    </row>
    <row r="266" customFormat="false" ht="14.25" hidden="false" customHeight="false" outlineLevel="0" collapsed="false">
      <c r="A266" s="1" t="n">
        <v>37196</v>
      </c>
      <c r="B266" s="2" t="s">
        <v>16</v>
      </c>
      <c r="C266" s="3" t="n">
        <v>309597</v>
      </c>
      <c r="D266" s="8" t="s">
        <v>17</v>
      </c>
      <c r="E266" s="3" t="n">
        <f aca="false">IF(Tabla2[[#This Row],[Frecuencia]]="Annual", Tabla2[[#This Row],[Cosecha/Tarea]]/12,Tabla2[[#This Row],[Cosecha/Tarea]])</f>
        <v>309597</v>
      </c>
      <c r="F266" s="3" t="n">
        <v>1183247</v>
      </c>
      <c r="G266" s="2" t="s">
        <v>18</v>
      </c>
      <c r="H266" s="2" t="n">
        <f aca="false">F266/Tabla2[[#This Row],[Cosecha Mensual]]</f>
        <v>3.82189426900131</v>
      </c>
      <c r="I266" s="2" t="n">
        <f aca="false">H266*_xlfn.XLOOKUP(Tabla2[[#This Row],[Unidad de producción]],Tabla3[Medida],Tabla3[Equivalencia en Kg],"ELVIS",0)</f>
        <v>173.3611240419</v>
      </c>
      <c r="J266" s="2" t="n">
        <v>848.488448844884</v>
      </c>
      <c r="K266" s="2" t="s">
        <v>19</v>
      </c>
      <c r="L266" s="2" t="n">
        <f aca="false">J266/_xlfn.XLOOKUP(Tabla2[[#This Row],[Unidad de precio]],Tabla3[Medida],Tabla3[Equivalencia en Kg],"ELVIS",0)</f>
        <v>7.71353135313531</v>
      </c>
      <c r="N266" s="3" t="n">
        <f aca="false">(Tabla2[[#This Row],[Productividad (kg/TAS)]]*Tabla2[[#This Row],[Precio por kg]]-Tabla2[[#This Row],[Costos (En RD$/Tarea)]])</f>
        <v>1337.22646571197</v>
      </c>
      <c r="O266" s="9" t="n">
        <f aca="false">IF(Tabla2[[#This Row],[Costos (En RD$/Tarea)]]=0,0,Tabla2[[#This Row],[Beneficio Neto  (En RD$/Tarea)]]/Tabla2[[#This Row],[Costos (En RD$/Tarea)]])</f>
        <v>0</v>
      </c>
      <c r="P266" s="7" t="n">
        <f aca="false">Tabla2[[#This Row],[Rentabilidad (%)]]/12</f>
        <v>0</v>
      </c>
    </row>
    <row r="267" customFormat="false" ht="14.25" hidden="false" customHeight="false" outlineLevel="0" collapsed="false">
      <c r="A267" s="1" t="n">
        <v>37196</v>
      </c>
      <c r="B267" s="2" t="s">
        <v>20</v>
      </c>
      <c r="C267" s="3" t="n">
        <v>25543</v>
      </c>
      <c r="D267" s="8" t="s">
        <v>17</v>
      </c>
      <c r="E267" s="3" t="n">
        <f aca="false">IF(Tabla2[[#This Row],[Frecuencia]]="Annual", Tabla2[[#This Row],[Cosecha/Tarea]]/12,Tabla2[[#This Row],[Cosecha/Tarea]])</f>
        <v>25543</v>
      </c>
      <c r="F267" s="3" t="n">
        <v>41579</v>
      </c>
      <c r="G267" s="2" t="s">
        <v>18</v>
      </c>
      <c r="H267" s="2" t="n">
        <f aca="false">F267/Tabla2[[#This Row],[Cosecha Mensual]]</f>
        <v>1.6278040950554</v>
      </c>
      <c r="I267" s="2" t="n">
        <f aca="false">H267*_xlfn.XLOOKUP(Tabla2[[#This Row],[Unidad de producción]],Tabla3[Medida],Tabla3[Equivalencia en Kg],"ELVIS",0)</f>
        <v>73.8371937517128</v>
      </c>
      <c r="J267" s="2" t="n">
        <v>119.339733333333</v>
      </c>
      <c r="K267" s="2" t="s">
        <v>18</v>
      </c>
      <c r="L267" s="2" t="n">
        <f aca="false">J267/_xlfn.XLOOKUP(Tabla2[[#This Row],[Unidad de precio]],Tabla3[Medida],Tabla3[Equivalencia en Kg],"ELVIS",0)</f>
        <v>2.63094650205761</v>
      </c>
      <c r="N267" s="3" t="n">
        <f aca="false">(Tabla2[[#This Row],[Productividad (kg/TAS)]]*Tabla2[[#This Row],[Precio por kg]]-Tabla2[[#This Row],[Costos (En RD$/Tarea)]])</f>
        <v>194.261706622818</v>
      </c>
      <c r="O267" s="9" t="n">
        <f aca="false">IF(Tabla2[[#This Row],[Costos (En RD$/Tarea)]]=0,0,Tabla2[[#This Row],[Beneficio Neto  (En RD$/Tarea)]]/Tabla2[[#This Row],[Costos (En RD$/Tarea)]])</f>
        <v>0</v>
      </c>
      <c r="P267" s="7" t="n">
        <f aca="false">Tabla2[[#This Row],[Rentabilidad (%)]]/12</f>
        <v>0</v>
      </c>
    </row>
    <row r="268" customFormat="false" ht="14.25" hidden="false" customHeight="false" outlineLevel="0" collapsed="false">
      <c r="A268" s="1" t="n">
        <v>37196</v>
      </c>
      <c r="B268" s="2" t="s">
        <v>21</v>
      </c>
      <c r="C268" s="3" t="n">
        <v>6770</v>
      </c>
      <c r="D268" s="8" t="s">
        <v>17</v>
      </c>
      <c r="E268" s="3" t="n">
        <f aca="false">IF(Tabla2[[#This Row],[Frecuencia]]="Annual", Tabla2[[#This Row],[Cosecha/Tarea]]/12,Tabla2[[#This Row],[Cosecha/Tarea]])</f>
        <v>6770</v>
      </c>
      <c r="F268" s="3" t="n">
        <v>47835</v>
      </c>
      <c r="G268" s="2" t="s">
        <v>18</v>
      </c>
      <c r="H268" s="2" t="n">
        <f aca="false">F268/Tabla2[[#This Row],[Cosecha Mensual]]</f>
        <v>7.06573116691285</v>
      </c>
      <c r="I268" s="2" t="n">
        <f aca="false">H268*_xlfn.XLOOKUP(Tabla2[[#This Row],[Unidad de producción]],Tabla3[Medida],Tabla3[Equivalencia en Kg],"ELVIS",0)</f>
        <v>320.501565731167</v>
      </c>
      <c r="J268" s="2" t="n">
        <v>156.18</v>
      </c>
      <c r="K268" s="2" t="s">
        <v>18</v>
      </c>
      <c r="L268" s="2" t="n">
        <f aca="false">J268/_xlfn.XLOOKUP(Tabla2[[#This Row],[Unidad de precio]],Tabla3[Medida],Tabla3[Equivalencia en Kg],"ELVIS",0)</f>
        <v>3.44312169312169</v>
      </c>
      <c r="N268" s="3" t="n">
        <f aca="false">(Tabla2[[#This Row],[Productividad (kg/TAS)]]*Tabla2[[#This Row],[Precio por kg]]-Tabla2[[#This Row],[Costos (En RD$/Tarea)]])</f>
        <v>1103.52589364845</v>
      </c>
      <c r="O268" s="9" t="n">
        <f aca="false">IF(Tabla2[[#This Row],[Costos (En RD$/Tarea)]]=0,0,Tabla2[[#This Row],[Beneficio Neto  (En RD$/Tarea)]]/Tabla2[[#This Row],[Costos (En RD$/Tarea)]])</f>
        <v>0</v>
      </c>
      <c r="P268" s="7" t="n">
        <f aca="false">Tabla2[[#This Row],[Rentabilidad (%)]]/12</f>
        <v>0</v>
      </c>
    </row>
    <row r="269" customFormat="false" ht="14.25" hidden="false" customHeight="false" outlineLevel="0" collapsed="false">
      <c r="A269" s="1" t="n">
        <v>37196</v>
      </c>
      <c r="B269" s="2" t="s">
        <v>22</v>
      </c>
      <c r="C269" s="3" t="n">
        <v>3949</v>
      </c>
      <c r="D269" s="8" t="s">
        <v>17</v>
      </c>
      <c r="E269" s="3" t="n">
        <f aca="false">IF(Tabla2[[#This Row],[Frecuencia]]="Annual", Tabla2[[#This Row],[Cosecha/Tarea]]/12,Tabla2[[#This Row],[Cosecha/Tarea]])</f>
        <v>3949</v>
      </c>
      <c r="F269" s="3" t="n">
        <v>36257</v>
      </c>
      <c r="G269" s="2" t="s">
        <v>18</v>
      </c>
      <c r="H269" s="2" t="n">
        <f aca="false">F269/Tabla2[[#This Row],[Cosecha Mensual]]</f>
        <v>9.18131172448721</v>
      </c>
      <c r="I269" s="2" t="n">
        <f aca="false">H269*_xlfn.XLOOKUP(Tabla2[[#This Row],[Unidad de producción]],Tabla3[Medida],Tabla3[Equivalencia en Kg],"ELVIS",0)</f>
        <v>416.46429982274</v>
      </c>
      <c r="J269" s="2" t="n">
        <v>184.03</v>
      </c>
      <c r="K269" s="2" t="s">
        <v>18</v>
      </c>
      <c r="L269" s="2" t="n">
        <f aca="false">J269/_xlfn.XLOOKUP(Tabla2[[#This Row],[Unidad de precio]],Tabla3[Medida],Tabla3[Equivalencia en Kg],"ELVIS",0)</f>
        <v>4.0570987654321</v>
      </c>
      <c r="N269" s="3" t="n">
        <f aca="false">(Tabla2[[#This Row],[Productividad (kg/TAS)]]*Tabla2[[#This Row],[Precio por kg]]-Tabla2[[#This Row],[Costos (En RD$/Tarea)]])</f>
        <v>1689.63679665738</v>
      </c>
      <c r="O269" s="9" t="n">
        <f aca="false">IF(Tabla2[[#This Row],[Costos (En RD$/Tarea)]]=0,0,Tabla2[[#This Row],[Beneficio Neto  (En RD$/Tarea)]]/Tabla2[[#This Row],[Costos (En RD$/Tarea)]])</f>
        <v>0</v>
      </c>
      <c r="P269" s="7" t="n">
        <f aca="false">Tabla2[[#This Row],[Rentabilidad (%)]]/12</f>
        <v>0</v>
      </c>
    </row>
    <row r="270" customFormat="false" ht="14.25" hidden="false" customHeight="false" outlineLevel="0" collapsed="false">
      <c r="A270" s="1" t="n">
        <v>37196</v>
      </c>
      <c r="B270" s="2" t="s">
        <v>23</v>
      </c>
      <c r="C270" s="3" t="n">
        <v>4067</v>
      </c>
      <c r="D270" s="8" t="s">
        <v>17</v>
      </c>
      <c r="E270" s="3" t="n">
        <f aca="false">IF(Tabla2[[#This Row],[Frecuencia]]="Annual", Tabla2[[#This Row],[Cosecha/Tarea]]/12,Tabla2[[#This Row],[Cosecha/Tarea]])</f>
        <v>4067</v>
      </c>
      <c r="F270" s="3" t="n">
        <v>110684</v>
      </c>
      <c r="G270" s="2" t="s">
        <v>18</v>
      </c>
      <c r="H270" s="2" t="n">
        <f aca="false">F270/Tabla2[[#This Row],[Cosecha Mensual]]</f>
        <v>27.2151462994837</v>
      </c>
      <c r="I270" s="2" t="n">
        <f aca="false">H270*_xlfn.XLOOKUP(Tabla2[[#This Row],[Unidad de producción]],Tabla3[Medida],Tabla3[Equivalencia en Kg],"ELVIS",0)</f>
        <v>1234.47903614458</v>
      </c>
      <c r="J270" s="2" t="n">
        <v>287.625</v>
      </c>
      <c r="K270" s="2" t="s">
        <v>18</v>
      </c>
      <c r="L270" s="2" t="n">
        <f aca="false">J270/_xlfn.XLOOKUP(Tabla2[[#This Row],[Unidad de precio]],Tabla3[Medida],Tabla3[Equivalencia en Kg],"ELVIS",0)</f>
        <v>6.34093915343915</v>
      </c>
      <c r="N270" s="3" t="n">
        <f aca="false">(Tabla2[[#This Row],[Productividad (kg/TAS)]]*Tabla2[[#This Row],[Precio por kg]]-Tabla2[[#This Row],[Costos (En RD$/Tarea)]])</f>
        <v>7827.75645438898</v>
      </c>
      <c r="O270" s="9" t="n">
        <f aca="false">IF(Tabla2[[#This Row],[Costos (En RD$/Tarea)]]=0,0,Tabla2[[#This Row],[Beneficio Neto  (En RD$/Tarea)]]/Tabla2[[#This Row],[Costos (En RD$/Tarea)]])</f>
        <v>0</v>
      </c>
      <c r="P270" s="7" t="n">
        <f aca="false">Tabla2[[#This Row],[Rentabilidad (%)]]/12</f>
        <v>0</v>
      </c>
    </row>
    <row r="271" customFormat="false" ht="14.25" hidden="false" customHeight="false" outlineLevel="0" collapsed="false">
      <c r="A271" s="1" t="n">
        <v>37196</v>
      </c>
      <c r="B271" s="2" t="s">
        <v>24</v>
      </c>
      <c r="C271" s="3" t="n">
        <v>7642</v>
      </c>
      <c r="D271" s="8" t="s">
        <v>17</v>
      </c>
      <c r="E271" s="3" t="n">
        <f aca="false">IF(Tabla2[[#This Row],[Frecuencia]]="Annual", Tabla2[[#This Row],[Cosecha/Tarea]]/12,Tabla2[[#This Row],[Cosecha/Tarea]])</f>
        <v>7642</v>
      </c>
      <c r="F271" s="3" t="n">
        <v>73244</v>
      </c>
      <c r="G271" s="2" t="s">
        <v>18</v>
      </c>
      <c r="H271" s="2" t="n">
        <f aca="false">F271/Tabla2[[#This Row],[Cosecha Mensual]]</f>
        <v>9.58440198900811</v>
      </c>
      <c r="I271" s="2" t="n">
        <f aca="false">H271*_xlfn.XLOOKUP(Tabla2[[#This Row],[Unidad de producción]],Tabla3[Medida],Tabla3[Equivalencia en Kg],"ELVIS",0)</f>
        <v>434.748474221408</v>
      </c>
      <c r="J271" s="2" t="n">
        <v>488.933333333333</v>
      </c>
      <c r="K271" s="2" t="s">
        <v>18</v>
      </c>
      <c r="L271" s="2" t="n">
        <f aca="false">J271/_xlfn.XLOOKUP(Tabla2[[#This Row],[Unidad de precio]],Tabla3[Medida],Tabla3[Equivalencia en Kg],"ELVIS",0)</f>
        <v>10.7789535567313</v>
      </c>
      <c r="N271" s="3" t="n">
        <f aca="false">(Tabla2[[#This Row],[Productividad (kg/TAS)]]*Tabla2[[#This Row],[Precio por kg]]-Tabla2[[#This Row],[Costos (En RD$/Tarea)]])</f>
        <v>4686.13361249236</v>
      </c>
      <c r="O271" s="9" t="n">
        <f aca="false">IF(Tabla2[[#This Row],[Costos (En RD$/Tarea)]]=0,0,Tabla2[[#This Row],[Beneficio Neto  (En RD$/Tarea)]]/Tabla2[[#This Row],[Costos (En RD$/Tarea)]])</f>
        <v>0</v>
      </c>
      <c r="P271" s="7" t="n">
        <f aca="false">Tabla2[[#This Row],[Rentabilidad (%)]]/12</f>
        <v>0</v>
      </c>
    </row>
    <row r="272" customFormat="false" ht="14.25" hidden="false" customHeight="false" outlineLevel="0" collapsed="false">
      <c r="A272" s="1" t="n">
        <v>37196</v>
      </c>
      <c r="B272" s="2" t="s">
        <v>25</v>
      </c>
      <c r="C272" s="3" t="n">
        <v>22133</v>
      </c>
      <c r="D272" s="8" t="s">
        <v>17</v>
      </c>
      <c r="E272" s="3" t="n">
        <f aca="false">IF(Tabla2[[#This Row],[Frecuencia]]="Annual", Tabla2[[#This Row],[Cosecha/Tarea]]/12,Tabla2[[#This Row],[Cosecha/Tarea]])</f>
        <v>22133</v>
      </c>
      <c r="F272" s="3" t="n">
        <v>206884</v>
      </c>
      <c r="G272" s="2" t="s">
        <v>18</v>
      </c>
      <c r="H272" s="2" t="n">
        <f aca="false">F272/Tabla2[[#This Row],[Cosecha Mensual]]</f>
        <v>9.34730944743144</v>
      </c>
      <c r="I272" s="2" t="n">
        <f aca="false">H272*_xlfn.XLOOKUP(Tabla2[[#This Row],[Unidad de producción]],Tabla3[Medida],Tabla3[Equivalencia en Kg],"ELVIS",0)</f>
        <v>423.99395653549</v>
      </c>
      <c r="J272" s="2" t="n">
        <v>95.6764285714286</v>
      </c>
      <c r="K272" s="2" t="s">
        <v>18</v>
      </c>
      <c r="L272" s="2" t="n">
        <f aca="false">J272/_xlfn.XLOOKUP(Tabla2[[#This Row],[Unidad de precio]],Tabla3[Medida],Tabla3[Equivalencia en Kg],"ELVIS",0)</f>
        <v>2.10926870748299</v>
      </c>
      <c r="N272" s="3" t="n">
        <f aca="false">(Tabla2[[#This Row],[Productividad (kg/TAS)]]*Tabla2[[#This Row],[Precio por kg]]-Tabla2[[#This Row],[Costos (En RD$/Tarea)]])</f>
        <v>894.317184682214</v>
      </c>
      <c r="O272" s="9" t="n">
        <f aca="false">IF(Tabla2[[#This Row],[Costos (En RD$/Tarea)]]=0,0,Tabla2[[#This Row],[Beneficio Neto  (En RD$/Tarea)]]/Tabla2[[#This Row],[Costos (En RD$/Tarea)]])</f>
        <v>0</v>
      </c>
      <c r="P272" s="7" t="n">
        <f aca="false">Tabla2[[#This Row],[Rentabilidad (%)]]/12</f>
        <v>0</v>
      </c>
    </row>
    <row r="273" customFormat="false" ht="14.25" hidden="false" customHeight="false" outlineLevel="0" collapsed="false">
      <c r="A273" s="1" t="n">
        <v>37196</v>
      </c>
      <c r="B273" s="2" t="s">
        <v>26</v>
      </c>
      <c r="C273" s="3" t="n">
        <v>8148</v>
      </c>
      <c r="D273" s="8" t="s">
        <v>17</v>
      </c>
      <c r="E273" s="3" t="n">
        <f aca="false">IF(Tabla2[[#This Row],[Frecuencia]]="Annual", Tabla2[[#This Row],[Cosecha/Tarea]]/12,Tabla2[[#This Row],[Cosecha/Tarea]])</f>
        <v>8148</v>
      </c>
      <c r="F273" s="3" t="n">
        <v>41100</v>
      </c>
      <c r="G273" s="2" t="s">
        <v>18</v>
      </c>
      <c r="H273" s="2" t="n">
        <f aca="false">F273/Tabla2[[#This Row],[Cosecha Mensual]]</f>
        <v>5.04418262150221</v>
      </c>
      <c r="I273" s="2" t="n">
        <f aca="false">H273*_xlfn.XLOOKUP(Tabla2[[#This Row],[Unidad de producción]],Tabla3[Medida],Tabla3[Equivalencia en Kg],"ELVIS",0)</f>
        <v>228.80412371134</v>
      </c>
      <c r="J273" s="2" t="n">
        <v>229.256</v>
      </c>
      <c r="K273" s="2" t="s">
        <v>18</v>
      </c>
      <c r="L273" s="2" t="n">
        <f aca="false">J273/_xlfn.XLOOKUP(Tabla2[[#This Row],[Unidad de precio]],Tabla3[Medida],Tabla3[Equivalencia en Kg],"ELVIS",0)</f>
        <v>5.05414462081129</v>
      </c>
      <c r="N273" s="3" t="n">
        <f aca="false">(Tabla2[[#This Row],[Productividad (kg/TAS)]]*Tabla2[[#This Row],[Precio por kg]]-Tabla2[[#This Row],[Costos (En RD$/Tarea)]])</f>
        <v>1156.40913107511</v>
      </c>
      <c r="O273" s="9" t="n">
        <f aca="false">IF(Tabla2[[#This Row],[Costos (En RD$/Tarea)]]=0,0,Tabla2[[#This Row],[Beneficio Neto  (En RD$/Tarea)]]/Tabla2[[#This Row],[Costos (En RD$/Tarea)]])</f>
        <v>0</v>
      </c>
      <c r="P273" s="7" t="n">
        <f aca="false">Tabla2[[#This Row],[Rentabilidad (%)]]/12</f>
        <v>0</v>
      </c>
    </row>
    <row r="274" customFormat="false" ht="14.25" hidden="false" customHeight="false" outlineLevel="0" collapsed="false">
      <c r="A274" s="1" t="n">
        <v>37196</v>
      </c>
      <c r="B274" s="2" t="s">
        <v>27</v>
      </c>
      <c r="C274" s="3" t="n">
        <v>1619</v>
      </c>
      <c r="D274" s="8" t="s">
        <v>17</v>
      </c>
      <c r="E274" s="3" t="n">
        <f aca="false">IF(Tabla2[[#This Row],[Frecuencia]]="Annual", Tabla2[[#This Row],[Cosecha/Tarea]]/12,Tabla2[[#This Row],[Cosecha/Tarea]])</f>
        <v>1619</v>
      </c>
      <c r="F274" s="3" t="n">
        <v>13249</v>
      </c>
      <c r="G274" s="2" t="s">
        <v>18</v>
      </c>
      <c r="H274" s="2" t="n">
        <f aca="false">F274/Tabla2[[#This Row],[Cosecha Mensual]]</f>
        <v>8.183446571958</v>
      </c>
      <c r="I274" s="2" t="n">
        <f aca="false">H274*_xlfn.XLOOKUP(Tabla2[[#This Row],[Unidad de producción]],Tabla3[Medida],Tabla3[Equivalencia en Kg],"ELVIS",0)</f>
        <v>371.201136504015</v>
      </c>
      <c r="J274" s="2" t="n">
        <v>278.9375</v>
      </c>
      <c r="K274" s="2" t="s">
        <v>18</v>
      </c>
      <c r="L274" s="2" t="n">
        <f aca="false">J274/_xlfn.XLOOKUP(Tabla2[[#This Row],[Unidad de precio]],Tabla3[Medida],Tabla3[Equivalencia en Kg],"ELVIS",0)</f>
        <v>6.14941578483245</v>
      </c>
      <c r="N274" s="3" t="n">
        <f aca="false">(Tabla2[[#This Row],[Productividad (kg/TAS)]]*Tabla2[[#This Row],[Precio por kg]]-Tabla2[[#This Row],[Costos (En RD$/Tarea)]])</f>
        <v>2282.67012816553</v>
      </c>
      <c r="O274" s="9" t="n">
        <f aca="false">IF(Tabla2[[#This Row],[Costos (En RD$/Tarea)]]=0,0,Tabla2[[#This Row],[Beneficio Neto  (En RD$/Tarea)]]/Tabla2[[#This Row],[Costos (En RD$/Tarea)]])</f>
        <v>0</v>
      </c>
      <c r="P274" s="7" t="n">
        <f aca="false">Tabla2[[#This Row],[Rentabilidad (%)]]/12</f>
        <v>0</v>
      </c>
    </row>
    <row r="275" customFormat="false" ht="14.25" hidden="false" customHeight="false" outlineLevel="0" collapsed="false">
      <c r="A275" s="1" t="n">
        <v>37196</v>
      </c>
      <c r="B275" s="2" t="s">
        <v>28</v>
      </c>
      <c r="C275" s="3" t="n">
        <v>20940</v>
      </c>
      <c r="D275" s="8" t="s">
        <v>17</v>
      </c>
      <c r="E275" s="3" t="n">
        <f aca="false">IF(Tabla2[[#This Row],[Frecuencia]]="Annual", Tabla2[[#This Row],[Cosecha/Tarea]]/12,Tabla2[[#This Row],[Cosecha/Tarea]])</f>
        <v>20940</v>
      </c>
      <c r="F275" s="3" t="n">
        <v>37522</v>
      </c>
      <c r="G275" s="2" t="s">
        <v>18</v>
      </c>
      <c r="H275" s="2" t="n">
        <f aca="false">F275/Tabla2[[#This Row],[Cosecha Mensual]]</f>
        <v>1.79188156638013</v>
      </c>
      <c r="I275" s="2" t="n">
        <f aca="false">H275*_xlfn.XLOOKUP(Tabla2[[#This Row],[Unidad de producción]],Tabla3[Medida],Tabla3[Equivalencia en Kg],"ELVIS",0)</f>
        <v>81.2797478510029</v>
      </c>
      <c r="J275" s="2" t="n">
        <v>1155.40666666667</v>
      </c>
      <c r="K275" s="2" t="s">
        <v>29</v>
      </c>
      <c r="L275" s="2" t="n">
        <f aca="false">J275/_xlfn.XLOOKUP(Tabla2[[#This Row],[Unidad de precio]],Tabla3[Medida],Tabla3[Equivalencia en Kg],"ELVIS",0)</f>
        <v>2.05464072743655</v>
      </c>
      <c r="N275" s="3" t="n">
        <f aca="false">(Tabla2[[#This Row],[Productividad (kg/TAS)]]*Tabla2[[#This Row],[Precio por kg]]-Tabla2[[#This Row],[Costos (En RD$/Tarea)]])</f>
        <v>167.000680250444</v>
      </c>
      <c r="O275" s="9" t="n">
        <f aca="false">IF(Tabla2[[#This Row],[Costos (En RD$/Tarea)]]=0,0,Tabla2[[#This Row],[Beneficio Neto  (En RD$/Tarea)]]/Tabla2[[#This Row],[Costos (En RD$/Tarea)]])</f>
        <v>0</v>
      </c>
      <c r="P275" s="7" t="n">
        <f aca="false">Tabla2[[#This Row],[Rentabilidad (%)]]/12</f>
        <v>0</v>
      </c>
    </row>
    <row r="276" customFormat="false" ht="14.25" hidden="false" customHeight="false" outlineLevel="0" collapsed="false">
      <c r="A276" s="1" t="n">
        <v>37196</v>
      </c>
      <c r="B276" s="2" t="s">
        <v>30</v>
      </c>
      <c r="C276" s="3" t="n">
        <v>250820</v>
      </c>
      <c r="D276" s="3" t="s">
        <v>31</v>
      </c>
      <c r="E276" s="3" t="n">
        <f aca="false">IF(Tabla2[[#This Row],[Frecuencia]]="Annual", Tabla2[[#This Row],[Cosecha/Tarea]]/12,Tabla2[[#This Row],[Cosecha/Tarea]])</f>
        <v>20901.6666666667</v>
      </c>
      <c r="F276" s="3" t="n">
        <v>1363231</v>
      </c>
      <c r="G276" s="2" t="s">
        <v>32</v>
      </c>
      <c r="H276" s="2" t="n">
        <f aca="false">F276/Tabla2[[#This Row],[Cosecha Mensual]]</f>
        <v>65.2211625867156</v>
      </c>
      <c r="I276" s="2" t="n">
        <f aca="false">H276*_xlfn.XLOOKUP(Tabla2[[#This Row],[Unidad de producción]],Tabla3[Medida],Tabla3[Equivalencia en Kg],"ELVIS",0)</f>
        <v>1774.66783398453</v>
      </c>
      <c r="J276" s="2" t="n">
        <v>25.2083333333333</v>
      </c>
      <c r="K276" s="2" t="s">
        <v>32</v>
      </c>
      <c r="L276" s="2" t="n">
        <f aca="false">J276/_xlfn.XLOOKUP(Tabla2[[#This Row],[Unidad de precio]],Tabla3[Medida],Tabla3[Equivalencia en Kg],"ELVIS",0)</f>
        <v>0.926436359181672</v>
      </c>
      <c r="M276" s="3"/>
      <c r="N276" s="3" t="n">
        <f aca="false">(Tabla2[[#This Row],[Productividad (kg/TAS)]]*Tabla2[[#This Row],[Precio por kg]]-Tabla2[[#This Row],[Costos (En RD$/Tarea)]])</f>
        <v>1644.11680687345</v>
      </c>
      <c r="O276" s="9" t="n">
        <f aca="false">IF(Tabla2[[#This Row],[Costos (En RD$/Tarea)]]=0,0,Tabla2[[#This Row],[Beneficio Neto  (En RD$/Tarea)]]/Tabla2[[#This Row],[Costos (En RD$/Tarea)]])</f>
        <v>0</v>
      </c>
      <c r="P276" s="7" t="n">
        <f aca="false">Tabla2[[#This Row],[Rentabilidad (%)]]/12</f>
        <v>0</v>
      </c>
    </row>
    <row r="277" customFormat="false" ht="14.25" hidden="false" customHeight="false" outlineLevel="0" collapsed="false">
      <c r="A277" s="1" t="n">
        <v>37196</v>
      </c>
      <c r="B277" s="2" t="s">
        <v>33</v>
      </c>
      <c r="C277" s="3" t="n">
        <v>657917</v>
      </c>
      <c r="D277" s="3" t="s">
        <v>31</v>
      </c>
      <c r="E277" s="3" t="n">
        <f aca="false">IF(Tabla2[[#This Row],[Frecuencia]]="Annual", Tabla2[[#This Row],[Cosecha/Tarea]]/12,Tabla2[[#This Row],[Cosecha/Tarea]])</f>
        <v>54826.4166666667</v>
      </c>
      <c r="F277" s="3" t="n">
        <v>89153</v>
      </c>
      <c r="G277" s="2" t="s">
        <v>34</v>
      </c>
      <c r="H277" s="2" t="n">
        <f aca="false">F277/Tabla2[[#This Row],[Cosecha Mensual]]</f>
        <v>1.62609569292175</v>
      </c>
      <c r="I277" s="2" t="n">
        <f aca="false">H277*_xlfn.XLOOKUP(Tabla2[[#This Row],[Unidad de producción]],Tabla3[Medida],Tabla3[Equivalencia en Kg],"ELVIS",0)</f>
        <v>663.690957066013</v>
      </c>
      <c r="J277" s="2" t="n">
        <v>1350</v>
      </c>
      <c r="K277" s="2" t="s">
        <v>34</v>
      </c>
      <c r="L277" s="2" t="n">
        <f aca="false">J277/_xlfn.XLOOKUP(Tabla2[[#This Row],[Unidad de precio]],Tabla3[Medida],Tabla3[Equivalencia en Kg],"ELVIS",0)</f>
        <v>3.30760749724366</v>
      </c>
      <c r="M277" s="3"/>
      <c r="N277" s="3" t="n">
        <f aca="false">(Tabla2[[#This Row],[Productividad (kg/TAS)]]*Tabla2[[#This Row],[Precio por kg]]-Tabla2[[#This Row],[Costos (En RD$/Tarea)]])</f>
        <v>2195.22918544436</v>
      </c>
      <c r="O277" s="9" t="n">
        <f aca="false">IF(Tabla2[[#This Row],[Costos (En RD$/Tarea)]]=0,0,Tabla2[[#This Row],[Beneficio Neto  (En RD$/Tarea)]]/Tabla2[[#This Row],[Costos (En RD$/Tarea)]])</f>
        <v>0</v>
      </c>
      <c r="P277" s="7" t="n">
        <f aca="false">Tabla2[[#This Row],[Rentabilidad (%)]]/12</f>
        <v>0</v>
      </c>
    </row>
    <row r="278" customFormat="false" ht="14.25" hidden="false" customHeight="false" outlineLevel="0" collapsed="false">
      <c r="A278" s="1" t="n">
        <v>37226</v>
      </c>
      <c r="B278" s="2" t="s">
        <v>16</v>
      </c>
      <c r="C278" s="3" t="n">
        <v>164699</v>
      </c>
      <c r="D278" s="8" t="s">
        <v>17</v>
      </c>
      <c r="E278" s="3" t="n">
        <f aca="false">IF(Tabla2[[#This Row],[Frecuencia]]="Annual", Tabla2[[#This Row],[Cosecha/Tarea]]/12,Tabla2[[#This Row],[Cosecha/Tarea]])</f>
        <v>164699</v>
      </c>
      <c r="F278" s="3" t="n">
        <v>574718</v>
      </c>
      <c r="G278" s="2" t="s">
        <v>18</v>
      </c>
      <c r="H278" s="2" t="n">
        <f aca="false">F278/Tabla2[[#This Row],[Cosecha Mensual]]</f>
        <v>3.48950509717728</v>
      </c>
      <c r="I278" s="2" t="n">
        <f aca="false">H278*_xlfn.XLOOKUP(Tabla2[[#This Row],[Unidad de producción]],Tabla3[Medida],Tabla3[Equivalencia en Kg],"ELVIS",0)</f>
        <v>158.283951207961</v>
      </c>
      <c r="J278" s="2" t="n">
        <v>1036.71067106711</v>
      </c>
      <c r="K278" s="2" t="s">
        <v>19</v>
      </c>
      <c r="L278" s="2" t="n">
        <f aca="false">J278/_xlfn.XLOOKUP(Tabla2[[#This Row],[Unidad de precio]],Tabla3[Medida],Tabla3[Equivalencia en Kg],"ELVIS",0)</f>
        <v>9.42464246424646</v>
      </c>
      <c r="N278" s="3" t="n">
        <f aca="false">(Tabla2[[#This Row],[Productividad (kg/TAS)]]*Tabla2[[#This Row],[Precio por kg]]-Tabla2[[#This Row],[Costos (En RD$/Tarea)]])</f>
        <v>1491.76964796327</v>
      </c>
      <c r="O278" s="9" t="n">
        <f aca="false">IF(Tabla2[[#This Row],[Costos (En RD$/Tarea)]]=0,0,Tabla2[[#This Row],[Beneficio Neto  (En RD$/Tarea)]]/Tabla2[[#This Row],[Costos (En RD$/Tarea)]])</f>
        <v>0</v>
      </c>
      <c r="P278" s="7" t="n">
        <f aca="false">Tabla2[[#This Row],[Rentabilidad (%)]]/12</f>
        <v>0</v>
      </c>
    </row>
    <row r="279" customFormat="false" ht="14.25" hidden="false" customHeight="false" outlineLevel="0" collapsed="false">
      <c r="A279" s="1" t="n">
        <v>37226</v>
      </c>
      <c r="B279" s="2" t="s">
        <v>20</v>
      </c>
      <c r="C279" s="3" t="n">
        <v>41842</v>
      </c>
      <c r="D279" s="8" t="s">
        <v>17</v>
      </c>
      <c r="E279" s="3" t="n">
        <f aca="false">IF(Tabla2[[#This Row],[Frecuencia]]="Annual", Tabla2[[#This Row],[Cosecha/Tarea]]/12,Tabla2[[#This Row],[Cosecha/Tarea]])</f>
        <v>41842</v>
      </c>
      <c r="F279" s="3" t="n">
        <v>56517</v>
      </c>
      <c r="G279" s="2" t="s">
        <v>18</v>
      </c>
      <c r="H279" s="2" t="n">
        <f aca="false">F279/Tabla2[[#This Row],[Cosecha Mensual]]</f>
        <v>1.35072415276516</v>
      </c>
      <c r="I279" s="2" t="n">
        <f aca="false">H279*_xlfn.XLOOKUP(Tabla2[[#This Row],[Unidad de producción]],Tabla3[Medida],Tabla3[Equivalencia en Kg],"ELVIS",0)</f>
        <v>61.2688475694278</v>
      </c>
      <c r="J279" s="2" t="n">
        <v>121.86</v>
      </c>
      <c r="K279" s="2" t="s">
        <v>18</v>
      </c>
      <c r="L279" s="2" t="n">
        <f aca="false">J279/_xlfn.XLOOKUP(Tabla2[[#This Row],[Unidad de precio]],Tabla3[Medida],Tabla3[Equivalencia en Kg],"ELVIS",0)</f>
        <v>2.68650793650794</v>
      </c>
      <c r="N279" s="3" t="n">
        <f aca="false">(Tabla2[[#This Row],[Productividad (kg/TAS)]]*Tabla2[[#This Row],[Precio por kg]]-Tabla2[[#This Row],[Costos (En RD$/Tarea)]])</f>
        <v>164.599245255963</v>
      </c>
      <c r="O279" s="9" t="n">
        <f aca="false">IF(Tabla2[[#This Row],[Costos (En RD$/Tarea)]]=0,0,Tabla2[[#This Row],[Beneficio Neto  (En RD$/Tarea)]]/Tabla2[[#This Row],[Costos (En RD$/Tarea)]])</f>
        <v>0</v>
      </c>
      <c r="P279" s="7" t="n">
        <f aca="false">Tabla2[[#This Row],[Rentabilidad (%)]]/12</f>
        <v>0</v>
      </c>
    </row>
    <row r="280" customFormat="false" ht="14.25" hidden="false" customHeight="false" outlineLevel="0" collapsed="false">
      <c r="A280" s="1" t="n">
        <v>37226</v>
      </c>
      <c r="B280" s="2" t="s">
        <v>21</v>
      </c>
      <c r="C280" s="3" t="n">
        <v>6387</v>
      </c>
      <c r="D280" s="8" t="s">
        <v>17</v>
      </c>
      <c r="E280" s="3" t="n">
        <f aca="false">IF(Tabla2[[#This Row],[Frecuencia]]="Annual", Tabla2[[#This Row],[Cosecha/Tarea]]/12,Tabla2[[#This Row],[Cosecha/Tarea]])</f>
        <v>6387</v>
      </c>
      <c r="F280" s="3" t="n">
        <v>49643</v>
      </c>
      <c r="G280" s="2" t="s">
        <v>18</v>
      </c>
      <c r="H280" s="2" t="n">
        <f aca="false">F280/Tabla2[[#This Row],[Cosecha Mensual]]</f>
        <v>7.77250665414123</v>
      </c>
      <c r="I280" s="2" t="n">
        <f aca="false">H280*_xlfn.XLOOKUP(Tabla2[[#This Row],[Unidad de producción]],Tabla3[Medida],Tabla3[Equivalencia en Kg],"ELVIS",0)</f>
        <v>352.560901831846</v>
      </c>
      <c r="J280" s="2" t="n">
        <v>166.25</v>
      </c>
      <c r="K280" s="2" t="s">
        <v>18</v>
      </c>
      <c r="L280" s="2" t="n">
        <f aca="false">J280/_xlfn.XLOOKUP(Tabla2[[#This Row],[Unidad de precio]],Tabla3[Medida],Tabla3[Equivalencia en Kg],"ELVIS",0)</f>
        <v>3.66512345679012</v>
      </c>
      <c r="N280" s="3" t="n">
        <f aca="false">(Tabla2[[#This Row],[Productividad (kg/TAS)]]*Tabla2[[#This Row],[Precio por kg]]-Tabla2[[#This Row],[Costos (En RD$/Tarea)]])</f>
        <v>1292.17923125098</v>
      </c>
      <c r="O280" s="9" t="n">
        <f aca="false">IF(Tabla2[[#This Row],[Costos (En RD$/Tarea)]]=0,0,Tabla2[[#This Row],[Beneficio Neto  (En RD$/Tarea)]]/Tabla2[[#This Row],[Costos (En RD$/Tarea)]])</f>
        <v>0</v>
      </c>
      <c r="P280" s="7" t="n">
        <f aca="false">Tabla2[[#This Row],[Rentabilidad (%)]]/12</f>
        <v>0</v>
      </c>
    </row>
    <row r="281" customFormat="false" ht="14.25" hidden="false" customHeight="false" outlineLevel="0" collapsed="false">
      <c r="A281" s="1" t="n">
        <v>37226</v>
      </c>
      <c r="B281" s="2" t="s">
        <v>22</v>
      </c>
      <c r="C281" s="3" t="n">
        <v>4611</v>
      </c>
      <c r="D281" s="8" t="s">
        <v>17</v>
      </c>
      <c r="E281" s="3" t="n">
        <f aca="false">IF(Tabla2[[#This Row],[Frecuencia]]="Annual", Tabla2[[#This Row],[Cosecha/Tarea]]/12,Tabla2[[#This Row],[Cosecha/Tarea]])</f>
        <v>4611</v>
      </c>
      <c r="F281" s="3" t="n">
        <v>40569</v>
      </c>
      <c r="G281" s="2" t="s">
        <v>18</v>
      </c>
      <c r="H281" s="2" t="n">
        <f aca="false">F281/Tabla2[[#This Row],[Cosecha Mensual]]</f>
        <v>8.79830839297333</v>
      </c>
      <c r="I281" s="2" t="n">
        <f aca="false">H281*_xlfn.XLOOKUP(Tabla2[[#This Row],[Unidad de producción]],Tabla3[Medida],Tabla3[Equivalencia en Kg],"ELVIS",0)</f>
        <v>399.09126870527</v>
      </c>
      <c r="J281" s="2" t="n">
        <v>211.110666666667</v>
      </c>
      <c r="K281" s="2" t="s">
        <v>18</v>
      </c>
      <c r="L281" s="2" t="n">
        <f aca="false">J281/_xlfn.XLOOKUP(Tabla2[[#This Row],[Unidad de precio]],Tabla3[Medida],Tabla3[Equivalencia en Kg],"ELVIS",0)</f>
        <v>4.65411522633746</v>
      </c>
      <c r="N281" s="3" t="n">
        <f aca="false">(Tabla2[[#This Row],[Productividad (kg/TAS)]]*Tabla2[[#This Row],[Precio por kg]]-Tabla2[[#This Row],[Costos (En RD$/Tarea)]])</f>
        <v>1857.41675037953</v>
      </c>
      <c r="O281" s="9" t="n">
        <f aca="false">IF(Tabla2[[#This Row],[Costos (En RD$/Tarea)]]=0,0,Tabla2[[#This Row],[Beneficio Neto  (En RD$/Tarea)]]/Tabla2[[#This Row],[Costos (En RD$/Tarea)]])</f>
        <v>0</v>
      </c>
      <c r="P281" s="7" t="n">
        <f aca="false">Tabla2[[#This Row],[Rentabilidad (%)]]/12</f>
        <v>0</v>
      </c>
    </row>
    <row r="282" customFormat="false" ht="14.25" hidden="false" customHeight="false" outlineLevel="0" collapsed="false">
      <c r="A282" s="1" t="n">
        <v>37226</v>
      </c>
      <c r="B282" s="2" t="s">
        <v>23</v>
      </c>
      <c r="C282" s="3" t="n">
        <v>3582</v>
      </c>
      <c r="D282" s="8" t="s">
        <v>17</v>
      </c>
      <c r="E282" s="3" t="n">
        <f aca="false">IF(Tabla2[[#This Row],[Frecuencia]]="Annual", Tabla2[[#This Row],[Cosecha/Tarea]]/12,Tabla2[[#This Row],[Cosecha/Tarea]])</f>
        <v>3582</v>
      </c>
      <c r="F282" s="3" t="n">
        <v>71213</v>
      </c>
      <c r="G282" s="2" t="s">
        <v>18</v>
      </c>
      <c r="H282" s="2" t="n">
        <f aca="false">F282/Tabla2[[#This Row],[Cosecha Mensual]]</f>
        <v>19.8807928531547</v>
      </c>
      <c r="I282" s="2" t="n">
        <f aca="false">H282*_xlfn.XLOOKUP(Tabla2[[#This Row],[Unidad de producción]],Tabla3[Medida],Tabla3[Equivalencia en Kg],"ELVIS",0)</f>
        <v>901.792763819096</v>
      </c>
      <c r="J282" s="2" t="n">
        <v>300</v>
      </c>
      <c r="K282" s="2" t="s">
        <v>18</v>
      </c>
      <c r="L282" s="2" t="n">
        <f aca="false">J282/_xlfn.XLOOKUP(Tabla2[[#This Row],[Unidad de precio]],Tabla3[Medida],Tabla3[Equivalencia en Kg],"ELVIS",0)</f>
        <v>6.61375661375661</v>
      </c>
      <c r="N282" s="3" t="n">
        <f aca="false">(Tabla2[[#This Row],[Productividad (kg/TAS)]]*Tabla2[[#This Row],[Precio por kg]]-Tabla2[[#This Row],[Costos (En RD$/Tarea)]])</f>
        <v>5964.2378559464</v>
      </c>
      <c r="O282" s="9" t="n">
        <f aca="false">IF(Tabla2[[#This Row],[Costos (En RD$/Tarea)]]=0,0,Tabla2[[#This Row],[Beneficio Neto  (En RD$/Tarea)]]/Tabla2[[#This Row],[Costos (En RD$/Tarea)]])</f>
        <v>0</v>
      </c>
      <c r="P282" s="7" t="n">
        <f aca="false">Tabla2[[#This Row],[Rentabilidad (%)]]/12</f>
        <v>0</v>
      </c>
    </row>
    <row r="283" customFormat="false" ht="14.25" hidden="false" customHeight="false" outlineLevel="0" collapsed="false">
      <c r="A283" s="1" t="n">
        <v>37226</v>
      </c>
      <c r="B283" s="2" t="s">
        <v>24</v>
      </c>
      <c r="C283" s="3" t="n">
        <v>7810</v>
      </c>
      <c r="D283" s="8" t="s">
        <v>17</v>
      </c>
      <c r="E283" s="3" t="n">
        <f aca="false">IF(Tabla2[[#This Row],[Frecuencia]]="Annual", Tabla2[[#This Row],[Cosecha/Tarea]]/12,Tabla2[[#This Row],[Cosecha/Tarea]])</f>
        <v>7810</v>
      </c>
      <c r="F283" s="3" t="n">
        <v>88976</v>
      </c>
      <c r="G283" s="2" t="s">
        <v>18</v>
      </c>
      <c r="H283" s="2" t="n">
        <f aca="false">F283/Tabla2[[#This Row],[Cosecha Mensual]]</f>
        <v>11.3925736235595</v>
      </c>
      <c r="I283" s="2" t="n">
        <f aca="false">H283*_xlfn.XLOOKUP(Tabla2[[#This Row],[Unidad de producción]],Tabla3[Medida],Tabla3[Equivalencia en Kg],"ELVIS",0)</f>
        <v>516.767139564661</v>
      </c>
      <c r="J283" s="2" t="n">
        <v>476</v>
      </c>
      <c r="K283" s="2" t="s">
        <v>18</v>
      </c>
      <c r="L283" s="2" t="n">
        <f aca="false">J283/_xlfn.XLOOKUP(Tabla2[[#This Row],[Unidad de precio]],Tabla3[Medida],Tabla3[Equivalencia en Kg],"ELVIS",0)</f>
        <v>10.4938271604938</v>
      </c>
      <c r="N283" s="3" t="n">
        <f aca="false">(Tabla2[[#This Row],[Productividad (kg/TAS)]]*Tabla2[[#This Row],[Precio por kg]]-Tabla2[[#This Row],[Costos (En RD$/Tarea)]])</f>
        <v>5422.86504481434</v>
      </c>
      <c r="O283" s="9" t="n">
        <f aca="false">IF(Tabla2[[#This Row],[Costos (En RD$/Tarea)]]=0,0,Tabla2[[#This Row],[Beneficio Neto  (En RD$/Tarea)]]/Tabla2[[#This Row],[Costos (En RD$/Tarea)]])</f>
        <v>0</v>
      </c>
      <c r="P283" s="7" t="n">
        <f aca="false">Tabla2[[#This Row],[Rentabilidad (%)]]/12</f>
        <v>0</v>
      </c>
    </row>
    <row r="284" customFormat="false" ht="14.25" hidden="false" customHeight="false" outlineLevel="0" collapsed="false">
      <c r="A284" s="1" t="n">
        <v>37226</v>
      </c>
      <c r="B284" s="2" t="s">
        <v>25</v>
      </c>
      <c r="C284" s="3" t="n">
        <v>21308</v>
      </c>
      <c r="D284" s="8" t="s">
        <v>17</v>
      </c>
      <c r="E284" s="3" t="n">
        <f aca="false">IF(Tabla2[[#This Row],[Frecuencia]]="Annual", Tabla2[[#This Row],[Cosecha/Tarea]]/12,Tabla2[[#This Row],[Cosecha/Tarea]])</f>
        <v>21308</v>
      </c>
      <c r="F284" s="3" t="n">
        <v>207001</v>
      </c>
      <c r="G284" s="2" t="s">
        <v>18</v>
      </c>
      <c r="H284" s="2" t="n">
        <f aca="false">F284/Tabla2[[#This Row],[Cosecha Mensual]]</f>
        <v>9.71470809085789</v>
      </c>
      <c r="I284" s="2" t="n">
        <f aca="false">H284*_xlfn.XLOOKUP(Tabla2[[#This Row],[Unidad de producción]],Tabla3[Medida],Tabla3[Equivalencia en Kg],"ELVIS",0)</f>
        <v>440.659159001314</v>
      </c>
      <c r="J284" s="2" t="n">
        <v>98.25</v>
      </c>
      <c r="K284" s="2" t="s">
        <v>18</v>
      </c>
      <c r="L284" s="2" t="n">
        <f aca="false">J284/_xlfn.XLOOKUP(Tabla2[[#This Row],[Unidad de precio]],Tabla3[Medida],Tabla3[Equivalencia en Kg],"ELVIS",0)</f>
        <v>2.16600529100529</v>
      </c>
      <c r="N284" s="3" t="n">
        <f aca="false">(Tabla2[[#This Row],[Productividad (kg/TAS)]]*Tabla2[[#This Row],[Precio por kg]]-Tabla2[[#This Row],[Costos (En RD$/Tarea)]])</f>
        <v>954.470069926788</v>
      </c>
      <c r="O284" s="9" t="n">
        <f aca="false">IF(Tabla2[[#This Row],[Costos (En RD$/Tarea)]]=0,0,Tabla2[[#This Row],[Beneficio Neto  (En RD$/Tarea)]]/Tabla2[[#This Row],[Costos (En RD$/Tarea)]])</f>
        <v>0</v>
      </c>
      <c r="P284" s="7" t="n">
        <f aca="false">Tabla2[[#This Row],[Rentabilidad (%)]]/12</f>
        <v>0</v>
      </c>
    </row>
    <row r="285" customFormat="false" ht="14.25" hidden="false" customHeight="false" outlineLevel="0" collapsed="false">
      <c r="A285" s="1" t="n">
        <v>37226</v>
      </c>
      <c r="B285" s="2" t="s">
        <v>26</v>
      </c>
      <c r="C285" s="3" t="n">
        <v>8171</v>
      </c>
      <c r="D285" s="8" t="s">
        <v>17</v>
      </c>
      <c r="E285" s="3" t="n">
        <f aca="false">IF(Tabla2[[#This Row],[Frecuencia]]="Annual", Tabla2[[#This Row],[Cosecha/Tarea]]/12,Tabla2[[#This Row],[Cosecha/Tarea]])</f>
        <v>8171</v>
      </c>
      <c r="F285" s="3" t="n">
        <v>41452</v>
      </c>
      <c r="G285" s="2" t="s">
        <v>18</v>
      </c>
      <c r="H285" s="2" t="n">
        <f aca="false">F285/Tabla2[[#This Row],[Cosecha Mensual]]</f>
        <v>5.07306327254926</v>
      </c>
      <c r="I285" s="2" t="n">
        <f aca="false">H285*_xlfn.XLOOKUP(Tabla2[[#This Row],[Unidad de producción]],Tabla3[Medida],Tabla3[Equivalencia en Kg],"ELVIS",0)</f>
        <v>230.114150042834</v>
      </c>
      <c r="J285" s="2" t="n">
        <v>216.5</v>
      </c>
      <c r="K285" s="2" t="s">
        <v>18</v>
      </c>
      <c r="L285" s="2" t="n">
        <f aca="false">J285/_xlfn.XLOOKUP(Tabla2[[#This Row],[Unidad de precio]],Tabla3[Medida],Tabla3[Equivalencia en Kg],"ELVIS",0)</f>
        <v>4.77292768959436</v>
      </c>
      <c r="N285" s="3" t="n">
        <f aca="false">(Tabla2[[#This Row],[Productividad (kg/TAS)]]*Tabla2[[#This Row],[Precio por kg]]-Tabla2[[#This Row],[Costos (En RD$/Tarea)]])</f>
        <v>1098.31819850691</v>
      </c>
      <c r="O285" s="9" t="n">
        <f aca="false">IF(Tabla2[[#This Row],[Costos (En RD$/Tarea)]]=0,0,Tabla2[[#This Row],[Beneficio Neto  (En RD$/Tarea)]]/Tabla2[[#This Row],[Costos (En RD$/Tarea)]])</f>
        <v>0</v>
      </c>
      <c r="P285" s="7" t="n">
        <f aca="false">Tabla2[[#This Row],[Rentabilidad (%)]]/12</f>
        <v>0</v>
      </c>
    </row>
    <row r="286" customFormat="false" ht="14.25" hidden="false" customHeight="false" outlineLevel="0" collapsed="false">
      <c r="A286" s="1" t="n">
        <v>37226</v>
      </c>
      <c r="B286" s="2" t="s">
        <v>27</v>
      </c>
      <c r="C286" s="3" t="n">
        <v>1827</v>
      </c>
      <c r="D286" s="8" t="s">
        <v>17</v>
      </c>
      <c r="E286" s="3" t="n">
        <f aca="false">IF(Tabla2[[#This Row],[Frecuencia]]="Annual", Tabla2[[#This Row],[Cosecha/Tarea]]/12,Tabla2[[#This Row],[Cosecha/Tarea]])</f>
        <v>1827</v>
      </c>
      <c r="F286" s="3" t="n">
        <v>21138</v>
      </c>
      <c r="G286" s="2" t="s">
        <v>18</v>
      </c>
      <c r="H286" s="2" t="n">
        <f aca="false">F286/Tabla2[[#This Row],[Cosecha Mensual]]</f>
        <v>11.5697865353038</v>
      </c>
      <c r="I286" s="2" t="n">
        <f aca="false">H286*_xlfn.XLOOKUP(Tabla2[[#This Row],[Unidad de producción]],Tabla3[Medida],Tabla3[Equivalencia en Kg],"ELVIS",0)</f>
        <v>524.805517241379</v>
      </c>
      <c r="J286" s="2" t="n">
        <v>230.357142857143</v>
      </c>
      <c r="K286" s="2" t="s">
        <v>18</v>
      </c>
      <c r="L286" s="2" t="n">
        <f aca="false">J286/_xlfn.XLOOKUP(Tabla2[[#This Row],[Unidad de precio]],Tabla3[Medida],Tabla3[Equivalencia en Kg],"ELVIS",0)</f>
        <v>5.07842025699169</v>
      </c>
      <c r="N286" s="3" t="n">
        <f aca="false">(Tabla2[[#This Row],[Productividad (kg/TAS)]]*Tabla2[[#This Row],[Precio por kg]]-Tabla2[[#This Row],[Costos (En RD$/Tarea)]])</f>
        <v>2665.18296973962</v>
      </c>
      <c r="O286" s="9" t="n">
        <f aca="false">IF(Tabla2[[#This Row],[Costos (En RD$/Tarea)]]=0,0,Tabla2[[#This Row],[Beneficio Neto  (En RD$/Tarea)]]/Tabla2[[#This Row],[Costos (En RD$/Tarea)]])</f>
        <v>0</v>
      </c>
      <c r="P286" s="7" t="n">
        <f aca="false">Tabla2[[#This Row],[Rentabilidad (%)]]/12</f>
        <v>0</v>
      </c>
    </row>
    <row r="287" customFormat="false" ht="14.25" hidden="false" customHeight="false" outlineLevel="0" collapsed="false">
      <c r="A287" s="1" t="n">
        <v>37226</v>
      </c>
      <c r="B287" s="2" t="s">
        <v>28</v>
      </c>
      <c r="C287" s="3" t="n">
        <v>30192</v>
      </c>
      <c r="D287" s="8" t="s">
        <v>17</v>
      </c>
      <c r="E287" s="3" t="n">
        <f aca="false">IF(Tabla2[[#This Row],[Frecuencia]]="Annual", Tabla2[[#This Row],[Cosecha/Tarea]]/12,Tabla2[[#This Row],[Cosecha/Tarea]])</f>
        <v>30192</v>
      </c>
      <c r="F287" s="3" t="n">
        <v>52764</v>
      </c>
      <c r="G287" s="2" t="s">
        <v>18</v>
      </c>
      <c r="H287" s="2" t="n">
        <f aca="false">F287/Tabla2[[#This Row],[Cosecha Mensual]]</f>
        <v>1.74761526232114</v>
      </c>
      <c r="I287" s="2" t="n">
        <f aca="false">H287*_xlfn.XLOOKUP(Tabla2[[#This Row],[Unidad de producción]],Tabla3[Medida],Tabla3[Equivalencia en Kg],"ELVIS",0)</f>
        <v>79.2718282988871</v>
      </c>
      <c r="J287" s="2" t="n">
        <v>1333.33333333333</v>
      </c>
      <c r="K287" s="2" t="s">
        <v>29</v>
      </c>
      <c r="L287" s="2" t="n">
        <f aca="false">J287/_xlfn.XLOOKUP(Tabla2[[#This Row],[Unidad de precio]],Tabla3[Medida],Tabla3[Equivalencia en Kg],"ELVIS",0)</f>
        <v>2.37104480089151</v>
      </c>
      <c r="N287" s="3" t="n">
        <f aca="false">(Tabla2[[#This Row],[Productividad (kg/TAS)]]*Tabla2[[#This Row],[Precio por kg]]-Tabla2[[#This Row],[Costos (En RD$/Tarea)]])</f>
        <v>187.957056345241</v>
      </c>
      <c r="O287" s="9" t="n">
        <f aca="false">IF(Tabla2[[#This Row],[Costos (En RD$/Tarea)]]=0,0,Tabla2[[#This Row],[Beneficio Neto  (En RD$/Tarea)]]/Tabla2[[#This Row],[Costos (En RD$/Tarea)]])</f>
        <v>0</v>
      </c>
      <c r="P287" s="7" t="n">
        <f aca="false">Tabla2[[#This Row],[Rentabilidad (%)]]/12</f>
        <v>0</v>
      </c>
    </row>
    <row r="288" customFormat="false" ht="14.25" hidden="false" customHeight="false" outlineLevel="0" collapsed="false">
      <c r="A288" s="1" t="n">
        <v>37226</v>
      </c>
      <c r="B288" s="2" t="s">
        <v>30</v>
      </c>
      <c r="C288" s="3" t="n">
        <v>242862</v>
      </c>
      <c r="D288" s="3" t="s">
        <v>31</v>
      </c>
      <c r="E288" s="3" t="n">
        <f aca="false">IF(Tabla2[[#This Row],[Frecuencia]]="Annual", Tabla2[[#This Row],[Cosecha/Tarea]]/12,Tabla2[[#This Row],[Cosecha/Tarea]])</f>
        <v>20238.5</v>
      </c>
      <c r="F288" s="3" t="n">
        <v>1825710</v>
      </c>
      <c r="G288" s="2" t="s">
        <v>32</v>
      </c>
      <c r="H288" s="2" t="n">
        <f aca="false">F288/Tabla2[[#This Row],[Cosecha Mensual]]</f>
        <v>90.2097487462015</v>
      </c>
      <c r="I288" s="2" t="n">
        <f aca="false">H288*_xlfn.XLOOKUP(Tabla2[[#This Row],[Unidad de producción]],Tabla3[Medida],Tabla3[Equivalencia en Kg],"ELVIS",0)</f>
        <v>2454.60726338414</v>
      </c>
      <c r="J288" s="2" t="n">
        <v>28.1616666666667</v>
      </c>
      <c r="K288" s="2" t="s">
        <v>32</v>
      </c>
      <c r="L288" s="2" t="n">
        <f aca="false">J288/_xlfn.XLOOKUP(Tabla2[[#This Row],[Unidad de precio]],Tabla3[Medida],Tabla3[Equivalencia en Kg],"ELVIS",0)</f>
        <v>1.03497488668382</v>
      </c>
      <c r="M288" s="3"/>
      <c r="N288" s="3" t="n">
        <f aca="false">(Tabla2[[#This Row],[Productividad (kg/TAS)]]*Tabla2[[#This Row],[Precio por kg]]-Tabla2[[#This Row],[Costos (En RD$/Tarea)]])</f>
        <v>2540.45687427428</v>
      </c>
      <c r="O288" s="9" t="n">
        <f aca="false">IF(Tabla2[[#This Row],[Costos (En RD$/Tarea)]]=0,0,Tabla2[[#This Row],[Beneficio Neto  (En RD$/Tarea)]]/Tabla2[[#This Row],[Costos (En RD$/Tarea)]])</f>
        <v>0</v>
      </c>
      <c r="P288" s="7" t="n">
        <f aca="false">Tabla2[[#This Row],[Rentabilidad (%)]]/12</f>
        <v>0</v>
      </c>
    </row>
    <row r="289" customFormat="false" ht="14.25" hidden="false" customHeight="false" outlineLevel="0" collapsed="false">
      <c r="A289" s="1" t="n">
        <v>37226</v>
      </c>
      <c r="B289" s="2" t="s">
        <v>33</v>
      </c>
      <c r="C289" s="3" t="n">
        <v>476240</v>
      </c>
      <c r="D289" s="3" t="s">
        <v>31</v>
      </c>
      <c r="E289" s="3" t="n">
        <f aca="false">IF(Tabla2[[#This Row],[Frecuencia]]="Annual", Tabla2[[#This Row],[Cosecha/Tarea]]/12,Tabla2[[#This Row],[Cosecha/Tarea]])</f>
        <v>39686.6666666667</v>
      </c>
      <c r="F289" s="3" t="n">
        <v>82053</v>
      </c>
      <c r="G289" s="2" t="s">
        <v>34</v>
      </c>
      <c r="H289" s="2" t="n">
        <f aca="false">F289/Tabla2[[#This Row],[Cosecha Mensual]]</f>
        <v>2.0675205778599</v>
      </c>
      <c r="I289" s="2" t="n">
        <f aca="false">H289*_xlfn.XLOOKUP(Tabla2[[#This Row],[Unidad de producción]],Tabla3[Medida],Tabla3[Equivalencia en Kg],"ELVIS",0)</f>
        <v>843.858523853519</v>
      </c>
      <c r="J289" s="2" t="n">
        <v>1639.33</v>
      </c>
      <c r="K289" s="2" t="s">
        <v>34</v>
      </c>
      <c r="L289" s="2" t="n">
        <f aca="false">J289/_xlfn.XLOOKUP(Tabla2[[#This Row],[Unidad de precio]],Tabla3[Medida],Tabla3[Equivalencia en Kg],"ELVIS",0)</f>
        <v>4.01648903589367</v>
      </c>
      <c r="M289" s="3"/>
      <c r="N289" s="3" t="n">
        <f aca="false">(Tabla2[[#This Row],[Productividad (kg/TAS)]]*Tabla2[[#This Row],[Precio por kg]]-Tabla2[[#This Row],[Costos (En RD$/Tarea)]])</f>
        <v>3389.34850890307</v>
      </c>
      <c r="O289" s="9" t="n">
        <f aca="false">IF(Tabla2[[#This Row],[Costos (En RD$/Tarea)]]=0,0,Tabla2[[#This Row],[Beneficio Neto  (En RD$/Tarea)]]/Tabla2[[#This Row],[Costos (En RD$/Tarea)]])</f>
        <v>0</v>
      </c>
      <c r="P289" s="7" t="n">
        <f aca="false">Tabla2[[#This Row],[Rentabilidad (%)]]/12</f>
        <v>0</v>
      </c>
    </row>
    <row r="290" customFormat="false" ht="14.25" hidden="false" customHeight="false" outlineLevel="0" collapsed="false">
      <c r="A290" s="1" t="n">
        <v>37257</v>
      </c>
      <c r="B290" s="2" t="s">
        <v>16</v>
      </c>
      <c r="C290" s="3" t="n">
        <v>61906</v>
      </c>
      <c r="D290" s="8" t="s">
        <v>17</v>
      </c>
      <c r="E290" s="3" t="n">
        <f aca="false">IF(Tabla2[[#This Row],[Frecuencia]]="Annual", Tabla2[[#This Row],[Cosecha/Tarea]]/12,Tabla2[[#This Row],[Cosecha/Tarea]])</f>
        <v>61906</v>
      </c>
      <c r="F290" s="3" t="n">
        <v>161648</v>
      </c>
      <c r="G290" s="2" t="s">
        <v>18</v>
      </c>
      <c r="H290" s="2" t="n">
        <f aca="false">F290/Tabla2[[#This Row],[Cosecha Mensual]]</f>
        <v>2.61118469938294</v>
      </c>
      <c r="I290" s="2" t="n">
        <f aca="false">H290*_xlfn.XLOOKUP(Tabla2[[#This Row],[Unidad de producción]],Tabla3[Medida],Tabla3[Equivalencia en Kg],"ELVIS",0)</f>
        <v>118.44333796401</v>
      </c>
      <c r="J290" s="2" t="n">
        <v>982.666666666667</v>
      </c>
      <c r="K290" s="2" t="s">
        <v>19</v>
      </c>
      <c r="L290" s="2" t="n">
        <f aca="false">J290/_xlfn.XLOOKUP(Tabla2[[#This Row],[Unidad de precio]],Tabla3[Medida],Tabla3[Equivalencia en Kg],"ELVIS",0)</f>
        <v>8.93333333333334</v>
      </c>
      <c r="M290" s="2" t="n">
        <v>1921.06</v>
      </c>
      <c r="N290" s="3" t="n">
        <f aca="false">(Tabla2[[#This Row],[Productividad (kg/TAS)]]*Tabla2[[#This Row],[Precio por kg]]-Tabla2[[#This Row],[Costos (En RD$/Tarea)]])</f>
        <v>-862.966180854844</v>
      </c>
      <c r="O290" s="9" t="n">
        <f aca="false">IF(Tabla2[[#This Row],[Costos (En RD$/Tarea)]]=0,0,Tabla2[[#This Row],[Beneficio Neto  (En RD$/Tarea)]]/Tabla2[[#This Row],[Costos (En RD$/Tarea)]])</f>
        <v>-0.449213549214936</v>
      </c>
      <c r="P290" s="7" t="n">
        <f aca="false">Tabla2[[#This Row],[Rentabilidad (%)]]/12</f>
        <v>-0.037434462434578</v>
      </c>
    </row>
    <row r="291" customFormat="false" ht="14.25" hidden="false" customHeight="false" outlineLevel="0" collapsed="false">
      <c r="A291" s="1" t="n">
        <v>37257</v>
      </c>
      <c r="B291" s="2" t="s">
        <v>20</v>
      </c>
      <c r="C291" s="3" t="n">
        <v>36366</v>
      </c>
      <c r="D291" s="8" t="s">
        <v>17</v>
      </c>
      <c r="E291" s="3" t="n">
        <f aca="false">IF(Tabla2[[#This Row],[Frecuencia]]="Annual", Tabla2[[#This Row],[Cosecha/Tarea]]/12,Tabla2[[#This Row],[Cosecha/Tarea]])</f>
        <v>36366</v>
      </c>
      <c r="F291" s="3" t="n">
        <v>53294</v>
      </c>
      <c r="G291" s="2" t="s">
        <v>18</v>
      </c>
      <c r="H291" s="2" t="n">
        <f aca="false">F291/Tabla2[[#This Row],[Cosecha Mensual]]</f>
        <v>1.46548974316669</v>
      </c>
      <c r="I291" s="2" t="n">
        <f aca="false">H291*_xlfn.XLOOKUP(Tabla2[[#This Row],[Unidad de producción]],Tabla3[Medida],Tabla3[Equivalencia en Kg],"ELVIS",0)</f>
        <v>66.4746147500413</v>
      </c>
      <c r="J291" s="2" t="n">
        <v>117.736457142857</v>
      </c>
      <c r="K291" s="2" t="s">
        <v>18</v>
      </c>
      <c r="L291" s="2" t="n">
        <f aca="false">J291/_xlfn.XLOOKUP(Tabla2[[#This Row],[Unidad de precio]],Tabla3[Medida],Tabla3[Equivalencia en Kg],"ELVIS",0)</f>
        <v>2.59560090702948</v>
      </c>
      <c r="M291" s="2" t="n">
        <v>531.935</v>
      </c>
      <c r="N291" s="3" t="n">
        <f aca="false">(Tabla2[[#This Row],[Productividad (kg/TAS)]]*Tabla2[[#This Row],[Precio por kg]]-Tabla2[[#This Row],[Costos (En RD$/Tarea)]])</f>
        <v>-359.393429660358</v>
      </c>
      <c r="O291" s="9" t="n">
        <f aca="false">IF(Tabla2[[#This Row],[Costos (En RD$/Tarea)]]=0,0,Tabla2[[#This Row],[Beneficio Neto  (En RD$/Tarea)]]/Tabla2[[#This Row],[Costos (En RD$/Tarea)]])</f>
        <v>-0.675634108792161</v>
      </c>
      <c r="P291" s="7" t="n">
        <f aca="false">Tabla2[[#This Row],[Rentabilidad (%)]]/12</f>
        <v>-0.0563028423993467</v>
      </c>
    </row>
    <row r="292" customFormat="false" ht="14.25" hidden="false" customHeight="false" outlineLevel="0" collapsed="false">
      <c r="A292" s="1" t="n">
        <v>37257</v>
      </c>
      <c r="B292" s="2" t="s">
        <v>21</v>
      </c>
      <c r="C292" s="3" t="n">
        <v>8168</v>
      </c>
      <c r="D292" s="8" t="s">
        <v>17</v>
      </c>
      <c r="E292" s="3" t="n">
        <f aca="false">IF(Tabla2[[#This Row],[Frecuencia]]="Annual", Tabla2[[#This Row],[Cosecha/Tarea]]/12,Tabla2[[#This Row],[Cosecha/Tarea]])</f>
        <v>8168</v>
      </c>
      <c r="F292" s="3" t="n">
        <v>61135</v>
      </c>
      <c r="G292" s="2" t="s">
        <v>18</v>
      </c>
      <c r="H292" s="2" t="n">
        <f aca="false">F292/Tabla2[[#This Row],[Cosecha Mensual]]</f>
        <v>7.48469637610186</v>
      </c>
      <c r="I292" s="2" t="n">
        <f aca="false">H292*_xlfn.XLOOKUP(Tabla2[[#This Row],[Unidad de producción]],Tabla3[Medida],Tabla3[Equivalencia en Kg],"ELVIS",0)</f>
        <v>339.50582761998</v>
      </c>
      <c r="J292" s="2" t="n">
        <v>155.166666666667</v>
      </c>
      <c r="K292" s="2" t="s">
        <v>18</v>
      </c>
      <c r="L292" s="2" t="n">
        <f aca="false">J292/_xlfn.XLOOKUP(Tabla2[[#This Row],[Unidad de precio]],Tabla3[Medida],Tabla3[Equivalencia en Kg],"ELVIS",0)</f>
        <v>3.42078189300412</v>
      </c>
      <c r="M292" s="2" t="n">
        <v>945.93</v>
      </c>
      <c r="N292" s="3" t="n">
        <f aca="false">(Tabla2[[#This Row],[Productividad (kg/TAS)]]*Tabla2[[#This Row],[Precio por kg]]-Tabla2[[#This Row],[Costos (En RD$/Tarea)]])</f>
        <v>215.445387691808</v>
      </c>
      <c r="O292" s="9" t="n">
        <f aca="false">IF(Tabla2[[#This Row],[Costos (En RD$/Tarea)]]=0,0,Tabla2[[#This Row],[Beneficio Neto  (En RD$/Tarea)]]/Tabla2[[#This Row],[Costos (En RD$/Tarea)]])</f>
        <v>0.227760392092235</v>
      </c>
      <c r="P292" s="7" t="n">
        <f aca="false">Tabla2[[#This Row],[Rentabilidad (%)]]/12</f>
        <v>0.0189800326743529</v>
      </c>
    </row>
    <row r="293" customFormat="false" ht="14.25" hidden="false" customHeight="false" outlineLevel="0" collapsed="false">
      <c r="A293" s="1" t="n">
        <v>37257</v>
      </c>
      <c r="B293" s="2" t="s">
        <v>22</v>
      </c>
      <c r="C293" s="3" t="n">
        <v>4351</v>
      </c>
      <c r="D293" s="8" t="s">
        <v>17</v>
      </c>
      <c r="E293" s="3" t="n">
        <f aca="false">IF(Tabla2[[#This Row],[Frecuencia]]="Annual", Tabla2[[#This Row],[Cosecha/Tarea]]/12,Tabla2[[#This Row],[Cosecha/Tarea]])</f>
        <v>4351</v>
      </c>
      <c r="F293" s="3" t="n">
        <v>38405</v>
      </c>
      <c r="G293" s="2" t="s">
        <v>18</v>
      </c>
      <c r="H293" s="2" t="n">
        <f aca="false">F293/Tabla2[[#This Row],[Cosecha Mensual]]</f>
        <v>8.8267065042519</v>
      </c>
      <c r="I293" s="2" t="n">
        <f aca="false">H293*_xlfn.XLOOKUP(Tabla2[[#This Row],[Unidad de producción]],Tabla3[Medida],Tabla3[Equivalencia en Kg],"ELVIS",0)</f>
        <v>400.379407032866</v>
      </c>
      <c r="J293" s="2" t="n">
        <v>313.833333333333</v>
      </c>
      <c r="K293" s="2" t="s">
        <v>18</v>
      </c>
      <c r="L293" s="2" t="n">
        <f aca="false">J293/_xlfn.XLOOKUP(Tabla2[[#This Row],[Unidad de precio]],Tabla3[Medida],Tabla3[Equivalencia en Kg],"ELVIS",0)</f>
        <v>6.91872427983538</v>
      </c>
      <c r="M293" s="2" t="n">
        <v>2751.22</v>
      </c>
      <c r="N293" s="3" t="n">
        <f aca="false">(Tabla2[[#This Row],[Productividad (kg/TAS)]]*Tabla2[[#This Row],[Precio por kg]]-Tabla2[[#This Row],[Costos (En RD$/Tarea)]])</f>
        <v>18.8947245843842</v>
      </c>
      <c r="O293" s="9" t="n">
        <f aca="false">IF(Tabla2[[#This Row],[Costos (En RD$/Tarea)]]=0,0,Tabla2[[#This Row],[Beneficio Neto  (En RD$/Tarea)]]/Tabla2[[#This Row],[Costos (En RD$/Tarea)]])</f>
        <v>0.0068677621507492</v>
      </c>
      <c r="P293" s="7" t="n">
        <f aca="false">Tabla2[[#This Row],[Rentabilidad (%)]]/12</f>
        <v>0.000572313512562434</v>
      </c>
    </row>
    <row r="294" customFormat="false" ht="14.25" hidden="false" customHeight="false" outlineLevel="0" collapsed="false">
      <c r="A294" s="1" t="n">
        <v>37257</v>
      </c>
      <c r="B294" s="2" t="s">
        <v>23</v>
      </c>
      <c r="C294" s="3" t="n">
        <v>7389</v>
      </c>
      <c r="D294" s="8" t="s">
        <v>17</v>
      </c>
      <c r="E294" s="3" t="n">
        <f aca="false">IF(Tabla2[[#This Row],[Frecuencia]]="Annual", Tabla2[[#This Row],[Cosecha/Tarea]]/12,Tabla2[[#This Row],[Cosecha/Tarea]])</f>
        <v>7389</v>
      </c>
      <c r="F294" s="3" t="n">
        <v>165729</v>
      </c>
      <c r="G294" s="2" t="s">
        <v>18</v>
      </c>
      <c r="H294" s="2" t="n">
        <f aca="false">F294/Tabla2[[#This Row],[Cosecha Mensual]]</f>
        <v>22.4291514413317</v>
      </c>
      <c r="I294" s="2" t="n">
        <f aca="false">H294*_xlfn.XLOOKUP(Tabla2[[#This Row],[Unidad de producción]],Tabla3[Medida],Tabla3[Equivalencia en Kg],"ELVIS",0)</f>
        <v>1017.38630937881</v>
      </c>
      <c r="J294" s="2" t="n">
        <v>235</v>
      </c>
      <c r="K294" s="2" t="s">
        <v>18</v>
      </c>
      <c r="L294" s="2" t="n">
        <f aca="false">J294/_xlfn.XLOOKUP(Tabla2[[#This Row],[Unidad de precio]],Tabla3[Medida],Tabla3[Equivalencia en Kg],"ELVIS",0)</f>
        <v>5.18077601410935</v>
      </c>
      <c r="M294" s="2" t="n">
        <v>5786.34</v>
      </c>
      <c r="N294" s="3" t="n">
        <f aca="false">(Tabla2[[#This Row],[Productividad (kg/TAS)]]*Tabla2[[#This Row],[Precio por kg]]-Tabla2[[#This Row],[Costos (En RD$/Tarea)]])</f>
        <v>-515.489411287049</v>
      </c>
      <c r="O294" s="9" t="n">
        <f aca="false">IF(Tabla2[[#This Row],[Costos (En RD$/Tarea)]]=0,0,Tabla2[[#This Row],[Beneficio Neto  (En RD$/Tarea)]]/Tabla2[[#This Row],[Costos (En RD$/Tarea)]])</f>
        <v>-0.0890873006575916</v>
      </c>
      <c r="P294" s="7" t="n">
        <f aca="false">Tabla2[[#This Row],[Rentabilidad (%)]]/12</f>
        <v>-0.00742394172146597</v>
      </c>
    </row>
    <row r="295" customFormat="false" ht="14.25" hidden="false" customHeight="false" outlineLevel="0" collapsed="false">
      <c r="A295" s="1" t="n">
        <v>37257</v>
      </c>
      <c r="B295" s="2" t="s">
        <v>24</v>
      </c>
      <c r="C295" s="3" t="n">
        <v>8577</v>
      </c>
      <c r="D295" s="8" t="s">
        <v>17</v>
      </c>
      <c r="E295" s="3" t="n">
        <f aca="false">IF(Tabla2[[#This Row],[Frecuencia]]="Annual", Tabla2[[#This Row],[Cosecha/Tarea]]/12,Tabla2[[#This Row],[Cosecha/Tarea]])</f>
        <v>8577</v>
      </c>
      <c r="F295" s="3" t="n">
        <v>91110</v>
      </c>
      <c r="G295" s="2" t="s">
        <v>18</v>
      </c>
      <c r="H295" s="2" t="n">
        <f aca="false">F295/Tabla2[[#This Row],[Cosecha Mensual]]</f>
        <v>10.6225953130465</v>
      </c>
      <c r="I295" s="2" t="n">
        <f aca="false">H295*_xlfn.XLOOKUP(Tabla2[[#This Row],[Unidad de producción]],Tabla3[Medida],Tabla3[Equivalencia en Kg],"ELVIS",0)</f>
        <v>481.84092339979</v>
      </c>
      <c r="J295" s="2" t="n">
        <v>463.777333333333</v>
      </c>
      <c r="K295" s="2" t="s">
        <v>18</v>
      </c>
      <c r="L295" s="2" t="n">
        <f aca="false">J295/_xlfn.XLOOKUP(Tabla2[[#This Row],[Unidad de precio]],Tabla3[Medida],Tabla3[Equivalencia en Kg],"ELVIS",0)</f>
        <v>10.2243680188125</v>
      </c>
      <c r="M295" s="2" t="n">
        <v>1994.96</v>
      </c>
      <c r="N295" s="3" t="n">
        <f aca="false">(Tabla2[[#This Row],[Productividad (kg/TAS)]]*Tabla2[[#This Row],[Precio por kg]]-Tabla2[[#This Row],[Costos (En RD$/Tarea)]])</f>
        <v>2931.55892736388</v>
      </c>
      <c r="O295" s="9" t="n">
        <f aca="false">IF(Tabla2[[#This Row],[Costos (En RD$/Tarea)]]=0,0,Tabla2[[#This Row],[Beneficio Neto  (En RD$/Tarea)]]/Tabla2[[#This Row],[Costos (En RD$/Tarea)]])</f>
        <v>1.46948255973246</v>
      </c>
      <c r="P295" s="7" t="n">
        <f aca="false">Tabla2[[#This Row],[Rentabilidad (%)]]/12</f>
        <v>0.122456879977705</v>
      </c>
    </row>
    <row r="296" customFormat="false" ht="14.25" hidden="false" customHeight="false" outlineLevel="0" collapsed="false">
      <c r="A296" s="1" t="n">
        <v>37257</v>
      </c>
      <c r="B296" s="2" t="s">
        <v>25</v>
      </c>
      <c r="C296" s="3" t="n">
        <v>29386</v>
      </c>
      <c r="D296" s="8" t="s">
        <v>17</v>
      </c>
      <c r="E296" s="3" t="n">
        <f aca="false">IF(Tabla2[[#This Row],[Frecuencia]]="Annual", Tabla2[[#This Row],[Cosecha/Tarea]]/12,Tabla2[[#This Row],[Cosecha/Tarea]])</f>
        <v>29386</v>
      </c>
      <c r="F296" s="3" t="n">
        <v>274031</v>
      </c>
      <c r="G296" s="2" t="s">
        <v>18</v>
      </c>
      <c r="H296" s="2" t="n">
        <f aca="false">F296/Tabla2[[#This Row],[Cosecha Mensual]]</f>
        <v>9.32522289525624</v>
      </c>
      <c r="I296" s="2" t="n">
        <f aca="false">H296*_xlfn.XLOOKUP(Tabla2[[#This Row],[Unidad de producción]],Tabla3[Medida],Tabla3[Equivalencia en Kg],"ELVIS",0)</f>
        <v>422.992110528823</v>
      </c>
      <c r="J296" s="2" t="n">
        <v>97.9534285714286</v>
      </c>
      <c r="K296" s="2" t="s">
        <v>18</v>
      </c>
      <c r="L296" s="2" t="n">
        <f aca="false">J296/_xlfn.XLOOKUP(Tabla2[[#This Row],[Unidad de precio]],Tabla3[Medida],Tabla3[Equivalencia en Kg],"ELVIS",0)</f>
        <v>2.15946712018141</v>
      </c>
      <c r="M296" s="2" t="n">
        <v>966.8</v>
      </c>
      <c r="N296" s="3" t="n">
        <f aca="false">(Tabla2[[#This Row],[Productividad (kg/TAS)]]*Tabla2[[#This Row],[Precio por kg]]-Tabla2[[#This Row],[Costos (En RD$/Tarea)]])</f>
        <v>-53.3624452168669</v>
      </c>
      <c r="O296" s="9" t="n">
        <f aca="false">IF(Tabla2[[#This Row],[Costos (En RD$/Tarea)]]=0,0,Tabla2[[#This Row],[Beneficio Neto  (En RD$/Tarea)]]/Tabla2[[#This Row],[Costos (En RD$/Tarea)]])</f>
        <v>-0.0551949164427668</v>
      </c>
      <c r="P296" s="7" t="n">
        <f aca="false">Tabla2[[#This Row],[Rentabilidad (%)]]/12</f>
        <v>-0.00459957637023057</v>
      </c>
    </row>
    <row r="297" customFormat="false" ht="14.25" hidden="false" customHeight="false" outlineLevel="0" collapsed="false">
      <c r="A297" s="1" t="n">
        <v>37257</v>
      </c>
      <c r="B297" s="2" t="s">
        <v>26</v>
      </c>
      <c r="C297" s="3" t="n">
        <v>7406</v>
      </c>
      <c r="D297" s="8" t="s">
        <v>17</v>
      </c>
      <c r="E297" s="3" t="n">
        <f aca="false">IF(Tabla2[[#This Row],[Frecuencia]]="Annual", Tabla2[[#This Row],[Cosecha/Tarea]]/12,Tabla2[[#This Row],[Cosecha/Tarea]])</f>
        <v>7406</v>
      </c>
      <c r="F297" s="3" t="n">
        <v>46635</v>
      </c>
      <c r="G297" s="2" t="s">
        <v>18</v>
      </c>
      <c r="H297" s="2" t="n">
        <f aca="false">F297/Tabla2[[#This Row],[Cosecha Mensual]]</f>
        <v>6.29692141506886</v>
      </c>
      <c r="I297" s="2" t="n">
        <f aca="false">H297*_xlfn.XLOOKUP(Tabla2[[#This Row],[Unidad de producción]],Tabla3[Medida],Tabla3[Equivalencia en Kg],"ELVIS",0)</f>
        <v>285.628355387524</v>
      </c>
      <c r="J297" s="2" t="n">
        <v>207.316</v>
      </c>
      <c r="K297" s="2" t="s">
        <v>18</v>
      </c>
      <c r="L297" s="2" t="n">
        <f aca="false">J297/_xlfn.XLOOKUP(Tabla2[[#This Row],[Unidad de precio]],Tabla3[Medida],Tabla3[Equivalencia en Kg],"ELVIS",0)</f>
        <v>4.57045855379189</v>
      </c>
      <c r="M297" s="2" t="n">
        <v>360.52</v>
      </c>
      <c r="N297" s="3" t="n">
        <f aca="false">(Tabla2[[#This Row],[Productividad (kg/TAS)]]*Tabla2[[#This Row],[Precio por kg]]-Tabla2[[#This Row],[Costos (En RD$/Tarea)]])</f>
        <v>944.932560086417</v>
      </c>
      <c r="O297" s="9" t="n">
        <f aca="false">IF(Tabla2[[#This Row],[Costos (En RD$/Tarea)]]=0,0,Tabla2[[#This Row],[Beneficio Neto  (En RD$/Tarea)]]/Tabla2[[#This Row],[Costos (En RD$/Tarea)]])</f>
        <v>2.62102673939425</v>
      </c>
      <c r="P297" s="7" t="n">
        <f aca="false">Tabla2[[#This Row],[Rentabilidad (%)]]/12</f>
        <v>0.218418894949521</v>
      </c>
    </row>
    <row r="298" customFormat="false" ht="14.25" hidden="false" customHeight="false" outlineLevel="0" collapsed="false">
      <c r="A298" s="1" t="n">
        <v>37257</v>
      </c>
      <c r="B298" s="2" t="s">
        <v>27</v>
      </c>
      <c r="C298" s="3" t="n">
        <v>2752</v>
      </c>
      <c r="D298" s="8" t="s">
        <v>17</v>
      </c>
      <c r="E298" s="3" t="n">
        <f aca="false">IF(Tabla2[[#This Row],[Frecuencia]]="Annual", Tabla2[[#This Row],[Cosecha/Tarea]]/12,Tabla2[[#This Row],[Cosecha/Tarea]])</f>
        <v>2752</v>
      </c>
      <c r="F298" s="3" t="n">
        <v>22446</v>
      </c>
      <c r="G298" s="2" t="s">
        <v>18</v>
      </c>
      <c r="H298" s="2" t="n">
        <f aca="false">F298/Tabla2[[#This Row],[Cosecha Mensual]]</f>
        <v>8.15625</v>
      </c>
      <c r="I298" s="2" t="n">
        <f aca="false">H298*_xlfn.XLOOKUP(Tabla2[[#This Row],[Unidad de producción]],Tabla3[Medida],Tabla3[Equivalencia en Kg],"ELVIS",0)</f>
        <v>369.9675</v>
      </c>
      <c r="J298" s="2" t="n">
        <v>186.44</v>
      </c>
      <c r="K298" s="2" t="s">
        <v>18</v>
      </c>
      <c r="L298" s="2" t="n">
        <f aca="false">J298/_xlfn.XLOOKUP(Tabla2[[#This Row],[Unidad de precio]],Tabla3[Medida],Tabla3[Equivalencia en Kg],"ELVIS",0)</f>
        <v>4.11022927689594</v>
      </c>
      <c r="M298" s="2" t="n">
        <v>2321.75</v>
      </c>
      <c r="N298" s="3" t="n">
        <f aca="false">(Tabla2[[#This Row],[Productividad (kg/TAS)]]*Tabla2[[#This Row],[Precio por kg]]-Tabla2[[#This Row],[Costos (En RD$/Tarea)]])</f>
        <v>-801.09875</v>
      </c>
      <c r="O298" s="9" t="n">
        <f aca="false">IF(Tabla2[[#This Row],[Costos (En RD$/Tarea)]]=0,0,Tabla2[[#This Row],[Beneficio Neto  (En RD$/Tarea)]]/Tabla2[[#This Row],[Costos (En RD$/Tarea)]])</f>
        <v>-0.345040917411435</v>
      </c>
      <c r="P298" s="7" t="n">
        <f aca="false">Tabla2[[#This Row],[Rentabilidad (%)]]/12</f>
        <v>-0.0287534097842863</v>
      </c>
    </row>
    <row r="299" customFormat="false" ht="14.25" hidden="false" customHeight="false" outlineLevel="0" collapsed="false">
      <c r="A299" s="1" t="n">
        <v>37257</v>
      </c>
      <c r="B299" s="2" t="s">
        <v>28</v>
      </c>
      <c r="C299" s="3" t="n">
        <v>18638</v>
      </c>
      <c r="D299" s="8" t="s">
        <v>17</v>
      </c>
      <c r="E299" s="3" t="n">
        <f aca="false">IF(Tabla2[[#This Row],[Frecuencia]]="Annual", Tabla2[[#This Row],[Cosecha/Tarea]]/12,Tabla2[[#This Row],[Cosecha/Tarea]])</f>
        <v>18638</v>
      </c>
      <c r="F299" s="3" t="n">
        <v>38757</v>
      </c>
      <c r="G299" s="2" t="s">
        <v>18</v>
      </c>
      <c r="H299" s="2" t="n">
        <f aca="false">F299/Tabla2[[#This Row],[Cosecha Mensual]]</f>
        <v>2.0794613155918</v>
      </c>
      <c r="I299" s="2" t="n">
        <f aca="false">H299*_xlfn.XLOOKUP(Tabla2[[#This Row],[Unidad de producción]],Tabla3[Medida],Tabla3[Equivalencia en Kg],"ELVIS",0)</f>
        <v>94.3243652752441</v>
      </c>
      <c r="J299" s="2" t="n">
        <v>2075</v>
      </c>
      <c r="K299" s="2" t="s">
        <v>29</v>
      </c>
      <c r="L299" s="2" t="n">
        <f aca="false">J299/_xlfn.XLOOKUP(Tabla2[[#This Row],[Unidad de precio]],Tabla3[Medida],Tabla3[Equivalencia en Kg],"ELVIS",0)</f>
        <v>3.68993847138742</v>
      </c>
      <c r="M299" s="2" t="n">
        <v>3619.46</v>
      </c>
      <c r="N299" s="3" t="n">
        <f aca="false">(Tabla2[[#This Row],[Productividad (kg/TAS)]]*Tabla2[[#This Row],[Precio por kg]]-Tabla2[[#This Row],[Costos (En RD$/Tarea)]])</f>
        <v>-3271.40889578168</v>
      </c>
      <c r="O299" s="9" t="n">
        <f aca="false">IF(Tabla2[[#This Row],[Costos (En RD$/Tarea)]]=0,0,Tabla2[[#This Row],[Beneficio Neto  (En RD$/Tarea)]]/Tabla2[[#This Row],[Costos (En RD$/Tarea)]])</f>
        <v>-0.903838941660269</v>
      </c>
      <c r="P299" s="7" t="n">
        <f aca="false">Tabla2[[#This Row],[Rentabilidad (%)]]/12</f>
        <v>-0.0753199118050224</v>
      </c>
    </row>
    <row r="300" customFormat="false" ht="14.25" hidden="false" customHeight="false" outlineLevel="0" collapsed="false">
      <c r="A300" s="1" t="n">
        <v>37257</v>
      </c>
      <c r="B300" s="2" t="s">
        <v>30</v>
      </c>
      <c r="C300" s="3" t="n">
        <v>240255</v>
      </c>
      <c r="D300" s="3" t="s">
        <v>31</v>
      </c>
      <c r="E300" s="3" t="n">
        <f aca="false">IF(Tabla2[[#This Row],[Frecuencia]]="Annual", Tabla2[[#This Row],[Cosecha/Tarea]]/12,Tabla2[[#This Row],[Cosecha/Tarea]])</f>
        <v>20021.25</v>
      </c>
      <c r="F300" s="3" t="n">
        <v>1461836</v>
      </c>
      <c r="G300" s="2" t="s">
        <v>32</v>
      </c>
      <c r="H300" s="2" t="n">
        <f aca="false">F300/Tabla2[[#This Row],[Cosecha Mensual]]</f>
        <v>73.014222388712</v>
      </c>
      <c r="I300" s="2" t="n">
        <f aca="false">H300*_xlfn.XLOOKUP(Tabla2[[#This Row],[Unidad de producción]],Tabla3[Medida],Tabla3[Equivalencia en Kg],"ELVIS",0)</f>
        <v>1986.71699119685</v>
      </c>
      <c r="J300" s="2" t="n">
        <v>27.3657142857143</v>
      </c>
      <c r="K300" s="2" t="s">
        <v>32</v>
      </c>
      <c r="L300" s="10" t="n">
        <f aca="false">J300/_xlfn.XLOOKUP(Tabla2[[#This Row],[Unidad de precio]],Tabla3[Medida],Tabla3[Equivalencia en Kg],"ELVIS",0)</f>
        <v>1.0057226859873</v>
      </c>
      <c r="M300" s="3" t="n">
        <v>3727.21</v>
      </c>
      <c r="N300" s="3" t="n">
        <f aca="false">(Tabla2[[#This Row],[Productividad (kg/TAS)]]*Tabla2[[#This Row],[Precio por kg]]-Tabla2[[#This Row],[Costos (En RD$/Tarea)]])</f>
        <v>-1729.1236513169</v>
      </c>
      <c r="O300" s="9" t="n">
        <f aca="false">IF(Tabla2[[#This Row],[Costos (En RD$/Tarea)]]=0,0,Tabla2[[#This Row],[Beneficio Neto  (En RD$/Tarea)]]/Tabla2[[#This Row],[Costos (En RD$/Tarea)]])</f>
        <v>-0.463919030941885</v>
      </c>
      <c r="P300" s="7" t="n">
        <f aca="false">Tabla2[[#This Row],[Rentabilidad (%)]]/12</f>
        <v>-0.0386599192451571</v>
      </c>
    </row>
    <row r="301" customFormat="false" ht="14.25" hidden="false" customHeight="false" outlineLevel="0" collapsed="false">
      <c r="A301" s="1" t="n">
        <v>37257</v>
      </c>
      <c r="B301" s="2" t="s">
        <v>33</v>
      </c>
      <c r="C301" s="3" t="n">
        <v>556294</v>
      </c>
      <c r="D301" s="3" t="s">
        <v>31</v>
      </c>
      <c r="E301" s="3" t="n">
        <f aca="false">IF(Tabla2[[#This Row],[Frecuencia]]="Annual", Tabla2[[#This Row],[Cosecha/Tarea]]/12,Tabla2[[#This Row],[Cosecha/Tarea]])</f>
        <v>46357.8333333333</v>
      </c>
      <c r="F301" s="3" t="n">
        <v>82768</v>
      </c>
      <c r="G301" s="2" t="s">
        <v>34</v>
      </c>
      <c r="H301" s="2" t="n">
        <f aca="false">F301/Tabla2[[#This Row],[Cosecha Mensual]]</f>
        <v>1.78541562555052</v>
      </c>
      <c r="I301" s="2" t="n">
        <f aca="false">H301*_xlfn.XLOOKUP(Tabla2[[#This Row],[Unidad de producción]],Tabla3[Medida],Tabla3[Equivalencia en Kg],"ELVIS",0)</f>
        <v>728.717387568444</v>
      </c>
      <c r="J301" s="2" t="n">
        <v>1312.44714285714</v>
      </c>
      <c r="K301" s="2" t="s">
        <v>34</v>
      </c>
      <c r="L301" s="2" t="n">
        <f aca="false">J301/_xlfn.XLOOKUP(Tabla2[[#This Row],[Unidad de precio]],Tabla3[Medida],Tabla3[Equivalencia en Kg],"ELVIS",0)</f>
        <v>3.21560000700022</v>
      </c>
      <c r="M301" s="3" t="n">
        <v>3949.84</v>
      </c>
      <c r="N301" s="3" t="n">
        <f aca="false">(Tabla2[[#This Row],[Productividad (kg/TAS)]]*Tabla2[[#This Row],[Precio por kg]]-Tabla2[[#This Row],[Costos (En RD$/Tarea)]])</f>
        <v>-1606.57636343373</v>
      </c>
      <c r="O301" s="9" t="n">
        <f aca="false">IF(Tabla2[[#This Row],[Costos (En RD$/Tarea)]]=0,0,Tabla2[[#This Row],[Beneficio Neto  (En RD$/Tarea)]]/Tabla2[[#This Row],[Costos (En RD$/Tarea)]])</f>
        <v>-0.40674466900779</v>
      </c>
      <c r="P301" s="7" t="n">
        <f aca="false">Tabla2[[#This Row],[Rentabilidad (%)]]/12</f>
        <v>-0.0338953890839825</v>
      </c>
    </row>
    <row r="302" customFormat="false" ht="14.25" hidden="false" customHeight="false" outlineLevel="0" collapsed="false">
      <c r="A302" s="1" t="n">
        <v>37288</v>
      </c>
      <c r="B302" s="2" t="s">
        <v>16</v>
      </c>
      <c r="C302" s="3" t="n">
        <v>28533</v>
      </c>
      <c r="D302" s="8" t="s">
        <v>17</v>
      </c>
      <c r="E302" s="3" t="n">
        <f aca="false">IF(Tabla2[[#This Row],[Frecuencia]]="Annual", Tabla2[[#This Row],[Cosecha/Tarea]]/12,Tabla2[[#This Row],[Cosecha/Tarea]])</f>
        <v>28533</v>
      </c>
      <c r="F302" s="3" t="n">
        <v>106976</v>
      </c>
      <c r="G302" s="2" t="s">
        <v>18</v>
      </c>
      <c r="H302" s="2" t="n">
        <f aca="false">F302/Tabla2[[#This Row],[Cosecha Mensual]]</f>
        <v>3.74920267760137</v>
      </c>
      <c r="I302" s="2" t="n">
        <f aca="false">H302*_xlfn.XLOOKUP(Tabla2[[#This Row],[Unidad de producción]],Tabla3[Medida],Tabla3[Equivalencia en Kg],"ELVIS",0)</f>
        <v>170.063833455998</v>
      </c>
      <c r="J302" s="2" t="n">
        <v>854.950495049505</v>
      </c>
      <c r="K302" s="2" t="s">
        <v>19</v>
      </c>
      <c r="L302" s="2" t="n">
        <f aca="false">J302/_xlfn.XLOOKUP(Tabla2[[#This Row],[Unidad de precio]],Tabla3[Medida],Tabla3[Equivalencia en Kg],"ELVIS",0)</f>
        <v>7.77227722772277</v>
      </c>
      <c r="M302" s="2" t="n">
        <v>1921.06</v>
      </c>
      <c r="N302" s="3" t="n">
        <f aca="false">(Tabla2[[#This Row],[Productividad (kg/TAS)]]*Tabla2[[#This Row],[Precio por kg]]-Tabla2[[#This Row],[Costos (En RD$/Tarea)]])</f>
        <v>-599.276739970706</v>
      </c>
      <c r="O302" s="9" t="n">
        <f aca="false">IF(Tabla2[[#This Row],[Costos (En RD$/Tarea)]]=0,0,Tabla2[[#This Row],[Beneficio Neto  (En RD$/Tarea)]]/Tabla2[[#This Row],[Costos (En RD$/Tarea)]])</f>
        <v>-0.311951079076503</v>
      </c>
      <c r="P302" s="7" t="n">
        <f aca="false">Tabla2[[#This Row],[Rentabilidad (%)]]/12</f>
        <v>-0.0259959232563752</v>
      </c>
    </row>
    <row r="303" customFormat="false" ht="14.25" hidden="false" customHeight="false" outlineLevel="0" collapsed="false">
      <c r="A303" s="1" t="n">
        <v>37288</v>
      </c>
      <c r="B303" s="2" t="s">
        <v>20</v>
      </c>
      <c r="C303" s="3" t="n">
        <v>19319</v>
      </c>
      <c r="D303" s="8" t="s">
        <v>17</v>
      </c>
      <c r="E303" s="3" t="n">
        <f aca="false">IF(Tabla2[[#This Row],[Frecuencia]]="Annual", Tabla2[[#This Row],[Cosecha/Tarea]]/12,Tabla2[[#This Row],[Cosecha/Tarea]])</f>
        <v>19319</v>
      </c>
      <c r="F303" s="3" t="n">
        <v>28794</v>
      </c>
      <c r="G303" s="2" t="s">
        <v>18</v>
      </c>
      <c r="H303" s="2" t="n">
        <f aca="false">F303/Tabla2[[#This Row],[Cosecha Mensual]]</f>
        <v>1.49044981624308</v>
      </c>
      <c r="I303" s="2" t="n">
        <f aca="false">H303*_xlfn.XLOOKUP(Tabla2[[#This Row],[Unidad de producción]],Tabla3[Medida],Tabla3[Equivalencia en Kg],"ELVIS",0)</f>
        <v>67.606803664786</v>
      </c>
      <c r="J303" s="2" t="n">
        <v>132.371096</v>
      </c>
      <c r="K303" s="2" t="s">
        <v>18</v>
      </c>
      <c r="L303" s="2" t="n">
        <f aca="false">J303/_xlfn.XLOOKUP(Tabla2[[#This Row],[Unidad de precio]],Tabla3[Medida],Tabla3[Equivalencia en Kg],"ELVIS",0)</f>
        <v>2.91823403880071</v>
      </c>
      <c r="M303" s="2" t="n">
        <v>531.935</v>
      </c>
      <c r="N303" s="3" t="n">
        <f aca="false">(Tabla2[[#This Row],[Productividad (kg/TAS)]]*Tabla2[[#This Row],[Precio por kg]]-Tabla2[[#This Row],[Costos (En RD$/Tarea)]])</f>
        <v>-334.642524290905</v>
      </c>
      <c r="O303" s="9" t="n">
        <f aca="false">IF(Tabla2[[#This Row],[Costos (En RD$/Tarea)]]=0,0,Tabla2[[#This Row],[Beneficio Neto  (En RD$/Tarea)]]/Tabla2[[#This Row],[Costos (En RD$/Tarea)]])</f>
        <v>-0.629104165529445</v>
      </c>
      <c r="P303" s="7" t="n">
        <f aca="false">Tabla2[[#This Row],[Rentabilidad (%)]]/12</f>
        <v>-0.0524253471274537</v>
      </c>
    </row>
    <row r="304" customFormat="false" ht="14.25" hidden="false" customHeight="false" outlineLevel="0" collapsed="false">
      <c r="A304" s="1" t="n">
        <v>37288</v>
      </c>
      <c r="B304" s="2" t="s">
        <v>21</v>
      </c>
      <c r="C304" s="3" t="n">
        <v>6841</v>
      </c>
      <c r="D304" s="8" t="s">
        <v>17</v>
      </c>
      <c r="E304" s="3" t="n">
        <f aca="false">IF(Tabla2[[#This Row],[Frecuencia]]="Annual", Tabla2[[#This Row],[Cosecha/Tarea]]/12,Tabla2[[#This Row],[Cosecha/Tarea]])</f>
        <v>6841</v>
      </c>
      <c r="F304" s="3" t="n">
        <v>55481</v>
      </c>
      <c r="G304" s="2" t="s">
        <v>18</v>
      </c>
      <c r="H304" s="2" t="n">
        <f aca="false">F304/Tabla2[[#This Row],[Cosecha Mensual]]</f>
        <v>8.11007162695512</v>
      </c>
      <c r="I304" s="2" t="n">
        <f aca="false">H304*_xlfn.XLOOKUP(Tabla2[[#This Row],[Unidad de producción]],Tabla3[Medida],Tabla3[Equivalencia en Kg],"ELVIS",0)</f>
        <v>367.872848998684</v>
      </c>
      <c r="J304" s="2" t="n">
        <v>154.667142857143</v>
      </c>
      <c r="K304" s="2" t="s">
        <v>18</v>
      </c>
      <c r="L304" s="2" t="n">
        <f aca="false">J304/_xlfn.XLOOKUP(Tabla2[[#This Row],[Unidad de precio]],Tabla3[Medida],Tabla3[Equivalencia en Kg],"ELVIS",0)</f>
        <v>3.4097694633409</v>
      </c>
      <c r="M304" s="2" t="n">
        <v>945.93</v>
      </c>
      <c r="N304" s="3" t="n">
        <f aca="false">(Tabla2[[#This Row],[Productividad (kg/TAS)]]*Tabla2[[#This Row],[Precio por kg]]-Tabla2[[#This Row],[Costos (En RD$/Tarea)]])</f>
        <v>308.43160690793</v>
      </c>
      <c r="O304" s="9" t="n">
        <f aca="false">IF(Tabla2[[#This Row],[Costos (En RD$/Tarea)]]=0,0,Tabla2[[#This Row],[Beneficio Neto  (En RD$/Tarea)]]/Tabla2[[#This Row],[Costos (En RD$/Tarea)]])</f>
        <v>0.326061766629592</v>
      </c>
      <c r="P304" s="7" t="n">
        <f aca="false">Tabla2[[#This Row],[Rentabilidad (%)]]/12</f>
        <v>0.0271718138857994</v>
      </c>
    </row>
    <row r="305" customFormat="false" ht="14.25" hidden="false" customHeight="false" outlineLevel="0" collapsed="false">
      <c r="A305" s="1" t="n">
        <v>37288</v>
      </c>
      <c r="B305" s="2" t="s">
        <v>22</v>
      </c>
      <c r="C305" s="3" t="n">
        <v>3497</v>
      </c>
      <c r="D305" s="8" t="s">
        <v>17</v>
      </c>
      <c r="E305" s="3" t="n">
        <f aca="false">IF(Tabla2[[#This Row],[Frecuencia]]="Annual", Tabla2[[#This Row],[Cosecha/Tarea]]/12,Tabla2[[#This Row],[Cosecha/Tarea]])</f>
        <v>3497</v>
      </c>
      <c r="F305" s="3" t="n">
        <v>31020</v>
      </c>
      <c r="G305" s="2" t="s">
        <v>18</v>
      </c>
      <c r="H305" s="2" t="n">
        <f aca="false">F305/Tabla2[[#This Row],[Cosecha Mensual]]</f>
        <v>8.87046039462396</v>
      </c>
      <c r="I305" s="2" t="n">
        <f aca="false">H305*_xlfn.XLOOKUP(Tabla2[[#This Row],[Unidad de producción]],Tabla3[Medida],Tabla3[Equivalencia en Kg],"ELVIS",0)</f>
        <v>402.364083500143</v>
      </c>
      <c r="J305" s="2" t="n">
        <v>341.578571428572</v>
      </c>
      <c r="K305" s="2" t="s">
        <v>18</v>
      </c>
      <c r="L305" s="2" t="n">
        <f aca="false">J305/_xlfn.XLOOKUP(Tabla2[[#This Row],[Unidad de precio]],Tabla3[Medida],Tabla3[Equivalencia en Kg],"ELVIS",0)</f>
        <v>7.53039178634418</v>
      </c>
      <c r="M305" s="2" t="n">
        <v>2751.22</v>
      </c>
      <c r="N305" s="3" t="n">
        <f aca="false">(Tabla2[[#This Row],[Productividad (kg/TAS)]]*Tabla2[[#This Row],[Precio por kg]]-Tabla2[[#This Row],[Costos (En RD$/Tarea)]])</f>
        <v>278.739189509381</v>
      </c>
      <c r="O305" s="9" t="n">
        <f aca="false">IF(Tabla2[[#This Row],[Costos (En RD$/Tarea)]]=0,0,Tabla2[[#This Row],[Beneficio Neto  (En RD$/Tarea)]]/Tabla2[[#This Row],[Costos (En RD$/Tarea)]])</f>
        <v>0.101314758365155</v>
      </c>
      <c r="P305" s="7" t="n">
        <f aca="false">Tabla2[[#This Row],[Rentabilidad (%)]]/12</f>
        <v>0.00844289653042955</v>
      </c>
    </row>
    <row r="306" customFormat="false" ht="14.25" hidden="false" customHeight="false" outlineLevel="0" collapsed="false">
      <c r="A306" s="1" t="n">
        <v>37288</v>
      </c>
      <c r="B306" s="2" t="s">
        <v>23</v>
      </c>
      <c r="C306" s="3" t="n">
        <v>4396</v>
      </c>
      <c r="D306" s="8" t="s">
        <v>17</v>
      </c>
      <c r="E306" s="3" t="n">
        <f aca="false">IF(Tabla2[[#This Row],[Frecuencia]]="Annual", Tabla2[[#This Row],[Cosecha/Tarea]]/12,Tabla2[[#This Row],[Cosecha/Tarea]])</f>
        <v>4396</v>
      </c>
      <c r="F306" s="3" t="n">
        <v>101519</v>
      </c>
      <c r="G306" s="2" t="s">
        <v>18</v>
      </c>
      <c r="H306" s="2" t="n">
        <f aca="false">F306/Tabla2[[#This Row],[Cosecha Mensual]]</f>
        <v>23.0934940855323</v>
      </c>
      <c r="I306" s="2" t="n">
        <f aca="false">H306*_xlfn.XLOOKUP(Tabla2[[#This Row],[Unidad de producción]],Tabla3[Medida],Tabla3[Equivalencia en Kg],"ELVIS",0)</f>
        <v>1047.52089171975</v>
      </c>
      <c r="J306" s="2" t="n">
        <v>254.45</v>
      </c>
      <c r="K306" s="2" t="s">
        <v>18</v>
      </c>
      <c r="L306" s="2" t="n">
        <f aca="false">J306/_xlfn.XLOOKUP(Tabla2[[#This Row],[Unidad de precio]],Tabla3[Medida],Tabla3[Equivalencia en Kg],"ELVIS",0)</f>
        <v>5.60956790123457</v>
      </c>
      <c r="M306" s="2" t="n">
        <v>5786.34</v>
      </c>
      <c r="N306" s="3" t="n">
        <f aca="false">(Tabla2[[#This Row],[Productividad (kg/TAS)]]*Tabla2[[#This Row],[Precio por kg]]-Tabla2[[#This Row],[Costos (En RD$/Tarea)]])</f>
        <v>89.7995700636948</v>
      </c>
      <c r="O306" s="9" t="n">
        <f aca="false">IF(Tabla2[[#This Row],[Costos (En RD$/Tarea)]]=0,0,Tabla2[[#This Row],[Beneficio Neto  (En RD$/Tarea)]]/Tabla2[[#This Row],[Costos (En RD$/Tarea)]])</f>
        <v>0.0155192349678199</v>
      </c>
      <c r="P306" s="7" t="n">
        <f aca="false">Tabla2[[#This Row],[Rentabilidad (%)]]/12</f>
        <v>0.00129326958065166</v>
      </c>
    </row>
    <row r="307" customFormat="false" ht="14.25" hidden="false" customHeight="false" outlineLevel="0" collapsed="false">
      <c r="A307" s="1" t="n">
        <v>37288</v>
      </c>
      <c r="B307" s="2" t="s">
        <v>24</v>
      </c>
      <c r="C307" s="3" t="n">
        <v>7506</v>
      </c>
      <c r="D307" s="8" t="s">
        <v>17</v>
      </c>
      <c r="E307" s="3" t="n">
        <f aca="false">IF(Tabla2[[#This Row],[Frecuencia]]="Annual", Tabla2[[#This Row],[Cosecha/Tarea]]/12,Tabla2[[#This Row],[Cosecha/Tarea]])</f>
        <v>7506</v>
      </c>
      <c r="F307" s="3" t="n">
        <v>67366</v>
      </c>
      <c r="G307" s="2" t="s">
        <v>18</v>
      </c>
      <c r="H307" s="2" t="n">
        <f aca="false">F307/Tabla2[[#This Row],[Cosecha Mensual]]</f>
        <v>8.97495337063682</v>
      </c>
      <c r="I307" s="2" t="n">
        <f aca="false">H307*_xlfn.XLOOKUP(Tabla2[[#This Row],[Unidad de producción]],Tabla3[Medida],Tabla3[Equivalencia en Kg],"ELVIS",0)</f>
        <v>407.103884892086</v>
      </c>
      <c r="J307" s="2" t="n">
        <v>483.7</v>
      </c>
      <c r="K307" s="2" t="s">
        <v>18</v>
      </c>
      <c r="L307" s="2" t="n">
        <f aca="false">J307/_xlfn.XLOOKUP(Tabla2[[#This Row],[Unidad de precio]],Tabla3[Medida],Tabla3[Equivalencia en Kg],"ELVIS",0)</f>
        <v>10.6635802469136</v>
      </c>
      <c r="M307" s="2" t="n">
        <v>1994.96</v>
      </c>
      <c r="N307" s="3" t="n">
        <f aca="false">(Tabla2[[#This Row],[Productividad (kg/TAS)]]*Tabla2[[#This Row],[Precio por kg]]-Tabla2[[#This Row],[Costos (En RD$/Tarea)]])</f>
        <v>2346.22494537703</v>
      </c>
      <c r="O307" s="9" t="n">
        <f aca="false">IF(Tabla2[[#This Row],[Costos (En RD$/Tarea)]]=0,0,Tabla2[[#This Row],[Beneficio Neto  (En RD$/Tarea)]]/Tabla2[[#This Row],[Costos (En RD$/Tarea)]])</f>
        <v>1.17607618467389</v>
      </c>
      <c r="P307" s="7" t="n">
        <f aca="false">Tabla2[[#This Row],[Rentabilidad (%)]]/12</f>
        <v>0.0980063487228245</v>
      </c>
    </row>
    <row r="308" customFormat="false" ht="14.25" hidden="false" customHeight="false" outlineLevel="0" collapsed="false">
      <c r="A308" s="1" t="n">
        <v>37288</v>
      </c>
      <c r="B308" s="2" t="s">
        <v>25</v>
      </c>
      <c r="C308" s="3" t="n">
        <v>27478</v>
      </c>
      <c r="D308" s="8" t="s">
        <v>17</v>
      </c>
      <c r="E308" s="3" t="n">
        <f aca="false">IF(Tabla2[[#This Row],[Frecuencia]]="Annual", Tabla2[[#This Row],[Cosecha/Tarea]]/12,Tabla2[[#This Row],[Cosecha/Tarea]])</f>
        <v>27478</v>
      </c>
      <c r="F308" s="3" t="n">
        <v>253771</v>
      </c>
      <c r="G308" s="2" t="s">
        <v>18</v>
      </c>
      <c r="H308" s="2" t="n">
        <f aca="false">F308/Tabla2[[#This Row],[Cosecha Mensual]]</f>
        <v>9.23542470339908</v>
      </c>
      <c r="I308" s="2" t="n">
        <f aca="false">H308*_xlfn.XLOOKUP(Tabla2[[#This Row],[Unidad de producción]],Tabla3[Medida],Tabla3[Equivalencia en Kg],"ELVIS",0)</f>
        <v>418.918864546182</v>
      </c>
      <c r="J308" s="2" t="n">
        <v>94.8316875</v>
      </c>
      <c r="K308" s="2" t="s">
        <v>18</v>
      </c>
      <c r="L308" s="2" t="n">
        <f aca="false">J308/_xlfn.XLOOKUP(Tabla2[[#This Row],[Unidad de precio]],Tabla3[Medida],Tabla3[Equivalencia en Kg],"ELVIS",0)</f>
        <v>2.09064566798942</v>
      </c>
      <c r="M308" s="2" t="n">
        <v>966.8</v>
      </c>
      <c r="N308" s="3" t="n">
        <f aca="false">(Tabla2[[#This Row],[Productividad (kg/TAS)]]*Tabla2[[#This Row],[Precio por kg]]-Tabla2[[#This Row],[Costos (En RD$/Tarea)]])</f>
        <v>-90.9890905974779</v>
      </c>
      <c r="O308" s="9" t="n">
        <f aca="false">IF(Tabla2[[#This Row],[Costos (En RD$/Tarea)]]=0,0,Tabla2[[#This Row],[Beneficio Neto  (En RD$/Tarea)]]/Tabla2[[#This Row],[Costos (En RD$/Tarea)]])</f>
        <v>-0.0941136642505978</v>
      </c>
      <c r="P308" s="7" t="n">
        <f aca="false">Tabla2[[#This Row],[Rentabilidad (%)]]/12</f>
        <v>-0.00784280535421648</v>
      </c>
    </row>
    <row r="309" customFormat="false" ht="14.25" hidden="false" customHeight="false" outlineLevel="0" collapsed="false">
      <c r="A309" s="1" t="n">
        <v>37288</v>
      </c>
      <c r="B309" s="2" t="s">
        <v>26</v>
      </c>
      <c r="C309" s="3" t="n">
        <v>7882</v>
      </c>
      <c r="D309" s="8" t="s">
        <v>17</v>
      </c>
      <c r="E309" s="3" t="n">
        <f aca="false">IF(Tabla2[[#This Row],[Frecuencia]]="Annual", Tabla2[[#This Row],[Cosecha/Tarea]]/12,Tabla2[[#This Row],[Cosecha/Tarea]])</f>
        <v>7882</v>
      </c>
      <c r="F309" s="3" t="n">
        <v>42631</v>
      </c>
      <c r="G309" s="2" t="s">
        <v>18</v>
      </c>
      <c r="H309" s="2" t="n">
        <f aca="false">F309/Tabla2[[#This Row],[Cosecha Mensual]]</f>
        <v>5.408652626237</v>
      </c>
      <c r="I309" s="2" t="n">
        <f aca="false">H309*_xlfn.XLOOKUP(Tabla2[[#This Row],[Unidad de producción]],Tabla3[Medida],Tabla3[Equivalencia en Kg],"ELVIS",0)</f>
        <v>245.33648312611</v>
      </c>
      <c r="J309" s="2" t="n">
        <v>182.725714285714</v>
      </c>
      <c r="K309" s="2" t="s">
        <v>18</v>
      </c>
      <c r="L309" s="2" t="n">
        <f aca="false">J309/_xlfn.XLOOKUP(Tabla2[[#This Row],[Unidad de precio]],Tabla3[Medida],Tabla3[Equivalencia en Kg],"ELVIS",0)</f>
        <v>4.02834467120181</v>
      </c>
      <c r="M309" s="2" t="n">
        <v>360.52</v>
      </c>
      <c r="N309" s="3" t="n">
        <f aca="false">(Tabla2[[#This Row],[Productividad (kg/TAS)]]*Tabla2[[#This Row],[Precio por kg]]-Tabla2[[#This Row],[Costos (En RD$/Tarea)]])</f>
        <v>627.779914452458</v>
      </c>
      <c r="O309" s="9" t="n">
        <f aca="false">IF(Tabla2[[#This Row],[Costos (En RD$/Tarea)]]=0,0,Tabla2[[#This Row],[Beneficio Neto  (En RD$/Tarea)]]/Tabla2[[#This Row],[Costos (En RD$/Tarea)]])</f>
        <v>1.74131785879413</v>
      </c>
      <c r="P309" s="7" t="n">
        <f aca="false">Tabla2[[#This Row],[Rentabilidad (%)]]/12</f>
        <v>0.145109821566177</v>
      </c>
    </row>
    <row r="310" customFormat="false" ht="14.25" hidden="false" customHeight="false" outlineLevel="0" collapsed="false">
      <c r="A310" s="1" t="n">
        <v>37288</v>
      </c>
      <c r="B310" s="2" t="s">
        <v>27</v>
      </c>
      <c r="C310" s="3" t="n">
        <v>3978</v>
      </c>
      <c r="D310" s="8" t="s">
        <v>17</v>
      </c>
      <c r="E310" s="3" t="n">
        <f aca="false">IF(Tabla2[[#This Row],[Frecuencia]]="Annual", Tabla2[[#This Row],[Cosecha/Tarea]]/12,Tabla2[[#This Row],[Cosecha/Tarea]])</f>
        <v>3978</v>
      </c>
      <c r="F310" s="3" t="n">
        <v>32616</v>
      </c>
      <c r="G310" s="2" t="s">
        <v>18</v>
      </c>
      <c r="H310" s="2" t="n">
        <f aca="false">F310/Tabla2[[#This Row],[Cosecha Mensual]]</f>
        <v>8.19909502262443</v>
      </c>
      <c r="I310" s="2" t="n">
        <f aca="false">H310*_xlfn.XLOOKUP(Tabla2[[#This Row],[Unidad de producción]],Tabla3[Medida],Tabla3[Equivalencia en Kg],"ELVIS",0)</f>
        <v>371.910950226244</v>
      </c>
      <c r="J310" s="2" t="n">
        <v>185.202857142857</v>
      </c>
      <c r="K310" s="2" t="s">
        <v>18</v>
      </c>
      <c r="L310" s="2" t="n">
        <f aca="false">J310/_xlfn.XLOOKUP(Tabla2[[#This Row],[Unidad de precio]],Tabla3[Medida],Tabla3[Equivalencia en Kg],"ELVIS",0)</f>
        <v>4.08295540438397</v>
      </c>
      <c r="M310" s="2" t="n">
        <v>2321.75</v>
      </c>
      <c r="N310" s="3" t="n">
        <f aca="false">(Tabla2[[#This Row],[Productividad (kg/TAS)]]*Tabla2[[#This Row],[Precio por kg]]-Tabla2[[#This Row],[Costos (En RD$/Tarea)]])</f>
        <v>-803.254175824177</v>
      </c>
      <c r="O310" s="9" t="n">
        <f aca="false">IF(Tabla2[[#This Row],[Costos (En RD$/Tarea)]]=0,0,Tabla2[[#This Row],[Beneficio Neto  (En RD$/Tarea)]]/Tabla2[[#This Row],[Costos (En RD$/Tarea)]])</f>
        <v>-0.345969279993185</v>
      </c>
      <c r="P310" s="7" t="n">
        <f aca="false">Tabla2[[#This Row],[Rentabilidad (%)]]/12</f>
        <v>-0.0288307733327654</v>
      </c>
    </row>
    <row r="311" customFormat="false" ht="14.25" hidden="false" customHeight="false" outlineLevel="0" collapsed="false">
      <c r="A311" s="1" t="n">
        <v>37288</v>
      </c>
      <c r="B311" s="2" t="s">
        <v>28</v>
      </c>
      <c r="C311" s="3" t="n">
        <v>13507</v>
      </c>
      <c r="D311" s="8" t="s">
        <v>17</v>
      </c>
      <c r="E311" s="3" t="n">
        <f aca="false">IF(Tabla2[[#This Row],[Frecuencia]]="Annual", Tabla2[[#This Row],[Cosecha/Tarea]]/12,Tabla2[[#This Row],[Cosecha/Tarea]])</f>
        <v>13507</v>
      </c>
      <c r="F311" s="3" t="n">
        <v>19797</v>
      </c>
      <c r="G311" s="2" t="s">
        <v>18</v>
      </c>
      <c r="H311" s="2" t="n">
        <f aca="false">F311/Tabla2[[#This Row],[Cosecha Mensual]]</f>
        <v>1.46568445990968</v>
      </c>
      <c r="I311" s="2" t="n">
        <f aca="false">H311*_xlfn.XLOOKUP(Tabla2[[#This Row],[Unidad de producción]],Tabla3[Medida],Tabla3[Equivalencia en Kg],"ELVIS",0)</f>
        <v>66.4834471015029</v>
      </c>
      <c r="J311" s="2" t="n">
        <v>2991.6</v>
      </c>
      <c r="K311" s="2" t="s">
        <v>29</v>
      </c>
      <c r="L311" s="2" t="n">
        <f aca="false">J311/_xlfn.XLOOKUP(Tabla2[[#This Row],[Unidad de precio]],Tabla3[Medida],Tabla3[Equivalencia en Kg],"ELVIS",0)</f>
        <v>5.31991321976029</v>
      </c>
      <c r="M311" s="2" t="n">
        <v>3619.46</v>
      </c>
      <c r="N311" s="3" t="n">
        <f aca="false">(Tabla2[[#This Row],[Productividad (kg/TAS)]]*Tabla2[[#This Row],[Precio por kg]]-Tabla2[[#This Row],[Costos (En RD$/Tarea)]])</f>
        <v>-3265.77383086948</v>
      </c>
      <c r="O311" s="9" t="n">
        <f aca="false">IF(Tabla2[[#This Row],[Costos (En RD$/Tarea)]]=0,0,Tabla2[[#This Row],[Beneficio Neto  (En RD$/Tarea)]]/Tabla2[[#This Row],[Costos (En RD$/Tarea)]])</f>
        <v>-0.9022820616527</v>
      </c>
      <c r="P311" s="7" t="n">
        <f aca="false">Tabla2[[#This Row],[Rentabilidad (%)]]/12</f>
        <v>-0.0751901718043917</v>
      </c>
    </row>
    <row r="312" customFormat="false" ht="14.25" hidden="false" customHeight="false" outlineLevel="0" collapsed="false">
      <c r="A312" s="1" t="n">
        <v>37288</v>
      </c>
      <c r="B312" s="2" t="s">
        <v>30</v>
      </c>
      <c r="C312" s="3" t="n">
        <v>250801</v>
      </c>
      <c r="D312" s="3" t="s">
        <v>31</v>
      </c>
      <c r="E312" s="3" t="n">
        <f aca="false">IF(Tabla2[[#This Row],[Frecuencia]]="Annual", Tabla2[[#This Row],[Cosecha/Tarea]]/12,Tabla2[[#This Row],[Cosecha/Tarea]])</f>
        <v>20900.0833333333</v>
      </c>
      <c r="F312" s="3" t="n">
        <v>1496606</v>
      </c>
      <c r="G312" s="2" t="s">
        <v>32</v>
      </c>
      <c r="H312" s="2" t="n">
        <f aca="false">F312/Tabla2[[#This Row],[Cosecha Mensual]]</f>
        <v>71.6076570667581</v>
      </c>
      <c r="I312" s="2" t="n">
        <f aca="false">H312*_xlfn.XLOOKUP(Tabla2[[#This Row],[Unidad de producción]],Tabla3[Medida],Tabla3[Equivalencia en Kg],"ELVIS",0)</f>
        <v>1948.44434878649</v>
      </c>
      <c r="J312" s="2" t="n">
        <v>27.8333333333333</v>
      </c>
      <c r="K312" s="2" t="s">
        <v>32</v>
      </c>
      <c r="L312" s="2" t="n">
        <f aca="false">J312/_xlfn.XLOOKUP(Tabla2[[#This Row],[Unidad de precio]],Tabla3[Medida],Tabla3[Equivalencia en Kg],"ELVIS",0)</f>
        <v>1.02290824451795</v>
      </c>
      <c r="M312" s="3" t="n">
        <v>3727.21</v>
      </c>
      <c r="N312" s="3" t="n">
        <f aca="false">(Tabla2[[#This Row],[Productividad (kg/TAS)]]*Tabla2[[#This Row],[Precio por kg]]-Tabla2[[#This Row],[Costos (En RD$/Tarea)]])</f>
        <v>-1734.1302116419</v>
      </c>
      <c r="O312" s="9" t="n">
        <f aca="false">IF(Tabla2[[#This Row],[Costos (En RD$/Tarea)]]=0,0,Tabla2[[#This Row],[Beneficio Neto  (En RD$/Tarea)]]/Tabla2[[#This Row],[Costos (En RD$/Tarea)]])</f>
        <v>-0.465262277049563</v>
      </c>
      <c r="P312" s="7" t="n">
        <f aca="false">Tabla2[[#This Row],[Rentabilidad (%)]]/12</f>
        <v>-0.0387718564207969</v>
      </c>
    </row>
    <row r="313" customFormat="false" ht="14.25" hidden="false" customHeight="false" outlineLevel="0" collapsed="false">
      <c r="A313" s="1" t="n">
        <v>37288</v>
      </c>
      <c r="B313" s="2" t="s">
        <v>33</v>
      </c>
      <c r="C313" s="3" t="n">
        <v>668706</v>
      </c>
      <c r="D313" s="3" t="s">
        <v>31</v>
      </c>
      <c r="E313" s="3" t="n">
        <f aca="false">IF(Tabla2[[#This Row],[Frecuencia]]="Annual", Tabla2[[#This Row],[Cosecha/Tarea]]/12,Tabla2[[#This Row],[Cosecha/Tarea]])</f>
        <v>55725.5</v>
      </c>
      <c r="F313" s="3" t="n">
        <v>97297</v>
      </c>
      <c r="G313" s="2" t="s">
        <v>34</v>
      </c>
      <c r="H313" s="2" t="n">
        <f aca="false">F313/Tabla2[[#This Row],[Cosecha Mensual]]</f>
        <v>1.74600497079434</v>
      </c>
      <c r="I313" s="2" t="n">
        <f aca="false">H313*_xlfn.XLOOKUP(Tabla2[[#This Row],[Unidad de producción]],Tabla3[Medida],Tabla3[Equivalencia en Kg],"ELVIS",0)</f>
        <v>712.63192882971</v>
      </c>
      <c r="J313" s="2" t="n">
        <v>1169.89106666667</v>
      </c>
      <c r="K313" s="2" t="s">
        <v>34</v>
      </c>
      <c r="L313" s="2" t="n">
        <f aca="false">J313/_xlfn.XLOOKUP(Tabla2[[#This Row],[Unidad de precio]],Tabla3[Medida],Tabla3[Equivalencia en Kg],"ELVIS",0)</f>
        <v>2.86632626893708</v>
      </c>
      <c r="M313" s="3" t="n">
        <v>3949.84</v>
      </c>
      <c r="N313" s="3" t="n">
        <f aca="false">(Tabla2[[#This Row],[Productividad (kg/TAS)]]*Tabla2[[#This Row],[Precio por kg]]-Tabla2[[#This Row],[Costos (En RD$/Tarea)]])</f>
        <v>-1907.2043823121</v>
      </c>
      <c r="O313" s="9" t="n">
        <f aca="false">IF(Tabla2[[#This Row],[Costos (En RD$/Tarea)]]=0,0,Tabla2[[#This Row],[Beneficio Neto  (En RD$/Tarea)]]/Tabla2[[#This Row],[Costos (En RD$/Tarea)]])</f>
        <v>-0.482856111212632</v>
      </c>
      <c r="P313" s="7" t="n">
        <f aca="false">Tabla2[[#This Row],[Rentabilidad (%)]]/12</f>
        <v>-0.0402380092677193</v>
      </c>
    </row>
    <row r="314" customFormat="false" ht="14.25" hidden="false" customHeight="false" outlineLevel="0" collapsed="false">
      <c r="A314" s="1" t="n">
        <v>37316</v>
      </c>
      <c r="B314" s="2" t="s">
        <v>16</v>
      </c>
      <c r="C314" s="3" t="n">
        <v>6440</v>
      </c>
      <c r="D314" s="8" t="s">
        <v>17</v>
      </c>
      <c r="E314" s="3" t="n">
        <f aca="false">IF(Tabla2[[#This Row],[Frecuencia]]="Annual", Tabla2[[#This Row],[Cosecha/Tarea]]/12,Tabla2[[#This Row],[Cosecha/Tarea]])</f>
        <v>6440</v>
      </c>
      <c r="F314" s="3" t="n">
        <v>20308</v>
      </c>
      <c r="G314" s="2" t="s">
        <v>18</v>
      </c>
      <c r="H314" s="2" t="n">
        <f aca="false">F314/Tabla2[[#This Row],[Cosecha Mensual]]</f>
        <v>3.15341614906832</v>
      </c>
      <c r="I314" s="2" t="n">
        <f aca="false">H314*_xlfn.XLOOKUP(Tabla2[[#This Row],[Unidad de producción]],Tabla3[Medida],Tabla3[Equivalencia en Kg],"ELVIS",0)</f>
        <v>143.038956521739</v>
      </c>
      <c r="J314" s="2" t="n">
        <v>821.914191419142</v>
      </c>
      <c r="K314" s="2" t="s">
        <v>19</v>
      </c>
      <c r="L314" s="2" t="n">
        <f aca="false">J314/_xlfn.XLOOKUP(Tabla2[[#This Row],[Unidad de precio]],Tabla3[Medida],Tabla3[Equivalencia en Kg],"ELVIS",0)</f>
        <v>7.47194719471947</v>
      </c>
      <c r="M314" s="2" t="n">
        <v>1921.06</v>
      </c>
      <c r="N314" s="3" t="n">
        <f aca="false">(Tabla2[[#This Row],[Productividad (kg/TAS)]]*Tabla2[[#This Row],[Precio por kg]]-Tabla2[[#This Row],[Costos (En RD$/Tarea)]])</f>
        <v>-852.280470081791</v>
      </c>
      <c r="O314" s="9" t="n">
        <f aca="false">IF(Tabla2[[#This Row],[Costos (En RD$/Tarea)]]=0,0,Tabla2[[#This Row],[Beneficio Neto  (En RD$/Tarea)]]/Tabla2[[#This Row],[Costos (En RD$/Tarea)]])</f>
        <v>-0.443651145764209</v>
      </c>
      <c r="P314" s="7" t="n">
        <f aca="false">Tabla2[[#This Row],[Rentabilidad (%)]]/12</f>
        <v>-0.0369709288136841</v>
      </c>
    </row>
    <row r="315" customFormat="false" ht="14.25" hidden="false" customHeight="false" outlineLevel="0" collapsed="false">
      <c r="A315" s="1" t="n">
        <v>37316</v>
      </c>
      <c r="B315" s="2" t="s">
        <v>20</v>
      </c>
      <c r="C315" s="3" t="n">
        <v>25926</v>
      </c>
      <c r="D315" s="8" t="s">
        <v>17</v>
      </c>
      <c r="E315" s="3" t="n">
        <f aca="false">IF(Tabla2[[#This Row],[Frecuencia]]="Annual", Tabla2[[#This Row],[Cosecha/Tarea]]/12,Tabla2[[#This Row],[Cosecha/Tarea]])</f>
        <v>25926</v>
      </c>
      <c r="F315" s="3" t="n">
        <v>52980</v>
      </c>
      <c r="G315" s="2" t="s">
        <v>18</v>
      </c>
      <c r="H315" s="2" t="n">
        <f aca="false">F315/Tabla2[[#This Row],[Cosecha Mensual]]</f>
        <v>2.04350844711872</v>
      </c>
      <c r="I315" s="2" t="n">
        <f aca="false">H315*_xlfn.XLOOKUP(Tabla2[[#This Row],[Unidad de producción]],Tabla3[Medida],Tabla3[Equivalencia en Kg],"ELVIS",0)</f>
        <v>92.6935431613053</v>
      </c>
      <c r="J315" s="2" t="n">
        <v>117.7414425</v>
      </c>
      <c r="K315" s="2" t="s">
        <v>18</v>
      </c>
      <c r="L315" s="2" t="n">
        <f aca="false">J315/_xlfn.XLOOKUP(Tabla2[[#This Row],[Unidad de precio]],Tabla3[Medida],Tabla3[Equivalencia en Kg],"ELVIS",0)</f>
        <v>2.59571081349206</v>
      </c>
      <c r="M315" s="2" t="n">
        <v>531.935</v>
      </c>
      <c r="N315" s="3" t="n">
        <f aca="false">(Tabla2[[#This Row],[Productividad (kg/TAS)]]*Tabla2[[#This Row],[Precio por kg]]-Tabla2[[#This Row],[Costos (En RD$/Tarea)]])</f>
        <v>-291.329367675307</v>
      </c>
      <c r="O315" s="9" t="n">
        <f aca="false">IF(Tabla2[[#This Row],[Costos (En RD$/Tarea)]]=0,0,Tabla2[[#This Row],[Beneficio Neto  (En RD$/Tarea)]]/Tabla2[[#This Row],[Costos (En RD$/Tarea)]])</f>
        <v>-0.547678508981937</v>
      </c>
      <c r="P315" s="7" t="n">
        <f aca="false">Tabla2[[#This Row],[Rentabilidad (%)]]/12</f>
        <v>-0.0456398757484947</v>
      </c>
    </row>
    <row r="316" customFormat="false" ht="14.25" hidden="false" customHeight="false" outlineLevel="0" collapsed="false">
      <c r="A316" s="1" t="n">
        <v>37316</v>
      </c>
      <c r="B316" s="2" t="s">
        <v>21</v>
      </c>
      <c r="C316" s="3" t="n">
        <v>7671</v>
      </c>
      <c r="D316" s="8" t="s">
        <v>17</v>
      </c>
      <c r="E316" s="3" t="n">
        <f aca="false">IF(Tabla2[[#This Row],[Frecuencia]]="Annual", Tabla2[[#This Row],[Cosecha/Tarea]]/12,Tabla2[[#This Row],[Cosecha/Tarea]])</f>
        <v>7671</v>
      </c>
      <c r="F316" s="3" t="n">
        <v>61537</v>
      </c>
      <c r="G316" s="2" t="s">
        <v>18</v>
      </c>
      <c r="H316" s="2" t="n">
        <f aca="false">F316/Tabla2[[#This Row],[Cosecha Mensual]]</f>
        <v>8.02203102594186</v>
      </c>
      <c r="I316" s="2" t="n">
        <f aca="false">H316*_xlfn.XLOOKUP(Tabla2[[#This Row],[Unidad de producción]],Tabla3[Medida],Tabla3[Equivalencia en Kg],"ELVIS",0)</f>
        <v>363.879327336723</v>
      </c>
      <c r="J316" s="2" t="n">
        <v>147.031428571429</v>
      </c>
      <c r="K316" s="2" t="s">
        <v>18</v>
      </c>
      <c r="L316" s="2" t="n">
        <f aca="false">J316/_xlfn.XLOOKUP(Tabla2[[#This Row],[Unidad de precio]],Tabla3[Medida],Tabla3[Equivalencia en Kg],"ELVIS",0)</f>
        <v>3.24143361048124</v>
      </c>
      <c r="M316" s="2" t="n">
        <v>945.93</v>
      </c>
      <c r="N316" s="3" t="n">
        <f aca="false">(Tabla2[[#This Row],[Productividad (kg/TAS)]]*Tabla2[[#This Row],[Precio por kg]]-Tabla2[[#This Row],[Costos (En RD$/Tarea)]])</f>
        <v>233.560681788558</v>
      </c>
      <c r="O316" s="9" t="n">
        <f aca="false">IF(Tabla2[[#This Row],[Costos (En RD$/Tarea)]]=0,0,Tabla2[[#This Row],[Beneficio Neto  (En RD$/Tarea)]]/Tabla2[[#This Row],[Costos (En RD$/Tarea)]])</f>
        <v>0.246911168679033</v>
      </c>
      <c r="P316" s="7" t="n">
        <f aca="false">Tabla2[[#This Row],[Rentabilidad (%)]]/12</f>
        <v>0.0205759307232528</v>
      </c>
    </row>
    <row r="317" customFormat="false" ht="14.25" hidden="false" customHeight="false" outlineLevel="0" collapsed="false">
      <c r="A317" s="1" t="n">
        <v>37316</v>
      </c>
      <c r="B317" s="2" t="s">
        <v>22</v>
      </c>
      <c r="C317" s="3" t="n">
        <v>3823</v>
      </c>
      <c r="D317" s="8" t="s">
        <v>17</v>
      </c>
      <c r="E317" s="3" t="n">
        <f aca="false">IF(Tabla2[[#This Row],[Frecuencia]]="Annual", Tabla2[[#This Row],[Cosecha/Tarea]]/12,Tabla2[[#This Row],[Cosecha/Tarea]])</f>
        <v>3823</v>
      </c>
      <c r="F317" s="3" t="n">
        <v>34906</v>
      </c>
      <c r="G317" s="2" t="s">
        <v>18</v>
      </c>
      <c r="H317" s="2" t="n">
        <f aca="false">F317/Tabla2[[#This Row],[Cosecha Mensual]]</f>
        <v>9.13052576510594</v>
      </c>
      <c r="I317" s="2" t="n">
        <f aca="false">H317*_xlfn.XLOOKUP(Tabla2[[#This Row],[Unidad de producción]],Tabla3[Medida],Tabla3[Equivalencia en Kg],"ELVIS",0)</f>
        <v>414.160648705205</v>
      </c>
      <c r="J317" s="2" t="n">
        <v>320.357142857143</v>
      </c>
      <c r="K317" s="2" t="s">
        <v>18</v>
      </c>
      <c r="L317" s="2" t="n">
        <f aca="false">J317/_xlfn.XLOOKUP(Tabla2[[#This Row],[Unidad de precio]],Tabla3[Medida],Tabla3[Equivalencia en Kg],"ELVIS",0)</f>
        <v>7.06254724111867</v>
      </c>
      <c r="M317" s="2" t="n">
        <v>2751.22</v>
      </c>
      <c r="N317" s="3" t="n">
        <f aca="false">(Tabla2[[#This Row],[Productividad (kg/TAS)]]*Tabla2[[#This Row],[Precio por kg]]-Tabla2[[#This Row],[Costos (En RD$/Tarea)]])</f>
        <v>173.809146892868</v>
      </c>
      <c r="O317" s="9" t="n">
        <f aca="false">IF(Tabla2[[#This Row],[Costos (En RD$/Tarea)]]=0,0,Tabla2[[#This Row],[Beneficio Neto  (En RD$/Tarea)]]/Tabla2[[#This Row],[Costos (En RD$/Tarea)]])</f>
        <v>0.0631752992828157</v>
      </c>
      <c r="P317" s="7" t="n">
        <f aca="false">Tabla2[[#This Row],[Rentabilidad (%)]]/12</f>
        <v>0.00526460827356798</v>
      </c>
    </row>
    <row r="318" customFormat="false" ht="14.25" hidden="false" customHeight="false" outlineLevel="0" collapsed="false">
      <c r="A318" s="1" t="n">
        <v>37316</v>
      </c>
      <c r="B318" s="2" t="s">
        <v>23</v>
      </c>
      <c r="C318" s="3" t="n">
        <v>2620</v>
      </c>
      <c r="D318" s="8" t="s">
        <v>17</v>
      </c>
      <c r="E318" s="3" t="n">
        <f aca="false">IF(Tabla2[[#This Row],[Frecuencia]]="Annual", Tabla2[[#This Row],[Cosecha/Tarea]]/12,Tabla2[[#This Row],[Cosecha/Tarea]])</f>
        <v>2620</v>
      </c>
      <c r="F318" s="3" t="n">
        <v>51603</v>
      </c>
      <c r="G318" s="2" t="s">
        <v>18</v>
      </c>
      <c r="H318" s="2" t="n">
        <f aca="false">F318/Tabla2[[#This Row],[Cosecha Mensual]]</f>
        <v>19.6958015267176</v>
      </c>
      <c r="I318" s="2" t="n">
        <f aca="false">H318*_xlfn.XLOOKUP(Tabla2[[#This Row],[Unidad de producción]],Tabla3[Medida],Tabla3[Equivalencia en Kg],"ELVIS",0)</f>
        <v>893.401557251908</v>
      </c>
      <c r="J318" s="2" t="n">
        <v>222.5475</v>
      </c>
      <c r="K318" s="2" t="s">
        <v>18</v>
      </c>
      <c r="L318" s="2" t="n">
        <f aca="false">J318/_xlfn.XLOOKUP(Tabla2[[#This Row],[Unidad de precio]],Tabla3[Medida],Tabla3[Equivalencia en Kg],"ELVIS",0)</f>
        <v>4.90625</v>
      </c>
      <c r="M318" s="2" t="n">
        <v>5786.34</v>
      </c>
      <c r="N318" s="3" t="n">
        <f aca="false">(Tabla2[[#This Row],[Productividad (kg/TAS)]]*Tabla2[[#This Row],[Precio por kg]]-Tabla2[[#This Row],[Costos (En RD$/Tarea)]])</f>
        <v>-1403.08860973282</v>
      </c>
      <c r="O318" s="9" t="n">
        <f aca="false">IF(Tabla2[[#This Row],[Costos (En RD$/Tarea)]]=0,0,Tabla2[[#This Row],[Beneficio Neto  (En RD$/Tarea)]]/Tabla2[[#This Row],[Costos (En RD$/Tarea)]])</f>
        <v>-0.242482918344381</v>
      </c>
      <c r="P318" s="7" t="n">
        <f aca="false">Tabla2[[#This Row],[Rentabilidad (%)]]/12</f>
        <v>-0.0202069098620317</v>
      </c>
    </row>
    <row r="319" customFormat="false" ht="14.25" hidden="false" customHeight="false" outlineLevel="0" collapsed="false">
      <c r="A319" s="1" t="n">
        <v>37316</v>
      </c>
      <c r="B319" s="2" t="s">
        <v>24</v>
      </c>
      <c r="C319" s="3" t="n">
        <v>9046</v>
      </c>
      <c r="D319" s="8" t="s">
        <v>17</v>
      </c>
      <c r="E319" s="3" t="n">
        <f aca="false">IF(Tabla2[[#This Row],[Frecuencia]]="Annual", Tabla2[[#This Row],[Cosecha/Tarea]]/12,Tabla2[[#This Row],[Cosecha/Tarea]])</f>
        <v>9046</v>
      </c>
      <c r="F319" s="3" t="n">
        <v>113200</v>
      </c>
      <c r="G319" s="2" t="s">
        <v>18</v>
      </c>
      <c r="H319" s="2" t="n">
        <f aca="false">F319/Tabla2[[#This Row],[Cosecha Mensual]]</f>
        <v>12.5138182622153</v>
      </c>
      <c r="I319" s="2" t="n">
        <f aca="false">H319*_xlfn.XLOOKUP(Tabla2[[#This Row],[Unidad de producción]],Tabla3[Medida],Tabla3[Equivalencia en Kg],"ELVIS",0)</f>
        <v>567.626796374088</v>
      </c>
      <c r="J319" s="2" t="n">
        <v>424.188333333333</v>
      </c>
      <c r="K319" s="2" t="s">
        <v>18</v>
      </c>
      <c r="L319" s="2" t="n">
        <f aca="false">J319/_xlfn.XLOOKUP(Tabla2[[#This Row],[Unidad de precio]],Tabla3[Medida],Tabla3[Equivalencia en Kg],"ELVIS",0)</f>
        <v>9.35159465020576</v>
      </c>
      <c r="M319" s="2" t="n">
        <v>1994.96</v>
      </c>
      <c r="N319" s="3" t="n">
        <f aca="false">(Tabla2[[#This Row],[Productividad (kg/TAS)]]*Tabla2[[#This Row],[Precio por kg]]-Tabla2[[#This Row],[Costos (En RD$/Tarea)]])</f>
        <v>3313.25571228535</v>
      </c>
      <c r="O319" s="9" t="n">
        <f aca="false">IF(Tabla2[[#This Row],[Costos (En RD$/Tarea)]]=0,0,Tabla2[[#This Row],[Beneficio Neto  (En RD$/Tarea)]]/Tabla2[[#This Row],[Costos (En RD$/Tarea)]])</f>
        <v>1.6608131051677</v>
      </c>
      <c r="P319" s="7" t="n">
        <f aca="false">Tabla2[[#This Row],[Rentabilidad (%)]]/12</f>
        <v>0.138401092097308</v>
      </c>
    </row>
    <row r="320" customFormat="false" ht="14.25" hidden="false" customHeight="false" outlineLevel="0" collapsed="false">
      <c r="A320" s="1" t="n">
        <v>37316</v>
      </c>
      <c r="B320" s="2" t="s">
        <v>25</v>
      </c>
      <c r="C320" s="3" t="n">
        <v>20766</v>
      </c>
      <c r="D320" s="8" t="s">
        <v>17</v>
      </c>
      <c r="E320" s="3" t="n">
        <f aca="false">IF(Tabla2[[#This Row],[Frecuencia]]="Annual", Tabla2[[#This Row],[Cosecha/Tarea]]/12,Tabla2[[#This Row],[Cosecha/Tarea]])</f>
        <v>20766</v>
      </c>
      <c r="F320" s="3" t="n">
        <v>194928</v>
      </c>
      <c r="G320" s="2" t="s">
        <v>18</v>
      </c>
      <c r="H320" s="2" t="n">
        <f aca="false">F320/Tabla2[[#This Row],[Cosecha Mensual]]</f>
        <v>9.3868824039295</v>
      </c>
      <c r="I320" s="2" t="n">
        <f aca="false">H320*_xlfn.XLOOKUP(Tabla2[[#This Row],[Unidad de producción]],Tabla3[Medida],Tabla3[Equivalencia en Kg],"ELVIS",0)</f>
        <v>425.788985842242</v>
      </c>
      <c r="J320" s="2" t="n">
        <v>90.5430625</v>
      </c>
      <c r="K320" s="2" t="s">
        <v>18</v>
      </c>
      <c r="L320" s="2" t="n">
        <f aca="false">J320/_xlfn.XLOOKUP(Tabla2[[#This Row],[Unidad de precio]],Tabla3[Medida],Tabla3[Equivalencia en Kg],"ELVIS",0)</f>
        <v>1.99609926146384</v>
      </c>
      <c r="M320" s="2" t="n">
        <v>966.8</v>
      </c>
      <c r="N320" s="3" t="n">
        <f aca="false">(Tabla2[[#This Row],[Productividad (kg/TAS)]]*Tabla2[[#This Row],[Precio por kg]]-Tabla2[[#This Row],[Costos (En RD$/Tarea)]])</f>
        <v>-116.882919820861</v>
      </c>
      <c r="O320" s="9" t="n">
        <f aca="false">IF(Tabla2[[#This Row],[Costos (En RD$/Tarea)]]=0,0,Tabla2[[#This Row],[Beneficio Neto  (En RD$/Tarea)]]/Tabla2[[#This Row],[Costos (En RD$/Tarea)]])</f>
        <v>-0.120896689926418</v>
      </c>
      <c r="P320" s="7" t="n">
        <f aca="false">Tabla2[[#This Row],[Rentabilidad (%)]]/12</f>
        <v>-0.0100747241605348</v>
      </c>
    </row>
    <row r="321" customFormat="false" ht="14.25" hidden="false" customHeight="false" outlineLevel="0" collapsed="false">
      <c r="A321" s="1" t="n">
        <v>37316</v>
      </c>
      <c r="B321" s="2" t="s">
        <v>26</v>
      </c>
      <c r="C321" s="3" t="n">
        <v>6782</v>
      </c>
      <c r="D321" s="8" t="s">
        <v>17</v>
      </c>
      <c r="E321" s="3" t="n">
        <f aca="false">IF(Tabla2[[#This Row],[Frecuencia]]="Annual", Tabla2[[#This Row],[Cosecha/Tarea]]/12,Tabla2[[#This Row],[Cosecha/Tarea]])</f>
        <v>6782</v>
      </c>
      <c r="F321" s="3" t="n">
        <v>34627</v>
      </c>
      <c r="G321" s="2" t="s">
        <v>18</v>
      </c>
      <c r="H321" s="2" t="n">
        <f aca="false">F321/Tabla2[[#This Row],[Cosecha Mensual]]</f>
        <v>5.10572102624595</v>
      </c>
      <c r="I321" s="2" t="n">
        <f aca="false">H321*_xlfn.XLOOKUP(Tabla2[[#This Row],[Unidad de producción]],Tabla3[Medida],Tabla3[Equivalencia en Kg],"ELVIS",0)</f>
        <v>231.595505750516</v>
      </c>
      <c r="J321" s="2" t="n">
        <v>186.458333333333</v>
      </c>
      <c r="K321" s="2" t="s">
        <v>18</v>
      </c>
      <c r="L321" s="2" t="n">
        <f aca="false">J321/_xlfn.XLOOKUP(Tabla2[[#This Row],[Unidad de precio]],Tabla3[Medida],Tabla3[Equivalencia en Kg],"ELVIS",0)</f>
        <v>4.11063345091122</v>
      </c>
      <c r="M321" s="2" t="n">
        <v>360.52</v>
      </c>
      <c r="N321" s="3" t="n">
        <f aca="false">(Tabla2[[#This Row],[Productividad (kg/TAS)]]*Tabla2[[#This Row],[Precio por kg]]-Tabla2[[#This Row],[Costos (En RD$/Tarea)]])</f>
        <v>591.484233018773</v>
      </c>
      <c r="O321" s="9" t="n">
        <f aca="false">IF(Tabla2[[#This Row],[Costos (En RD$/Tarea)]]=0,0,Tabla2[[#This Row],[Beneficio Neto  (En RD$/Tarea)]]/Tabla2[[#This Row],[Costos (En RD$/Tarea)]])</f>
        <v>1.64064194224668</v>
      </c>
      <c r="P321" s="7" t="n">
        <f aca="false">Tabla2[[#This Row],[Rentabilidad (%)]]/12</f>
        <v>0.13672016185389</v>
      </c>
    </row>
    <row r="322" customFormat="false" ht="14.25" hidden="false" customHeight="false" outlineLevel="0" collapsed="false">
      <c r="A322" s="1" t="n">
        <v>37316</v>
      </c>
      <c r="B322" s="2" t="s">
        <v>27</v>
      </c>
      <c r="C322" s="3" t="n">
        <v>3828</v>
      </c>
      <c r="D322" s="8" t="s">
        <v>17</v>
      </c>
      <c r="E322" s="3" t="n">
        <f aca="false">IF(Tabla2[[#This Row],[Frecuencia]]="Annual", Tabla2[[#This Row],[Cosecha/Tarea]]/12,Tabla2[[#This Row],[Cosecha/Tarea]])</f>
        <v>3828</v>
      </c>
      <c r="F322" s="3" t="n">
        <v>38827</v>
      </c>
      <c r="G322" s="2" t="s">
        <v>18</v>
      </c>
      <c r="H322" s="2" t="n">
        <f aca="false">F322/Tabla2[[#This Row],[Cosecha Mensual]]</f>
        <v>10.14289446186</v>
      </c>
      <c r="I322" s="2" t="n">
        <f aca="false">H322*_xlfn.XLOOKUP(Tabla2[[#This Row],[Unidad de producción]],Tabla3[Medida],Tabla3[Equivalencia en Kg],"ELVIS",0)</f>
        <v>460.081692789969</v>
      </c>
      <c r="J322" s="2" t="n">
        <v>185.261428571429</v>
      </c>
      <c r="K322" s="2" t="s">
        <v>18</v>
      </c>
      <c r="L322" s="2" t="n">
        <f aca="false">J322/_xlfn.XLOOKUP(Tabla2[[#This Row],[Unidad de precio]],Tabla3[Medida],Tabla3[Equivalencia en Kg],"ELVIS",0)</f>
        <v>4.08424666162762</v>
      </c>
      <c r="M322" s="2" t="n">
        <v>2321.75</v>
      </c>
      <c r="N322" s="3" t="n">
        <f aca="false">(Tabla2[[#This Row],[Productividad (kg/TAS)]]*Tabla2[[#This Row],[Precio por kg]]-Tabla2[[#This Row],[Costos (En RD$/Tarea)]])</f>
        <v>-442.662882146585</v>
      </c>
      <c r="O322" s="9" t="n">
        <f aca="false">IF(Tabla2[[#This Row],[Costos (En RD$/Tarea)]]=0,0,Tabla2[[#This Row],[Beneficio Neto  (En RD$/Tarea)]]/Tabla2[[#This Row],[Costos (En RD$/Tarea)]])</f>
        <v>-0.190659150273106</v>
      </c>
      <c r="P322" s="7" t="n">
        <f aca="false">Tabla2[[#This Row],[Rentabilidad (%)]]/12</f>
        <v>-0.0158882625227589</v>
      </c>
    </row>
    <row r="323" customFormat="false" ht="14.25" hidden="false" customHeight="false" outlineLevel="0" collapsed="false">
      <c r="A323" s="1" t="n">
        <v>37316</v>
      </c>
      <c r="B323" s="2" t="s">
        <v>28</v>
      </c>
      <c r="C323" s="3" t="n">
        <v>1810</v>
      </c>
      <c r="D323" s="8" t="s">
        <v>17</v>
      </c>
      <c r="E323" s="3" t="n">
        <f aca="false">IF(Tabla2[[#This Row],[Frecuencia]]="Annual", Tabla2[[#This Row],[Cosecha/Tarea]]/12,Tabla2[[#This Row],[Cosecha/Tarea]])</f>
        <v>1810</v>
      </c>
      <c r="F323" s="3" t="n">
        <v>1529</v>
      </c>
      <c r="G323" s="2" t="s">
        <v>18</v>
      </c>
      <c r="H323" s="2" t="n">
        <f aca="false">F323/Tabla2[[#This Row],[Cosecha Mensual]]</f>
        <v>0.84475138121547</v>
      </c>
      <c r="I323" s="2" t="n">
        <f aca="false">H323*_xlfn.XLOOKUP(Tabla2[[#This Row],[Unidad de producción]],Tabla3[Medida],Tabla3[Equivalencia en Kg],"ELVIS",0)</f>
        <v>38.3179226519337</v>
      </c>
      <c r="J323" s="2" t="n">
        <v>5750</v>
      </c>
      <c r="K323" s="2" t="s">
        <v>29</v>
      </c>
      <c r="L323" s="2" t="n">
        <f aca="false">J323/_xlfn.XLOOKUP(Tabla2[[#This Row],[Unidad de precio]],Tabla3[Medida],Tabla3[Equivalencia en Kg],"ELVIS",0)</f>
        <v>10.2251307038446</v>
      </c>
      <c r="M323" s="2" t="n">
        <v>3619.46</v>
      </c>
      <c r="N323" s="3" t="n">
        <f aca="false">(Tabla2[[#This Row],[Productividad (kg/TAS)]]*Tabla2[[#This Row],[Precio por kg]]-Tabla2[[#This Row],[Costos (En RD$/Tarea)]])</f>
        <v>-3227.65423258417</v>
      </c>
      <c r="O323" s="9" t="n">
        <f aca="false">IF(Tabla2[[#This Row],[Costos (En RD$/Tarea)]]=0,0,Tabla2[[#This Row],[Beneficio Neto  (En RD$/Tarea)]]/Tabla2[[#This Row],[Costos (En RD$/Tarea)]])</f>
        <v>-0.891750214834304</v>
      </c>
      <c r="P323" s="7" t="n">
        <f aca="false">Tabla2[[#This Row],[Rentabilidad (%)]]/12</f>
        <v>-0.0743125179028586</v>
      </c>
    </row>
    <row r="324" customFormat="false" ht="14.25" hidden="false" customHeight="false" outlineLevel="0" collapsed="false">
      <c r="A324" s="1" t="n">
        <v>37316</v>
      </c>
      <c r="B324" s="2" t="s">
        <v>30</v>
      </c>
      <c r="C324" s="3" t="n">
        <v>249265</v>
      </c>
      <c r="D324" s="3" t="s">
        <v>31</v>
      </c>
      <c r="E324" s="3" t="n">
        <f aca="false">IF(Tabla2[[#This Row],[Frecuencia]]="Annual", Tabla2[[#This Row],[Cosecha/Tarea]]/12,Tabla2[[#This Row],[Cosecha/Tarea]])</f>
        <v>20772.0833333333</v>
      </c>
      <c r="F324" s="3" t="n">
        <v>1547694</v>
      </c>
      <c r="G324" s="2" t="s">
        <v>32</v>
      </c>
      <c r="H324" s="2" t="n">
        <f aca="false">F324/Tabla2[[#This Row],[Cosecha Mensual]]</f>
        <v>74.5083665977975</v>
      </c>
      <c r="I324" s="2" t="n">
        <f aca="false">H324*_xlfn.XLOOKUP(Tabla2[[#This Row],[Unidad de producción]],Tabla3[Medida],Tabla3[Equivalencia en Kg],"ELVIS",0)</f>
        <v>2027.37265512607</v>
      </c>
      <c r="J324" s="2" t="n">
        <v>26.84875</v>
      </c>
      <c r="K324" s="2" t="s">
        <v>32</v>
      </c>
      <c r="L324" s="2" t="n">
        <f aca="false">J324/_xlfn.XLOOKUP(Tabla2[[#This Row],[Unidad de precio]],Tabla3[Medida],Tabla3[Equivalencia en Kg],"ELVIS",0)</f>
        <v>0.986723631018008</v>
      </c>
      <c r="M324" s="3" t="n">
        <v>3727.21</v>
      </c>
      <c r="N324" s="3" t="n">
        <f aca="false">(Tabla2[[#This Row],[Productividad (kg/TAS)]]*Tabla2[[#This Row],[Precio por kg]]-Tabla2[[#This Row],[Costos (En RD$/Tarea)]])</f>
        <v>-1726.75349230738</v>
      </c>
      <c r="O324" s="9" t="n">
        <f aca="false">IF(Tabla2[[#This Row],[Costos (En RD$/Tarea)]]=0,0,Tabla2[[#This Row],[Beneficio Neto  (En RD$/Tarea)]]/Tabla2[[#This Row],[Costos (En RD$/Tarea)]])</f>
        <v>-0.463283123920408</v>
      </c>
      <c r="P324" s="7" t="n">
        <f aca="false">Tabla2[[#This Row],[Rentabilidad (%)]]/12</f>
        <v>-0.0386069269933673</v>
      </c>
    </row>
    <row r="325" customFormat="false" ht="14.25" hidden="false" customHeight="false" outlineLevel="0" collapsed="false">
      <c r="A325" s="1" t="n">
        <v>37316</v>
      </c>
      <c r="B325" s="2" t="s">
        <v>33</v>
      </c>
      <c r="C325" s="3" t="n">
        <v>589136</v>
      </c>
      <c r="D325" s="3" t="s">
        <v>31</v>
      </c>
      <c r="E325" s="3" t="n">
        <f aca="false">IF(Tabla2[[#This Row],[Frecuencia]]="Annual", Tabla2[[#This Row],[Cosecha/Tarea]]/12,Tabla2[[#This Row],[Cosecha/Tarea]])</f>
        <v>49094.6666666667</v>
      </c>
      <c r="F325" s="3" t="n">
        <v>82750</v>
      </c>
      <c r="G325" s="2" t="s">
        <v>34</v>
      </c>
      <c r="H325" s="2" t="n">
        <f aca="false">F325/Tabla2[[#This Row],[Cosecha Mensual]]</f>
        <v>1.68551913310339</v>
      </c>
      <c r="I325" s="2" t="n">
        <f aca="false">H325*_xlfn.XLOOKUP(Tabla2[[#This Row],[Unidad de producción]],Tabla3[Medida],Tabla3[Equivalencia en Kg],"ELVIS",0)</f>
        <v>687.944634176149</v>
      </c>
      <c r="J325" s="2" t="n">
        <v>1231.83625</v>
      </c>
      <c r="K325" s="2" t="s">
        <v>34</v>
      </c>
      <c r="L325" s="2" t="n">
        <f aca="false">J325/_xlfn.XLOOKUP(Tabla2[[#This Row],[Unidad de precio]],Tabla3[Medida],Tabla3[Equivalencia en Kg],"ELVIS",0)</f>
        <v>3.01809690064927</v>
      </c>
      <c r="M325" s="3" t="n">
        <v>3949.84</v>
      </c>
      <c r="N325" s="3" t="n">
        <f aca="false">(Tabla2[[#This Row],[Productividad (kg/TAS)]]*Tabla2[[#This Row],[Precio por kg]]-Tabla2[[#This Row],[Costos (En RD$/Tarea)]])</f>
        <v>-1873.55643177467</v>
      </c>
      <c r="O325" s="9" t="n">
        <f aca="false">IF(Tabla2[[#This Row],[Costos (En RD$/Tarea)]]=0,0,Tabla2[[#This Row],[Beneficio Neto  (En RD$/Tarea)]]/Tabla2[[#This Row],[Costos (En RD$/Tarea)]])</f>
        <v>-0.474337297656276</v>
      </c>
      <c r="P325" s="7" t="n">
        <f aca="false">Tabla2[[#This Row],[Rentabilidad (%)]]/12</f>
        <v>-0.039528108138023</v>
      </c>
    </row>
    <row r="326" customFormat="false" ht="14.25" hidden="false" customHeight="false" outlineLevel="0" collapsed="false">
      <c r="A326" s="1" t="n">
        <v>37347</v>
      </c>
      <c r="B326" s="2" t="s">
        <v>16</v>
      </c>
      <c r="C326" s="3" t="n">
        <v>20146</v>
      </c>
      <c r="D326" s="8" t="s">
        <v>17</v>
      </c>
      <c r="E326" s="3" t="n">
        <f aca="false">IF(Tabla2[[#This Row],[Frecuencia]]="Annual", Tabla2[[#This Row],[Cosecha/Tarea]]/12,Tabla2[[#This Row],[Cosecha/Tarea]])</f>
        <v>20146</v>
      </c>
      <c r="F326" s="3" t="n">
        <v>86861</v>
      </c>
      <c r="G326" s="2" t="s">
        <v>18</v>
      </c>
      <c r="H326" s="2" t="n">
        <f aca="false">F326/Tabla2[[#This Row],[Cosecha Mensual]]</f>
        <v>4.31157549885834</v>
      </c>
      <c r="I326" s="2" t="n">
        <f aca="false">H326*_xlfn.XLOOKUP(Tabla2[[#This Row],[Unidad de producción]],Tabla3[Medida],Tabla3[Equivalencia en Kg],"ELVIS",0)</f>
        <v>195.573064628214</v>
      </c>
      <c r="J326" s="2" t="n">
        <v>757.68096809681</v>
      </c>
      <c r="K326" s="2" t="s">
        <v>19</v>
      </c>
      <c r="L326" s="2" t="n">
        <f aca="false">J326/_xlfn.XLOOKUP(Tabla2[[#This Row],[Unidad de precio]],Tabla3[Medida],Tabla3[Equivalencia en Kg],"ELVIS",0)</f>
        <v>6.88800880088009</v>
      </c>
      <c r="M326" s="2" t="n">
        <v>1921.06</v>
      </c>
      <c r="N326" s="3" t="n">
        <f aca="false">(Tabla2[[#This Row],[Productividad (kg/TAS)]]*Tabla2[[#This Row],[Precio por kg]]-Tabla2[[#This Row],[Costos (En RD$/Tarea)]])</f>
        <v>-573.951009625771</v>
      </c>
      <c r="O326" s="9" t="n">
        <f aca="false">IF(Tabla2[[#This Row],[Costos (En RD$/Tarea)]]=0,0,Tabla2[[#This Row],[Beneficio Neto  (En RD$/Tarea)]]/Tabla2[[#This Row],[Costos (En RD$/Tarea)]])</f>
        <v>-0.298767872750341</v>
      </c>
      <c r="P326" s="7" t="n">
        <f aca="false">Tabla2[[#This Row],[Rentabilidad (%)]]/12</f>
        <v>-0.0248973227291951</v>
      </c>
    </row>
    <row r="327" customFormat="false" ht="14.25" hidden="false" customHeight="false" outlineLevel="0" collapsed="false">
      <c r="A327" s="1" t="n">
        <v>37347</v>
      </c>
      <c r="B327" s="2" t="s">
        <v>20</v>
      </c>
      <c r="C327" s="3" t="n">
        <v>38796</v>
      </c>
      <c r="D327" s="8" t="s">
        <v>17</v>
      </c>
      <c r="E327" s="3" t="n">
        <f aca="false">IF(Tabla2[[#This Row],[Frecuencia]]="Annual", Tabla2[[#This Row],[Cosecha/Tarea]]/12,Tabla2[[#This Row],[Cosecha/Tarea]])</f>
        <v>38796</v>
      </c>
      <c r="F327" s="3" t="n">
        <v>92655</v>
      </c>
      <c r="G327" s="2" t="s">
        <v>18</v>
      </c>
      <c r="H327" s="2" t="n">
        <f aca="false">F327/Tabla2[[#This Row],[Cosecha Mensual]]</f>
        <v>2.38826167646149</v>
      </c>
      <c r="I327" s="2" t="n">
        <f aca="false">H327*_xlfn.XLOOKUP(Tabla2[[#This Row],[Unidad de producción]],Tabla3[Medida],Tabla3[Equivalencia en Kg],"ELVIS",0)</f>
        <v>108.331549644293</v>
      </c>
      <c r="J327" s="2" t="n">
        <v>107.693218285714</v>
      </c>
      <c r="K327" s="2" t="s">
        <v>18</v>
      </c>
      <c r="L327" s="2" t="n">
        <f aca="false">J327/_xlfn.XLOOKUP(Tabla2[[#This Row],[Unidad de precio]],Tabla3[Medida],Tabla3[Equivalencia en Kg],"ELVIS",0)</f>
        <v>2.37418911564625</v>
      </c>
      <c r="M327" s="2" t="n">
        <v>531.935</v>
      </c>
      <c r="N327" s="3" t="n">
        <f aca="false">(Tabla2[[#This Row],[Productividad (kg/TAS)]]*Tabla2[[#This Row],[Precio por kg]]-Tabla2[[#This Row],[Costos (En RD$/Tarea)]])</f>
        <v>-274.735413953427</v>
      </c>
      <c r="O327" s="9" t="n">
        <f aca="false">IF(Tabla2[[#This Row],[Costos (En RD$/Tarea)]]=0,0,Tabla2[[#This Row],[Beneficio Neto  (En RD$/Tarea)]]/Tabla2[[#This Row],[Costos (En RD$/Tarea)]])</f>
        <v>-0.516483055172958</v>
      </c>
      <c r="P327" s="7" t="n">
        <f aca="false">Tabla2[[#This Row],[Rentabilidad (%)]]/12</f>
        <v>-0.0430402545977465</v>
      </c>
    </row>
    <row r="328" customFormat="false" ht="14.25" hidden="false" customHeight="false" outlineLevel="0" collapsed="false">
      <c r="A328" s="1" t="n">
        <v>37347</v>
      </c>
      <c r="B328" s="2" t="s">
        <v>21</v>
      </c>
      <c r="C328" s="3" t="n">
        <v>13062</v>
      </c>
      <c r="D328" s="8" t="s">
        <v>17</v>
      </c>
      <c r="E328" s="3" t="n">
        <f aca="false">IF(Tabla2[[#This Row],[Frecuencia]]="Annual", Tabla2[[#This Row],[Cosecha/Tarea]]/12,Tabla2[[#This Row],[Cosecha/Tarea]])</f>
        <v>13062</v>
      </c>
      <c r="F328" s="3" t="n">
        <v>110151</v>
      </c>
      <c r="G328" s="2" t="s">
        <v>18</v>
      </c>
      <c r="H328" s="2" t="n">
        <f aca="false">F328/Tabla2[[#This Row],[Cosecha Mensual]]</f>
        <v>8.4329352319706</v>
      </c>
      <c r="I328" s="2" t="n">
        <f aca="false">H328*_xlfn.XLOOKUP(Tabla2[[#This Row],[Unidad de producción]],Tabla3[Medida],Tabla3[Equivalencia en Kg],"ELVIS",0)</f>
        <v>382.517942122186</v>
      </c>
      <c r="J328" s="2" t="n">
        <v>158.477142857143</v>
      </c>
      <c r="K328" s="2" t="s">
        <v>18</v>
      </c>
      <c r="L328" s="2" t="n">
        <f aca="false">J328/_xlfn.XLOOKUP(Tabla2[[#This Row],[Unidad de precio]],Tabla3[Medida],Tabla3[Equivalencia en Kg],"ELVIS",0)</f>
        <v>3.4937641723356</v>
      </c>
      <c r="M328" s="2" t="n">
        <v>945.93</v>
      </c>
      <c r="N328" s="3" t="n">
        <f aca="false">(Tabla2[[#This Row],[Productividad (kg/TAS)]]*Tabla2[[#This Row],[Precio por kg]]-Tabla2[[#This Row],[Costos (En RD$/Tarea)]])</f>
        <v>390.497481462039</v>
      </c>
      <c r="O328" s="9" t="n">
        <f aca="false">IF(Tabla2[[#This Row],[Costos (En RD$/Tarea)]]=0,0,Tabla2[[#This Row],[Beneficio Neto  (En RD$/Tarea)]]/Tabla2[[#This Row],[Costos (En RD$/Tarea)]])</f>
        <v>0.412818582201685</v>
      </c>
      <c r="P328" s="7" t="n">
        <f aca="false">Tabla2[[#This Row],[Rentabilidad (%)]]/12</f>
        <v>0.034401548516807</v>
      </c>
    </row>
    <row r="329" customFormat="false" ht="14.25" hidden="false" customHeight="false" outlineLevel="0" collapsed="false">
      <c r="A329" s="1" t="n">
        <v>37347</v>
      </c>
      <c r="B329" s="2" t="s">
        <v>22</v>
      </c>
      <c r="C329" s="3" t="n">
        <v>3031</v>
      </c>
      <c r="D329" s="8" t="s">
        <v>17</v>
      </c>
      <c r="E329" s="3" t="n">
        <f aca="false">IF(Tabla2[[#This Row],[Frecuencia]]="Annual", Tabla2[[#This Row],[Cosecha/Tarea]]/12,Tabla2[[#This Row],[Cosecha/Tarea]])</f>
        <v>3031</v>
      </c>
      <c r="F329" s="3" t="n">
        <v>26512</v>
      </c>
      <c r="G329" s="2" t="s">
        <v>18</v>
      </c>
      <c r="H329" s="2" t="n">
        <f aca="false">F329/Tabla2[[#This Row],[Cosecha Mensual]]</f>
        <v>8.74694820191356</v>
      </c>
      <c r="I329" s="2" t="n">
        <f aca="false">H329*_xlfn.XLOOKUP(Tabla2[[#This Row],[Unidad de producción]],Tabla3[Medida],Tabla3[Equivalencia en Kg],"ELVIS",0)</f>
        <v>396.761570438799</v>
      </c>
      <c r="J329" s="2" t="n">
        <v>407.625</v>
      </c>
      <c r="K329" s="2" t="s">
        <v>18</v>
      </c>
      <c r="L329" s="2" t="n">
        <f aca="false">J329/_xlfn.XLOOKUP(Tabla2[[#This Row],[Unidad de precio]],Tabla3[Medida],Tabla3[Equivalencia en Kg],"ELVIS",0)</f>
        <v>8.9864417989418</v>
      </c>
      <c r="M329" s="2" t="n">
        <v>2751.22</v>
      </c>
      <c r="N329" s="3" t="n">
        <f aca="false">(Tabla2[[#This Row],[Productividad (kg/TAS)]]*Tabla2[[#This Row],[Precio por kg]]-Tabla2[[#This Row],[Costos (En RD$/Tarea)]])</f>
        <v>814.254760805015</v>
      </c>
      <c r="O329" s="9" t="n">
        <f aca="false">IF(Tabla2[[#This Row],[Costos (En RD$/Tarea)]]=0,0,Tabla2[[#This Row],[Beneficio Neto  (En RD$/Tarea)]]/Tabla2[[#This Row],[Costos (En RD$/Tarea)]])</f>
        <v>0.295961341079599</v>
      </c>
      <c r="P329" s="7" t="n">
        <f aca="false">Tabla2[[#This Row],[Rentabilidad (%)]]/12</f>
        <v>0.0246634450899666</v>
      </c>
    </row>
    <row r="330" customFormat="false" ht="14.25" hidden="false" customHeight="false" outlineLevel="0" collapsed="false">
      <c r="A330" s="1" t="n">
        <v>37347</v>
      </c>
      <c r="B330" s="2" t="s">
        <v>23</v>
      </c>
      <c r="C330" s="3" t="n">
        <v>3391</v>
      </c>
      <c r="D330" s="8" t="s">
        <v>17</v>
      </c>
      <c r="E330" s="3" t="n">
        <f aca="false">IF(Tabla2[[#This Row],[Frecuencia]]="Annual", Tabla2[[#This Row],[Cosecha/Tarea]]/12,Tabla2[[#This Row],[Cosecha/Tarea]])</f>
        <v>3391</v>
      </c>
      <c r="F330" s="3" t="n">
        <v>64795</v>
      </c>
      <c r="G330" s="2" t="s">
        <v>18</v>
      </c>
      <c r="H330" s="2" t="n">
        <f aca="false">F330/Tabla2[[#This Row],[Cosecha Mensual]]</f>
        <v>19.1079327631967</v>
      </c>
      <c r="I330" s="2" t="n">
        <f aca="false">H330*_xlfn.XLOOKUP(Tabla2[[#This Row],[Unidad de producción]],Tabla3[Medida],Tabla3[Equivalencia en Kg],"ELVIS",0)</f>
        <v>866.735830138602</v>
      </c>
      <c r="J330" s="2" t="n">
        <v>210.8</v>
      </c>
      <c r="K330" s="2" t="s">
        <v>18</v>
      </c>
      <c r="L330" s="2" t="n">
        <f aca="false">J330/_xlfn.XLOOKUP(Tabla2[[#This Row],[Unidad de precio]],Tabla3[Medida],Tabla3[Equivalencia en Kg],"ELVIS",0)</f>
        <v>4.64726631393298</v>
      </c>
      <c r="M330" s="2" t="n">
        <v>5786.34</v>
      </c>
      <c r="N330" s="3" t="n">
        <f aca="false">(Tabla2[[#This Row],[Productividad (kg/TAS)]]*Tabla2[[#This Row],[Precio por kg]]-Tabla2[[#This Row],[Costos (En RD$/Tarea)]])</f>
        <v>-1758.38777351814</v>
      </c>
      <c r="O330" s="9" t="n">
        <f aca="false">IF(Tabla2[[#This Row],[Costos (En RD$/Tarea)]]=0,0,Tabla2[[#This Row],[Beneficio Neto  (En RD$/Tarea)]]/Tabla2[[#This Row],[Costos (En RD$/Tarea)]])</f>
        <v>-0.303886009726033</v>
      </c>
      <c r="P330" s="7" t="n">
        <f aca="false">Tabla2[[#This Row],[Rentabilidad (%)]]/12</f>
        <v>-0.0253238341438361</v>
      </c>
    </row>
    <row r="331" customFormat="false" ht="14.25" hidden="false" customHeight="false" outlineLevel="0" collapsed="false">
      <c r="A331" s="1" t="n">
        <v>37347</v>
      </c>
      <c r="B331" s="2" t="s">
        <v>24</v>
      </c>
      <c r="C331" s="3" t="n">
        <v>8448</v>
      </c>
      <c r="D331" s="8" t="s">
        <v>17</v>
      </c>
      <c r="E331" s="3" t="n">
        <f aca="false">IF(Tabla2[[#This Row],[Frecuencia]]="Annual", Tabla2[[#This Row],[Cosecha/Tarea]]/12,Tabla2[[#This Row],[Cosecha/Tarea]])</f>
        <v>8448</v>
      </c>
      <c r="F331" s="3" t="n">
        <v>122524</v>
      </c>
      <c r="G331" s="2" t="s">
        <v>18</v>
      </c>
      <c r="H331" s="2" t="n">
        <f aca="false">F331/Tabla2[[#This Row],[Cosecha Mensual]]</f>
        <v>14.5033143939394</v>
      </c>
      <c r="I331" s="2" t="n">
        <f aca="false">H331*_xlfn.XLOOKUP(Tabla2[[#This Row],[Unidad de producción]],Tabla3[Medida],Tabla3[Equivalencia en Kg],"ELVIS",0)</f>
        <v>657.870340909091</v>
      </c>
      <c r="J331" s="2" t="n">
        <v>375.375</v>
      </c>
      <c r="K331" s="2" t="s">
        <v>18</v>
      </c>
      <c r="L331" s="2" t="n">
        <f aca="false">J331/_xlfn.XLOOKUP(Tabla2[[#This Row],[Unidad de precio]],Tabla3[Medida],Tabla3[Equivalencia en Kg],"ELVIS",0)</f>
        <v>8.27546296296296</v>
      </c>
      <c r="M331" s="2" t="n">
        <v>1994.96</v>
      </c>
      <c r="N331" s="3" t="n">
        <f aca="false">(Tabla2[[#This Row],[Productividad (kg/TAS)]]*Tabla2[[#This Row],[Precio por kg]]-Tabla2[[#This Row],[Costos (En RD$/Tarea)]])</f>
        <v>3449.221640625</v>
      </c>
      <c r="O331" s="9" t="n">
        <f aca="false">IF(Tabla2[[#This Row],[Costos (En RD$/Tarea)]]=0,0,Tabla2[[#This Row],[Beneficio Neto  (En RD$/Tarea)]]/Tabla2[[#This Row],[Costos (En RD$/Tarea)]])</f>
        <v>1.72896781921693</v>
      </c>
      <c r="P331" s="7" t="n">
        <f aca="false">Tabla2[[#This Row],[Rentabilidad (%)]]/12</f>
        <v>0.144080651601411</v>
      </c>
    </row>
    <row r="332" customFormat="false" ht="14.25" hidden="false" customHeight="false" outlineLevel="0" collapsed="false">
      <c r="A332" s="1" t="n">
        <v>37347</v>
      </c>
      <c r="B332" s="2" t="s">
        <v>25</v>
      </c>
      <c r="C332" s="3" t="n">
        <v>21155</v>
      </c>
      <c r="D332" s="8" t="s">
        <v>17</v>
      </c>
      <c r="E332" s="3" t="n">
        <f aca="false">IF(Tabla2[[#This Row],[Frecuencia]]="Annual", Tabla2[[#This Row],[Cosecha/Tarea]]/12,Tabla2[[#This Row],[Cosecha/Tarea]])</f>
        <v>21155</v>
      </c>
      <c r="F332" s="3" t="n">
        <v>206723</v>
      </c>
      <c r="G332" s="2" t="s">
        <v>18</v>
      </c>
      <c r="H332" s="2" t="n">
        <f aca="false">F332/Tabla2[[#This Row],[Cosecha Mensual]]</f>
        <v>9.77182699125502</v>
      </c>
      <c r="I332" s="2" t="n">
        <f aca="false">H332*_xlfn.XLOOKUP(Tabla2[[#This Row],[Unidad de producción]],Tabla3[Medida],Tabla3[Equivalencia en Kg],"ELVIS",0)</f>
        <v>443.250072323328</v>
      </c>
      <c r="J332" s="2" t="n">
        <v>96.2300625</v>
      </c>
      <c r="K332" s="2" t="s">
        <v>18</v>
      </c>
      <c r="L332" s="2" t="n">
        <f aca="false">J332/_xlfn.XLOOKUP(Tabla2[[#This Row],[Unidad de precio]],Tabla3[Medida],Tabla3[Equivalencia en Kg],"ELVIS",0)</f>
        <v>2.12147404100529</v>
      </c>
      <c r="M332" s="2" t="n">
        <v>966.8</v>
      </c>
      <c r="N332" s="3" t="n">
        <f aca="false">(Tabla2[[#This Row],[Productividad (kg/TAS)]]*Tabla2[[#This Row],[Precio por kg]]-Tabla2[[#This Row],[Costos (En RD$/Tarea)]])</f>
        <v>-26.4564778923422</v>
      </c>
      <c r="O332" s="9" t="n">
        <f aca="false">IF(Tabla2[[#This Row],[Costos (En RD$/Tarea)]]=0,0,Tabla2[[#This Row],[Beneficio Neto  (En RD$/Tarea)]]/Tabla2[[#This Row],[Costos (En RD$/Tarea)]])</f>
        <v>-0.0273649957512848</v>
      </c>
      <c r="P332" s="7" t="n">
        <f aca="false">Tabla2[[#This Row],[Rentabilidad (%)]]/12</f>
        <v>-0.00228041631260707</v>
      </c>
    </row>
    <row r="333" customFormat="false" ht="14.25" hidden="false" customHeight="false" outlineLevel="0" collapsed="false">
      <c r="A333" s="1" t="n">
        <v>37347</v>
      </c>
      <c r="B333" s="2" t="s">
        <v>26</v>
      </c>
      <c r="C333" s="3" t="n">
        <v>9836</v>
      </c>
      <c r="D333" s="8" t="s">
        <v>17</v>
      </c>
      <c r="E333" s="3" t="n">
        <f aca="false">IF(Tabla2[[#This Row],[Frecuencia]]="Annual", Tabla2[[#This Row],[Cosecha/Tarea]]/12,Tabla2[[#This Row],[Cosecha/Tarea]])</f>
        <v>9836</v>
      </c>
      <c r="F333" s="3" t="n">
        <v>61429</v>
      </c>
      <c r="G333" s="2" t="s">
        <v>18</v>
      </c>
      <c r="H333" s="2" t="n">
        <f aca="false">F333/Tabla2[[#This Row],[Cosecha Mensual]]</f>
        <v>6.24532330215535</v>
      </c>
      <c r="I333" s="2" t="n">
        <f aca="false">H333*_xlfn.XLOOKUP(Tabla2[[#This Row],[Unidad de producción]],Tabla3[Medida],Tabla3[Equivalencia en Kg],"ELVIS",0)</f>
        <v>283.287864985767</v>
      </c>
      <c r="J333" s="2" t="n">
        <v>283.2</v>
      </c>
      <c r="K333" s="2" t="s">
        <v>18</v>
      </c>
      <c r="L333" s="2" t="n">
        <f aca="false">J333/_xlfn.XLOOKUP(Tabla2[[#This Row],[Unidad de precio]],Tabla3[Medida],Tabla3[Equivalencia en Kg],"ELVIS",0)</f>
        <v>6.24338624338624</v>
      </c>
      <c r="M333" s="2" t="n">
        <v>360.52</v>
      </c>
      <c r="N333" s="3" t="n">
        <f aca="false">(Tabla2[[#This Row],[Productividad (kg/TAS)]]*Tabla2[[#This Row],[Precio por kg]]-Tabla2[[#This Row],[Costos (En RD$/Tarea)]])</f>
        <v>1408.15555917039</v>
      </c>
      <c r="O333" s="9" t="n">
        <f aca="false">IF(Tabla2[[#This Row],[Costos (En RD$/Tarea)]]=0,0,Tabla2[[#This Row],[Beneficio Neto  (En RD$/Tarea)]]/Tabla2[[#This Row],[Costos (En RD$/Tarea)]])</f>
        <v>3.9059013623943</v>
      </c>
      <c r="P333" s="7" t="n">
        <f aca="false">Tabla2[[#This Row],[Rentabilidad (%)]]/12</f>
        <v>0.325491780199525</v>
      </c>
    </row>
    <row r="334" customFormat="false" ht="14.25" hidden="false" customHeight="false" outlineLevel="0" collapsed="false">
      <c r="A334" s="1" t="n">
        <v>37347</v>
      </c>
      <c r="B334" s="2" t="s">
        <v>27</v>
      </c>
      <c r="C334" s="3" t="n">
        <v>4836</v>
      </c>
      <c r="D334" s="8" t="s">
        <v>17</v>
      </c>
      <c r="E334" s="3" t="n">
        <f aca="false">IF(Tabla2[[#This Row],[Frecuencia]]="Annual", Tabla2[[#This Row],[Cosecha/Tarea]]/12,Tabla2[[#This Row],[Cosecha/Tarea]])</f>
        <v>4836</v>
      </c>
      <c r="F334" s="3" t="n">
        <v>51661</v>
      </c>
      <c r="G334" s="2" t="s">
        <v>18</v>
      </c>
      <c r="H334" s="2" t="n">
        <f aca="false">F334/Tabla2[[#This Row],[Cosecha Mensual]]</f>
        <v>10.6825889164599</v>
      </c>
      <c r="I334" s="2" t="n">
        <f aca="false">H334*_xlfn.XLOOKUP(Tabla2[[#This Row],[Unidad de producción]],Tabla3[Medida],Tabla3[Equivalencia en Kg],"ELVIS",0)</f>
        <v>484.56223325062</v>
      </c>
      <c r="J334" s="2" t="n">
        <v>184.551666666667</v>
      </c>
      <c r="K334" s="2" t="s">
        <v>18</v>
      </c>
      <c r="L334" s="2" t="n">
        <f aca="false">J334/_xlfn.XLOOKUP(Tabla2[[#This Row],[Unidad de precio]],Tabla3[Medida],Tabla3[Equivalencia en Kg],"ELVIS",0)</f>
        <v>4.06859935332158</v>
      </c>
      <c r="M334" s="2" t="n">
        <v>2321.75</v>
      </c>
      <c r="N334" s="3" t="n">
        <f aca="false">(Tabla2[[#This Row],[Productividad (kg/TAS)]]*Tabla2[[#This Row],[Precio por kg]]-Tabla2[[#This Row],[Costos (En RD$/Tarea)]])</f>
        <v>-350.260411152464</v>
      </c>
      <c r="O334" s="9" t="n">
        <f aca="false">IF(Tabla2[[#This Row],[Costos (En RD$/Tarea)]]=0,0,Tabla2[[#This Row],[Beneficio Neto  (En RD$/Tarea)]]/Tabla2[[#This Row],[Costos (En RD$/Tarea)]])</f>
        <v>-0.150860519501438</v>
      </c>
      <c r="P334" s="7" t="n">
        <f aca="false">Tabla2[[#This Row],[Rentabilidad (%)]]/12</f>
        <v>-0.0125717099584532</v>
      </c>
    </row>
    <row r="335" customFormat="false" ht="14.25" hidden="false" customHeight="false" outlineLevel="0" collapsed="false">
      <c r="A335" s="1" t="n">
        <v>37347</v>
      </c>
      <c r="B335" s="2" t="s">
        <v>28</v>
      </c>
      <c r="C335" s="3" t="n">
        <v>754</v>
      </c>
      <c r="D335" s="8" t="s">
        <v>17</v>
      </c>
      <c r="E335" s="3" t="n">
        <f aca="false">IF(Tabla2[[#This Row],[Frecuencia]]="Annual", Tabla2[[#This Row],[Cosecha/Tarea]]/12,Tabla2[[#This Row],[Cosecha/Tarea]])</f>
        <v>754</v>
      </c>
      <c r="F335" s="3" t="n">
        <v>232</v>
      </c>
      <c r="G335" s="2" t="s">
        <v>18</v>
      </c>
      <c r="H335" s="2" t="n">
        <f aca="false">F335/Tabla2[[#This Row],[Cosecha Mensual]]</f>
        <v>0.307692307692308</v>
      </c>
      <c r="I335" s="2" t="n">
        <f aca="false">H335*_xlfn.XLOOKUP(Tabla2[[#This Row],[Unidad de producción]],Tabla3[Medida],Tabla3[Equivalencia en Kg],"ELVIS",0)</f>
        <v>13.9569230769231</v>
      </c>
      <c r="J335" s="2" t="n">
        <v>5375</v>
      </c>
      <c r="K335" s="2" t="s">
        <v>29</v>
      </c>
      <c r="L335" s="2" t="n">
        <f aca="false">J335/_xlfn.XLOOKUP(Tabla2[[#This Row],[Unidad de precio]],Tabla3[Medida],Tabla3[Equivalencia en Kg],"ELVIS",0)</f>
        <v>9.55827435359391</v>
      </c>
      <c r="M335" s="2" t="n">
        <v>3619.46</v>
      </c>
      <c r="N335" s="3" t="n">
        <f aca="false">(Tabla2[[#This Row],[Productividad (kg/TAS)]]*Tabla2[[#This Row],[Precio por kg]]-Tabla2[[#This Row],[Costos (En RD$/Tarea)]])</f>
        <v>-3486.05590009876</v>
      </c>
      <c r="O335" s="9" t="n">
        <f aca="false">IF(Tabla2[[#This Row],[Costos (En RD$/Tarea)]]=0,0,Tabla2[[#This Row],[Beneficio Neto  (En RD$/Tarea)]]/Tabla2[[#This Row],[Costos (En RD$/Tarea)]])</f>
        <v>-0.963142540627266</v>
      </c>
      <c r="P335" s="7" t="n">
        <f aca="false">Tabla2[[#This Row],[Rentabilidad (%)]]/12</f>
        <v>-0.0802618783856055</v>
      </c>
    </row>
    <row r="336" customFormat="false" ht="14.25" hidden="false" customHeight="false" outlineLevel="0" collapsed="false">
      <c r="A336" s="1" t="n">
        <v>37347</v>
      </c>
      <c r="B336" s="2" t="s">
        <v>30</v>
      </c>
      <c r="C336" s="3" t="n">
        <v>249015</v>
      </c>
      <c r="D336" s="3" t="s">
        <v>31</v>
      </c>
      <c r="E336" s="3" t="n">
        <f aca="false">IF(Tabla2[[#This Row],[Frecuencia]]="Annual", Tabla2[[#This Row],[Cosecha/Tarea]]/12,Tabla2[[#This Row],[Cosecha/Tarea]])</f>
        <v>20751.25</v>
      </c>
      <c r="F336" s="3" t="n">
        <v>1494804</v>
      </c>
      <c r="G336" s="2" t="s">
        <v>32</v>
      </c>
      <c r="H336" s="2" t="n">
        <f aca="false">F336/Tabla2[[#This Row],[Cosecha Mensual]]</f>
        <v>72.0344075658093</v>
      </c>
      <c r="I336" s="2" t="n">
        <f aca="false">H336*_xlfn.XLOOKUP(Tabla2[[#This Row],[Unidad de producción]],Tabla3[Medida],Tabla3[Equivalencia en Kg],"ELVIS",0)</f>
        <v>1960.05622986567</v>
      </c>
      <c r="J336" s="2" t="n">
        <v>24.4585714285714</v>
      </c>
      <c r="K336" s="2" t="s">
        <v>32</v>
      </c>
      <c r="L336" s="2" t="n">
        <f aca="false">J336/_xlfn.XLOOKUP(Tabla2[[#This Row],[Unidad de precio]],Tabla3[Medida],Tabla3[Equivalencia en Kg],"ELVIS",0)</f>
        <v>0.898881713655693</v>
      </c>
      <c r="M336" s="3" t="n">
        <v>3727.21</v>
      </c>
      <c r="N336" s="3" t="n">
        <f aca="false">(Tabla2[[#This Row],[Productividad (kg/TAS)]]*Tabla2[[#This Row],[Precio por kg]]-Tabla2[[#This Row],[Costos (En RD$/Tarea)]])</f>
        <v>-1965.35129723683</v>
      </c>
      <c r="O336" s="9" t="n">
        <f aca="false">IF(Tabla2[[#This Row],[Costos (En RD$/Tarea)]]=0,0,Tabla2[[#This Row],[Beneficio Neto  (En RD$/Tarea)]]/Tabla2[[#This Row],[Costos (En RD$/Tarea)]])</f>
        <v>-0.527298246473054</v>
      </c>
      <c r="P336" s="7" t="n">
        <f aca="false">Tabla2[[#This Row],[Rentabilidad (%)]]/12</f>
        <v>-0.0439415205394211</v>
      </c>
    </row>
    <row r="337" customFormat="false" ht="14.25" hidden="false" customHeight="false" outlineLevel="0" collapsed="false">
      <c r="A337" s="1" t="n">
        <v>37347</v>
      </c>
      <c r="B337" s="2" t="s">
        <v>33</v>
      </c>
      <c r="C337" s="3" t="n">
        <v>650182</v>
      </c>
      <c r="D337" s="3" t="s">
        <v>31</v>
      </c>
      <c r="E337" s="3" t="n">
        <f aca="false">IF(Tabla2[[#This Row],[Frecuencia]]="Annual", Tabla2[[#This Row],[Cosecha/Tarea]]/12,Tabla2[[#This Row],[Cosecha/Tarea]])</f>
        <v>54181.8333333333</v>
      </c>
      <c r="F337" s="3" t="n">
        <v>104033</v>
      </c>
      <c r="G337" s="2" t="s">
        <v>34</v>
      </c>
      <c r="H337" s="2" t="n">
        <f aca="false">F337/Tabla2[[#This Row],[Cosecha Mensual]]</f>
        <v>1.92007161071823</v>
      </c>
      <c r="I337" s="2" t="n">
        <f aca="false">H337*_xlfn.XLOOKUP(Tabla2[[#This Row],[Unidad de producción]],Tabla3[Medida],Tabla3[Equivalencia en Kg],"ELVIS",0)</f>
        <v>783.677227914645</v>
      </c>
      <c r="J337" s="2" t="n">
        <v>1231.82625</v>
      </c>
      <c r="K337" s="2" t="s">
        <v>34</v>
      </c>
      <c r="L337" s="2" t="n">
        <f aca="false">J337/_xlfn.XLOOKUP(Tabla2[[#This Row],[Unidad de precio]],Tabla3[Medida],Tabla3[Equivalencia en Kg],"ELVIS",0)</f>
        <v>3.018072399853</v>
      </c>
      <c r="M337" s="3" t="n">
        <v>3949.84</v>
      </c>
      <c r="N337" s="3" t="n">
        <f aca="false">(Tabla2[[#This Row],[Productividad (kg/TAS)]]*Tabla2[[#This Row],[Precio por kg]]-Tabla2[[#This Row],[Costos (En RD$/Tarea)]])</f>
        <v>-1584.6453880375</v>
      </c>
      <c r="O337" s="9" t="n">
        <f aca="false">IF(Tabla2[[#This Row],[Costos (En RD$/Tarea)]]=0,0,Tabla2[[#This Row],[Beneficio Neto  (En RD$/Tarea)]]/Tabla2[[#This Row],[Costos (En RD$/Tarea)]])</f>
        <v>-0.401192298431709</v>
      </c>
      <c r="P337" s="7" t="n">
        <f aca="false">Tabla2[[#This Row],[Rentabilidad (%)]]/12</f>
        <v>-0.0334326915359758</v>
      </c>
    </row>
    <row r="338" customFormat="false" ht="14.25" hidden="false" customHeight="false" outlineLevel="0" collapsed="false">
      <c r="A338" s="1" t="n">
        <v>37377</v>
      </c>
      <c r="B338" s="2" t="s">
        <v>16</v>
      </c>
      <c r="C338" s="3" t="n">
        <v>137336</v>
      </c>
      <c r="D338" s="8" t="s">
        <v>17</v>
      </c>
      <c r="E338" s="3" t="n">
        <f aca="false">IF(Tabla2[[#This Row],[Frecuencia]]="Annual", Tabla2[[#This Row],[Cosecha/Tarea]]/12,Tabla2[[#This Row],[Cosecha/Tarea]])</f>
        <v>137336</v>
      </c>
      <c r="F338" s="3" t="n">
        <v>683761</v>
      </c>
      <c r="G338" s="2" t="s">
        <v>18</v>
      </c>
      <c r="H338" s="2" t="n">
        <f aca="false">F338/Tabla2[[#This Row],[Cosecha Mensual]]</f>
        <v>4.97874555833867</v>
      </c>
      <c r="I338" s="2" t="n">
        <f aca="false">H338*_xlfn.XLOOKUP(Tabla2[[#This Row],[Unidad de producción]],Tabla3[Medida],Tabla3[Equivalencia en Kg],"ELVIS",0)</f>
        <v>225.835898526242</v>
      </c>
      <c r="J338" s="2" t="n">
        <v>999.5599559956</v>
      </c>
      <c r="K338" s="2" t="s">
        <v>19</v>
      </c>
      <c r="L338" s="2" t="n">
        <f aca="false">J338/_xlfn.XLOOKUP(Tabla2[[#This Row],[Unidad de precio]],Tabla3[Medida],Tabla3[Equivalencia en Kg],"ELVIS",0)</f>
        <v>9.08690869086909</v>
      </c>
      <c r="M338" s="2" t="n">
        <v>1921.06</v>
      </c>
      <c r="N338" s="3" t="n">
        <f aca="false">(Tabla2[[#This Row],[Productividad (kg/TAS)]]*Tabla2[[#This Row],[Precio por kg]]-Tabla2[[#This Row],[Costos (En RD$/Tarea)]])</f>
        <v>131.09018902834</v>
      </c>
      <c r="O338" s="9" t="n">
        <f aca="false">IF(Tabla2[[#This Row],[Costos (En RD$/Tarea)]]=0,0,Tabla2[[#This Row],[Beneficio Neto  (En RD$/Tarea)]]/Tabla2[[#This Row],[Costos (En RD$/Tarea)]])</f>
        <v>0.0682384667987155</v>
      </c>
      <c r="P338" s="7" t="n">
        <f aca="false">Tabla2[[#This Row],[Rentabilidad (%)]]/12</f>
        <v>0.00568653889989296</v>
      </c>
    </row>
    <row r="339" customFormat="false" ht="14.25" hidden="false" customHeight="false" outlineLevel="0" collapsed="false">
      <c r="A339" s="1" t="n">
        <v>37377</v>
      </c>
      <c r="B339" s="2" t="s">
        <v>20</v>
      </c>
      <c r="C339" s="3" t="n">
        <v>20271</v>
      </c>
      <c r="D339" s="8" t="s">
        <v>17</v>
      </c>
      <c r="E339" s="3" t="n">
        <f aca="false">IF(Tabla2[[#This Row],[Frecuencia]]="Annual", Tabla2[[#This Row],[Cosecha/Tarea]]/12,Tabla2[[#This Row],[Cosecha/Tarea]])</f>
        <v>20271</v>
      </c>
      <c r="F339" s="3" t="n">
        <v>36092</v>
      </c>
      <c r="G339" s="2" t="s">
        <v>18</v>
      </c>
      <c r="H339" s="2" t="n">
        <f aca="false">F339/Tabla2[[#This Row],[Cosecha Mensual]]</f>
        <v>1.78047456958216</v>
      </c>
      <c r="I339" s="2" t="n">
        <f aca="false">H339*_xlfn.XLOOKUP(Tabla2[[#This Row],[Unidad de producción]],Tabla3[Medida],Tabla3[Equivalencia en Kg],"ELVIS",0)</f>
        <v>80.7623264762469</v>
      </c>
      <c r="J339" s="2" t="n">
        <v>160.918107428571</v>
      </c>
      <c r="K339" s="2" t="s">
        <v>18</v>
      </c>
      <c r="L339" s="2" t="n">
        <f aca="false">J339/_xlfn.XLOOKUP(Tabla2[[#This Row],[Unidad de precio]],Tabla3[Medida],Tabla3[Equivalencia en Kg],"ELVIS",0)</f>
        <v>3.54757732426303</v>
      </c>
      <c r="M339" s="2" t="n">
        <v>531.935</v>
      </c>
      <c r="N339" s="3" t="n">
        <f aca="false">(Tabla2[[#This Row],[Productividad (kg/TAS)]]*Tabla2[[#This Row],[Precio por kg]]-Tabla2[[#This Row],[Costos (En RD$/Tarea)]])</f>
        <v>-245.424401938139</v>
      </c>
      <c r="O339" s="9" t="n">
        <f aca="false">IF(Tabla2[[#This Row],[Costos (En RD$/Tarea)]]=0,0,Tabla2[[#This Row],[Beneficio Neto  (En RD$/Tarea)]]/Tabla2[[#This Row],[Costos (En RD$/Tarea)]])</f>
        <v>-0.461380435463241</v>
      </c>
      <c r="P339" s="7" t="n">
        <f aca="false">Tabla2[[#This Row],[Rentabilidad (%)]]/12</f>
        <v>-0.0384483696219367</v>
      </c>
    </row>
    <row r="340" customFormat="false" ht="14.25" hidden="false" customHeight="false" outlineLevel="0" collapsed="false">
      <c r="A340" s="1" t="n">
        <v>37377</v>
      </c>
      <c r="B340" s="2" t="s">
        <v>21</v>
      </c>
      <c r="C340" s="3" t="n">
        <v>8112</v>
      </c>
      <c r="D340" s="8" t="s">
        <v>17</v>
      </c>
      <c r="E340" s="3" t="n">
        <f aca="false">IF(Tabla2[[#This Row],[Frecuencia]]="Annual", Tabla2[[#This Row],[Cosecha/Tarea]]/12,Tabla2[[#This Row],[Cosecha/Tarea]])</f>
        <v>8112</v>
      </c>
      <c r="F340" s="3" t="n">
        <v>76824</v>
      </c>
      <c r="G340" s="2" t="s">
        <v>18</v>
      </c>
      <c r="H340" s="2" t="n">
        <f aca="false">F340/Tabla2[[#This Row],[Cosecha Mensual]]</f>
        <v>9.47041420118343</v>
      </c>
      <c r="I340" s="2" t="n">
        <f aca="false">H340*_xlfn.XLOOKUP(Tabla2[[#This Row],[Unidad de producción]],Tabla3[Medida],Tabla3[Equivalencia en Kg],"ELVIS",0)</f>
        <v>429.577988165681</v>
      </c>
      <c r="J340" s="2" t="n">
        <v>156</v>
      </c>
      <c r="K340" s="2" t="s">
        <v>18</v>
      </c>
      <c r="L340" s="2" t="n">
        <f aca="false">J340/_xlfn.XLOOKUP(Tabla2[[#This Row],[Unidad de precio]],Tabla3[Medida],Tabla3[Equivalencia en Kg],"ELVIS",0)</f>
        <v>3.43915343915344</v>
      </c>
      <c r="M340" s="2" t="n">
        <v>945.93</v>
      </c>
      <c r="N340" s="3" t="n">
        <f aca="false">(Tabla2[[#This Row],[Productividad (kg/TAS)]]*Tabla2[[#This Row],[Precio por kg]]-Tabla2[[#This Row],[Costos (En RD$/Tarea)]])</f>
        <v>531.454615384616</v>
      </c>
      <c r="O340" s="9" t="n">
        <f aca="false">IF(Tabla2[[#This Row],[Costos (En RD$/Tarea)]]=0,0,Tabla2[[#This Row],[Beneficio Neto  (En RD$/Tarea)]]/Tabla2[[#This Row],[Costos (En RD$/Tarea)]])</f>
        <v>0.561832921447269</v>
      </c>
      <c r="P340" s="7" t="n">
        <f aca="false">Tabla2[[#This Row],[Rentabilidad (%)]]/12</f>
        <v>0.0468194101206058</v>
      </c>
    </row>
    <row r="341" customFormat="false" ht="14.25" hidden="false" customHeight="false" outlineLevel="0" collapsed="false">
      <c r="A341" s="1" t="n">
        <v>37377</v>
      </c>
      <c r="B341" s="2" t="s">
        <v>22</v>
      </c>
      <c r="C341" s="3" t="n">
        <v>6112</v>
      </c>
      <c r="D341" s="8" t="s">
        <v>17</v>
      </c>
      <c r="E341" s="3" t="n">
        <f aca="false">IF(Tabla2[[#This Row],[Frecuencia]]="Annual", Tabla2[[#This Row],[Cosecha/Tarea]]/12,Tabla2[[#This Row],[Cosecha/Tarea]])</f>
        <v>6112</v>
      </c>
      <c r="F341" s="3" t="n">
        <v>58124</v>
      </c>
      <c r="G341" s="2" t="s">
        <v>18</v>
      </c>
      <c r="H341" s="2" t="n">
        <f aca="false">F341/Tabla2[[#This Row],[Cosecha Mensual]]</f>
        <v>9.5098167539267</v>
      </c>
      <c r="I341" s="2" t="n">
        <f aca="false">H341*_xlfn.XLOOKUP(Tabla2[[#This Row],[Unidad de producción]],Tabla3[Medida],Tabla3[Equivalencia en Kg],"ELVIS",0)</f>
        <v>431.365287958115</v>
      </c>
      <c r="J341" s="2" t="n">
        <v>377.075</v>
      </c>
      <c r="K341" s="2" t="s">
        <v>18</v>
      </c>
      <c r="L341" s="2" t="n">
        <f aca="false">J341/_xlfn.XLOOKUP(Tabla2[[#This Row],[Unidad de precio]],Tabla3[Medida],Tabla3[Equivalencia en Kg],"ELVIS",0)</f>
        <v>8.31294091710758</v>
      </c>
      <c r="M341" s="2" t="n">
        <v>2751.22</v>
      </c>
      <c r="N341" s="3" t="n">
        <f aca="false">(Tabla2[[#This Row],[Productividad (kg/TAS)]]*Tabla2[[#This Row],[Precio por kg]]-Tabla2[[#This Row],[Costos (En RD$/Tarea)]])</f>
        <v>834.694152486911</v>
      </c>
      <c r="O341" s="9" t="n">
        <f aca="false">IF(Tabla2[[#This Row],[Costos (En RD$/Tarea)]]=0,0,Tabla2[[#This Row],[Beneficio Neto  (En RD$/Tarea)]]/Tabla2[[#This Row],[Costos (En RD$/Tarea)]])</f>
        <v>0.303390551277946</v>
      </c>
      <c r="P341" s="7" t="n">
        <f aca="false">Tabla2[[#This Row],[Rentabilidad (%)]]/12</f>
        <v>0.0252825459398289</v>
      </c>
    </row>
    <row r="342" customFormat="false" ht="14.25" hidden="false" customHeight="false" outlineLevel="0" collapsed="false">
      <c r="A342" s="1" t="n">
        <v>37377</v>
      </c>
      <c r="B342" s="2" t="s">
        <v>23</v>
      </c>
      <c r="C342" s="3" t="n">
        <v>7418</v>
      </c>
      <c r="D342" s="8" t="s">
        <v>17</v>
      </c>
      <c r="E342" s="3" t="n">
        <f aca="false">IF(Tabla2[[#This Row],[Frecuencia]]="Annual", Tabla2[[#This Row],[Cosecha/Tarea]]/12,Tabla2[[#This Row],[Cosecha/Tarea]])</f>
        <v>7418</v>
      </c>
      <c r="F342" s="3" t="n">
        <v>194290</v>
      </c>
      <c r="G342" s="2" t="s">
        <v>18</v>
      </c>
      <c r="H342" s="2" t="n">
        <f aca="false">F342/Tabla2[[#This Row],[Cosecha Mensual]]</f>
        <v>26.1916958748989</v>
      </c>
      <c r="I342" s="2" t="n">
        <f aca="false">H342*_xlfn.XLOOKUP(Tabla2[[#This Row],[Unidad de producción]],Tabla3[Medida],Tabla3[Equivalencia en Kg],"ELVIS",0)</f>
        <v>1188.05532488541</v>
      </c>
      <c r="J342" s="2" t="n">
        <v>187.5</v>
      </c>
      <c r="K342" s="2" t="s">
        <v>18</v>
      </c>
      <c r="L342" s="2" t="n">
        <f aca="false">J342/_xlfn.XLOOKUP(Tabla2[[#This Row],[Unidad de precio]],Tabla3[Medida],Tabla3[Equivalencia en Kg],"ELVIS",0)</f>
        <v>4.13359788359788</v>
      </c>
      <c r="M342" s="2" t="n">
        <v>5786.34</v>
      </c>
      <c r="N342" s="3" t="n">
        <f aca="false">(Tabla2[[#This Row],[Productividad (kg/TAS)]]*Tabla2[[#This Row],[Precio por kg]]-Tabla2[[#This Row],[Costos (En RD$/Tarea)]])</f>
        <v>-875.397023456458</v>
      </c>
      <c r="O342" s="9" t="n">
        <f aca="false">IF(Tabla2[[#This Row],[Costos (En RD$/Tarea)]]=0,0,Tabla2[[#This Row],[Beneficio Neto  (En RD$/Tarea)]]/Tabla2[[#This Row],[Costos (En RD$/Tarea)]])</f>
        <v>-0.151286827849117</v>
      </c>
      <c r="P342" s="7" t="n">
        <f aca="false">Tabla2[[#This Row],[Rentabilidad (%)]]/12</f>
        <v>-0.0126072356540931</v>
      </c>
    </row>
    <row r="343" customFormat="false" ht="14.25" hidden="false" customHeight="false" outlineLevel="0" collapsed="false">
      <c r="A343" s="1" t="n">
        <v>37377</v>
      </c>
      <c r="B343" s="2" t="s">
        <v>24</v>
      </c>
      <c r="C343" s="3" t="n">
        <v>5542</v>
      </c>
      <c r="D343" s="8" t="s">
        <v>17</v>
      </c>
      <c r="E343" s="3" t="n">
        <f aca="false">IF(Tabla2[[#This Row],[Frecuencia]]="Annual", Tabla2[[#This Row],[Cosecha/Tarea]]/12,Tabla2[[#This Row],[Cosecha/Tarea]])</f>
        <v>5542</v>
      </c>
      <c r="F343" s="3" t="n">
        <v>75892</v>
      </c>
      <c r="G343" s="2" t="s">
        <v>18</v>
      </c>
      <c r="H343" s="2" t="n">
        <f aca="false">F343/Tabla2[[#This Row],[Cosecha Mensual]]</f>
        <v>13.6939732948394</v>
      </c>
      <c r="I343" s="2" t="n">
        <f aca="false">H343*_xlfn.XLOOKUP(Tabla2[[#This Row],[Unidad de producción]],Tabla3[Medida],Tabla3[Equivalencia en Kg],"ELVIS",0)</f>
        <v>621.158628653916</v>
      </c>
      <c r="J343" s="2" t="n">
        <v>313.863333333333</v>
      </c>
      <c r="K343" s="2" t="s">
        <v>18</v>
      </c>
      <c r="L343" s="2" t="n">
        <f aca="false">J343/_xlfn.XLOOKUP(Tabla2[[#This Row],[Unidad de precio]],Tabla3[Medida],Tabla3[Equivalencia en Kg],"ELVIS",0)</f>
        <v>6.91938565549676</v>
      </c>
      <c r="M343" s="2" t="n">
        <v>1994.96</v>
      </c>
      <c r="N343" s="3" t="n">
        <f aca="false">(Tabla2[[#This Row],[Productividad (kg/TAS)]]*Tabla2[[#This Row],[Precio por kg]]-Tabla2[[#This Row],[Costos (En RD$/Tarea)]])</f>
        <v>2303.07610489594</v>
      </c>
      <c r="O343" s="9" t="n">
        <f aca="false">IF(Tabla2[[#This Row],[Costos (En RD$/Tarea)]]=0,0,Tabla2[[#This Row],[Beneficio Neto  (En RD$/Tarea)]]/Tabla2[[#This Row],[Costos (En RD$/Tarea)]])</f>
        <v>1.15444725954202</v>
      </c>
      <c r="P343" s="7" t="n">
        <f aca="false">Tabla2[[#This Row],[Rentabilidad (%)]]/12</f>
        <v>0.0962039382951681</v>
      </c>
    </row>
    <row r="344" customFormat="false" ht="14.25" hidden="false" customHeight="false" outlineLevel="0" collapsed="false">
      <c r="A344" s="1" t="n">
        <v>37377</v>
      </c>
      <c r="B344" s="2" t="s">
        <v>25</v>
      </c>
      <c r="C344" s="3" t="n">
        <v>20268</v>
      </c>
      <c r="D344" s="8" t="s">
        <v>17</v>
      </c>
      <c r="E344" s="3" t="n">
        <f aca="false">IF(Tabla2[[#This Row],[Frecuencia]]="Annual", Tabla2[[#This Row],[Cosecha/Tarea]]/12,Tabla2[[#This Row],[Cosecha/Tarea]])</f>
        <v>20268</v>
      </c>
      <c r="F344" s="3" t="n">
        <v>193980</v>
      </c>
      <c r="G344" s="2" t="s">
        <v>18</v>
      </c>
      <c r="H344" s="2" t="n">
        <f aca="false">F344/Tabla2[[#This Row],[Cosecha Mensual]]</f>
        <v>9.57075192421551</v>
      </c>
      <c r="I344" s="2" t="n">
        <f aca="false">H344*_xlfn.XLOOKUP(Tabla2[[#This Row],[Unidad de producción]],Tabla3[Medida],Tabla3[Equivalencia en Kg],"ELVIS",0)</f>
        <v>434.129307282416</v>
      </c>
      <c r="J344" s="2" t="n">
        <v>92.7840375</v>
      </c>
      <c r="K344" s="2" t="s">
        <v>18</v>
      </c>
      <c r="L344" s="2" t="n">
        <f aca="false">J344/_xlfn.XLOOKUP(Tabla2[[#This Row],[Unidad de precio]],Tabla3[Medida],Tabla3[Equivalencia en Kg],"ELVIS",0)</f>
        <v>2.04550347222222</v>
      </c>
      <c r="M344" s="2" t="n">
        <v>966.8</v>
      </c>
      <c r="N344" s="3" t="n">
        <f aca="false">(Tabla2[[#This Row],[Productividad (kg/TAS)]]*Tabla2[[#This Row],[Precio por kg]]-Tabla2[[#This Row],[Costos (En RD$/Tarea)]])</f>
        <v>-78.7869945603907</v>
      </c>
      <c r="O344" s="9" t="n">
        <f aca="false">IF(Tabla2[[#This Row],[Costos (En RD$/Tarea)]]=0,0,Tabla2[[#This Row],[Beneficio Neto  (En RD$/Tarea)]]/Tabla2[[#This Row],[Costos (En RD$/Tarea)]])</f>
        <v>-0.0814925471249386</v>
      </c>
      <c r="P344" s="7" t="n">
        <f aca="false">Tabla2[[#This Row],[Rentabilidad (%)]]/12</f>
        <v>-0.00679104559374489</v>
      </c>
    </row>
    <row r="345" customFormat="false" ht="14.25" hidden="false" customHeight="false" outlineLevel="0" collapsed="false">
      <c r="A345" s="1" t="n">
        <v>37377</v>
      </c>
      <c r="B345" s="2" t="s">
        <v>26</v>
      </c>
      <c r="C345" s="3" t="n">
        <v>12729</v>
      </c>
      <c r="D345" s="8" t="s">
        <v>17</v>
      </c>
      <c r="E345" s="3" t="n">
        <f aca="false">IF(Tabla2[[#This Row],[Frecuencia]]="Annual", Tabla2[[#This Row],[Cosecha/Tarea]]/12,Tabla2[[#This Row],[Cosecha/Tarea]])</f>
        <v>12729</v>
      </c>
      <c r="F345" s="3" t="n">
        <v>151432</v>
      </c>
      <c r="G345" s="2" t="s">
        <v>18</v>
      </c>
      <c r="H345" s="2" t="n">
        <f aca="false">F345/Tabla2[[#This Row],[Cosecha Mensual]]</f>
        <v>11.8966140309529</v>
      </c>
      <c r="I345" s="2" t="n">
        <f aca="false">H345*_xlfn.XLOOKUP(Tabla2[[#This Row],[Unidad de producción]],Tabla3[Medida],Tabla3[Equivalencia en Kg],"ELVIS",0)</f>
        <v>539.630412444026</v>
      </c>
      <c r="J345" s="2" t="n">
        <v>168.588</v>
      </c>
      <c r="K345" s="2" t="s">
        <v>18</v>
      </c>
      <c r="L345" s="2" t="n">
        <f aca="false">J345/_xlfn.XLOOKUP(Tabla2[[#This Row],[Unidad de precio]],Tabla3[Medida],Tabla3[Equivalencia en Kg],"ELVIS",0)</f>
        <v>3.71666666666667</v>
      </c>
      <c r="M345" s="2" t="n">
        <v>360.52</v>
      </c>
      <c r="N345" s="3" t="n">
        <f aca="false">(Tabla2[[#This Row],[Productividad (kg/TAS)]]*Tabla2[[#This Row],[Precio por kg]]-Tabla2[[#This Row],[Costos (En RD$/Tarea)]])</f>
        <v>1645.1063662503</v>
      </c>
      <c r="O345" s="9" t="n">
        <f aca="false">IF(Tabla2[[#This Row],[Costos (En RD$/Tarea)]]=0,0,Tabla2[[#This Row],[Beneficio Neto  (En RD$/Tarea)]]/Tabla2[[#This Row],[Costos (En RD$/Tarea)]])</f>
        <v>4.56314869147425</v>
      </c>
      <c r="P345" s="7" t="n">
        <f aca="false">Tabla2[[#This Row],[Rentabilidad (%)]]/12</f>
        <v>0.380262390956187</v>
      </c>
    </row>
    <row r="346" customFormat="false" ht="14.25" hidden="false" customHeight="false" outlineLevel="0" collapsed="false">
      <c r="A346" s="1" t="n">
        <v>37377</v>
      </c>
      <c r="B346" s="2" t="s">
        <v>27</v>
      </c>
      <c r="C346" s="3" t="n">
        <v>4766</v>
      </c>
      <c r="D346" s="8" t="s">
        <v>17</v>
      </c>
      <c r="E346" s="3" t="n">
        <f aca="false">IF(Tabla2[[#This Row],[Frecuencia]]="Annual", Tabla2[[#This Row],[Cosecha/Tarea]]/12,Tabla2[[#This Row],[Cosecha/Tarea]])</f>
        <v>4766</v>
      </c>
      <c r="F346" s="3" t="n">
        <v>41763</v>
      </c>
      <c r="G346" s="2" t="s">
        <v>18</v>
      </c>
      <c r="H346" s="2" t="n">
        <f aca="false">F346/Tabla2[[#This Row],[Cosecha Mensual]]</f>
        <v>8.76269408308854</v>
      </c>
      <c r="I346" s="2" t="n">
        <f aca="false">H346*_xlfn.XLOOKUP(Tabla2[[#This Row],[Unidad de producción]],Tabla3[Medida],Tabla3[Equivalencia en Kg],"ELVIS",0)</f>
        <v>397.475803608896</v>
      </c>
      <c r="J346" s="2" t="n">
        <v>172.834</v>
      </c>
      <c r="K346" s="2" t="s">
        <v>18</v>
      </c>
      <c r="L346" s="2" t="n">
        <f aca="false">J346/_xlfn.XLOOKUP(Tabla2[[#This Row],[Unidad de precio]],Tabla3[Medida],Tabla3[Equivalencia en Kg],"ELVIS",0)</f>
        <v>3.8102733686067</v>
      </c>
      <c r="M346" s="2" t="n">
        <v>2321.75</v>
      </c>
      <c r="N346" s="3" t="n">
        <f aca="false">(Tabla2[[#This Row],[Productividad (kg/TAS)]]*Tabla2[[#This Row],[Precio por kg]]-Tabla2[[#This Row],[Costos (En RD$/Tarea)]])</f>
        <v>-807.258530843475</v>
      </c>
      <c r="O346" s="9" t="n">
        <f aca="false">IF(Tabla2[[#This Row],[Costos (En RD$/Tarea)]]=0,0,Tabla2[[#This Row],[Beneficio Neto  (En RD$/Tarea)]]/Tabla2[[#This Row],[Costos (En RD$/Tarea)]])</f>
        <v>-0.347693994118003</v>
      </c>
      <c r="P346" s="7" t="n">
        <f aca="false">Tabla2[[#This Row],[Rentabilidad (%)]]/12</f>
        <v>-0.0289744995098336</v>
      </c>
    </row>
    <row r="347" customFormat="false" ht="14.25" hidden="false" customHeight="false" outlineLevel="0" collapsed="false">
      <c r="A347" s="1" t="n">
        <v>37377</v>
      </c>
      <c r="B347" s="2" t="s">
        <v>28</v>
      </c>
      <c r="C347" s="3" t="n">
        <v>7</v>
      </c>
      <c r="D347" s="8" t="s">
        <v>17</v>
      </c>
      <c r="E347" s="3" t="n">
        <f aca="false">IF(Tabla2[[#This Row],[Frecuencia]]="Annual", Tabla2[[#This Row],[Cosecha/Tarea]]/12,Tabla2[[#This Row],[Cosecha/Tarea]])</f>
        <v>7</v>
      </c>
      <c r="F347" s="3" t="n">
        <v>4</v>
      </c>
      <c r="G347" s="2" t="s">
        <v>18</v>
      </c>
      <c r="H347" s="2" t="n">
        <f aca="false">F347/Tabla2[[#This Row],[Cosecha Mensual]]</f>
        <v>0.571428571428571</v>
      </c>
      <c r="I347" s="2" t="n">
        <f aca="false">H347*_xlfn.XLOOKUP(Tabla2[[#This Row],[Unidad de producción]],Tabla3[Medida],Tabla3[Equivalencia en Kg],"ELVIS",0)</f>
        <v>25.92</v>
      </c>
      <c r="J347" s="2" t="n">
        <v>4500</v>
      </c>
      <c r="K347" s="2" t="s">
        <v>29</v>
      </c>
      <c r="L347" s="2" t="n">
        <f aca="false">J347/_xlfn.XLOOKUP(Tabla2[[#This Row],[Unidad de precio]],Tabla3[Medida],Tabla3[Equivalencia en Kg],"ELVIS",0)</f>
        <v>8.00227620300886</v>
      </c>
      <c r="M347" s="2" t="n">
        <v>3619.46</v>
      </c>
      <c r="N347" s="3" t="n">
        <f aca="false">(Tabla2[[#This Row],[Productividad (kg/TAS)]]*Tabla2[[#This Row],[Precio por kg]]-Tabla2[[#This Row],[Costos (En RD$/Tarea)]])</f>
        <v>-3412.04100081801</v>
      </c>
      <c r="O347" s="9" t="n">
        <f aca="false">IF(Tabla2[[#This Row],[Costos (En RD$/Tarea)]]=0,0,Tabla2[[#This Row],[Beneficio Neto  (En RD$/Tarea)]]/Tabla2[[#This Row],[Costos (En RD$/Tarea)]])</f>
        <v>-0.942693385427111</v>
      </c>
      <c r="P347" s="7" t="n">
        <f aca="false">Tabla2[[#This Row],[Rentabilidad (%)]]/12</f>
        <v>-0.0785577821189259</v>
      </c>
    </row>
    <row r="348" customFormat="false" ht="14.25" hidden="false" customHeight="false" outlineLevel="0" collapsed="false">
      <c r="A348" s="1" t="n">
        <v>37377</v>
      </c>
      <c r="B348" s="2" t="s">
        <v>30</v>
      </c>
      <c r="C348" s="3" t="n">
        <v>254003</v>
      </c>
      <c r="D348" s="3" t="s">
        <v>31</v>
      </c>
      <c r="E348" s="3" t="n">
        <f aca="false">IF(Tabla2[[#This Row],[Frecuencia]]="Annual", Tabla2[[#This Row],[Cosecha/Tarea]]/12,Tabla2[[#This Row],[Cosecha/Tarea]])</f>
        <v>21166.9166666667</v>
      </c>
      <c r="F348" s="3" t="n">
        <v>1727612</v>
      </c>
      <c r="G348" s="2" t="s">
        <v>32</v>
      </c>
      <c r="H348" s="2" t="n">
        <f aca="false">F348/Tabla2[[#This Row],[Cosecha Mensual]]</f>
        <v>81.6185005688909</v>
      </c>
      <c r="I348" s="2" t="n">
        <f aca="false">H348*_xlfn.XLOOKUP(Tabla2[[#This Row],[Unidad de producción]],Tabla3[Medida],Tabla3[Equivalencia en Kg],"ELVIS",0)</f>
        <v>2220.83940047952</v>
      </c>
      <c r="J348" s="2" t="n">
        <v>29.00625</v>
      </c>
      <c r="K348" s="2" t="s">
        <v>32</v>
      </c>
      <c r="L348" s="2" t="n">
        <f aca="false">J348/_xlfn.XLOOKUP(Tabla2[[#This Row],[Unidad de precio]],Tabla3[Medida],Tabla3[Equivalencia en Kg],"ELVIS",0)</f>
        <v>1.06601433296582</v>
      </c>
      <c r="M348" s="3" t="n">
        <v>3727.21</v>
      </c>
      <c r="N348" s="3" t="n">
        <f aca="false">(Tabla2[[#This Row],[Productividad (kg/TAS)]]*Tabla2[[#This Row],[Precio por kg]]-Tabla2[[#This Row],[Costos (En RD$/Tarea)]])</f>
        <v>-1359.76336787361</v>
      </c>
      <c r="O348" s="9" t="n">
        <f aca="false">IF(Tabla2[[#This Row],[Costos (En RD$/Tarea)]]=0,0,Tabla2[[#This Row],[Beneficio Neto  (En RD$/Tarea)]]/Tabla2[[#This Row],[Costos (En RD$/Tarea)]])</f>
        <v>-0.3648207017779</v>
      </c>
      <c r="P348" s="7" t="n">
        <f aca="false">Tabla2[[#This Row],[Rentabilidad (%)]]/12</f>
        <v>-0.0304017251481584</v>
      </c>
    </row>
    <row r="349" customFormat="false" ht="14.25" hidden="false" customHeight="false" outlineLevel="0" collapsed="false">
      <c r="A349" s="1" t="n">
        <v>37377</v>
      </c>
      <c r="B349" s="2" t="s">
        <v>33</v>
      </c>
      <c r="C349" s="3" t="n">
        <v>648238</v>
      </c>
      <c r="D349" s="3" t="s">
        <v>31</v>
      </c>
      <c r="E349" s="3" t="n">
        <f aca="false">IF(Tabla2[[#This Row],[Frecuencia]]="Annual", Tabla2[[#This Row],[Cosecha/Tarea]]/12,Tabla2[[#This Row],[Cosecha/Tarea]])</f>
        <v>54019.8333333333</v>
      </c>
      <c r="F349" s="3" t="n">
        <v>96109</v>
      </c>
      <c r="G349" s="2" t="s">
        <v>34</v>
      </c>
      <c r="H349" s="2" t="n">
        <f aca="false">F349/Tabla2[[#This Row],[Cosecha Mensual]]</f>
        <v>1.77914284568322</v>
      </c>
      <c r="I349" s="2" t="n">
        <f aca="false">H349*_xlfn.XLOOKUP(Tabla2[[#This Row],[Unidad de producción]],Tabla3[Medida],Tabla3[Equivalencia en Kg],"ELVIS",0)</f>
        <v>726.157152465607</v>
      </c>
      <c r="J349" s="2" t="n">
        <v>1146.2425</v>
      </c>
      <c r="K349" s="2" t="s">
        <v>34</v>
      </c>
      <c r="L349" s="2" t="n">
        <f aca="false">J349/_xlfn.XLOOKUP(Tabla2[[#This Row],[Unidad de precio]],Tabla3[Medida],Tabla3[Equivalencia en Kg],"ELVIS",0)</f>
        <v>2.80838539752542</v>
      </c>
      <c r="M349" s="3" t="n">
        <v>3949.84</v>
      </c>
      <c r="N349" s="3" t="n">
        <f aca="false">(Tabla2[[#This Row],[Productividad (kg/TAS)]]*Tabla2[[#This Row],[Precio por kg]]-Tabla2[[#This Row],[Costos (En RD$/Tarea)]])</f>
        <v>-1910.51085670695</v>
      </c>
      <c r="O349" s="9" t="n">
        <f aca="false">IF(Tabla2[[#This Row],[Costos (En RD$/Tarea)]]=0,0,Tabla2[[#This Row],[Beneficio Neto  (En RD$/Tarea)]]/Tabla2[[#This Row],[Costos (En RD$/Tarea)]])</f>
        <v>-0.483693227246407</v>
      </c>
      <c r="P349" s="7" t="n">
        <f aca="false">Tabla2[[#This Row],[Rentabilidad (%)]]/12</f>
        <v>-0.0403077689372006</v>
      </c>
    </row>
    <row r="350" customFormat="false" ht="14.25" hidden="false" customHeight="false" outlineLevel="0" collapsed="false">
      <c r="A350" s="1" t="n">
        <v>37408</v>
      </c>
      <c r="B350" s="2" t="s">
        <v>16</v>
      </c>
      <c r="C350" s="3" t="n">
        <v>547886</v>
      </c>
      <c r="D350" s="8" t="s">
        <v>17</v>
      </c>
      <c r="E350" s="3" t="n">
        <f aca="false">IF(Tabla2[[#This Row],[Frecuencia]]="Annual", Tabla2[[#This Row],[Cosecha/Tarea]]/12,Tabla2[[#This Row],[Cosecha/Tarea]])</f>
        <v>547886</v>
      </c>
      <c r="F350" s="3" t="n">
        <v>2891546</v>
      </c>
      <c r="G350" s="2" t="s">
        <v>18</v>
      </c>
      <c r="H350" s="2" t="n">
        <f aca="false">F350/Tabla2[[#This Row],[Cosecha Mensual]]</f>
        <v>5.2776416991856</v>
      </c>
      <c r="I350" s="2" t="n">
        <f aca="false">H350*_xlfn.XLOOKUP(Tabla2[[#This Row],[Unidad de producción]],Tabla3[Medida],Tabla3[Equivalencia en Kg],"ELVIS",0)</f>
        <v>239.393827475059</v>
      </c>
      <c r="J350" s="2" t="n">
        <v>924.701870187019</v>
      </c>
      <c r="K350" s="2" t="s">
        <v>19</v>
      </c>
      <c r="L350" s="2" t="n">
        <f aca="false">J350/_xlfn.XLOOKUP(Tabla2[[#This Row],[Unidad de precio]],Tabla3[Medida],Tabla3[Equivalencia en Kg],"ELVIS",0)</f>
        <v>8.40638063806381</v>
      </c>
      <c r="M350" s="2" t="n">
        <v>1921.06</v>
      </c>
      <c r="N350" s="3" t="n">
        <f aca="false">(Tabla2[[#This Row],[Productividad (kg/TAS)]]*Tabla2[[#This Row],[Precio por kg]]-Tabla2[[#This Row],[Costos (En RD$/Tarea)]])</f>
        <v>91.3756361583216</v>
      </c>
      <c r="O350" s="9" t="n">
        <f aca="false">IF(Tabla2[[#This Row],[Costos (En RD$/Tarea)]]=0,0,Tabla2[[#This Row],[Beneficio Neto  (En RD$/Tarea)]]/Tabla2[[#This Row],[Costos (En RD$/Tarea)]])</f>
        <v>0.0475652172021289</v>
      </c>
      <c r="P350" s="7" t="n">
        <f aca="false">Tabla2[[#This Row],[Rentabilidad (%)]]/12</f>
        <v>0.0039637681001774</v>
      </c>
    </row>
    <row r="351" customFormat="false" ht="14.25" hidden="false" customHeight="false" outlineLevel="0" collapsed="false">
      <c r="A351" s="1" t="n">
        <v>37408</v>
      </c>
      <c r="B351" s="2" t="s">
        <v>20</v>
      </c>
      <c r="C351" s="3" t="n">
        <v>26083</v>
      </c>
      <c r="D351" s="8" t="s">
        <v>17</v>
      </c>
      <c r="E351" s="3" t="n">
        <f aca="false">IF(Tabla2[[#This Row],[Frecuencia]]="Annual", Tabla2[[#This Row],[Cosecha/Tarea]]/12,Tabla2[[#This Row],[Cosecha/Tarea]])</f>
        <v>26083</v>
      </c>
      <c r="F351" s="3" t="n">
        <v>49993</v>
      </c>
      <c r="G351" s="2" t="s">
        <v>18</v>
      </c>
      <c r="H351" s="2" t="n">
        <f aca="false">F351/Tabla2[[#This Row],[Cosecha Mensual]]</f>
        <v>1.91668903116973</v>
      </c>
      <c r="I351" s="2" t="n">
        <f aca="false">H351*_xlfn.XLOOKUP(Tabla2[[#This Row],[Unidad de producción]],Tabla3[Medida],Tabla3[Equivalencia en Kg],"ELVIS",0)</f>
        <v>86.9410144538588</v>
      </c>
      <c r="J351" s="2" t="n">
        <v>177.798314285714</v>
      </c>
      <c r="K351" s="2" t="s">
        <v>18</v>
      </c>
      <c r="L351" s="2" t="n">
        <f aca="false">J351/_xlfn.XLOOKUP(Tabla2[[#This Row],[Unidad de precio]],Tabla3[Medida],Tabla3[Equivalencia en Kg],"ELVIS",0)</f>
        <v>3.91971592340639</v>
      </c>
      <c r="M351" s="2" t="n">
        <v>531.935</v>
      </c>
      <c r="N351" s="3" t="n">
        <f aca="false">(Tabla2[[#This Row],[Productividad (kg/TAS)]]*Tabla2[[#This Row],[Precio por kg]]-Tabla2[[#This Row],[Costos (En RD$/Tarea)]])</f>
        <v>-191.150921248104</v>
      </c>
      <c r="O351" s="9" t="n">
        <f aca="false">IF(Tabla2[[#This Row],[Costos (En RD$/Tarea)]]=0,0,Tabla2[[#This Row],[Beneficio Neto  (En RD$/Tarea)]]/Tabla2[[#This Row],[Costos (En RD$/Tarea)]])</f>
        <v>-0.359350148510822</v>
      </c>
      <c r="P351" s="7" t="n">
        <f aca="false">Tabla2[[#This Row],[Rentabilidad (%)]]/12</f>
        <v>-0.0299458457092352</v>
      </c>
    </row>
    <row r="352" customFormat="false" ht="14.25" hidden="false" customHeight="false" outlineLevel="0" collapsed="false">
      <c r="A352" s="1" t="n">
        <v>37408</v>
      </c>
      <c r="B352" s="2" t="s">
        <v>21</v>
      </c>
      <c r="C352" s="3" t="n">
        <v>5537</v>
      </c>
      <c r="D352" s="8" t="s">
        <v>17</v>
      </c>
      <c r="E352" s="3" t="n">
        <f aca="false">IF(Tabla2[[#This Row],[Frecuencia]]="Annual", Tabla2[[#This Row],[Cosecha/Tarea]]/12,Tabla2[[#This Row],[Cosecha/Tarea]])</f>
        <v>5537</v>
      </c>
      <c r="F352" s="3" t="n">
        <v>55532</v>
      </c>
      <c r="G352" s="2" t="s">
        <v>18</v>
      </c>
      <c r="H352" s="2" t="n">
        <f aca="false">F352/Tabla2[[#This Row],[Cosecha Mensual]]</f>
        <v>10.0292577207874</v>
      </c>
      <c r="I352" s="2" t="n">
        <f aca="false">H352*_xlfn.XLOOKUP(Tabla2[[#This Row],[Unidad de producción]],Tabla3[Medida],Tabla3[Equivalencia en Kg],"ELVIS",0)</f>
        <v>454.927130214918</v>
      </c>
      <c r="J352" s="2" t="n">
        <v>136.552</v>
      </c>
      <c r="K352" s="2" t="s">
        <v>18</v>
      </c>
      <c r="L352" s="2" t="n">
        <f aca="false">J352/_xlfn.XLOOKUP(Tabla2[[#This Row],[Unidad de precio]],Tabla3[Medida],Tabla3[Equivalencia en Kg],"ELVIS",0)</f>
        <v>3.01040564373898</v>
      </c>
      <c r="M352" s="2" t="n">
        <v>945.93</v>
      </c>
      <c r="N352" s="3" t="n">
        <f aca="false">(Tabla2[[#This Row],[Productividad (kg/TAS)]]*Tabla2[[#This Row],[Precio por kg]]-Tabla2[[#This Row],[Costos (En RD$/Tarea)]])</f>
        <v>423.585200288965</v>
      </c>
      <c r="O352" s="9" t="n">
        <f aca="false">IF(Tabla2[[#This Row],[Costos (En RD$/Tarea)]]=0,0,Tabla2[[#This Row],[Beneficio Neto  (En RD$/Tarea)]]/Tabla2[[#This Row],[Costos (En RD$/Tarea)]])</f>
        <v>0.447797617465315</v>
      </c>
      <c r="P352" s="7" t="n">
        <f aca="false">Tabla2[[#This Row],[Rentabilidad (%)]]/12</f>
        <v>0.0373164681221095</v>
      </c>
    </row>
    <row r="353" customFormat="false" ht="14.25" hidden="false" customHeight="false" outlineLevel="0" collapsed="false">
      <c r="A353" s="1" t="n">
        <v>37408</v>
      </c>
      <c r="B353" s="2" t="s">
        <v>22</v>
      </c>
      <c r="C353" s="3" t="n">
        <v>5898</v>
      </c>
      <c r="D353" s="8" t="s">
        <v>17</v>
      </c>
      <c r="E353" s="3" t="n">
        <f aca="false">IF(Tabla2[[#This Row],[Frecuencia]]="Annual", Tabla2[[#This Row],[Cosecha/Tarea]]/12,Tabla2[[#This Row],[Cosecha/Tarea]])</f>
        <v>5898</v>
      </c>
      <c r="F353" s="3" t="n">
        <v>56846</v>
      </c>
      <c r="G353" s="2" t="s">
        <v>18</v>
      </c>
      <c r="H353" s="2" t="n">
        <f aca="false">F353/Tabla2[[#This Row],[Cosecha Mensual]]</f>
        <v>9.63818243472364</v>
      </c>
      <c r="I353" s="2" t="n">
        <f aca="false">H353*_xlfn.XLOOKUP(Tabla2[[#This Row],[Unidad de producción]],Tabla3[Medida],Tabla3[Equivalencia en Kg],"ELVIS",0)</f>
        <v>437.187955239064</v>
      </c>
      <c r="J353" s="2" t="n">
        <v>317.776</v>
      </c>
      <c r="K353" s="2" t="s">
        <v>18</v>
      </c>
      <c r="L353" s="2" t="n">
        <f aca="false">J353/_xlfn.XLOOKUP(Tabla2[[#This Row],[Unidad de precio]],Tabla3[Medida],Tabla3[Equivalencia en Kg],"ELVIS",0)</f>
        <v>7.00564373897707</v>
      </c>
      <c r="M353" s="2" t="n">
        <v>2751.22</v>
      </c>
      <c r="N353" s="3" t="n">
        <f aca="false">(Tabla2[[#This Row],[Productividad (kg/TAS)]]*Tabla2[[#This Row],[Precio por kg]]-Tabla2[[#This Row],[Costos (En RD$/Tarea)]])</f>
        <v>311.563061376738</v>
      </c>
      <c r="O353" s="9" t="n">
        <f aca="false">IF(Tabla2[[#This Row],[Costos (En RD$/Tarea)]]=0,0,Tabla2[[#This Row],[Beneficio Neto  (En RD$/Tarea)]]/Tabla2[[#This Row],[Costos (En RD$/Tarea)]])</f>
        <v>0.113245418896612</v>
      </c>
      <c r="P353" s="7" t="n">
        <f aca="false">Tabla2[[#This Row],[Rentabilidad (%)]]/12</f>
        <v>0.00943711824138437</v>
      </c>
    </row>
    <row r="354" customFormat="false" ht="14.25" hidden="false" customHeight="false" outlineLevel="0" collapsed="false">
      <c r="A354" s="1" t="n">
        <v>37408</v>
      </c>
      <c r="B354" s="2" t="s">
        <v>23</v>
      </c>
      <c r="C354" s="3" t="n">
        <v>3261</v>
      </c>
      <c r="D354" s="8" t="s">
        <v>17</v>
      </c>
      <c r="E354" s="3" t="n">
        <f aca="false">IF(Tabla2[[#This Row],[Frecuencia]]="Annual", Tabla2[[#This Row],[Cosecha/Tarea]]/12,Tabla2[[#This Row],[Cosecha/Tarea]])</f>
        <v>3261</v>
      </c>
      <c r="F354" s="3" t="n">
        <v>74314</v>
      </c>
      <c r="G354" s="2" t="s">
        <v>18</v>
      </c>
      <c r="H354" s="2" t="n">
        <f aca="false">F354/Tabla2[[#This Row],[Cosecha Mensual]]</f>
        <v>22.7887151180619</v>
      </c>
      <c r="I354" s="2" t="n">
        <f aca="false">H354*_xlfn.XLOOKUP(Tabla2[[#This Row],[Unidad de producción]],Tabla3[Medida],Tabla3[Equivalencia en Kg],"ELVIS",0)</f>
        <v>1033.69611775529</v>
      </c>
      <c r="J354" s="2" t="n">
        <v>208.65</v>
      </c>
      <c r="K354" s="2" t="s">
        <v>18</v>
      </c>
      <c r="L354" s="2" t="n">
        <f aca="false">J354/_xlfn.XLOOKUP(Tabla2[[#This Row],[Unidad de precio]],Tabla3[Medida],Tabla3[Equivalencia en Kg],"ELVIS",0)</f>
        <v>4.59986772486773</v>
      </c>
      <c r="M354" s="2" t="n">
        <v>5786.34</v>
      </c>
      <c r="N354" s="3" t="n">
        <f aca="false">(Tabla2[[#This Row],[Productividad (kg/TAS)]]*Tabla2[[#This Row],[Precio por kg]]-Tabla2[[#This Row],[Costos (En RD$/Tarea)]])</f>
        <v>-1031.47459061638</v>
      </c>
      <c r="O354" s="9" t="n">
        <f aca="false">IF(Tabla2[[#This Row],[Costos (En RD$/Tarea)]]=0,0,Tabla2[[#This Row],[Beneficio Neto  (En RD$/Tarea)]]/Tabla2[[#This Row],[Costos (En RD$/Tarea)]])</f>
        <v>-0.178260280352758</v>
      </c>
      <c r="P354" s="7" t="n">
        <f aca="false">Tabla2[[#This Row],[Rentabilidad (%)]]/12</f>
        <v>-0.0148550233627298</v>
      </c>
    </row>
    <row r="355" customFormat="false" ht="14.25" hidden="false" customHeight="false" outlineLevel="0" collapsed="false">
      <c r="A355" s="1" t="n">
        <v>37408</v>
      </c>
      <c r="B355" s="2" t="s">
        <v>24</v>
      </c>
      <c r="C355" s="3" t="n">
        <v>7390</v>
      </c>
      <c r="D355" s="8" t="s">
        <v>17</v>
      </c>
      <c r="E355" s="3" t="n">
        <f aca="false">IF(Tabla2[[#This Row],[Frecuencia]]="Annual", Tabla2[[#This Row],[Cosecha/Tarea]]/12,Tabla2[[#This Row],[Cosecha/Tarea]])</f>
        <v>7390</v>
      </c>
      <c r="F355" s="3" t="n">
        <v>87207</v>
      </c>
      <c r="G355" s="2" t="s">
        <v>18</v>
      </c>
      <c r="H355" s="2" t="n">
        <f aca="false">F355/Tabla2[[#This Row],[Cosecha Mensual]]</f>
        <v>11.8006765899865</v>
      </c>
      <c r="I355" s="2" t="n">
        <f aca="false">H355*_xlfn.XLOOKUP(Tabla2[[#This Row],[Unidad de producción]],Tabla3[Medida],Tabla3[Equivalencia en Kg],"ELVIS",0)</f>
        <v>535.278690121786</v>
      </c>
      <c r="J355" s="2" t="n">
        <v>388.888333333333</v>
      </c>
      <c r="K355" s="2" t="s">
        <v>18</v>
      </c>
      <c r="L355" s="2" t="n">
        <f aca="false">J355/_xlfn.XLOOKUP(Tabla2[[#This Row],[Unidad de precio]],Tabla3[Medida],Tabla3[Equivalencia en Kg],"ELVIS",0)</f>
        <v>8.57337595532039</v>
      </c>
      <c r="M355" s="2" t="n">
        <v>1994.96</v>
      </c>
      <c r="N355" s="3" t="n">
        <f aca="false">(Tabla2[[#This Row],[Productividad (kg/TAS)]]*Tabla2[[#This Row],[Precio por kg]]-Tabla2[[#This Row],[Costos (En RD$/Tarea)]])</f>
        <v>2594.18545128552</v>
      </c>
      <c r="O355" s="9" t="n">
        <f aca="false">IF(Tabla2[[#This Row],[Costos (En RD$/Tarea)]]=0,0,Tabla2[[#This Row],[Beneficio Neto  (En RD$/Tarea)]]/Tabla2[[#This Row],[Costos (En RD$/Tarea)]])</f>
        <v>1.30036965717885</v>
      </c>
      <c r="P355" s="7" t="n">
        <f aca="false">Tabla2[[#This Row],[Rentabilidad (%)]]/12</f>
        <v>0.108364138098237</v>
      </c>
    </row>
    <row r="356" customFormat="false" ht="14.25" hidden="false" customHeight="false" outlineLevel="0" collapsed="false">
      <c r="A356" s="1" t="n">
        <v>37408</v>
      </c>
      <c r="B356" s="2" t="s">
        <v>25</v>
      </c>
      <c r="C356" s="3" t="n">
        <v>24249</v>
      </c>
      <c r="D356" s="8" t="s">
        <v>17</v>
      </c>
      <c r="E356" s="3" t="n">
        <f aca="false">IF(Tabla2[[#This Row],[Frecuencia]]="Annual", Tabla2[[#This Row],[Cosecha/Tarea]]/12,Tabla2[[#This Row],[Cosecha/Tarea]])</f>
        <v>24249</v>
      </c>
      <c r="F356" s="3" t="n">
        <v>225284</v>
      </c>
      <c r="G356" s="2" t="s">
        <v>18</v>
      </c>
      <c r="H356" s="2" t="n">
        <f aca="false">F356/Tabla2[[#This Row],[Cosecha Mensual]]</f>
        <v>9.29044496680275</v>
      </c>
      <c r="I356" s="2" t="n">
        <f aca="false">H356*_xlfn.XLOOKUP(Tabla2[[#This Row],[Unidad de producción]],Tabla3[Medida],Tabla3[Equivalencia en Kg],"ELVIS",0)</f>
        <v>421.414583694173</v>
      </c>
      <c r="J356" s="2" t="n">
        <v>97.93870625</v>
      </c>
      <c r="K356" s="2" t="s">
        <v>18</v>
      </c>
      <c r="L356" s="2" t="n">
        <f aca="false">J356/_xlfn.XLOOKUP(Tabla2[[#This Row],[Unidad de precio]],Tabla3[Medida],Tabla3[Equivalencia en Kg],"ELVIS",0)</f>
        <v>2.15914255401235</v>
      </c>
      <c r="M356" s="2" t="n">
        <v>966.8</v>
      </c>
      <c r="N356" s="3" t="n">
        <f aca="false">(Tabla2[[#This Row],[Productividad (kg/TAS)]]*Tabla2[[#This Row],[Precio por kg]]-Tabla2[[#This Row],[Costos (En RD$/Tarea)]])</f>
        <v>-56.9058394645142</v>
      </c>
      <c r="O356" s="9" t="n">
        <f aca="false">IF(Tabla2[[#This Row],[Costos (En RD$/Tarea)]]=0,0,Tabla2[[#This Row],[Beneficio Neto  (En RD$/Tarea)]]/Tabla2[[#This Row],[Costos (En RD$/Tarea)]])</f>
        <v>-0.0588599911714048</v>
      </c>
      <c r="P356" s="7" t="n">
        <f aca="false">Tabla2[[#This Row],[Rentabilidad (%)]]/12</f>
        <v>-0.00490499926428374</v>
      </c>
    </row>
    <row r="357" customFormat="false" ht="14.25" hidden="false" customHeight="false" outlineLevel="0" collapsed="false">
      <c r="A357" s="1" t="n">
        <v>37408</v>
      </c>
      <c r="B357" s="2" t="s">
        <v>26</v>
      </c>
      <c r="C357" s="3" t="n">
        <v>11091</v>
      </c>
      <c r="D357" s="8" t="s">
        <v>17</v>
      </c>
      <c r="E357" s="3" t="n">
        <f aca="false">IF(Tabla2[[#This Row],[Frecuencia]]="Annual", Tabla2[[#This Row],[Cosecha/Tarea]]/12,Tabla2[[#This Row],[Cosecha/Tarea]])</f>
        <v>11091</v>
      </c>
      <c r="F357" s="3" t="n">
        <v>53250</v>
      </c>
      <c r="G357" s="2" t="s">
        <v>18</v>
      </c>
      <c r="H357" s="2" t="n">
        <f aca="false">F357/Tabla2[[#This Row],[Cosecha Mensual]]</f>
        <v>4.80119015417906</v>
      </c>
      <c r="I357" s="2" t="n">
        <f aca="false">H357*_xlfn.XLOOKUP(Tabla2[[#This Row],[Unidad de producción]],Tabla3[Medida],Tabla3[Equivalencia en Kg],"ELVIS",0)</f>
        <v>217.781985393562</v>
      </c>
      <c r="J357" s="2" t="n">
        <v>191.16</v>
      </c>
      <c r="K357" s="2" t="s">
        <v>18</v>
      </c>
      <c r="L357" s="2" t="n">
        <f aca="false">J357/_xlfn.XLOOKUP(Tabla2[[#This Row],[Unidad de precio]],Tabla3[Medida],Tabla3[Equivalencia en Kg],"ELVIS",0)</f>
        <v>4.21428571428571</v>
      </c>
      <c r="M357" s="2" t="n">
        <v>360.52</v>
      </c>
      <c r="N357" s="3" t="n">
        <f aca="false">(Tabla2[[#This Row],[Productividad (kg/TAS)]]*Tabla2[[#This Row],[Precio por kg]]-Tabla2[[#This Row],[Costos (En RD$/Tarea)]])</f>
        <v>557.27550987287</v>
      </c>
      <c r="O357" s="9" t="n">
        <f aca="false">IF(Tabla2[[#This Row],[Costos (En RD$/Tarea)]]=0,0,Tabla2[[#This Row],[Beneficio Neto  (En RD$/Tarea)]]/Tabla2[[#This Row],[Costos (En RD$/Tarea)]])</f>
        <v>1.54575477053387</v>
      </c>
      <c r="P357" s="7" t="n">
        <f aca="false">Tabla2[[#This Row],[Rentabilidad (%)]]/12</f>
        <v>0.128812897544489</v>
      </c>
    </row>
    <row r="358" customFormat="false" ht="14.25" hidden="false" customHeight="false" outlineLevel="0" collapsed="false">
      <c r="A358" s="1" t="n">
        <v>37408</v>
      </c>
      <c r="B358" s="2" t="s">
        <v>27</v>
      </c>
      <c r="C358" s="3" t="n">
        <v>4032</v>
      </c>
      <c r="D358" s="8" t="s">
        <v>17</v>
      </c>
      <c r="E358" s="3" t="n">
        <f aca="false">IF(Tabla2[[#This Row],[Frecuencia]]="Annual", Tabla2[[#This Row],[Cosecha/Tarea]]/12,Tabla2[[#This Row],[Cosecha/Tarea]])</f>
        <v>4032</v>
      </c>
      <c r="F358" s="3" t="n">
        <v>37672</v>
      </c>
      <c r="G358" s="2" t="s">
        <v>18</v>
      </c>
      <c r="H358" s="2" t="n">
        <f aca="false">F358/Tabla2[[#This Row],[Cosecha Mensual]]</f>
        <v>9.34325396825397</v>
      </c>
      <c r="I358" s="2" t="n">
        <f aca="false">H358*_xlfn.XLOOKUP(Tabla2[[#This Row],[Unidad de producción]],Tabla3[Medida],Tabla3[Equivalencia en Kg],"ELVIS",0)</f>
        <v>423.81</v>
      </c>
      <c r="J358" s="2" t="n">
        <v>202.082857142857</v>
      </c>
      <c r="K358" s="2" t="s">
        <v>18</v>
      </c>
      <c r="L358" s="2" t="n">
        <f aca="false">J358/_xlfn.XLOOKUP(Tabla2[[#This Row],[Unidad de precio]],Tabla3[Medida],Tabla3[Equivalencia en Kg],"ELVIS",0)</f>
        <v>4.45508944318468</v>
      </c>
      <c r="M358" s="2" t="n">
        <v>2321.75</v>
      </c>
      <c r="N358" s="3" t="n">
        <f aca="false">(Tabla2[[#This Row],[Productividad (kg/TAS)]]*Tabla2[[#This Row],[Precio por kg]]-Tabla2[[#This Row],[Costos (En RD$/Tarea)]])</f>
        <v>-433.638543083901</v>
      </c>
      <c r="O358" s="9" t="n">
        <f aca="false">IF(Tabla2[[#This Row],[Costos (En RD$/Tarea)]]=0,0,Tabla2[[#This Row],[Beneficio Neto  (En RD$/Tarea)]]/Tabla2[[#This Row],[Costos (En RD$/Tarea)]])</f>
        <v>-0.186772280858792</v>
      </c>
      <c r="P358" s="7" t="n">
        <f aca="false">Tabla2[[#This Row],[Rentabilidad (%)]]/12</f>
        <v>-0.0155643567382327</v>
      </c>
    </row>
    <row r="359" customFormat="false" ht="14.25" hidden="false" customHeight="false" outlineLevel="0" collapsed="false">
      <c r="A359" s="1" t="n">
        <v>37408</v>
      </c>
      <c r="B359" s="2" t="s">
        <v>28</v>
      </c>
      <c r="C359" s="3" t="n">
        <v>13525</v>
      </c>
      <c r="D359" s="8" t="s">
        <v>17</v>
      </c>
      <c r="E359" s="3" t="n">
        <f aca="false">IF(Tabla2[[#This Row],[Frecuencia]]="Annual", Tabla2[[#This Row],[Cosecha/Tarea]]/12,Tabla2[[#This Row],[Cosecha/Tarea]])</f>
        <v>13525</v>
      </c>
      <c r="F359" s="3" t="n">
        <v>6704</v>
      </c>
      <c r="G359" s="2" t="s">
        <v>18</v>
      </c>
      <c r="H359" s="2" t="n">
        <f aca="false">F359/Tabla2[[#This Row],[Cosecha Mensual]]</f>
        <v>0.495674676524954</v>
      </c>
      <c r="I359" s="2" t="n">
        <f aca="false">H359*_xlfn.XLOOKUP(Tabla2[[#This Row],[Unidad de producción]],Tabla3[Medida],Tabla3[Equivalencia en Kg],"ELVIS",0)</f>
        <v>22.4838033271719</v>
      </c>
      <c r="J359" s="2" t="n">
        <v>4500</v>
      </c>
      <c r="K359" s="2" t="s">
        <v>29</v>
      </c>
      <c r="L359" s="2" t="n">
        <f aca="false">J359/_xlfn.XLOOKUP(Tabla2[[#This Row],[Unidad de precio]],Tabla3[Medida],Tabla3[Equivalencia en Kg],"ELVIS",0)</f>
        <v>8.00227620300886</v>
      </c>
      <c r="M359" s="2" t="n">
        <v>3619.46</v>
      </c>
      <c r="N359" s="3" t="n">
        <f aca="false">(Tabla2[[#This Row],[Productividad (kg/TAS)]]*Tabla2[[#This Row],[Precio por kg]]-Tabla2[[#This Row],[Costos (En RD$/Tarea)]])</f>
        <v>-3439.53839568184</v>
      </c>
      <c r="O359" s="9" t="n">
        <f aca="false">IF(Tabla2[[#This Row],[Costos (En RD$/Tarea)]]=0,0,Tabla2[[#This Row],[Beneficio Neto  (En RD$/Tarea)]]/Tabla2[[#This Row],[Costos (En RD$/Tarea)]])</f>
        <v>-0.950290484127975</v>
      </c>
      <c r="P359" s="7" t="n">
        <f aca="false">Tabla2[[#This Row],[Rentabilidad (%)]]/12</f>
        <v>-0.0791908736773313</v>
      </c>
    </row>
    <row r="360" customFormat="false" ht="14.25" hidden="false" customHeight="false" outlineLevel="0" collapsed="false">
      <c r="A360" s="1" t="n">
        <v>37408</v>
      </c>
      <c r="B360" s="2" t="s">
        <v>30</v>
      </c>
      <c r="C360" s="3" t="n">
        <v>242492</v>
      </c>
      <c r="D360" s="3" t="s">
        <v>31</v>
      </c>
      <c r="E360" s="3" t="n">
        <f aca="false">IF(Tabla2[[#This Row],[Frecuencia]]="Annual", Tabla2[[#This Row],[Cosecha/Tarea]]/12,Tabla2[[#This Row],[Cosecha/Tarea]])</f>
        <v>20207.6666666667</v>
      </c>
      <c r="F360" s="3" t="n">
        <v>1744347</v>
      </c>
      <c r="G360" s="2" t="s">
        <v>32</v>
      </c>
      <c r="H360" s="2" t="n">
        <f aca="false">F360/Tabla2[[#This Row],[Cosecha Mensual]]</f>
        <v>86.3210497665902</v>
      </c>
      <c r="I360" s="2" t="n">
        <f aca="false">H360*_xlfn.XLOOKUP(Tabla2[[#This Row],[Unidad de producción]],Tabla3[Medida],Tabla3[Equivalencia en Kg],"ELVIS",0)</f>
        <v>2348.79576414892</v>
      </c>
      <c r="J360" s="2" t="n">
        <v>24.5066666666667</v>
      </c>
      <c r="K360" s="2" t="s">
        <v>32</v>
      </c>
      <c r="L360" s="2" t="n">
        <f aca="false">J360/_xlfn.XLOOKUP(Tabla2[[#This Row],[Unidad de precio]],Tabla3[Medida],Tabla3[Equivalencia en Kg],"ELVIS",0)</f>
        <v>0.900649271101312</v>
      </c>
      <c r="M360" s="3" t="n">
        <v>3727.21</v>
      </c>
      <c r="N360" s="3" t="n">
        <f aca="false">(Tabla2[[#This Row],[Productividad (kg/TAS)]]*Tabla2[[#This Row],[Precio por kg]]-Tabla2[[#This Row],[Costos (En RD$/Tarea)]])</f>
        <v>-1611.76880705343</v>
      </c>
      <c r="O360" s="9" t="n">
        <f aca="false">IF(Tabla2[[#This Row],[Costos (En RD$/Tarea)]]=0,0,Tabla2[[#This Row],[Beneficio Neto  (En RD$/Tarea)]]/Tabla2[[#This Row],[Costos (En RD$/Tarea)]])</f>
        <v>-0.43243305503404</v>
      </c>
      <c r="P360" s="7" t="n">
        <f aca="false">Tabla2[[#This Row],[Rentabilidad (%)]]/12</f>
        <v>-0.0360360879195034</v>
      </c>
    </row>
    <row r="361" customFormat="false" ht="14.25" hidden="false" customHeight="false" outlineLevel="0" collapsed="false">
      <c r="A361" s="1" t="n">
        <v>37408</v>
      </c>
      <c r="B361" s="2" t="s">
        <v>33</v>
      </c>
      <c r="C361" s="3" t="n">
        <v>678170</v>
      </c>
      <c r="D361" s="3" t="s">
        <v>31</v>
      </c>
      <c r="E361" s="3" t="n">
        <f aca="false">IF(Tabla2[[#This Row],[Frecuencia]]="Annual", Tabla2[[#This Row],[Cosecha/Tarea]]/12,Tabla2[[#This Row],[Cosecha/Tarea]])</f>
        <v>56514.1666666667</v>
      </c>
      <c r="F361" s="3" t="n">
        <v>117459</v>
      </c>
      <c r="G361" s="2" t="s">
        <v>34</v>
      </c>
      <c r="H361" s="2" t="n">
        <f aca="false">F361/Tabla2[[#This Row],[Cosecha Mensual]]</f>
        <v>2.07839922143415</v>
      </c>
      <c r="I361" s="2" t="n">
        <f aca="false">H361*_xlfn.XLOOKUP(Tabla2[[#This Row],[Unidad de producción]],Tabla3[Medida],Tabla3[Equivalencia en Kg],"ELVIS",0)</f>
        <v>848.29864222835</v>
      </c>
      <c r="J361" s="2" t="n">
        <v>948.012857142857</v>
      </c>
      <c r="K361" s="2" t="s">
        <v>34</v>
      </c>
      <c r="L361" s="2" t="n">
        <f aca="false">J361/_xlfn.XLOOKUP(Tabla2[[#This Row],[Unidad de precio]],Tabla3[Medida],Tabla3[Equivalencia en Kg],"ELVIS",0)</f>
        <v>2.32270698797711</v>
      </c>
      <c r="M361" s="3" t="n">
        <v>3949.84</v>
      </c>
      <c r="N361" s="3" t="n">
        <f aca="false">(Tabla2[[#This Row],[Productividad (kg/TAS)]]*Tabla2[[#This Row],[Precio por kg]]-Tabla2[[#This Row],[Costos (En RD$/Tarea)]])</f>
        <v>-1979.49081580472</v>
      </c>
      <c r="O361" s="9" t="n">
        <f aca="false">IF(Tabla2[[#This Row],[Costos (En RD$/Tarea)]]=0,0,Tabla2[[#This Row],[Beneficio Neto  (En RD$/Tarea)]]/Tabla2[[#This Row],[Costos (En RD$/Tarea)]])</f>
        <v>-0.501157215432706</v>
      </c>
      <c r="P361" s="7" t="n">
        <f aca="false">Tabla2[[#This Row],[Rentabilidad (%)]]/12</f>
        <v>-0.0417631012860588</v>
      </c>
    </row>
    <row r="362" customFormat="false" ht="14.25" hidden="false" customHeight="false" outlineLevel="0" collapsed="false">
      <c r="A362" s="1" t="n">
        <v>37438</v>
      </c>
      <c r="B362" s="2" t="s">
        <v>16</v>
      </c>
      <c r="C362" s="3" t="n">
        <v>300721</v>
      </c>
      <c r="D362" s="8" t="s">
        <v>17</v>
      </c>
      <c r="E362" s="3" t="n">
        <f aca="false">IF(Tabla2[[#This Row],[Frecuencia]]="Annual", Tabla2[[#This Row],[Cosecha/Tarea]]/12,Tabla2[[#This Row],[Cosecha/Tarea]])</f>
        <v>300721</v>
      </c>
      <c r="F362" s="3" t="n">
        <v>1541745</v>
      </c>
      <c r="G362" s="2" t="s">
        <v>18</v>
      </c>
      <c r="H362" s="2" t="n">
        <f aca="false">F362/Tabla2[[#This Row],[Cosecha Mensual]]</f>
        <v>5.12682852211851</v>
      </c>
      <c r="I362" s="2" t="n">
        <f aca="false">H362*_xlfn.XLOOKUP(Tabla2[[#This Row],[Unidad de producción]],Tabla3[Medida],Tabla3[Equivalencia en Kg],"ELVIS",0)</f>
        <v>232.552941763296</v>
      </c>
      <c r="J362" s="2" t="n">
        <v>848.778877887789</v>
      </c>
      <c r="K362" s="2" t="s">
        <v>19</v>
      </c>
      <c r="L362" s="2" t="n">
        <f aca="false">J362/_xlfn.XLOOKUP(Tabla2[[#This Row],[Unidad de precio]],Tabla3[Medida],Tabla3[Equivalencia en Kg],"ELVIS",0)</f>
        <v>7.71617161716172</v>
      </c>
      <c r="M362" s="2" t="n">
        <v>1921.06</v>
      </c>
      <c r="N362" s="3" t="n">
        <f aca="false">(Tabla2[[#This Row],[Productividad (kg/TAS)]]*Tabla2[[#This Row],[Precio por kg]]-Tabla2[[#This Row],[Costos (En RD$/Tarea)]])</f>
        <v>-126.641591278597</v>
      </c>
      <c r="O362" s="9" t="n">
        <f aca="false">IF(Tabla2[[#This Row],[Costos (En RD$/Tarea)]]=0,0,Tabla2[[#This Row],[Beneficio Neto  (En RD$/Tarea)]]/Tabla2[[#This Row],[Costos (En RD$/Tarea)]])</f>
        <v>-0.065922767263176</v>
      </c>
      <c r="P362" s="7" t="n">
        <f aca="false">Tabla2[[#This Row],[Rentabilidad (%)]]/12</f>
        <v>-0.005493563938598</v>
      </c>
    </row>
    <row r="363" customFormat="false" ht="14.25" hidden="false" customHeight="false" outlineLevel="0" collapsed="false">
      <c r="A363" s="1" t="n">
        <v>37438</v>
      </c>
      <c r="B363" s="2" t="s">
        <v>20</v>
      </c>
      <c r="C363" s="3" t="n">
        <v>32177</v>
      </c>
      <c r="D363" s="8" t="s">
        <v>17</v>
      </c>
      <c r="E363" s="3" t="n">
        <f aca="false">IF(Tabla2[[#This Row],[Frecuencia]]="Annual", Tabla2[[#This Row],[Cosecha/Tarea]]/12,Tabla2[[#This Row],[Cosecha/Tarea]])</f>
        <v>32177</v>
      </c>
      <c r="F363" s="3" t="n">
        <v>57897</v>
      </c>
      <c r="G363" s="2" t="s">
        <v>18</v>
      </c>
      <c r="H363" s="2" t="n">
        <f aca="false">F363/Tabla2[[#This Row],[Cosecha Mensual]]</f>
        <v>1.79932871305591</v>
      </c>
      <c r="I363" s="2" t="n">
        <f aca="false">H363*_xlfn.XLOOKUP(Tabla2[[#This Row],[Unidad de producción]],Tabla3[Medida],Tabla3[Equivalencia en Kg],"ELVIS",0)</f>
        <v>81.6175504242161</v>
      </c>
      <c r="J363" s="2" t="n">
        <v>153.3959445</v>
      </c>
      <c r="K363" s="2" t="s">
        <v>18</v>
      </c>
      <c r="L363" s="2" t="n">
        <f aca="false">J363/_xlfn.XLOOKUP(Tabla2[[#This Row],[Unidad de precio]],Tabla3[Medida],Tabla3[Equivalencia en Kg],"ELVIS",0)</f>
        <v>3.38174480820106</v>
      </c>
      <c r="M363" s="2" t="n">
        <v>531.935</v>
      </c>
      <c r="N363" s="3" t="n">
        <f aca="false">(Tabla2[[#This Row],[Productividad (kg/TAS)]]*Tabla2[[#This Row],[Precio por kg]]-Tabla2[[#This Row],[Costos (En RD$/Tarea)]])</f>
        <v>-255.925272594819</v>
      </c>
      <c r="O363" s="9" t="n">
        <f aca="false">IF(Tabla2[[#This Row],[Costos (En RD$/Tarea)]]=0,0,Tabla2[[#This Row],[Beneficio Neto  (En RD$/Tarea)]]/Tabla2[[#This Row],[Costos (En RD$/Tarea)]])</f>
        <v>-0.481121326092134</v>
      </c>
      <c r="P363" s="7" t="n">
        <f aca="false">Tabla2[[#This Row],[Rentabilidad (%)]]/12</f>
        <v>-0.0400934438410112</v>
      </c>
    </row>
    <row r="364" customFormat="false" ht="14.25" hidden="false" customHeight="false" outlineLevel="0" collapsed="false">
      <c r="A364" s="1" t="n">
        <v>37438</v>
      </c>
      <c r="B364" s="2" t="s">
        <v>21</v>
      </c>
      <c r="C364" s="3" t="n">
        <v>5969</v>
      </c>
      <c r="D364" s="8" t="s">
        <v>17</v>
      </c>
      <c r="E364" s="3" t="n">
        <f aca="false">IF(Tabla2[[#This Row],[Frecuencia]]="Annual", Tabla2[[#This Row],[Cosecha/Tarea]]/12,Tabla2[[#This Row],[Cosecha/Tarea]])</f>
        <v>5969</v>
      </c>
      <c r="F364" s="3" t="n">
        <v>61422</v>
      </c>
      <c r="G364" s="2" t="s">
        <v>18</v>
      </c>
      <c r="H364" s="2" t="n">
        <f aca="false">F364/Tabla2[[#This Row],[Cosecha Mensual]]</f>
        <v>10.2901658569275</v>
      </c>
      <c r="I364" s="2" t="n">
        <f aca="false">H364*_xlfn.XLOOKUP(Tabla2[[#This Row],[Unidad de producción]],Tabla3[Medida],Tabla3[Equivalencia en Kg],"ELVIS",0)</f>
        <v>466.76192327023</v>
      </c>
      <c r="J364" s="2" t="n">
        <v>132.8125</v>
      </c>
      <c r="K364" s="2" t="s">
        <v>18</v>
      </c>
      <c r="L364" s="2" t="n">
        <f aca="false">J364/_xlfn.XLOOKUP(Tabla2[[#This Row],[Unidad de precio]],Tabla3[Medida],Tabla3[Equivalencia en Kg],"ELVIS",0)</f>
        <v>2.9279651675485</v>
      </c>
      <c r="M364" s="2" t="n">
        <v>945.93</v>
      </c>
      <c r="N364" s="3" t="n">
        <f aca="false">(Tabla2[[#This Row],[Productividad (kg/TAS)]]*Tabla2[[#This Row],[Precio por kg]]-Tabla2[[#This Row],[Costos (En RD$/Tarea)]])</f>
        <v>420.732652873178</v>
      </c>
      <c r="O364" s="9" t="n">
        <f aca="false">IF(Tabla2[[#This Row],[Costos (En RD$/Tarea)]]=0,0,Tabla2[[#This Row],[Beneficio Neto  (En RD$/Tarea)]]/Tabla2[[#This Row],[Costos (En RD$/Tarea)]])</f>
        <v>0.444782016505638</v>
      </c>
      <c r="P364" s="7" t="n">
        <f aca="false">Tabla2[[#This Row],[Rentabilidad (%)]]/12</f>
        <v>0.0370651680421365</v>
      </c>
    </row>
    <row r="365" customFormat="false" ht="14.25" hidden="false" customHeight="false" outlineLevel="0" collapsed="false">
      <c r="A365" s="1" t="n">
        <v>37438</v>
      </c>
      <c r="B365" s="2" t="s">
        <v>22</v>
      </c>
      <c r="C365" s="3" t="n">
        <v>4730</v>
      </c>
      <c r="D365" s="8" t="s">
        <v>17</v>
      </c>
      <c r="E365" s="3" t="n">
        <f aca="false">IF(Tabla2[[#This Row],[Frecuencia]]="Annual", Tabla2[[#This Row],[Cosecha/Tarea]]/12,Tabla2[[#This Row],[Cosecha/Tarea]])</f>
        <v>4730</v>
      </c>
      <c r="F365" s="3" t="n">
        <v>44542</v>
      </c>
      <c r="G365" s="2" t="s">
        <v>18</v>
      </c>
      <c r="H365" s="2" t="n">
        <f aca="false">F365/Tabla2[[#This Row],[Cosecha Mensual]]</f>
        <v>9.4169133192389</v>
      </c>
      <c r="I365" s="2" t="n">
        <f aca="false">H365*_xlfn.XLOOKUP(Tabla2[[#This Row],[Unidad de producción]],Tabla3[Medida],Tabla3[Equivalencia en Kg],"ELVIS",0)</f>
        <v>427.151188160677</v>
      </c>
      <c r="J365" s="2" t="n">
        <v>388.6</v>
      </c>
      <c r="K365" s="2" t="s">
        <v>18</v>
      </c>
      <c r="L365" s="2" t="n">
        <f aca="false">J365/_xlfn.XLOOKUP(Tabla2[[#This Row],[Unidad de precio]],Tabla3[Medida],Tabla3[Equivalencia en Kg],"ELVIS",0)</f>
        <v>8.56701940035273</v>
      </c>
      <c r="M365" s="2" t="n">
        <v>2751.22</v>
      </c>
      <c r="N365" s="3" t="n">
        <f aca="false">(Tabla2[[#This Row],[Productividad (kg/TAS)]]*Tabla2[[#This Row],[Precio por kg]]-Tabla2[[#This Row],[Costos (En RD$/Tarea)]])</f>
        <v>908.192515856238</v>
      </c>
      <c r="O365" s="9" t="n">
        <f aca="false">IF(Tabla2[[#This Row],[Costos (En RD$/Tarea)]]=0,0,Tabla2[[#This Row],[Beneficio Neto  (En RD$/Tarea)]]/Tabla2[[#This Row],[Costos (En RD$/Tarea)]])</f>
        <v>0.330105377198566</v>
      </c>
      <c r="P365" s="7" t="n">
        <f aca="false">Tabla2[[#This Row],[Rentabilidad (%)]]/12</f>
        <v>0.0275087814332138</v>
      </c>
    </row>
    <row r="366" customFormat="false" ht="14.25" hidden="false" customHeight="false" outlineLevel="0" collapsed="false">
      <c r="A366" s="1" t="n">
        <v>37438</v>
      </c>
      <c r="B366" s="2" t="s">
        <v>23</v>
      </c>
      <c r="C366" s="3" t="n">
        <v>1518</v>
      </c>
      <c r="D366" s="8" t="s">
        <v>17</v>
      </c>
      <c r="E366" s="3" t="n">
        <f aca="false">IF(Tabla2[[#This Row],[Frecuencia]]="Annual", Tabla2[[#This Row],[Cosecha/Tarea]]/12,Tabla2[[#This Row],[Cosecha/Tarea]])</f>
        <v>1518</v>
      </c>
      <c r="F366" s="3" t="n">
        <v>33860</v>
      </c>
      <c r="G366" s="2" t="s">
        <v>18</v>
      </c>
      <c r="H366" s="2" t="n">
        <f aca="false">F366/Tabla2[[#This Row],[Cosecha Mensual]]</f>
        <v>22.3056653491436</v>
      </c>
      <c r="I366" s="2" t="n">
        <f aca="false">H366*_xlfn.XLOOKUP(Tabla2[[#This Row],[Unidad de producción]],Tabla3[Medida],Tabla3[Equivalencia en Kg],"ELVIS",0)</f>
        <v>1011.78498023715</v>
      </c>
      <c r="J366" s="2" t="n">
        <v>191.953125</v>
      </c>
      <c r="K366" s="2" t="s">
        <v>18</v>
      </c>
      <c r="L366" s="2" t="n">
        <f aca="false">J366/_xlfn.XLOOKUP(Tabla2[[#This Row],[Unidad de precio]],Tabla3[Medida],Tabla3[Equivalencia en Kg],"ELVIS",0)</f>
        <v>4.23177083333333</v>
      </c>
      <c r="M366" s="2" t="n">
        <v>5786.34</v>
      </c>
      <c r="N366" s="3" t="n">
        <f aca="false">(Tabla2[[#This Row],[Productividad (kg/TAS)]]*Tabla2[[#This Row],[Precio por kg]]-Tabla2[[#This Row],[Costos (En RD$/Tarea)]])</f>
        <v>-1504.69783102767</v>
      </c>
      <c r="O366" s="9" t="n">
        <f aca="false">IF(Tabla2[[#This Row],[Costos (En RD$/Tarea)]]=0,0,Tabla2[[#This Row],[Beneficio Neto  (En RD$/Tarea)]]/Tabla2[[#This Row],[Costos (En RD$/Tarea)]])</f>
        <v>-0.260043106873718</v>
      </c>
      <c r="P366" s="7" t="n">
        <f aca="false">Tabla2[[#This Row],[Rentabilidad (%)]]/12</f>
        <v>-0.0216702589061432</v>
      </c>
    </row>
    <row r="367" customFormat="false" ht="14.25" hidden="false" customHeight="false" outlineLevel="0" collapsed="false">
      <c r="A367" s="1" t="n">
        <v>37438</v>
      </c>
      <c r="B367" s="2" t="s">
        <v>24</v>
      </c>
      <c r="C367" s="3" t="n">
        <v>8443</v>
      </c>
      <c r="D367" s="8" t="s">
        <v>17</v>
      </c>
      <c r="E367" s="3" t="n">
        <f aca="false">IF(Tabla2[[#This Row],[Frecuencia]]="Annual", Tabla2[[#This Row],[Cosecha/Tarea]]/12,Tabla2[[#This Row],[Cosecha/Tarea]])</f>
        <v>8443</v>
      </c>
      <c r="F367" s="3" t="n">
        <v>94204</v>
      </c>
      <c r="G367" s="2" t="s">
        <v>18</v>
      </c>
      <c r="H367" s="2" t="n">
        <f aca="false">F367/Tabla2[[#This Row],[Cosecha Mensual]]</f>
        <v>11.1576453867109</v>
      </c>
      <c r="I367" s="2" t="n">
        <f aca="false">H367*_xlfn.XLOOKUP(Tabla2[[#This Row],[Unidad de producción]],Tabla3[Medida],Tabla3[Equivalencia en Kg],"ELVIS",0)</f>
        <v>506.110794741206</v>
      </c>
      <c r="J367" s="2" t="n">
        <v>328.804285714286</v>
      </c>
      <c r="K367" s="2" t="s">
        <v>18</v>
      </c>
      <c r="L367" s="2" t="n">
        <f aca="false">J367/_xlfn.XLOOKUP(Tabla2[[#This Row],[Unidad de precio]],Tabla3[Medida],Tabla3[Equivalencia en Kg],"ELVIS",0)</f>
        <v>7.24877173091459</v>
      </c>
      <c r="M367" s="2" t="n">
        <v>1994.96</v>
      </c>
      <c r="N367" s="3" t="n">
        <f aca="false">(Tabla2[[#This Row],[Productividad (kg/TAS)]]*Tabla2[[#This Row],[Precio por kg]]-Tabla2[[#This Row],[Costos (En RD$/Tarea)]])</f>
        <v>1673.72162163077</v>
      </c>
      <c r="O367" s="9" t="n">
        <f aca="false">IF(Tabla2[[#This Row],[Costos (En RD$/Tarea)]]=0,0,Tabla2[[#This Row],[Beneficio Neto  (En RD$/Tarea)]]/Tabla2[[#This Row],[Costos (En RD$/Tarea)]])</f>
        <v>0.838975027885657</v>
      </c>
      <c r="P367" s="7" t="n">
        <f aca="false">Tabla2[[#This Row],[Rentabilidad (%)]]/12</f>
        <v>0.0699145856571381</v>
      </c>
    </row>
    <row r="368" customFormat="false" ht="14.25" hidden="false" customHeight="false" outlineLevel="0" collapsed="false">
      <c r="A368" s="1" t="n">
        <v>37438</v>
      </c>
      <c r="B368" s="2" t="s">
        <v>25</v>
      </c>
      <c r="C368" s="3" t="n">
        <v>22834</v>
      </c>
      <c r="D368" s="8" t="s">
        <v>17</v>
      </c>
      <c r="E368" s="3" t="n">
        <f aca="false">IF(Tabla2[[#This Row],[Frecuencia]]="Annual", Tabla2[[#This Row],[Cosecha/Tarea]]/12,Tabla2[[#This Row],[Cosecha/Tarea]])</f>
        <v>22834</v>
      </c>
      <c r="F368" s="3" t="n">
        <v>217603</v>
      </c>
      <c r="G368" s="2" t="s">
        <v>18</v>
      </c>
      <c r="H368" s="2" t="n">
        <f aca="false">F368/Tabla2[[#This Row],[Cosecha Mensual]]</f>
        <v>9.52978015240431</v>
      </c>
      <c r="I368" s="2" t="n">
        <f aca="false">H368*_xlfn.XLOOKUP(Tabla2[[#This Row],[Unidad de producción]],Tabla3[Medida],Tabla3[Equivalencia en Kg],"ELVIS",0)</f>
        <v>432.27082771306</v>
      </c>
      <c r="J368" s="2" t="n">
        <v>107.2176875</v>
      </c>
      <c r="K368" s="2" t="s">
        <v>18</v>
      </c>
      <c r="L368" s="2" t="n">
        <f aca="false">J368/_xlfn.XLOOKUP(Tabla2[[#This Row],[Unidad de precio]],Tabla3[Medida],Tabla3[Equivalencia en Kg],"ELVIS",0)</f>
        <v>2.36370563271605</v>
      </c>
      <c r="M368" s="2" t="n">
        <v>966.8</v>
      </c>
      <c r="N368" s="3" t="n">
        <f aca="false">(Tabla2[[#This Row],[Productividad (kg/TAS)]]*Tabla2[[#This Row],[Precio por kg]]-Tabla2[[#This Row],[Costos (En RD$/Tarea)]])</f>
        <v>54.9609903241877</v>
      </c>
      <c r="O368" s="9" t="n">
        <f aca="false">IF(Tabla2[[#This Row],[Costos (En RD$/Tarea)]]=0,0,Tabla2[[#This Row],[Beneficio Neto  (En RD$/Tarea)]]/Tabla2[[#This Row],[Costos (En RD$/Tarea)]])</f>
        <v>0.0568483557345756</v>
      </c>
      <c r="P368" s="7" t="n">
        <f aca="false">Tabla2[[#This Row],[Rentabilidad (%)]]/12</f>
        <v>0.0047373629778813</v>
      </c>
    </row>
    <row r="369" customFormat="false" ht="14.25" hidden="false" customHeight="false" outlineLevel="0" collapsed="false">
      <c r="A369" s="1" t="n">
        <v>37438</v>
      </c>
      <c r="B369" s="2" t="s">
        <v>26</v>
      </c>
      <c r="C369" s="3" t="n">
        <v>7607</v>
      </c>
      <c r="D369" s="8" t="s">
        <v>17</v>
      </c>
      <c r="E369" s="3" t="n">
        <f aca="false">IF(Tabla2[[#This Row],[Frecuencia]]="Annual", Tabla2[[#This Row],[Cosecha/Tarea]]/12,Tabla2[[#This Row],[Cosecha/Tarea]])</f>
        <v>7607</v>
      </c>
      <c r="F369" s="3" t="n">
        <v>41651</v>
      </c>
      <c r="G369" s="2" t="s">
        <v>18</v>
      </c>
      <c r="H369" s="2" t="n">
        <f aca="false">F369/Tabla2[[#This Row],[Cosecha Mensual]]</f>
        <v>5.47535164979624</v>
      </c>
      <c r="I369" s="2" t="n">
        <f aca="false">H369*_xlfn.XLOOKUP(Tabla2[[#This Row],[Unidad de producción]],Tabla3[Medida],Tabla3[Equivalencia en Kg],"ELVIS",0)</f>
        <v>248.361950834757</v>
      </c>
      <c r="J369" s="2" t="n">
        <v>203.035714285714</v>
      </c>
      <c r="K369" s="2" t="s">
        <v>18</v>
      </c>
      <c r="L369" s="2" t="n">
        <f aca="false">J369/_xlfn.XLOOKUP(Tabla2[[#This Row],[Unidad de precio]],Tabla3[Medida],Tabla3[Equivalencia en Kg],"ELVIS",0)</f>
        <v>4.47609599395313</v>
      </c>
      <c r="M369" s="2" t="n">
        <v>360.52</v>
      </c>
      <c r="N369" s="3" t="n">
        <f aca="false">(Tabla2[[#This Row],[Productividad (kg/TAS)]]*Tabla2[[#This Row],[Precio por kg]]-Tabla2[[#This Row],[Costos (En RD$/Tarea)]])</f>
        <v>751.171933181842</v>
      </c>
      <c r="O369" s="9" t="n">
        <f aca="false">IF(Tabla2[[#This Row],[Costos (En RD$/Tarea)]]=0,0,Tabla2[[#This Row],[Beneficio Neto  (En RD$/Tarea)]]/Tabla2[[#This Row],[Costos (En RD$/Tarea)]])</f>
        <v>2.08357908904317</v>
      </c>
      <c r="P369" s="7" t="n">
        <f aca="false">Tabla2[[#This Row],[Rentabilidad (%)]]/12</f>
        <v>0.173631590753597</v>
      </c>
    </row>
    <row r="370" customFormat="false" ht="14.25" hidden="false" customHeight="false" outlineLevel="0" collapsed="false">
      <c r="A370" s="1" t="n">
        <v>37438</v>
      </c>
      <c r="B370" s="2" t="s">
        <v>27</v>
      </c>
      <c r="C370" s="3" t="n">
        <v>4169</v>
      </c>
      <c r="D370" s="8" t="s">
        <v>17</v>
      </c>
      <c r="E370" s="3" t="n">
        <f aca="false">IF(Tabla2[[#This Row],[Frecuencia]]="Annual", Tabla2[[#This Row],[Cosecha/Tarea]]/12,Tabla2[[#This Row],[Cosecha/Tarea]])</f>
        <v>4169</v>
      </c>
      <c r="F370" s="3" t="n">
        <v>40911</v>
      </c>
      <c r="G370" s="2" t="s">
        <v>18</v>
      </c>
      <c r="H370" s="2" t="n">
        <f aca="false">F370/Tabla2[[#This Row],[Cosecha Mensual]]</f>
        <v>9.81314463900216</v>
      </c>
      <c r="I370" s="2" t="n">
        <f aca="false">H370*_xlfn.XLOOKUP(Tabla2[[#This Row],[Unidad de producción]],Tabla3[Medida],Tabla3[Equivalencia en Kg],"ELVIS",0)</f>
        <v>445.124240825138</v>
      </c>
      <c r="J370" s="2" t="n">
        <v>232.208333333333</v>
      </c>
      <c r="K370" s="2" t="s">
        <v>18</v>
      </c>
      <c r="L370" s="2" t="n">
        <f aca="false">J370/_xlfn.XLOOKUP(Tabla2[[#This Row],[Unidad de precio]],Tabla3[Medida],Tabla3[Equivalencia en Kg],"ELVIS",0)</f>
        <v>5.11923133450911</v>
      </c>
      <c r="M370" s="2" t="n">
        <v>2321.75</v>
      </c>
      <c r="N370" s="3" t="n">
        <f aca="false">(Tabla2[[#This Row],[Productividad (kg/TAS)]]*Tabla2[[#This Row],[Precio por kg]]-Tabla2[[#This Row],[Costos (En RD$/Tarea)]])</f>
        <v>-43.056038618377</v>
      </c>
      <c r="O370" s="9" t="n">
        <f aca="false">IF(Tabla2[[#This Row],[Costos (En RD$/Tarea)]]=0,0,Tabla2[[#This Row],[Beneficio Neto  (En RD$/Tarea)]]/Tabla2[[#This Row],[Costos (En RD$/Tarea)]])</f>
        <v>-0.0185446489149896</v>
      </c>
      <c r="P370" s="7" t="n">
        <f aca="false">Tabla2[[#This Row],[Rentabilidad (%)]]/12</f>
        <v>-0.00154538740958246</v>
      </c>
    </row>
    <row r="371" customFormat="false" ht="14.25" hidden="false" customHeight="false" outlineLevel="0" collapsed="false">
      <c r="A371" s="1" t="n">
        <v>37438</v>
      </c>
      <c r="B371" s="2" t="s">
        <v>28</v>
      </c>
      <c r="C371" s="3" t="n">
        <v>19303</v>
      </c>
      <c r="D371" s="8" t="s">
        <v>17</v>
      </c>
      <c r="E371" s="3" t="n">
        <f aca="false">IF(Tabla2[[#This Row],[Frecuencia]]="Annual", Tabla2[[#This Row],[Cosecha/Tarea]]/12,Tabla2[[#This Row],[Cosecha/Tarea]])</f>
        <v>19303</v>
      </c>
      <c r="F371" s="3" t="n">
        <v>36235</v>
      </c>
      <c r="G371" s="2" t="s">
        <v>18</v>
      </c>
      <c r="H371" s="2" t="n">
        <f aca="false">F371/Tabla2[[#This Row],[Cosecha Mensual]]</f>
        <v>1.87716935191421</v>
      </c>
      <c r="I371" s="2" t="n">
        <f aca="false">H371*_xlfn.XLOOKUP(Tabla2[[#This Row],[Unidad de producción]],Tabla3[Medida],Tabla3[Equivalencia en Kg],"ELVIS",0)</f>
        <v>85.1484018028286</v>
      </c>
      <c r="J371" s="2" t="n">
        <v>1886.6875</v>
      </c>
      <c r="K371" s="2" t="s">
        <v>29</v>
      </c>
      <c r="L371" s="2" t="n">
        <f aca="false">J371/_xlfn.XLOOKUP(Tabla2[[#This Row],[Unidad de precio]],Tabla3[Medida],Tabla3[Equivalencia en Kg],"ELVIS",0)</f>
        <v>3.3550654408365</v>
      </c>
      <c r="M371" s="2" t="n">
        <v>3619.46</v>
      </c>
      <c r="N371" s="3" t="n">
        <f aca="false">(Tabla2[[#This Row],[Productividad (kg/TAS)]]*Tabla2[[#This Row],[Precio por kg]]-Tabla2[[#This Row],[Costos (En RD$/Tarea)]])</f>
        <v>-3333.78153976887</v>
      </c>
      <c r="O371" s="9" t="n">
        <f aca="false">IF(Tabla2[[#This Row],[Costos (En RD$/Tarea)]]=0,0,Tabla2[[#This Row],[Beneficio Neto  (En RD$/Tarea)]]/Tabla2[[#This Row],[Costos (En RD$/Tarea)]])</f>
        <v>-0.921071524417695</v>
      </c>
      <c r="P371" s="7" t="n">
        <f aca="false">Tabla2[[#This Row],[Rentabilidad (%)]]/12</f>
        <v>-0.0767559603681412</v>
      </c>
    </row>
    <row r="372" customFormat="false" ht="14.25" hidden="false" customHeight="false" outlineLevel="0" collapsed="false">
      <c r="A372" s="1" t="n">
        <v>37438</v>
      </c>
      <c r="B372" s="2" t="s">
        <v>30</v>
      </c>
      <c r="C372" s="3" t="n">
        <v>318821</v>
      </c>
      <c r="D372" s="3" t="s">
        <v>31</v>
      </c>
      <c r="E372" s="3" t="n">
        <f aca="false">IF(Tabla2[[#This Row],[Frecuencia]]="Annual", Tabla2[[#This Row],[Cosecha/Tarea]]/12,Tabla2[[#This Row],[Cosecha/Tarea]])</f>
        <v>26568.4166666667</v>
      </c>
      <c r="F372" s="3" t="n">
        <v>2114026</v>
      </c>
      <c r="G372" s="2" t="s">
        <v>32</v>
      </c>
      <c r="H372" s="2" t="n">
        <f aca="false">F372/Tabla2[[#This Row],[Cosecha Mensual]]</f>
        <v>79.5691375411281</v>
      </c>
      <c r="I372" s="2" t="n">
        <f aca="false">H372*_xlfn.XLOOKUP(Tabla2[[#This Row],[Unidad de producción]],Tabla3[Medida],Tabla3[Equivalencia en Kg],"ELVIS",0)</f>
        <v>2165.0762324941</v>
      </c>
      <c r="J372" s="2" t="n">
        <v>26.2742857142857</v>
      </c>
      <c r="K372" s="2" t="s">
        <v>32</v>
      </c>
      <c r="L372" s="2" t="n">
        <f aca="false">J372/_xlfn.XLOOKUP(Tabla2[[#This Row],[Unidad de precio]],Tabla3[Medida],Tabla3[Equivalencia en Kg],"ELVIS",0)</f>
        <v>0.965611382369927</v>
      </c>
      <c r="M372" s="3" t="n">
        <v>3727.21</v>
      </c>
      <c r="N372" s="3" t="n">
        <f aca="false">(Tabla2[[#This Row],[Productividad (kg/TAS)]]*Tabla2[[#This Row],[Precio por kg]]-Tabla2[[#This Row],[Costos (En RD$/Tarea)]])</f>
        <v>-1636.5877462051</v>
      </c>
      <c r="O372" s="9" t="n">
        <f aca="false">IF(Tabla2[[#This Row],[Costos (En RD$/Tarea)]]=0,0,Tabla2[[#This Row],[Beneficio Neto  (En RD$/Tarea)]]/Tabla2[[#This Row],[Costos (En RD$/Tarea)]])</f>
        <v>-0.439091906870046</v>
      </c>
      <c r="P372" s="7" t="n">
        <f aca="false">Tabla2[[#This Row],[Rentabilidad (%)]]/12</f>
        <v>-0.0365909922391705</v>
      </c>
    </row>
    <row r="373" customFormat="false" ht="14.25" hidden="false" customHeight="false" outlineLevel="0" collapsed="false">
      <c r="A373" s="1" t="n">
        <v>37438</v>
      </c>
      <c r="B373" s="2" t="s">
        <v>33</v>
      </c>
      <c r="C373" s="3" t="n">
        <v>697620</v>
      </c>
      <c r="D373" s="3" t="s">
        <v>31</v>
      </c>
      <c r="E373" s="3" t="n">
        <f aca="false">IF(Tabla2[[#This Row],[Frecuencia]]="Annual", Tabla2[[#This Row],[Cosecha/Tarea]]/12,Tabla2[[#This Row],[Cosecha/Tarea]])</f>
        <v>58135</v>
      </c>
      <c r="F373" s="3" t="n">
        <v>131955</v>
      </c>
      <c r="G373" s="2" t="s">
        <v>34</v>
      </c>
      <c r="H373" s="2" t="n">
        <f aca="false">F373/Tabla2[[#This Row],[Cosecha Mensual]]</f>
        <v>2.26980304463748</v>
      </c>
      <c r="I373" s="2" t="n">
        <f aca="false">H373*_xlfn.XLOOKUP(Tabla2[[#This Row],[Unidad de producción]],Tabla3[Medida],Tabla3[Equivalencia en Kg],"ELVIS",0)</f>
        <v>926.420112668788</v>
      </c>
      <c r="J373" s="2" t="n">
        <v>1039.1925</v>
      </c>
      <c r="K373" s="2" t="s">
        <v>34</v>
      </c>
      <c r="L373" s="2" t="n">
        <f aca="false">J373/_xlfn.XLOOKUP(Tabla2[[#This Row],[Unidad de precio]],Tabla3[Medida],Tabla3[Equivalencia en Kg],"ELVIS",0)</f>
        <v>2.54610437339214</v>
      </c>
      <c r="M373" s="3" t="n">
        <v>3949.84</v>
      </c>
      <c r="N373" s="3" t="n">
        <f aca="false">(Tabla2[[#This Row],[Productividad (kg/TAS)]]*Tabla2[[#This Row],[Precio por kg]]-Tabla2[[#This Row],[Costos (En RD$/Tarea)]])</f>
        <v>-1591.07769953556</v>
      </c>
      <c r="O373" s="9" t="n">
        <f aca="false">IF(Tabla2[[#This Row],[Costos (En RD$/Tarea)]]=0,0,Tabla2[[#This Row],[Beneficio Neto  (En RD$/Tarea)]]/Tabla2[[#This Row],[Costos (En RD$/Tarea)]])</f>
        <v>-0.402820797686884</v>
      </c>
      <c r="P373" s="7" t="n">
        <f aca="false">Tabla2[[#This Row],[Rentabilidad (%)]]/12</f>
        <v>-0.0335683998072404</v>
      </c>
    </row>
    <row r="374" customFormat="false" ht="14.25" hidden="false" customHeight="false" outlineLevel="0" collapsed="false">
      <c r="A374" s="1" t="n">
        <v>37469</v>
      </c>
      <c r="B374" s="2" t="s">
        <v>16</v>
      </c>
      <c r="C374" s="3" t="n">
        <v>155204</v>
      </c>
      <c r="D374" s="8" t="s">
        <v>17</v>
      </c>
      <c r="E374" s="3" t="n">
        <f aca="false">IF(Tabla2[[#This Row],[Frecuencia]]="Annual", Tabla2[[#This Row],[Cosecha/Tarea]]/12,Tabla2[[#This Row],[Cosecha/Tarea]])</f>
        <v>155204</v>
      </c>
      <c r="F374" s="3" t="n">
        <v>731350</v>
      </c>
      <c r="G374" s="2" t="s">
        <v>18</v>
      </c>
      <c r="H374" s="2" t="n">
        <f aca="false">F374/Tabla2[[#This Row],[Cosecha Mensual]]</f>
        <v>4.7121852529574</v>
      </c>
      <c r="I374" s="2" t="n">
        <f aca="false">H374*_xlfn.XLOOKUP(Tabla2[[#This Row],[Unidad de producción]],Tabla3[Medida],Tabla3[Equivalencia en Kg],"ELVIS",0)</f>
        <v>213.744723074148</v>
      </c>
      <c r="J374" s="2" t="n">
        <v>856.136413641364</v>
      </c>
      <c r="K374" s="2" t="s">
        <v>19</v>
      </c>
      <c r="L374" s="2" t="n">
        <f aca="false">J374/_xlfn.XLOOKUP(Tabla2[[#This Row],[Unidad de precio]],Tabla3[Medida],Tabla3[Equivalencia en Kg],"ELVIS",0)</f>
        <v>7.78305830583058</v>
      </c>
      <c r="M374" s="2" t="n">
        <v>1921.06</v>
      </c>
      <c r="N374" s="3" t="n">
        <f aca="false">(Tabla2[[#This Row],[Productividad (kg/TAS)]]*Tabla2[[#This Row],[Precio por kg]]-Tabla2[[#This Row],[Costos (En RD$/Tarea)]])</f>
        <v>-257.472357750298</v>
      </c>
      <c r="O374" s="9" t="n">
        <f aca="false">IF(Tabla2[[#This Row],[Costos (En RD$/Tarea)]]=0,0,Tabla2[[#This Row],[Beneficio Neto  (En RD$/Tarea)]]/Tabla2[[#This Row],[Costos (En RD$/Tarea)]])</f>
        <v>-0.13402619270106</v>
      </c>
      <c r="P374" s="7" t="n">
        <f aca="false">Tabla2[[#This Row],[Rentabilidad (%)]]/12</f>
        <v>-0.011168849391755</v>
      </c>
    </row>
    <row r="375" customFormat="false" ht="14.25" hidden="false" customHeight="false" outlineLevel="0" collapsed="false">
      <c r="A375" s="1" t="n">
        <v>37469</v>
      </c>
      <c r="B375" s="2" t="s">
        <v>20</v>
      </c>
      <c r="C375" s="3" t="n">
        <v>45332</v>
      </c>
      <c r="D375" s="8" t="s">
        <v>17</v>
      </c>
      <c r="E375" s="3" t="n">
        <f aca="false">IF(Tabla2[[#This Row],[Frecuencia]]="Annual", Tabla2[[#This Row],[Cosecha/Tarea]]/12,Tabla2[[#This Row],[Cosecha/Tarea]])</f>
        <v>45332</v>
      </c>
      <c r="F375" s="3" t="n">
        <v>78474</v>
      </c>
      <c r="G375" s="2" t="s">
        <v>18</v>
      </c>
      <c r="H375" s="2" t="n">
        <f aca="false">F375/Tabla2[[#This Row],[Cosecha Mensual]]</f>
        <v>1.73109503220683</v>
      </c>
      <c r="I375" s="2" t="n">
        <f aca="false">H375*_xlfn.XLOOKUP(Tabla2[[#This Row],[Unidad de producción]],Tabla3[Medida],Tabla3[Equivalencia en Kg],"ELVIS",0)</f>
        <v>78.5224706609018</v>
      </c>
      <c r="J375" s="2" t="n">
        <v>107.46428</v>
      </c>
      <c r="K375" s="2" t="s">
        <v>18</v>
      </c>
      <c r="L375" s="2" t="n">
        <f aca="false">J375/_xlfn.XLOOKUP(Tabla2[[#This Row],[Unidad de precio]],Tabla3[Medida],Tabla3[Equivalencia en Kg],"ELVIS",0)</f>
        <v>2.36914197530864</v>
      </c>
      <c r="M375" s="2" t="n">
        <v>531.935</v>
      </c>
      <c r="N375" s="3" t="n">
        <f aca="false">(Tabla2[[#This Row],[Productividad (kg/TAS)]]*Tabla2[[#This Row],[Precio por kg]]-Tabla2[[#This Row],[Costos (En RD$/Tarea)]])</f>
        <v>-345.904118752316</v>
      </c>
      <c r="O375" s="9" t="n">
        <f aca="false">IF(Tabla2[[#This Row],[Costos (En RD$/Tarea)]]=0,0,Tabla2[[#This Row],[Beneficio Neto  (En RD$/Tarea)]]/Tabla2[[#This Row],[Costos (En RD$/Tarea)]])</f>
        <v>-0.650275162853199</v>
      </c>
      <c r="P375" s="7" t="n">
        <f aca="false">Tabla2[[#This Row],[Rentabilidad (%)]]/12</f>
        <v>-0.0541895969044332</v>
      </c>
    </row>
    <row r="376" customFormat="false" ht="14.25" hidden="false" customHeight="false" outlineLevel="0" collapsed="false">
      <c r="A376" s="1" t="n">
        <v>37469</v>
      </c>
      <c r="B376" s="2" t="s">
        <v>21</v>
      </c>
      <c r="C376" s="3" t="n">
        <v>5397</v>
      </c>
      <c r="D376" s="8" t="s">
        <v>17</v>
      </c>
      <c r="E376" s="3" t="n">
        <f aca="false">IF(Tabla2[[#This Row],[Frecuencia]]="Annual", Tabla2[[#This Row],[Cosecha/Tarea]]/12,Tabla2[[#This Row],[Cosecha/Tarea]])</f>
        <v>5397</v>
      </c>
      <c r="F376" s="3" t="n">
        <v>50727</v>
      </c>
      <c r="G376" s="2" t="s">
        <v>18</v>
      </c>
      <c r="H376" s="2" t="n">
        <f aca="false">F376/Tabla2[[#This Row],[Cosecha Mensual]]</f>
        <v>9.39911061700945</v>
      </c>
      <c r="I376" s="2" t="n">
        <f aca="false">H376*_xlfn.XLOOKUP(Tabla2[[#This Row],[Unidad de producción]],Tabla3[Medida],Tabla3[Equivalencia en Kg],"ELVIS",0)</f>
        <v>426.343657587549</v>
      </c>
      <c r="J376" s="2" t="n">
        <v>129.16</v>
      </c>
      <c r="K376" s="2" t="s">
        <v>18</v>
      </c>
      <c r="L376" s="2" t="n">
        <f aca="false">J376/_xlfn.XLOOKUP(Tabla2[[#This Row],[Unidad de precio]],Tabla3[Medida],Tabla3[Equivalencia en Kg],"ELVIS",0)</f>
        <v>2.84744268077601</v>
      </c>
      <c r="M376" s="2" t="n">
        <v>945.93</v>
      </c>
      <c r="N376" s="3" t="n">
        <f aca="false">(Tabla2[[#This Row],[Productividad (kg/TAS)]]*Tabla2[[#This Row],[Precio por kg]]-Tabla2[[#This Row],[Costos (En RD$/Tarea)]])</f>
        <v>268.059127292941</v>
      </c>
      <c r="O376" s="9" t="n">
        <f aca="false">IF(Tabla2[[#This Row],[Costos (En RD$/Tarea)]]=0,0,Tabla2[[#This Row],[Beneficio Neto  (En RD$/Tarea)]]/Tabla2[[#This Row],[Costos (En RD$/Tarea)]])</f>
        <v>0.283381568713267</v>
      </c>
      <c r="P376" s="7" t="n">
        <f aca="false">Tabla2[[#This Row],[Rentabilidad (%)]]/12</f>
        <v>0.0236151307261056</v>
      </c>
    </row>
    <row r="377" customFormat="false" ht="14.25" hidden="false" customHeight="false" outlineLevel="0" collapsed="false">
      <c r="A377" s="1" t="n">
        <v>37469</v>
      </c>
      <c r="B377" s="2" t="s">
        <v>22</v>
      </c>
      <c r="C377" s="3" t="n">
        <v>5886</v>
      </c>
      <c r="D377" s="8" t="s">
        <v>17</v>
      </c>
      <c r="E377" s="3" t="n">
        <f aca="false">IF(Tabla2[[#This Row],[Frecuencia]]="Annual", Tabla2[[#This Row],[Cosecha/Tarea]]/12,Tabla2[[#This Row],[Cosecha/Tarea]])</f>
        <v>5886</v>
      </c>
      <c r="F377" s="3" t="n">
        <v>59249</v>
      </c>
      <c r="G377" s="2" t="s">
        <v>18</v>
      </c>
      <c r="H377" s="2" t="n">
        <f aca="false">F377/Tabla2[[#This Row],[Cosecha Mensual]]</f>
        <v>10.0660890248046</v>
      </c>
      <c r="I377" s="2" t="n">
        <f aca="false">H377*_xlfn.XLOOKUP(Tabla2[[#This Row],[Unidad de producción]],Tabla3[Medida],Tabla3[Equivalencia en Kg],"ELVIS",0)</f>
        <v>456.597798165138</v>
      </c>
      <c r="J377" s="2" t="n">
        <v>358.333333333333</v>
      </c>
      <c r="K377" s="2" t="s">
        <v>18</v>
      </c>
      <c r="L377" s="2" t="n">
        <f aca="false">J377/_xlfn.XLOOKUP(Tabla2[[#This Row],[Unidad de precio]],Tabla3[Medida],Tabla3[Equivalencia en Kg],"ELVIS",0)</f>
        <v>7.89976484420928</v>
      </c>
      <c r="M377" s="2" t="n">
        <v>2751.22</v>
      </c>
      <c r="N377" s="3" t="n">
        <f aca="false">(Tabla2[[#This Row],[Productividad (kg/TAS)]]*Tabla2[[#This Row],[Precio por kg]]-Tabla2[[#This Row],[Costos (En RD$/Tarea)]])</f>
        <v>855.795233888319</v>
      </c>
      <c r="O377" s="9" t="n">
        <f aca="false">IF(Tabla2[[#This Row],[Costos (En RD$/Tarea)]]=0,0,Tabla2[[#This Row],[Beneficio Neto  (En RD$/Tarea)]]/Tabla2[[#This Row],[Costos (En RD$/Tarea)]])</f>
        <v>0.31106026922177</v>
      </c>
      <c r="P377" s="7" t="n">
        <f aca="false">Tabla2[[#This Row],[Rentabilidad (%)]]/12</f>
        <v>0.0259216891018142</v>
      </c>
    </row>
    <row r="378" customFormat="false" ht="14.25" hidden="false" customHeight="false" outlineLevel="0" collapsed="false">
      <c r="A378" s="1" t="n">
        <v>37469</v>
      </c>
      <c r="B378" s="2" t="s">
        <v>23</v>
      </c>
      <c r="C378" s="3" t="n">
        <v>718</v>
      </c>
      <c r="D378" s="8" t="s">
        <v>17</v>
      </c>
      <c r="E378" s="3" t="n">
        <f aca="false">IF(Tabla2[[#This Row],[Frecuencia]]="Annual", Tabla2[[#This Row],[Cosecha/Tarea]]/12,Tabla2[[#This Row],[Cosecha/Tarea]])</f>
        <v>718</v>
      </c>
      <c r="F378" s="3" t="n">
        <v>12465</v>
      </c>
      <c r="G378" s="2" t="s">
        <v>18</v>
      </c>
      <c r="H378" s="2" t="n">
        <f aca="false">F378/Tabla2[[#This Row],[Cosecha Mensual]]</f>
        <v>17.3607242339833</v>
      </c>
      <c r="I378" s="2" t="n">
        <f aca="false">H378*_xlfn.XLOOKUP(Tabla2[[#This Row],[Unidad de producción]],Tabla3[Medida],Tabla3[Equivalencia en Kg],"ELVIS",0)</f>
        <v>787.482451253482</v>
      </c>
      <c r="J378" s="2" t="n">
        <v>233.75</v>
      </c>
      <c r="K378" s="2" t="s">
        <v>18</v>
      </c>
      <c r="L378" s="2" t="n">
        <f aca="false">J378/_xlfn.XLOOKUP(Tabla2[[#This Row],[Unidad de precio]],Tabla3[Medida],Tabla3[Equivalencia en Kg],"ELVIS",0)</f>
        <v>5.15321869488536</v>
      </c>
      <c r="M378" s="2" t="n">
        <v>5786.34</v>
      </c>
      <c r="N378" s="3" t="n">
        <f aca="false">(Tabla2[[#This Row],[Productividad (kg/TAS)]]*Tabla2[[#This Row],[Precio por kg]]-Tabla2[[#This Row],[Costos (En RD$/Tarea)]])</f>
        <v>-1728.27071030641</v>
      </c>
      <c r="O378" s="9" t="n">
        <f aca="false">IF(Tabla2[[#This Row],[Costos (En RD$/Tarea)]]=0,0,Tabla2[[#This Row],[Beneficio Neto  (En RD$/Tarea)]]/Tabla2[[#This Row],[Costos (En RD$/Tarea)]])</f>
        <v>-0.298681154288619</v>
      </c>
      <c r="P378" s="7" t="n">
        <f aca="false">Tabla2[[#This Row],[Rentabilidad (%)]]/12</f>
        <v>-0.0248900961907182</v>
      </c>
    </row>
    <row r="379" customFormat="false" ht="14.25" hidden="false" customHeight="false" outlineLevel="0" collapsed="false">
      <c r="A379" s="1" t="n">
        <v>37469</v>
      </c>
      <c r="B379" s="2" t="s">
        <v>24</v>
      </c>
      <c r="C379" s="3" t="n">
        <v>8872</v>
      </c>
      <c r="D379" s="8" t="s">
        <v>17</v>
      </c>
      <c r="E379" s="3" t="n">
        <f aca="false">IF(Tabla2[[#This Row],[Frecuencia]]="Annual", Tabla2[[#This Row],[Cosecha/Tarea]]/12,Tabla2[[#This Row],[Cosecha/Tarea]])</f>
        <v>8872</v>
      </c>
      <c r="F379" s="3" t="n">
        <v>112299</v>
      </c>
      <c r="G379" s="2" t="s">
        <v>18</v>
      </c>
      <c r="H379" s="2" t="n">
        <f aca="false">F379/Tabla2[[#This Row],[Cosecha Mensual]]</f>
        <v>12.6576871055005</v>
      </c>
      <c r="I379" s="2" t="n">
        <f aca="false">H379*_xlfn.XLOOKUP(Tabla2[[#This Row],[Unidad de producción]],Tabla3[Medida],Tabla3[Equivalencia en Kg],"ELVIS",0)</f>
        <v>574.1526871055</v>
      </c>
      <c r="J379" s="2" t="n">
        <v>371.41</v>
      </c>
      <c r="K379" s="2" t="s">
        <v>18</v>
      </c>
      <c r="L379" s="2" t="n">
        <f aca="false">J379/_xlfn.XLOOKUP(Tabla2[[#This Row],[Unidad de precio]],Tabla3[Medida],Tabla3[Equivalencia en Kg],"ELVIS",0)</f>
        <v>8.18805114638448</v>
      </c>
      <c r="M379" s="2" t="n">
        <v>1994.96</v>
      </c>
      <c r="N379" s="3" t="n">
        <f aca="false">(Tabla2[[#This Row],[Productividad (kg/TAS)]]*Tabla2[[#This Row],[Precio por kg]]-Tabla2[[#This Row],[Costos (En RD$/Tarea)]])</f>
        <v>2706.23156785392</v>
      </c>
      <c r="O379" s="9" t="n">
        <f aca="false">IF(Tabla2[[#This Row],[Costos (En RD$/Tarea)]]=0,0,Tabla2[[#This Row],[Beneficio Neto  (En RD$/Tarea)]]/Tabla2[[#This Row],[Costos (En RD$/Tarea)]])</f>
        <v>1.35653425023756</v>
      </c>
      <c r="P379" s="7" t="n">
        <f aca="false">Tabla2[[#This Row],[Rentabilidad (%)]]/12</f>
        <v>0.11304452085313</v>
      </c>
    </row>
    <row r="380" customFormat="false" ht="14.25" hidden="false" customHeight="false" outlineLevel="0" collapsed="false">
      <c r="A380" s="1" t="n">
        <v>37469</v>
      </c>
      <c r="B380" s="2" t="s">
        <v>25</v>
      </c>
      <c r="C380" s="3" t="n">
        <v>20880</v>
      </c>
      <c r="D380" s="8" t="s">
        <v>17</v>
      </c>
      <c r="E380" s="3" t="n">
        <f aca="false">IF(Tabla2[[#This Row],[Frecuencia]]="Annual", Tabla2[[#This Row],[Cosecha/Tarea]]/12,Tabla2[[#This Row],[Cosecha/Tarea]])</f>
        <v>20880</v>
      </c>
      <c r="F380" s="3" t="n">
        <v>196953</v>
      </c>
      <c r="G380" s="2" t="s">
        <v>18</v>
      </c>
      <c r="H380" s="2" t="n">
        <f aca="false">F380/Tabla2[[#This Row],[Cosecha Mensual]]</f>
        <v>9.43261494252874</v>
      </c>
      <c r="I380" s="2" t="n">
        <f aca="false">H380*_xlfn.XLOOKUP(Tabla2[[#This Row],[Unidad de producción]],Tabla3[Medida],Tabla3[Equivalencia en Kg],"ELVIS",0)</f>
        <v>427.863413793103</v>
      </c>
      <c r="J380" s="2" t="n">
        <v>97.8825833333333</v>
      </c>
      <c r="K380" s="2" t="s">
        <v>18</v>
      </c>
      <c r="L380" s="2" t="n">
        <f aca="false">J380/_xlfn.XLOOKUP(Tabla2[[#This Row],[Unidad de precio]],Tabla3[Medida],Tabla3[Equivalencia en Kg],"ELVIS",0)</f>
        <v>2.15790527630805</v>
      </c>
      <c r="M380" s="2" t="n">
        <v>966.8</v>
      </c>
      <c r="N380" s="3" t="n">
        <f aca="false">(Tabla2[[#This Row],[Productividad (kg/TAS)]]*Tabla2[[#This Row],[Precio por kg]]-Tabla2[[#This Row],[Costos (En RD$/Tarea)]])</f>
        <v>-43.5112818366862</v>
      </c>
      <c r="O380" s="9" t="n">
        <f aca="false">IF(Tabla2[[#This Row],[Costos (En RD$/Tarea)]]=0,0,Tabla2[[#This Row],[Beneficio Neto  (En RD$/Tarea)]]/Tabla2[[#This Row],[Costos (En RD$/Tarea)]])</f>
        <v>-0.0450054632154387</v>
      </c>
      <c r="P380" s="7" t="n">
        <f aca="false">Tabla2[[#This Row],[Rentabilidad (%)]]/12</f>
        <v>-0.00375045526795323</v>
      </c>
    </row>
    <row r="381" customFormat="false" ht="14.25" hidden="false" customHeight="false" outlineLevel="0" collapsed="false">
      <c r="A381" s="1" t="n">
        <v>37469</v>
      </c>
      <c r="B381" s="2" t="s">
        <v>26</v>
      </c>
      <c r="C381" s="3" t="n">
        <v>11202</v>
      </c>
      <c r="D381" s="8" t="s">
        <v>17</v>
      </c>
      <c r="E381" s="3" t="n">
        <f aca="false">IF(Tabla2[[#This Row],[Frecuencia]]="Annual", Tabla2[[#This Row],[Cosecha/Tarea]]/12,Tabla2[[#This Row],[Cosecha/Tarea]])</f>
        <v>11202</v>
      </c>
      <c r="F381" s="3" t="n">
        <v>66965</v>
      </c>
      <c r="G381" s="2" t="s">
        <v>18</v>
      </c>
      <c r="H381" s="2" t="n">
        <f aca="false">F381/Tabla2[[#This Row],[Cosecha Mensual]]</f>
        <v>5.97795036600607</v>
      </c>
      <c r="I381" s="2" t="n">
        <f aca="false">H381*_xlfn.XLOOKUP(Tabla2[[#This Row],[Unidad de producción]],Tabla3[Medida],Tabla3[Equivalencia en Kg],"ELVIS",0)</f>
        <v>271.159828602035</v>
      </c>
      <c r="J381" s="2" t="n">
        <v>188.938333333333</v>
      </c>
      <c r="K381" s="2" t="s">
        <v>18</v>
      </c>
      <c r="L381" s="2" t="n">
        <f aca="false">J381/_xlfn.XLOOKUP(Tabla2[[#This Row],[Unidad de precio]],Tabla3[Medida],Tabla3[Equivalencia en Kg],"ELVIS",0)</f>
        <v>4.16530717225161</v>
      </c>
      <c r="M381" s="2" t="n">
        <v>360.52</v>
      </c>
      <c r="N381" s="3" t="n">
        <f aca="false">(Tabla2[[#This Row],[Productividad (kg/TAS)]]*Tabla2[[#This Row],[Precio por kg]]-Tabla2[[#This Row],[Costos (En RD$/Tarea)]])</f>
        <v>768.943978902575</v>
      </c>
      <c r="O381" s="9" t="n">
        <f aca="false">IF(Tabla2[[#This Row],[Costos (En RD$/Tarea)]]=0,0,Tabla2[[#This Row],[Beneficio Neto  (En RD$/Tarea)]]/Tabla2[[#This Row],[Costos (En RD$/Tarea)]])</f>
        <v>2.1328746779723</v>
      </c>
      <c r="P381" s="7" t="n">
        <f aca="false">Tabla2[[#This Row],[Rentabilidad (%)]]/12</f>
        <v>0.177739556497692</v>
      </c>
    </row>
    <row r="382" customFormat="false" ht="14.25" hidden="false" customHeight="false" outlineLevel="0" collapsed="false">
      <c r="A382" s="1" t="n">
        <v>37469</v>
      </c>
      <c r="B382" s="2" t="s">
        <v>27</v>
      </c>
      <c r="C382" s="3" t="n">
        <v>2395</v>
      </c>
      <c r="D382" s="8" t="s">
        <v>17</v>
      </c>
      <c r="E382" s="3" t="n">
        <f aca="false">IF(Tabla2[[#This Row],[Frecuencia]]="Annual", Tabla2[[#This Row],[Cosecha/Tarea]]/12,Tabla2[[#This Row],[Cosecha/Tarea]])</f>
        <v>2395</v>
      </c>
      <c r="F382" s="3" t="n">
        <v>25725</v>
      </c>
      <c r="G382" s="2" t="s">
        <v>18</v>
      </c>
      <c r="H382" s="2" t="n">
        <f aca="false">F382/Tabla2[[#This Row],[Cosecha Mensual]]</f>
        <v>10.741127348643</v>
      </c>
      <c r="I382" s="2" t="n">
        <f aca="false">H382*_xlfn.XLOOKUP(Tabla2[[#This Row],[Unidad de producción]],Tabla3[Medida],Tabla3[Equivalencia en Kg],"ELVIS",0)</f>
        <v>487.217536534447</v>
      </c>
      <c r="J382" s="2" t="n">
        <v>206.041666666667</v>
      </c>
      <c r="K382" s="2" t="s">
        <v>18</v>
      </c>
      <c r="L382" s="2" t="n">
        <f aca="false">J382/_xlfn.XLOOKUP(Tabla2[[#This Row],[Unidad de precio]],Tabla3[Medida],Tabla3[Equivalencia en Kg],"ELVIS",0)</f>
        <v>4.54236478542035</v>
      </c>
      <c r="M382" s="2" t="n">
        <v>2321.75</v>
      </c>
      <c r="N382" s="3" t="n">
        <f aca="false">(Tabla2[[#This Row],[Productividad (kg/TAS)]]*Tabla2[[#This Row],[Precio por kg]]-Tabla2[[#This Row],[Costos (En RD$/Tarea)]])</f>
        <v>-108.630219206677</v>
      </c>
      <c r="O382" s="9" t="n">
        <f aca="false">IF(Tabla2[[#This Row],[Costos (En RD$/Tarea)]]=0,0,Tabla2[[#This Row],[Beneficio Neto  (En RD$/Tarea)]]/Tabla2[[#This Row],[Costos (En RD$/Tarea)]])</f>
        <v>-0.0467880776167446</v>
      </c>
      <c r="P382" s="7" t="n">
        <f aca="false">Tabla2[[#This Row],[Rentabilidad (%)]]/12</f>
        <v>-0.00389900646806205</v>
      </c>
    </row>
    <row r="383" customFormat="false" ht="14.25" hidden="false" customHeight="false" outlineLevel="0" collapsed="false">
      <c r="A383" s="1" t="n">
        <v>37469</v>
      </c>
      <c r="B383" s="2" t="s">
        <v>28</v>
      </c>
      <c r="C383" s="3" t="n">
        <v>30964</v>
      </c>
      <c r="D383" s="8" t="s">
        <v>17</v>
      </c>
      <c r="E383" s="3" t="n">
        <f aca="false">IF(Tabla2[[#This Row],[Frecuencia]]="Annual", Tabla2[[#This Row],[Cosecha/Tarea]]/12,Tabla2[[#This Row],[Cosecha/Tarea]])</f>
        <v>30964</v>
      </c>
      <c r="F383" s="3" t="n">
        <v>64395</v>
      </c>
      <c r="G383" s="2" t="s">
        <v>18</v>
      </c>
      <c r="H383" s="2" t="n">
        <f aca="false">F383/Tabla2[[#This Row],[Cosecha Mensual]]</f>
        <v>2.07967316884124</v>
      </c>
      <c r="I383" s="2" t="n">
        <f aca="false">H383*_xlfn.XLOOKUP(Tabla2[[#This Row],[Unidad de producción]],Tabla3[Medida],Tabla3[Equivalencia en Kg],"ELVIS",0)</f>
        <v>94.3339749386384</v>
      </c>
      <c r="J383" s="2" t="n">
        <v>1154.5</v>
      </c>
      <c r="K383" s="2" t="s">
        <v>29</v>
      </c>
      <c r="L383" s="2" t="n">
        <f aca="false">J383/_xlfn.XLOOKUP(Tabla2[[#This Row],[Unidad de precio]],Tabla3[Medida],Tabla3[Equivalencia en Kg],"ELVIS",0)</f>
        <v>2.05302841697194</v>
      </c>
      <c r="M383" s="2" t="n">
        <v>3619.46</v>
      </c>
      <c r="N383" s="3" t="n">
        <f aca="false">(Tabla2[[#This Row],[Productividad (kg/TAS)]]*Tabla2[[#This Row],[Precio por kg]]-Tabla2[[#This Row],[Costos (En RD$/Tarea)]])</f>
        <v>-3425.78966876506</v>
      </c>
      <c r="O383" s="9" t="n">
        <f aca="false">IF(Tabla2[[#This Row],[Costos (En RD$/Tarea)]]=0,0,Tabla2[[#This Row],[Beneficio Neto  (En RD$/Tarea)]]/Tabla2[[#This Row],[Costos (En RD$/Tarea)]])</f>
        <v>-0.946491926631336</v>
      </c>
      <c r="P383" s="7" t="n">
        <f aca="false">Tabla2[[#This Row],[Rentabilidad (%)]]/12</f>
        <v>-0.078874327219278</v>
      </c>
    </row>
    <row r="384" customFormat="false" ht="14.25" hidden="false" customHeight="false" outlineLevel="0" collapsed="false">
      <c r="A384" s="1" t="n">
        <v>37469</v>
      </c>
      <c r="B384" s="2" t="s">
        <v>30</v>
      </c>
      <c r="C384" s="3" t="n">
        <v>225547</v>
      </c>
      <c r="D384" s="3" t="s">
        <v>31</v>
      </c>
      <c r="E384" s="3" t="n">
        <f aca="false">IF(Tabla2[[#This Row],[Frecuencia]]="Annual", Tabla2[[#This Row],[Cosecha/Tarea]]/12,Tabla2[[#This Row],[Cosecha/Tarea]])</f>
        <v>18795.5833333333</v>
      </c>
      <c r="F384" s="3" t="n">
        <v>1754017</v>
      </c>
      <c r="G384" s="2" t="s">
        <v>32</v>
      </c>
      <c r="H384" s="2" t="n">
        <f aca="false">F384/Tabla2[[#This Row],[Cosecha Mensual]]</f>
        <v>93.3207003418356</v>
      </c>
      <c r="I384" s="2" t="n">
        <f aca="false">H384*_xlfn.XLOOKUP(Tabla2[[#This Row],[Unidad de producción]],Tabla3[Medida],Tabla3[Equivalencia en Kg],"ELVIS",0)</f>
        <v>2539.25625630135</v>
      </c>
      <c r="J384" s="2" t="n">
        <v>23.906</v>
      </c>
      <c r="K384" s="2" t="s">
        <v>32</v>
      </c>
      <c r="L384" s="2" t="n">
        <f aca="false">J384/_xlfn.XLOOKUP(Tabla2[[#This Row],[Unidad de precio]],Tabla3[Medida],Tabla3[Equivalencia en Kg],"ELVIS",0)</f>
        <v>0.878574053656744</v>
      </c>
      <c r="M384" s="3" t="n">
        <v>3727.21</v>
      </c>
      <c r="N384" s="3" t="n">
        <f aca="false">(Tabla2[[#This Row],[Productividad (kg/TAS)]]*Tabla2[[#This Row],[Precio por kg]]-Tabla2[[#This Row],[Costos (En RD$/Tarea)]])</f>
        <v>-1496.28533762808</v>
      </c>
      <c r="O384" s="9" t="n">
        <f aca="false">IF(Tabla2[[#This Row],[Costos (En RD$/Tarea)]]=0,0,Tabla2[[#This Row],[Beneficio Neto  (En RD$/Tarea)]]/Tabla2[[#This Row],[Costos (En RD$/Tarea)]])</f>
        <v>-0.401449163751996</v>
      </c>
      <c r="P384" s="7" t="n">
        <f aca="false">Tabla2[[#This Row],[Rentabilidad (%)]]/12</f>
        <v>-0.033454096979333</v>
      </c>
    </row>
    <row r="385" customFormat="false" ht="14.25" hidden="false" customHeight="false" outlineLevel="0" collapsed="false">
      <c r="A385" s="1" t="n">
        <v>37469</v>
      </c>
      <c r="B385" s="2" t="s">
        <v>33</v>
      </c>
      <c r="C385" s="3" t="n">
        <v>661112</v>
      </c>
      <c r="D385" s="3" t="s">
        <v>31</v>
      </c>
      <c r="E385" s="3" t="n">
        <f aca="false">IF(Tabla2[[#This Row],[Frecuencia]]="Annual", Tabla2[[#This Row],[Cosecha/Tarea]]/12,Tabla2[[#This Row],[Cosecha/Tarea]])</f>
        <v>55092.6666666667</v>
      </c>
      <c r="F385" s="3" t="n">
        <v>107962</v>
      </c>
      <c r="G385" s="2" t="s">
        <v>34</v>
      </c>
      <c r="H385" s="2" t="n">
        <f aca="false">F385/Tabla2[[#This Row],[Cosecha Mensual]]</f>
        <v>1.95964375173949</v>
      </c>
      <c r="I385" s="2" t="n">
        <f aca="false">H385*_xlfn.XLOOKUP(Tabla2[[#This Row],[Unidad de producción]],Tabla3[Medida],Tabla3[Equivalencia en Kg],"ELVIS",0)</f>
        <v>799.828597272474</v>
      </c>
      <c r="J385" s="2" t="n">
        <v>1139.71142857143</v>
      </c>
      <c r="K385" s="2" t="s">
        <v>34</v>
      </c>
      <c r="L385" s="2" t="n">
        <f aca="false">J385/_xlfn.XLOOKUP(Tabla2[[#This Row],[Unidad de precio]],Tabla3[Medida],Tabla3[Equivalencia en Kg],"ELVIS",0)</f>
        <v>2.79238375247196</v>
      </c>
      <c r="M385" s="3" t="n">
        <v>3949.84</v>
      </c>
      <c r="N385" s="3" t="n">
        <f aca="false">(Tabla2[[#This Row],[Productividad (kg/TAS)]]*Tabla2[[#This Row],[Precio por kg]]-Tabla2[[#This Row],[Costos (En RD$/Tarea)]])</f>
        <v>-1716.41162021391</v>
      </c>
      <c r="O385" s="9" t="n">
        <f aca="false">IF(Tabla2[[#This Row],[Costos (En RD$/Tarea)]]=0,0,Tabla2[[#This Row],[Beneficio Neto  (En RD$/Tarea)]]/Tabla2[[#This Row],[Costos (En RD$/Tarea)]])</f>
        <v>-0.434552189509931</v>
      </c>
      <c r="P385" s="7" t="n">
        <f aca="false">Tabla2[[#This Row],[Rentabilidad (%)]]/12</f>
        <v>-0.0362126824591609</v>
      </c>
    </row>
    <row r="386" customFormat="false" ht="14.25" hidden="false" customHeight="false" outlineLevel="0" collapsed="false">
      <c r="A386" s="1" t="n">
        <v>37500</v>
      </c>
      <c r="B386" s="2" t="s">
        <v>16</v>
      </c>
      <c r="C386" s="3" t="n">
        <v>296915</v>
      </c>
      <c r="D386" s="8" t="s">
        <v>17</v>
      </c>
      <c r="E386" s="3" t="n">
        <f aca="false">IF(Tabla2[[#This Row],[Frecuencia]]="Annual", Tabla2[[#This Row],[Cosecha/Tarea]]/12,Tabla2[[#This Row],[Cosecha/Tarea]])</f>
        <v>296915</v>
      </c>
      <c r="F386" s="3" t="n">
        <v>1116022</v>
      </c>
      <c r="G386" s="2" t="s">
        <v>18</v>
      </c>
      <c r="H386" s="2" t="n">
        <f aca="false">F386/Tabla2[[#This Row],[Cosecha Mensual]]</f>
        <v>3.75872556118755</v>
      </c>
      <c r="I386" s="2" t="n">
        <f aca="false">H386*_xlfn.XLOOKUP(Tabla2[[#This Row],[Unidad de producción]],Tabla3[Medida],Tabla3[Equivalencia en Kg],"ELVIS",0)</f>
        <v>170.495791455467</v>
      </c>
      <c r="J386" s="2" t="n">
        <v>835.975797579758</v>
      </c>
      <c r="K386" s="2" t="s">
        <v>19</v>
      </c>
      <c r="L386" s="2" t="n">
        <f aca="false">J386/_xlfn.XLOOKUP(Tabla2[[#This Row],[Unidad de precio]],Tabla3[Medida],Tabla3[Equivalencia en Kg],"ELVIS",0)</f>
        <v>7.5997799779978</v>
      </c>
      <c r="M386" s="2" t="n">
        <v>1921.06</v>
      </c>
      <c r="N386" s="3" t="n">
        <f aca="false">(Tabla2[[#This Row],[Productividad (kg/TAS)]]*Tabla2[[#This Row],[Precio por kg]]-Tabla2[[#This Row],[Costos (En RD$/Tarea)]])</f>
        <v>-625.329497763853</v>
      </c>
      <c r="O386" s="9" t="n">
        <f aca="false">IF(Tabla2[[#This Row],[Costos (En RD$/Tarea)]]=0,0,Tabla2[[#This Row],[Beneficio Neto  (En RD$/Tarea)]]/Tabla2[[#This Row],[Costos (En RD$/Tarea)]])</f>
        <v>-0.325512736595345</v>
      </c>
      <c r="P386" s="7" t="n">
        <f aca="false">Tabla2[[#This Row],[Rentabilidad (%)]]/12</f>
        <v>-0.0271260613829454</v>
      </c>
    </row>
    <row r="387" customFormat="false" ht="14.25" hidden="false" customHeight="false" outlineLevel="0" collapsed="false">
      <c r="A387" s="1" t="n">
        <v>37500</v>
      </c>
      <c r="B387" s="2" t="s">
        <v>20</v>
      </c>
      <c r="C387" s="3" t="n">
        <v>36691</v>
      </c>
      <c r="D387" s="8" t="s">
        <v>17</v>
      </c>
      <c r="E387" s="3" t="n">
        <f aca="false">IF(Tabla2[[#This Row],[Frecuencia]]="Annual", Tabla2[[#This Row],[Cosecha/Tarea]]/12,Tabla2[[#This Row],[Cosecha/Tarea]])</f>
        <v>36691</v>
      </c>
      <c r="F387" s="3" t="n">
        <v>64303</v>
      </c>
      <c r="G387" s="2" t="s">
        <v>18</v>
      </c>
      <c r="H387" s="2" t="n">
        <f aca="false">F387/Tabla2[[#This Row],[Cosecha Mensual]]</f>
        <v>1.75255512250961</v>
      </c>
      <c r="I387" s="2" t="n">
        <f aca="false">H387*_xlfn.XLOOKUP(Tabla2[[#This Row],[Unidad de producción]],Tabla3[Medida],Tabla3[Equivalencia en Kg],"ELVIS",0)</f>
        <v>79.4959003570358</v>
      </c>
      <c r="J387" s="2" t="n">
        <v>93.00528</v>
      </c>
      <c r="K387" s="2" t="s">
        <v>18</v>
      </c>
      <c r="L387" s="2" t="n">
        <f aca="false">J387/_xlfn.XLOOKUP(Tabla2[[#This Row],[Unidad de precio]],Tabla3[Medida],Tabla3[Equivalencia en Kg],"ELVIS",0)</f>
        <v>2.05038095238095</v>
      </c>
      <c r="M387" s="2" t="n">
        <v>531.935</v>
      </c>
      <c r="N387" s="3" t="n">
        <f aca="false">(Tabla2[[#This Row],[Productividad (kg/TAS)]]*Tabla2[[#This Row],[Precio por kg]]-Tabla2[[#This Row],[Costos (En RD$/Tarea)]])</f>
        <v>-368.93812011556</v>
      </c>
      <c r="O387" s="9" t="n">
        <f aca="false">IF(Tabla2[[#This Row],[Costos (En RD$/Tarea)]]=0,0,Tabla2[[#This Row],[Beneficio Neto  (En RD$/Tarea)]]/Tabla2[[#This Row],[Costos (En RD$/Tarea)]])</f>
        <v>-0.693577448589696</v>
      </c>
      <c r="P387" s="7" t="n">
        <f aca="false">Tabla2[[#This Row],[Rentabilidad (%)]]/12</f>
        <v>-0.057798120715808</v>
      </c>
    </row>
    <row r="388" customFormat="false" ht="14.25" hidden="false" customHeight="false" outlineLevel="0" collapsed="false">
      <c r="A388" s="1" t="n">
        <v>37500</v>
      </c>
      <c r="B388" s="2" t="s">
        <v>21</v>
      </c>
      <c r="C388" s="3" t="n">
        <v>6618</v>
      </c>
      <c r="D388" s="8" t="s">
        <v>17</v>
      </c>
      <c r="E388" s="3" t="n">
        <f aca="false">IF(Tabla2[[#This Row],[Frecuencia]]="Annual", Tabla2[[#This Row],[Cosecha/Tarea]]/12,Tabla2[[#This Row],[Cosecha/Tarea]])</f>
        <v>6618</v>
      </c>
      <c r="F388" s="3" t="n">
        <v>47719</v>
      </c>
      <c r="G388" s="2" t="s">
        <v>18</v>
      </c>
      <c r="H388" s="2" t="n">
        <f aca="false">F388/Tabla2[[#This Row],[Cosecha Mensual]]</f>
        <v>7.21048655182835</v>
      </c>
      <c r="I388" s="2" t="n">
        <f aca="false">H388*_xlfn.XLOOKUP(Tabla2[[#This Row],[Unidad de producción]],Tabla3[Medida],Tabla3[Equivalencia en Kg],"ELVIS",0)</f>
        <v>327.067669990934</v>
      </c>
      <c r="J388" s="2" t="n">
        <v>123.298</v>
      </c>
      <c r="K388" s="2" t="s">
        <v>18</v>
      </c>
      <c r="L388" s="2" t="n">
        <f aca="false">J388/_xlfn.XLOOKUP(Tabla2[[#This Row],[Unidad de precio]],Tabla3[Medida],Tabla3[Equivalencia en Kg],"ELVIS",0)</f>
        <v>2.71820987654321</v>
      </c>
      <c r="M388" s="2" t="n">
        <v>945.93</v>
      </c>
      <c r="N388" s="3" t="n">
        <f aca="false">(Tabla2[[#This Row],[Productividad (kg/TAS)]]*Tabla2[[#This Row],[Precio por kg]]-Tabla2[[#This Row],[Costos (En RD$/Tarea)]])</f>
        <v>-56.8914291326684</v>
      </c>
      <c r="O388" s="9" t="n">
        <f aca="false">IF(Tabla2[[#This Row],[Costos (En RD$/Tarea)]]=0,0,Tabla2[[#This Row],[Beneficio Neto  (En RD$/Tarea)]]/Tabla2[[#This Row],[Costos (En RD$/Tarea)]])</f>
        <v>-0.0601433817858281</v>
      </c>
      <c r="P388" s="7" t="n">
        <f aca="false">Tabla2[[#This Row],[Rentabilidad (%)]]/12</f>
        <v>-0.00501194848215234</v>
      </c>
    </row>
    <row r="389" customFormat="false" ht="14.25" hidden="false" customHeight="false" outlineLevel="0" collapsed="false">
      <c r="A389" s="1" t="n">
        <v>37500</v>
      </c>
      <c r="B389" s="2" t="s">
        <v>22</v>
      </c>
      <c r="C389" s="3" t="n">
        <v>2686</v>
      </c>
      <c r="D389" s="8" t="s">
        <v>17</v>
      </c>
      <c r="E389" s="3" t="n">
        <f aca="false">IF(Tabla2[[#This Row],[Frecuencia]]="Annual", Tabla2[[#This Row],[Cosecha/Tarea]]/12,Tabla2[[#This Row],[Cosecha/Tarea]])</f>
        <v>2686</v>
      </c>
      <c r="F389" s="3" t="n">
        <v>25867</v>
      </c>
      <c r="G389" s="2" t="s">
        <v>18</v>
      </c>
      <c r="H389" s="2" t="n">
        <f aca="false">F389/Tabla2[[#This Row],[Cosecha Mensual]]</f>
        <v>9.63030528667163</v>
      </c>
      <c r="I389" s="2" t="n">
        <f aca="false">H389*_xlfn.XLOOKUP(Tabla2[[#This Row],[Unidad de producción]],Tabla3[Medida],Tabla3[Equivalencia en Kg],"ELVIS",0)</f>
        <v>436.830647803425</v>
      </c>
      <c r="J389" s="2" t="n">
        <v>376</v>
      </c>
      <c r="K389" s="2" t="s">
        <v>18</v>
      </c>
      <c r="L389" s="2" t="n">
        <f aca="false">J389/_xlfn.XLOOKUP(Tabla2[[#This Row],[Unidad de precio]],Tabla3[Medida],Tabla3[Equivalencia en Kg],"ELVIS",0)</f>
        <v>8.28924162257496</v>
      </c>
      <c r="M389" s="2" t="n">
        <v>2751.22</v>
      </c>
      <c r="N389" s="3" t="n">
        <f aca="false">(Tabla2[[#This Row],[Productividad (kg/TAS)]]*Tabla2[[#This Row],[Precio por kg]]-Tabla2[[#This Row],[Costos (En RD$/Tarea)]])</f>
        <v>869.774787788533</v>
      </c>
      <c r="O389" s="9" t="n">
        <f aca="false">IF(Tabla2[[#This Row],[Costos (En RD$/Tarea)]]=0,0,Tabla2[[#This Row],[Beneficio Neto  (En RD$/Tarea)]]/Tabla2[[#This Row],[Costos (En RD$/Tarea)]])</f>
        <v>0.31614148915337</v>
      </c>
      <c r="P389" s="7" t="n">
        <f aca="false">Tabla2[[#This Row],[Rentabilidad (%)]]/12</f>
        <v>0.0263451240961141</v>
      </c>
    </row>
    <row r="390" customFormat="false" ht="14.25" hidden="false" customHeight="false" outlineLevel="0" collapsed="false">
      <c r="A390" s="1" t="n">
        <v>37500</v>
      </c>
      <c r="B390" s="2" t="s">
        <v>23</v>
      </c>
      <c r="C390" s="3" t="n">
        <v>1822</v>
      </c>
      <c r="D390" s="8" t="s">
        <v>17</v>
      </c>
      <c r="E390" s="3" t="n">
        <f aca="false">IF(Tabla2[[#This Row],[Frecuencia]]="Annual", Tabla2[[#This Row],[Cosecha/Tarea]]/12,Tabla2[[#This Row],[Cosecha/Tarea]])</f>
        <v>1822</v>
      </c>
      <c r="F390" s="3" t="n">
        <v>55352</v>
      </c>
      <c r="G390" s="2" t="s">
        <v>18</v>
      </c>
      <c r="H390" s="2" t="n">
        <f aca="false">F390/Tabla2[[#This Row],[Cosecha Mensual]]</f>
        <v>30.3798024149287</v>
      </c>
      <c r="I390" s="2" t="n">
        <f aca="false">H390*_xlfn.XLOOKUP(Tabla2[[#This Row],[Unidad de producción]],Tabla3[Medida],Tabla3[Equivalencia en Kg],"ELVIS",0)</f>
        <v>1378.02783754116</v>
      </c>
      <c r="J390" s="2" t="n">
        <v>211.0125</v>
      </c>
      <c r="K390" s="2" t="s">
        <v>18</v>
      </c>
      <c r="L390" s="2" t="n">
        <f aca="false">J390/_xlfn.XLOOKUP(Tabla2[[#This Row],[Unidad de precio]],Tabla3[Medida],Tabla3[Equivalencia en Kg],"ELVIS",0)</f>
        <v>4.65195105820106</v>
      </c>
      <c r="M390" s="2" t="n">
        <v>5786.34</v>
      </c>
      <c r="N390" s="3" t="n">
        <f aca="false">(Tabla2[[#This Row],[Productividad (kg/TAS)]]*Tabla2[[#This Row],[Precio por kg]]-Tabla2[[#This Row],[Costos (En RD$/Tarea)]])</f>
        <v>624.178057080131</v>
      </c>
      <c r="O390" s="9" t="n">
        <f aca="false">IF(Tabla2[[#This Row],[Costos (En RD$/Tarea)]]=0,0,Tabla2[[#This Row],[Beneficio Neto  (En RD$/Tarea)]]/Tabla2[[#This Row],[Costos (En RD$/Tarea)]])</f>
        <v>0.10787096110497</v>
      </c>
      <c r="P390" s="7" t="n">
        <f aca="false">Tabla2[[#This Row],[Rentabilidad (%)]]/12</f>
        <v>0.00898924675874749</v>
      </c>
    </row>
    <row r="391" customFormat="false" ht="14.25" hidden="false" customHeight="false" outlineLevel="0" collapsed="false">
      <c r="A391" s="1" t="n">
        <v>37500</v>
      </c>
      <c r="B391" s="2" t="s">
        <v>24</v>
      </c>
      <c r="C391" s="3" t="n">
        <v>8026</v>
      </c>
      <c r="D391" s="8" t="s">
        <v>17</v>
      </c>
      <c r="E391" s="3" t="n">
        <f aca="false">IF(Tabla2[[#This Row],[Frecuencia]]="Annual", Tabla2[[#This Row],[Cosecha/Tarea]]/12,Tabla2[[#This Row],[Cosecha/Tarea]])</f>
        <v>8026</v>
      </c>
      <c r="F391" s="3" t="n">
        <v>97288</v>
      </c>
      <c r="G391" s="2" t="s">
        <v>18</v>
      </c>
      <c r="H391" s="2" t="n">
        <f aca="false">F391/Tabla2[[#This Row],[Cosecha Mensual]]</f>
        <v>12.1216047844505</v>
      </c>
      <c r="I391" s="2" t="n">
        <f aca="false">H391*_xlfn.XLOOKUP(Tabla2[[#This Row],[Unidad de producción]],Tabla3[Medida],Tabla3[Equivalencia en Kg],"ELVIS",0)</f>
        <v>549.835993022676</v>
      </c>
      <c r="J391" s="2" t="n">
        <v>405.541666666667</v>
      </c>
      <c r="K391" s="2" t="s">
        <v>18</v>
      </c>
      <c r="L391" s="2" t="n">
        <f aca="false">J391/_xlfn.XLOOKUP(Tabla2[[#This Row],[Unidad de precio]],Tabla3[Medida],Tabla3[Equivalencia en Kg],"ELVIS",0)</f>
        <v>8.9405129335685</v>
      </c>
      <c r="M391" s="2" t="n">
        <v>1994.96</v>
      </c>
      <c r="N391" s="3" t="n">
        <f aca="false">(Tabla2[[#This Row],[Productividad (kg/TAS)]]*Tabla2[[#This Row],[Precio por kg]]-Tabla2[[#This Row],[Costos (En RD$/Tarea)]])</f>
        <v>2920.85580696072</v>
      </c>
      <c r="O391" s="9" t="n">
        <f aca="false">IF(Tabla2[[#This Row],[Costos (En RD$/Tarea)]]=0,0,Tabla2[[#This Row],[Beneficio Neto  (En RD$/Tarea)]]/Tabla2[[#This Row],[Costos (En RD$/Tarea)]])</f>
        <v>1.46411747952877</v>
      </c>
      <c r="P391" s="7" t="n">
        <f aca="false">Tabla2[[#This Row],[Rentabilidad (%)]]/12</f>
        <v>0.122009789960731</v>
      </c>
    </row>
    <row r="392" customFormat="false" ht="14.25" hidden="false" customHeight="false" outlineLevel="0" collapsed="false">
      <c r="A392" s="1" t="n">
        <v>37500</v>
      </c>
      <c r="B392" s="2" t="s">
        <v>25</v>
      </c>
      <c r="C392" s="3" t="n">
        <v>20196</v>
      </c>
      <c r="D392" s="8" t="s">
        <v>17</v>
      </c>
      <c r="E392" s="3" t="n">
        <f aca="false">IF(Tabla2[[#This Row],[Frecuencia]]="Annual", Tabla2[[#This Row],[Cosecha/Tarea]]/12,Tabla2[[#This Row],[Cosecha/Tarea]])</f>
        <v>20196</v>
      </c>
      <c r="F392" s="3" t="n">
        <v>198343</v>
      </c>
      <c r="G392" s="2" t="s">
        <v>18</v>
      </c>
      <c r="H392" s="2" t="n">
        <f aca="false">F392/Tabla2[[#This Row],[Cosecha Mensual]]</f>
        <v>9.82090512972866</v>
      </c>
      <c r="I392" s="2" t="n">
        <f aca="false">H392*_xlfn.XLOOKUP(Tabla2[[#This Row],[Unidad de producción]],Tabla3[Medida],Tabla3[Equivalencia en Kg],"ELVIS",0)</f>
        <v>445.476256684492</v>
      </c>
      <c r="J392" s="2" t="n">
        <v>94.0617857142857</v>
      </c>
      <c r="K392" s="2" t="s">
        <v>18</v>
      </c>
      <c r="L392" s="2" t="n">
        <f aca="false">J392/_xlfn.XLOOKUP(Tabla2[[#This Row],[Unidad de precio]],Tabla3[Medida],Tabla3[Equivalencia en Kg],"ELVIS",0)</f>
        <v>2.07367252456538</v>
      </c>
      <c r="M392" s="2" t="n">
        <v>966.8</v>
      </c>
      <c r="N392" s="3" t="n">
        <f aca="false">(Tabla2[[#This Row],[Productividad (kg/TAS)]]*Tabla2[[#This Row],[Precio por kg]]-Tabla2[[#This Row],[Costos (En RD$/Tarea)]])</f>
        <v>-43.0281261671335</v>
      </c>
      <c r="O392" s="9" t="n">
        <f aca="false">IF(Tabla2[[#This Row],[Costos (En RD$/Tarea)]]=0,0,Tabla2[[#This Row],[Beneficio Neto  (En RD$/Tarea)]]/Tabla2[[#This Row],[Costos (En RD$/Tarea)]])</f>
        <v>-0.0445057159362158</v>
      </c>
      <c r="P392" s="7" t="n">
        <f aca="false">Tabla2[[#This Row],[Rentabilidad (%)]]/12</f>
        <v>-0.00370880966135132</v>
      </c>
    </row>
    <row r="393" customFormat="false" ht="14.25" hidden="false" customHeight="false" outlineLevel="0" collapsed="false">
      <c r="A393" s="1" t="n">
        <v>37500</v>
      </c>
      <c r="B393" s="2" t="s">
        <v>26</v>
      </c>
      <c r="C393" s="3" t="n">
        <v>9043</v>
      </c>
      <c r="D393" s="8" t="s">
        <v>17</v>
      </c>
      <c r="E393" s="3" t="n">
        <f aca="false">IF(Tabla2[[#This Row],[Frecuencia]]="Annual", Tabla2[[#This Row],[Cosecha/Tarea]]/12,Tabla2[[#This Row],[Cosecha/Tarea]])</f>
        <v>9043</v>
      </c>
      <c r="F393" s="3" t="n">
        <v>46355</v>
      </c>
      <c r="G393" s="2" t="s">
        <v>18</v>
      </c>
      <c r="H393" s="2" t="n">
        <f aca="false">F393/Tabla2[[#This Row],[Cosecha Mensual]]</f>
        <v>5.12606435917284</v>
      </c>
      <c r="I393" s="2" t="n">
        <f aca="false">H393*_xlfn.XLOOKUP(Tabla2[[#This Row],[Unidad de producción]],Tabla3[Medida],Tabla3[Equivalencia en Kg],"ELVIS",0)</f>
        <v>232.51827933208</v>
      </c>
      <c r="J393" s="2" t="n">
        <v>252.684</v>
      </c>
      <c r="K393" s="2" t="s">
        <v>18</v>
      </c>
      <c r="L393" s="2" t="n">
        <f aca="false">J393/_xlfn.XLOOKUP(Tabla2[[#This Row],[Unidad de precio]],Tabla3[Medida],Tabla3[Equivalencia en Kg],"ELVIS",0)</f>
        <v>5.57063492063492</v>
      </c>
      <c r="M393" s="2" t="n">
        <v>360.52</v>
      </c>
      <c r="N393" s="3" t="n">
        <f aca="false">(Tabla2[[#This Row],[Productividad (kg/TAS)]]*Tabla2[[#This Row],[Precio por kg]]-Tabla2[[#This Row],[Costos (En RD$/Tarea)]])</f>
        <v>934.75444653323</v>
      </c>
      <c r="O393" s="9" t="n">
        <f aca="false">IF(Tabla2[[#This Row],[Costos (En RD$/Tarea)]]=0,0,Tabla2[[#This Row],[Beneficio Neto  (En RD$/Tarea)]]/Tabla2[[#This Row],[Costos (En RD$/Tarea)]])</f>
        <v>2.59279498095315</v>
      </c>
      <c r="P393" s="7" t="n">
        <f aca="false">Tabla2[[#This Row],[Rentabilidad (%)]]/12</f>
        <v>0.216066248412763</v>
      </c>
    </row>
    <row r="394" customFormat="false" ht="14.25" hidden="false" customHeight="false" outlineLevel="0" collapsed="false">
      <c r="A394" s="1" t="n">
        <v>37500</v>
      </c>
      <c r="B394" s="2" t="s">
        <v>27</v>
      </c>
      <c r="C394" s="3" t="n">
        <v>2328</v>
      </c>
      <c r="D394" s="8" t="s">
        <v>17</v>
      </c>
      <c r="E394" s="3" t="n">
        <f aca="false">IF(Tabla2[[#This Row],[Frecuencia]]="Annual", Tabla2[[#This Row],[Cosecha/Tarea]]/12,Tabla2[[#This Row],[Cosecha/Tarea]])</f>
        <v>2328</v>
      </c>
      <c r="F394" s="3" t="n">
        <v>20710</v>
      </c>
      <c r="G394" s="2" t="s">
        <v>18</v>
      </c>
      <c r="H394" s="2" t="n">
        <f aca="false">F394/Tabla2[[#This Row],[Cosecha Mensual]]</f>
        <v>8.89604810996564</v>
      </c>
      <c r="I394" s="2" t="n">
        <f aca="false">H394*_xlfn.XLOOKUP(Tabla2[[#This Row],[Unidad de producción]],Tabla3[Medida],Tabla3[Equivalencia en Kg],"ELVIS",0)</f>
        <v>403.524742268041</v>
      </c>
      <c r="J394" s="2" t="n">
        <v>213.297142857143</v>
      </c>
      <c r="K394" s="2" t="s">
        <v>18</v>
      </c>
      <c r="L394" s="2" t="n">
        <f aca="false">J394/_xlfn.XLOOKUP(Tabla2[[#This Row],[Unidad de precio]],Tabla3[Medida],Tabla3[Equivalencia en Kg],"ELVIS",0)</f>
        <v>4.70231796422273</v>
      </c>
      <c r="M394" s="2" t="n">
        <v>2321.75</v>
      </c>
      <c r="N394" s="3" t="n">
        <f aca="false">(Tabla2[[#This Row],[Productividad (kg/TAS)]]*Tabla2[[#This Row],[Precio por kg]]-Tabla2[[#This Row],[Costos (En RD$/Tarea)]])</f>
        <v>-424.248355424643</v>
      </c>
      <c r="O394" s="9" t="n">
        <f aca="false">IF(Tabla2[[#This Row],[Costos (En RD$/Tarea)]]=0,0,Tabla2[[#This Row],[Beneficio Neto  (En RD$/Tarea)]]/Tabla2[[#This Row],[Costos (En RD$/Tarea)]])</f>
        <v>-0.182727836943962</v>
      </c>
      <c r="P394" s="7" t="n">
        <f aca="false">Tabla2[[#This Row],[Rentabilidad (%)]]/12</f>
        <v>-0.0152273197453301</v>
      </c>
    </row>
    <row r="395" customFormat="false" ht="14.25" hidden="false" customHeight="false" outlineLevel="0" collapsed="false">
      <c r="A395" s="1" t="n">
        <v>37500</v>
      </c>
      <c r="B395" s="2" t="s">
        <v>28</v>
      </c>
      <c r="C395" s="3" t="n">
        <v>26053</v>
      </c>
      <c r="D395" s="8" t="s">
        <v>17</v>
      </c>
      <c r="E395" s="3" t="n">
        <f aca="false">IF(Tabla2[[#This Row],[Frecuencia]]="Annual", Tabla2[[#This Row],[Cosecha/Tarea]]/12,Tabla2[[#This Row],[Cosecha/Tarea]])</f>
        <v>26053</v>
      </c>
      <c r="F395" s="3" t="n">
        <v>39532</v>
      </c>
      <c r="G395" s="2" t="s">
        <v>18</v>
      </c>
      <c r="H395" s="2" t="n">
        <f aca="false">F395/Tabla2[[#This Row],[Cosecha Mensual]]</f>
        <v>1.51736844125437</v>
      </c>
      <c r="I395" s="2" t="n">
        <f aca="false">H395*_xlfn.XLOOKUP(Tabla2[[#This Row],[Unidad de producción]],Tabla3[Medida],Tabla3[Equivalencia en Kg],"ELVIS",0)</f>
        <v>68.8278324952981</v>
      </c>
      <c r="J395" s="2" t="n">
        <v>1097.2</v>
      </c>
      <c r="K395" s="2" t="s">
        <v>29</v>
      </c>
      <c r="L395" s="2" t="n">
        <f aca="false">J395/_xlfn.XLOOKUP(Tabla2[[#This Row],[Unidad de precio]],Tabla3[Medida],Tabla3[Equivalencia en Kg],"ELVIS",0)</f>
        <v>1.95113276665363</v>
      </c>
      <c r="M395" s="2" t="n">
        <v>3619.46</v>
      </c>
      <c r="N395" s="3" t="n">
        <f aca="false">(Tabla2[[#This Row],[Productividad (kg/TAS)]]*Tabla2[[#This Row],[Precio por kg]]-Tabla2[[#This Row],[Costos (En RD$/Tarea)]])</f>
        <v>-3485.16776076068</v>
      </c>
      <c r="O395" s="9" t="n">
        <f aca="false">IF(Tabla2[[#This Row],[Costos (En RD$/Tarea)]]=0,0,Tabla2[[#This Row],[Beneficio Neto  (En RD$/Tarea)]]/Tabla2[[#This Row],[Costos (En RD$/Tarea)]])</f>
        <v>-0.962897161665187</v>
      </c>
      <c r="P395" s="7" t="n">
        <f aca="false">Tabla2[[#This Row],[Rentabilidad (%)]]/12</f>
        <v>-0.0802414301387656</v>
      </c>
    </row>
    <row r="396" customFormat="false" ht="14.25" hidden="false" customHeight="false" outlineLevel="0" collapsed="false">
      <c r="A396" s="1" t="n">
        <v>37500</v>
      </c>
      <c r="B396" s="2" t="s">
        <v>30</v>
      </c>
      <c r="C396" s="3" t="n">
        <v>251859</v>
      </c>
      <c r="D396" s="3" t="s">
        <v>31</v>
      </c>
      <c r="E396" s="3" t="n">
        <f aca="false">IF(Tabla2[[#This Row],[Frecuencia]]="Annual", Tabla2[[#This Row],[Cosecha/Tarea]]/12,Tabla2[[#This Row],[Cosecha/Tarea]])</f>
        <v>20988.25</v>
      </c>
      <c r="F396" s="3" t="n">
        <v>1952420</v>
      </c>
      <c r="G396" s="2" t="s">
        <v>32</v>
      </c>
      <c r="H396" s="2" t="n">
        <f aca="false">F396/Tabla2[[#This Row],[Cosecha Mensual]]</f>
        <v>93.0244303360213</v>
      </c>
      <c r="I396" s="2" t="n">
        <f aca="false">H396*_xlfn.XLOOKUP(Tabla2[[#This Row],[Unidad de producción]],Tabla3[Medida],Tabla3[Equivalencia en Kg],"ELVIS",0)</f>
        <v>2531.19474944314</v>
      </c>
      <c r="J396" s="2" t="n">
        <v>26.8283333333333</v>
      </c>
      <c r="K396" s="2" t="s">
        <v>32</v>
      </c>
      <c r="L396" s="2" t="n">
        <f aca="false">J396/_xlfn.XLOOKUP(Tabla2[[#This Row],[Unidad de precio]],Tabla3[Medida],Tabla3[Equivalencia en Kg],"ELVIS",0)</f>
        <v>0.985973294132058</v>
      </c>
      <c r="M396" s="3" t="n">
        <v>3727.21</v>
      </c>
      <c r="N396" s="3" t="n">
        <f aca="false">(Tabla2[[#This Row],[Productividad (kg/TAS)]]*Tabla2[[#This Row],[Precio por kg]]-Tabla2[[#This Row],[Costos (En RD$/Tarea)]])</f>
        <v>-1231.51957480178</v>
      </c>
      <c r="O396" s="9" t="n">
        <f aca="false">IF(Tabla2[[#This Row],[Costos (En RD$/Tarea)]]=0,0,Tabla2[[#This Row],[Beneficio Neto  (En RD$/Tarea)]]/Tabla2[[#This Row],[Costos (En RD$/Tarea)]])</f>
        <v>-0.330413251413732</v>
      </c>
      <c r="P396" s="7" t="n">
        <f aca="false">Tabla2[[#This Row],[Rentabilidad (%)]]/12</f>
        <v>-0.027534437617811</v>
      </c>
    </row>
    <row r="397" customFormat="false" ht="14.25" hidden="false" customHeight="false" outlineLevel="0" collapsed="false">
      <c r="A397" s="1" t="n">
        <v>37500</v>
      </c>
      <c r="B397" s="2" t="s">
        <v>33</v>
      </c>
      <c r="C397" s="3" t="n">
        <v>667433</v>
      </c>
      <c r="D397" s="3" t="s">
        <v>31</v>
      </c>
      <c r="E397" s="3" t="n">
        <f aca="false">IF(Tabla2[[#This Row],[Frecuencia]]="Annual", Tabla2[[#This Row],[Cosecha/Tarea]]/12,Tabla2[[#This Row],[Cosecha/Tarea]])</f>
        <v>55619.4166666667</v>
      </c>
      <c r="F397" s="3" t="n">
        <v>106785</v>
      </c>
      <c r="G397" s="2" t="s">
        <v>34</v>
      </c>
      <c r="H397" s="2" t="n">
        <f aca="false">F397/Tabla2[[#This Row],[Cosecha Mensual]]</f>
        <v>1.9199230484558</v>
      </c>
      <c r="I397" s="2" t="n">
        <f aca="false">H397*_xlfn.XLOOKUP(Tabla2[[#This Row],[Unidad de producción]],Tabla3[Medida],Tabla3[Equivalencia en Kg],"ELVIS",0)</f>
        <v>783.616592227235</v>
      </c>
      <c r="J397" s="2" t="n">
        <v>1358.21428571429</v>
      </c>
      <c r="K397" s="2" t="s">
        <v>34</v>
      </c>
      <c r="L397" s="2" t="n">
        <f aca="false">J397/_xlfn.XLOOKUP(Tabla2[[#This Row],[Unidad de precio]],Tabla3[Medida],Tabla3[Equivalencia en Kg],"ELVIS",0)</f>
        <v>3.32773315132743</v>
      </c>
      <c r="M397" s="3" t="n">
        <v>3949.84</v>
      </c>
      <c r="N397" s="3" t="n">
        <f aca="false">(Tabla2[[#This Row],[Productividad (kg/TAS)]]*Tabla2[[#This Row],[Precio por kg]]-Tabla2[[#This Row],[Costos (En RD$/Tarea)]])</f>
        <v>-1342.1730881152</v>
      </c>
      <c r="O397" s="9" t="n">
        <f aca="false">IF(Tabla2[[#This Row],[Costos (En RD$/Tarea)]]=0,0,Tabla2[[#This Row],[Beneficio Neto  (En RD$/Tarea)]]/Tabla2[[#This Row],[Costos (En RD$/Tarea)]])</f>
        <v>-0.339804419448687</v>
      </c>
      <c r="P397" s="7" t="n">
        <f aca="false">Tabla2[[#This Row],[Rentabilidad (%)]]/12</f>
        <v>-0.0283170349540573</v>
      </c>
    </row>
    <row r="398" customFormat="false" ht="14.25" hidden="false" customHeight="false" outlineLevel="0" collapsed="false">
      <c r="A398" s="1" t="n">
        <v>37530</v>
      </c>
      <c r="B398" s="2" t="s">
        <v>16</v>
      </c>
      <c r="C398" s="3" t="n">
        <v>398435</v>
      </c>
      <c r="D398" s="8" t="s">
        <v>17</v>
      </c>
      <c r="E398" s="3" t="n">
        <f aca="false">IF(Tabla2[[#This Row],[Frecuencia]]="Annual", Tabla2[[#This Row],[Cosecha/Tarea]]/12,Tabla2[[#This Row],[Cosecha/Tarea]])</f>
        <v>398435</v>
      </c>
      <c r="F398" s="3" t="n">
        <v>1507853</v>
      </c>
      <c r="G398" s="2" t="s">
        <v>18</v>
      </c>
      <c r="H398" s="2" t="n">
        <f aca="false">F398/Tabla2[[#This Row],[Cosecha Mensual]]</f>
        <v>3.78443911804937</v>
      </c>
      <c r="I398" s="2" t="n">
        <f aca="false">H398*_xlfn.XLOOKUP(Tabla2[[#This Row],[Unidad de producción]],Tabla3[Medida],Tabla3[Equivalencia en Kg],"ELVIS",0)</f>
        <v>171.662158394719</v>
      </c>
      <c r="J398" s="2" t="n">
        <v>842.074807480748</v>
      </c>
      <c r="K398" s="2" t="s">
        <v>19</v>
      </c>
      <c r="L398" s="2" t="n">
        <f aca="false">J398/_xlfn.XLOOKUP(Tabla2[[#This Row],[Unidad de precio]],Tabla3[Medida],Tabla3[Equivalencia en Kg],"ELVIS",0)</f>
        <v>7.65522552255225</v>
      </c>
      <c r="M398" s="2" t="n">
        <v>1921.06</v>
      </c>
      <c r="N398" s="3" t="n">
        <f aca="false">(Tabla2[[#This Row],[Productividad (kg/TAS)]]*Tabla2[[#This Row],[Precio por kg]]-Tabla2[[#This Row],[Costos (En RD$/Tarea)]])</f>
        <v>-606.947463800337</v>
      </c>
      <c r="O398" s="9" t="n">
        <f aca="false">IF(Tabla2[[#This Row],[Costos (En RD$/Tarea)]]=0,0,Tabla2[[#This Row],[Beneficio Neto  (En RD$/Tarea)]]/Tabla2[[#This Row],[Costos (En RD$/Tarea)]])</f>
        <v>-0.315944043288776</v>
      </c>
      <c r="P398" s="7" t="n">
        <f aca="false">Tabla2[[#This Row],[Rentabilidad (%)]]/12</f>
        <v>-0.0263286702740647</v>
      </c>
    </row>
    <row r="399" customFormat="false" ht="14.25" hidden="false" customHeight="false" outlineLevel="0" collapsed="false">
      <c r="A399" s="1" t="n">
        <v>37530</v>
      </c>
      <c r="B399" s="2" t="s">
        <v>20</v>
      </c>
      <c r="C399" s="3" t="n">
        <v>33889</v>
      </c>
      <c r="D399" s="8" t="s">
        <v>17</v>
      </c>
      <c r="E399" s="3" t="n">
        <f aca="false">IF(Tabla2[[#This Row],[Frecuencia]]="Annual", Tabla2[[#This Row],[Cosecha/Tarea]]/12,Tabla2[[#This Row],[Cosecha/Tarea]])</f>
        <v>33889</v>
      </c>
      <c r="F399" s="3" t="n">
        <v>58873</v>
      </c>
      <c r="G399" s="2" t="s">
        <v>18</v>
      </c>
      <c r="H399" s="2" t="n">
        <f aca="false">F399/Tabla2[[#This Row],[Cosecha Mensual]]</f>
        <v>1.73723036973649</v>
      </c>
      <c r="I399" s="2" t="n">
        <f aca="false">H399*_xlfn.XLOOKUP(Tabla2[[#This Row],[Unidad de producción]],Tabla3[Medida],Tabla3[Equivalencia en Kg],"ELVIS",0)</f>
        <v>78.8007695712473</v>
      </c>
      <c r="J399" s="2" t="n">
        <v>94.4699142857143</v>
      </c>
      <c r="K399" s="2" t="s">
        <v>18</v>
      </c>
      <c r="L399" s="2" t="n">
        <f aca="false">J399/_xlfn.XLOOKUP(Tabla2[[#This Row],[Unidad de precio]],Tabla3[Medida],Tabla3[Equivalencia en Kg],"ELVIS",0)</f>
        <v>2.08267006802721</v>
      </c>
      <c r="M399" s="2" t="n">
        <v>531.935</v>
      </c>
      <c r="N399" s="3" t="n">
        <f aca="false">(Tabla2[[#This Row],[Productividad (kg/TAS)]]*Tabla2[[#This Row],[Precio por kg]]-Tabla2[[#This Row],[Costos (En RD$/Tarea)]])</f>
        <v>-367.818995876454</v>
      </c>
      <c r="O399" s="9" t="n">
        <f aca="false">IF(Tabla2[[#This Row],[Costos (En RD$/Tarea)]]=0,0,Tabla2[[#This Row],[Beneficio Neto  (En RD$/Tarea)]]/Tabla2[[#This Row],[Costos (En RD$/Tarea)]])</f>
        <v>-0.691473574546615</v>
      </c>
      <c r="P399" s="7" t="n">
        <f aca="false">Tabla2[[#This Row],[Rentabilidad (%)]]/12</f>
        <v>-0.0576227978788846</v>
      </c>
    </row>
    <row r="400" customFormat="false" ht="14.25" hidden="false" customHeight="false" outlineLevel="0" collapsed="false">
      <c r="A400" s="1" t="n">
        <v>37530</v>
      </c>
      <c r="B400" s="2" t="s">
        <v>21</v>
      </c>
      <c r="C400" s="3" t="n">
        <v>7145</v>
      </c>
      <c r="D400" s="8" t="s">
        <v>17</v>
      </c>
      <c r="E400" s="3" t="n">
        <f aca="false">IF(Tabla2[[#This Row],[Frecuencia]]="Annual", Tabla2[[#This Row],[Cosecha/Tarea]]/12,Tabla2[[#This Row],[Cosecha/Tarea]])</f>
        <v>7145</v>
      </c>
      <c r="F400" s="3" t="n">
        <v>52126</v>
      </c>
      <c r="G400" s="2" t="s">
        <v>18</v>
      </c>
      <c r="H400" s="2" t="n">
        <f aca="false">F400/Tabla2[[#This Row],[Cosecha Mensual]]</f>
        <v>7.29545136459062</v>
      </c>
      <c r="I400" s="2" t="n">
        <f aca="false">H400*_xlfn.XLOOKUP(Tabla2[[#This Row],[Unidad de producción]],Tabla3[Medida],Tabla3[Equivalencia en Kg],"ELVIS",0)</f>
        <v>330.921673897831</v>
      </c>
      <c r="J400" s="2" t="n">
        <v>91.40625</v>
      </c>
      <c r="K400" s="2" t="s">
        <v>18</v>
      </c>
      <c r="L400" s="2" t="n">
        <f aca="false">J400/_xlfn.XLOOKUP(Tabla2[[#This Row],[Unidad de precio]],Tabla3[Medida],Tabla3[Equivalencia en Kg],"ELVIS",0)</f>
        <v>2.01512896825397</v>
      </c>
      <c r="M400" s="2" t="n">
        <v>945.93</v>
      </c>
      <c r="N400" s="3" t="n">
        <f aca="false">(Tabla2[[#This Row],[Productividad (kg/TAS)]]*Tabla2[[#This Row],[Precio por kg]]-Tabla2[[#This Row],[Costos (En RD$/Tarea)]])</f>
        <v>-279.080148705388</v>
      </c>
      <c r="O400" s="9" t="n">
        <f aca="false">IF(Tabla2[[#This Row],[Costos (En RD$/Tarea)]]=0,0,Tabla2[[#This Row],[Beneficio Neto  (En RD$/Tarea)]]/Tabla2[[#This Row],[Costos (En RD$/Tarea)]])</f>
        <v>-0.295032559180265</v>
      </c>
      <c r="P400" s="7" t="n">
        <f aca="false">Tabla2[[#This Row],[Rentabilidad (%)]]/12</f>
        <v>-0.0245860465983554</v>
      </c>
    </row>
    <row r="401" customFormat="false" ht="14.25" hidden="false" customHeight="false" outlineLevel="0" collapsed="false">
      <c r="A401" s="1" t="n">
        <v>37530</v>
      </c>
      <c r="B401" s="2" t="s">
        <v>22</v>
      </c>
      <c r="C401" s="3" t="n">
        <v>3107</v>
      </c>
      <c r="D401" s="8" t="s">
        <v>17</v>
      </c>
      <c r="E401" s="3" t="n">
        <f aca="false">IF(Tabla2[[#This Row],[Frecuencia]]="Annual", Tabla2[[#This Row],[Cosecha/Tarea]]/12,Tabla2[[#This Row],[Cosecha/Tarea]])</f>
        <v>3107</v>
      </c>
      <c r="F401" s="3" t="n">
        <v>32120</v>
      </c>
      <c r="G401" s="2" t="s">
        <v>18</v>
      </c>
      <c r="H401" s="2" t="n">
        <f aca="false">F401/Tabla2[[#This Row],[Cosecha Mensual]]</f>
        <v>10.3379465722562</v>
      </c>
      <c r="I401" s="2" t="n">
        <f aca="false">H401*_xlfn.XLOOKUP(Tabla2[[#This Row],[Unidad de producción]],Tabla3[Medida],Tabla3[Equivalencia en Kg],"ELVIS",0)</f>
        <v>468.929256517541</v>
      </c>
      <c r="J401" s="2" t="n">
        <v>409.333333333333</v>
      </c>
      <c r="K401" s="2" t="s">
        <v>18</v>
      </c>
      <c r="L401" s="2" t="n">
        <f aca="false">J401/_xlfn.XLOOKUP(Tabla2[[#This Row],[Unidad de precio]],Tabla3[Medida],Tabla3[Equivalencia en Kg],"ELVIS",0)</f>
        <v>9.02410346854791</v>
      </c>
      <c r="M401" s="2" t="n">
        <v>2751.22</v>
      </c>
      <c r="N401" s="3" t="n">
        <f aca="false">(Tabla2[[#This Row],[Productividad (kg/TAS)]]*Tabla2[[#This Row],[Precio por kg]]-Tabla2[[#This Row],[Costos (En RD$/Tarea)]])</f>
        <v>1480.44613024353</v>
      </c>
      <c r="O401" s="9" t="n">
        <f aca="false">IF(Tabla2[[#This Row],[Costos (En RD$/Tarea)]]=0,0,Tabla2[[#This Row],[Beneficio Neto  (En RD$/Tarea)]]/Tabla2[[#This Row],[Costos (En RD$/Tarea)]])</f>
        <v>0.538105324271971</v>
      </c>
      <c r="P401" s="7" t="n">
        <f aca="false">Tabla2[[#This Row],[Rentabilidad (%)]]/12</f>
        <v>0.0448421103559976</v>
      </c>
    </row>
    <row r="402" customFormat="false" ht="14.25" hidden="false" customHeight="false" outlineLevel="0" collapsed="false">
      <c r="A402" s="1" t="n">
        <v>37530</v>
      </c>
      <c r="B402" s="2" t="s">
        <v>23</v>
      </c>
      <c r="C402" s="3" t="n">
        <v>5349</v>
      </c>
      <c r="D402" s="8" t="s">
        <v>17</v>
      </c>
      <c r="E402" s="3" t="n">
        <f aca="false">IF(Tabla2[[#This Row],[Frecuencia]]="Annual", Tabla2[[#This Row],[Cosecha/Tarea]]/12,Tabla2[[#This Row],[Cosecha/Tarea]])</f>
        <v>5349</v>
      </c>
      <c r="F402" s="3" t="n">
        <v>150674</v>
      </c>
      <c r="G402" s="2" t="s">
        <v>18</v>
      </c>
      <c r="H402" s="2" t="n">
        <f aca="false">F402/Tabla2[[#This Row],[Cosecha Mensual]]</f>
        <v>28.1686296504019</v>
      </c>
      <c r="I402" s="2" t="n">
        <f aca="false">H402*_xlfn.XLOOKUP(Tabla2[[#This Row],[Unidad de producción]],Tabla3[Medida],Tabla3[Equivalencia en Kg],"ELVIS",0)</f>
        <v>1277.72904094223</v>
      </c>
      <c r="J402" s="2" t="n">
        <v>272.2</v>
      </c>
      <c r="K402" s="2" t="s">
        <v>18</v>
      </c>
      <c r="L402" s="2" t="n">
        <f aca="false">J402/_xlfn.XLOOKUP(Tabla2[[#This Row],[Unidad de precio]],Tabla3[Medida],Tabla3[Equivalencia en Kg],"ELVIS",0)</f>
        <v>6.00088183421517</v>
      </c>
      <c r="M402" s="2" t="n">
        <v>5786.34</v>
      </c>
      <c r="N402" s="3" t="n">
        <f aca="false">(Tabla2[[#This Row],[Productividad (kg/TAS)]]*Tabla2[[#This Row],[Precio por kg]]-Tabla2[[#This Row],[Costos (En RD$/Tarea)]])</f>
        <v>1881.16099083941</v>
      </c>
      <c r="O402" s="9" t="n">
        <f aca="false">IF(Tabla2[[#This Row],[Costos (En RD$/Tarea)]]=0,0,Tabla2[[#This Row],[Beneficio Neto  (En RD$/Tarea)]]/Tabla2[[#This Row],[Costos (En RD$/Tarea)]])</f>
        <v>0.32510377731682</v>
      </c>
      <c r="P402" s="7" t="n">
        <f aca="false">Tabla2[[#This Row],[Rentabilidad (%)]]/12</f>
        <v>0.0270919814430683</v>
      </c>
    </row>
    <row r="403" customFormat="false" ht="14.25" hidden="false" customHeight="false" outlineLevel="0" collapsed="false">
      <c r="A403" s="1" t="n">
        <v>37530</v>
      </c>
      <c r="B403" s="2" t="s">
        <v>24</v>
      </c>
      <c r="C403" s="3" t="n">
        <v>30585</v>
      </c>
      <c r="D403" s="8" t="s">
        <v>17</v>
      </c>
      <c r="E403" s="3" t="n">
        <f aca="false">IF(Tabla2[[#This Row],[Frecuencia]]="Annual", Tabla2[[#This Row],[Cosecha/Tarea]]/12,Tabla2[[#This Row],[Cosecha/Tarea]])</f>
        <v>30585</v>
      </c>
      <c r="F403" s="3" t="n">
        <v>144401</v>
      </c>
      <c r="G403" s="2" t="s">
        <v>18</v>
      </c>
      <c r="H403" s="2" t="n">
        <f aca="false">F403/Tabla2[[#This Row],[Cosecha Mensual]]</f>
        <v>4.72130129148275</v>
      </c>
      <c r="I403" s="2" t="n">
        <f aca="false">H403*_xlfn.XLOOKUP(Tabla2[[#This Row],[Unidad de producción]],Tabla3[Medida],Tabla3[Equivalencia en Kg],"ELVIS",0)</f>
        <v>214.158226581658</v>
      </c>
      <c r="J403" s="2" t="n">
        <v>451.2</v>
      </c>
      <c r="K403" s="2" t="s">
        <v>18</v>
      </c>
      <c r="L403" s="2" t="n">
        <f aca="false">J403/_xlfn.XLOOKUP(Tabla2[[#This Row],[Unidad de precio]],Tabla3[Medida],Tabla3[Equivalencia en Kg],"ELVIS",0)</f>
        <v>9.94708994708995</v>
      </c>
      <c r="M403" s="2" t="n">
        <v>1994.96</v>
      </c>
      <c r="N403" s="3" t="n">
        <f aca="false">(Tabla2[[#This Row],[Productividad (kg/TAS)]]*Tabla2[[#This Row],[Precio por kg]]-Tabla2[[#This Row],[Costos (En RD$/Tarea)]])</f>
        <v>135.291142717018</v>
      </c>
      <c r="O403" s="9" t="n">
        <f aca="false">IF(Tabla2[[#This Row],[Costos (En RD$/Tarea)]]=0,0,Tabla2[[#This Row],[Beneficio Neto  (En RD$/Tarea)]]/Tabla2[[#This Row],[Costos (En RD$/Tarea)]])</f>
        <v>0.0678164688600363</v>
      </c>
      <c r="P403" s="7" t="n">
        <f aca="false">Tabla2[[#This Row],[Rentabilidad (%)]]/12</f>
        <v>0.00565137240500302</v>
      </c>
    </row>
    <row r="404" customFormat="false" ht="14.25" hidden="false" customHeight="false" outlineLevel="0" collapsed="false">
      <c r="A404" s="1" t="n">
        <v>37530</v>
      </c>
      <c r="B404" s="2" t="s">
        <v>25</v>
      </c>
      <c r="C404" s="3" t="n">
        <v>21114</v>
      </c>
      <c r="D404" s="8" t="s">
        <v>17</v>
      </c>
      <c r="E404" s="3" t="n">
        <f aca="false">IF(Tabla2[[#This Row],[Frecuencia]]="Annual", Tabla2[[#This Row],[Cosecha/Tarea]]/12,Tabla2[[#This Row],[Cosecha/Tarea]])</f>
        <v>21114</v>
      </c>
      <c r="F404" s="3" t="n">
        <v>206584</v>
      </c>
      <c r="G404" s="2" t="s">
        <v>18</v>
      </c>
      <c r="H404" s="2" t="n">
        <f aca="false">F404/Tabla2[[#This Row],[Cosecha Mensual]]</f>
        <v>9.78421900161031</v>
      </c>
      <c r="I404" s="2" t="n">
        <f aca="false">H404*_xlfn.XLOOKUP(Tabla2[[#This Row],[Unidad de producción]],Tabla3[Medida],Tabla3[Equivalencia en Kg],"ELVIS",0)</f>
        <v>443.812173913044</v>
      </c>
      <c r="J404" s="2" t="n">
        <v>89.7615714285714</v>
      </c>
      <c r="K404" s="2" t="s">
        <v>18</v>
      </c>
      <c r="L404" s="2" t="n">
        <f aca="false">J404/_xlfn.XLOOKUP(Tabla2[[#This Row],[Unidad de precio]],Tabla3[Medida],Tabla3[Equivalencia en Kg],"ELVIS",0)</f>
        <v>1.978870622323</v>
      </c>
      <c r="M404" s="2" t="n">
        <v>966.8</v>
      </c>
      <c r="N404" s="3" t="n">
        <f aca="false">(Tabla2[[#This Row],[Productividad (kg/TAS)]]*Tabla2[[#This Row],[Precio por kg]]-Tabla2[[#This Row],[Costos (En RD$/Tarea)]])</f>
        <v>-88.5531272141709</v>
      </c>
      <c r="O404" s="9" t="n">
        <f aca="false">IF(Tabla2[[#This Row],[Costos (En RD$/Tarea)]]=0,0,Tabla2[[#This Row],[Beneficio Neto  (En RD$/Tarea)]]/Tabla2[[#This Row],[Costos (En RD$/Tarea)]])</f>
        <v>-0.0915940496629819</v>
      </c>
      <c r="P404" s="7" t="n">
        <f aca="false">Tabla2[[#This Row],[Rentabilidad (%)]]/12</f>
        <v>-0.00763283747191516</v>
      </c>
    </row>
    <row r="405" customFormat="false" ht="14.25" hidden="false" customHeight="false" outlineLevel="0" collapsed="false">
      <c r="A405" s="1" t="n">
        <v>37530</v>
      </c>
      <c r="B405" s="2" t="s">
        <v>26</v>
      </c>
      <c r="C405" s="3" t="n">
        <v>10573</v>
      </c>
      <c r="D405" s="8" t="s">
        <v>17</v>
      </c>
      <c r="E405" s="3" t="n">
        <f aca="false">IF(Tabla2[[#This Row],[Frecuencia]]="Annual", Tabla2[[#This Row],[Cosecha/Tarea]]/12,Tabla2[[#This Row],[Cosecha/Tarea]])</f>
        <v>10573</v>
      </c>
      <c r="F405" s="3" t="n">
        <v>57824</v>
      </c>
      <c r="G405" s="2" t="s">
        <v>18</v>
      </c>
      <c r="H405" s="2" t="n">
        <f aca="false">F405/Tabla2[[#This Row],[Cosecha Mensual]]</f>
        <v>5.46902487468079</v>
      </c>
      <c r="I405" s="2" t="n">
        <f aca="false">H405*_xlfn.XLOOKUP(Tabla2[[#This Row],[Unidad de producción]],Tabla3[Medida],Tabla3[Equivalencia en Kg],"ELVIS",0)</f>
        <v>248.074968315521</v>
      </c>
      <c r="J405" s="2" t="n">
        <v>209.236666666667</v>
      </c>
      <c r="K405" s="2" t="s">
        <v>18</v>
      </c>
      <c r="L405" s="2" t="n">
        <f aca="false">J405/_xlfn.XLOOKUP(Tabla2[[#This Row],[Unidad de precio]],Tabla3[Medida],Tabla3[Equivalencia en Kg],"ELVIS",0)</f>
        <v>4.61280129335686</v>
      </c>
      <c r="M405" s="2" t="n">
        <v>360.52</v>
      </c>
      <c r="N405" s="3" t="n">
        <f aca="false">(Tabla2[[#This Row],[Productividad (kg/TAS)]]*Tabla2[[#This Row],[Precio por kg]]-Tabla2[[#This Row],[Costos (En RD$/Tarea)]])</f>
        <v>783.800534695295</v>
      </c>
      <c r="O405" s="9" t="n">
        <f aca="false">IF(Tabla2[[#This Row],[Costos (En RD$/Tarea)]]=0,0,Tabla2[[#This Row],[Beneficio Neto  (En RD$/Tarea)]]/Tabla2[[#This Row],[Costos (En RD$/Tarea)]])</f>
        <v>2.17408336484882</v>
      </c>
      <c r="P405" s="7" t="n">
        <f aca="false">Tabla2[[#This Row],[Rentabilidad (%)]]/12</f>
        <v>0.181173613737401</v>
      </c>
    </row>
    <row r="406" customFormat="false" ht="14.25" hidden="false" customHeight="false" outlineLevel="0" collapsed="false">
      <c r="A406" s="1" t="n">
        <v>37530</v>
      </c>
      <c r="B406" s="2" t="s">
        <v>27</v>
      </c>
      <c r="C406" s="3" t="n">
        <v>2750</v>
      </c>
      <c r="D406" s="8" t="s">
        <v>17</v>
      </c>
      <c r="E406" s="3" t="n">
        <f aca="false">IF(Tabla2[[#This Row],[Frecuencia]]="Annual", Tabla2[[#This Row],[Cosecha/Tarea]]/12,Tabla2[[#This Row],[Cosecha/Tarea]])</f>
        <v>2750</v>
      </c>
      <c r="F406" s="3" t="n">
        <v>24440</v>
      </c>
      <c r="G406" s="2" t="s">
        <v>18</v>
      </c>
      <c r="H406" s="2" t="n">
        <f aca="false">F406/Tabla2[[#This Row],[Cosecha Mensual]]</f>
        <v>8.88727272727273</v>
      </c>
      <c r="I406" s="2" t="n">
        <f aca="false">H406*_xlfn.XLOOKUP(Tabla2[[#This Row],[Unidad de producción]],Tabla3[Medida],Tabla3[Equivalencia en Kg],"ELVIS",0)</f>
        <v>403.126690909091</v>
      </c>
      <c r="J406" s="2" t="n">
        <v>202.986666666667</v>
      </c>
      <c r="K406" s="2" t="s">
        <v>18</v>
      </c>
      <c r="L406" s="2" t="n">
        <f aca="false">J406/_xlfn.XLOOKUP(Tabla2[[#This Row],[Unidad de precio]],Tabla3[Medida],Tabla3[Equivalencia en Kg],"ELVIS",0)</f>
        <v>4.47501469723693</v>
      </c>
      <c r="M406" s="2" t="n">
        <v>2321.75</v>
      </c>
      <c r="N406" s="3" t="n">
        <f aca="false">(Tabla2[[#This Row],[Productividad (kg/TAS)]]*Tabla2[[#This Row],[Precio por kg]]-Tabla2[[#This Row],[Costos (En RD$/Tarea)]])</f>
        <v>-517.75213333333</v>
      </c>
      <c r="O406" s="9" t="n">
        <f aca="false">IF(Tabla2[[#This Row],[Costos (En RD$/Tarea)]]=0,0,Tabla2[[#This Row],[Beneficio Neto  (En RD$/Tarea)]]/Tabla2[[#This Row],[Costos (En RD$/Tarea)]])</f>
        <v>-0.223000811169734</v>
      </c>
      <c r="P406" s="7" t="n">
        <f aca="false">Tabla2[[#This Row],[Rentabilidad (%)]]/12</f>
        <v>-0.0185834009308112</v>
      </c>
    </row>
    <row r="407" customFormat="false" ht="14.25" hidden="false" customHeight="false" outlineLevel="0" collapsed="false">
      <c r="A407" s="1" t="n">
        <v>37530</v>
      </c>
      <c r="B407" s="2" t="s">
        <v>28</v>
      </c>
      <c r="C407" s="3" t="n">
        <v>19685</v>
      </c>
      <c r="D407" s="8" t="s">
        <v>17</v>
      </c>
      <c r="E407" s="3" t="n">
        <f aca="false">IF(Tabla2[[#This Row],[Frecuencia]]="Annual", Tabla2[[#This Row],[Cosecha/Tarea]]/12,Tabla2[[#This Row],[Cosecha/Tarea]])</f>
        <v>19685</v>
      </c>
      <c r="F407" s="3" t="n">
        <v>37414</v>
      </c>
      <c r="G407" s="2" t="s">
        <v>18</v>
      </c>
      <c r="H407" s="2" t="n">
        <f aca="false">F407/Tabla2[[#This Row],[Cosecha Mensual]]</f>
        <v>1.90063500127</v>
      </c>
      <c r="I407" s="2" t="n">
        <f aca="false">H407*_xlfn.XLOOKUP(Tabla2[[#This Row],[Unidad de producción]],Tabla3[Medida],Tabla3[Equivalencia en Kg],"ELVIS",0)</f>
        <v>86.2128036576073</v>
      </c>
      <c r="J407" s="2" t="n">
        <v>995</v>
      </c>
      <c r="K407" s="2" t="s">
        <v>29</v>
      </c>
      <c r="L407" s="2" t="n">
        <f aca="false">J407/_xlfn.XLOOKUP(Tabla2[[#This Row],[Unidad de precio]],Tabla3[Medida],Tabla3[Equivalencia en Kg],"ELVIS",0)</f>
        <v>1.76939218266529</v>
      </c>
      <c r="M407" s="2" t="n">
        <v>3619.46</v>
      </c>
      <c r="N407" s="3" t="n">
        <f aca="false">(Tabla2[[#This Row],[Productividad (kg/TAS)]]*Tabla2[[#This Row],[Precio por kg]]-Tabla2[[#This Row],[Costos (En RD$/Tarea)]])</f>
        <v>-3466.91573916257</v>
      </c>
      <c r="O407" s="9" t="n">
        <f aca="false">IF(Tabla2[[#This Row],[Costos (En RD$/Tarea)]]=0,0,Tabla2[[#This Row],[Beneficio Neto  (En RD$/Tarea)]]/Tabla2[[#This Row],[Costos (En RD$/Tarea)]])</f>
        <v>-0.957854414515583</v>
      </c>
      <c r="P407" s="7" t="n">
        <f aca="false">Tabla2[[#This Row],[Rentabilidad (%)]]/12</f>
        <v>-0.0798212012096319</v>
      </c>
    </row>
    <row r="408" customFormat="false" ht="14.25" hidden="false" customHeight="false" outlineLevel="0" collapsed="false">
      <c r="A408" s="1" t="n">
        <v>37530</v>
      </c>
      <c r="B408" s="2" t="s">
        <v>30</v>
      </c>
      <c r="C408" s="3" t="n">
        <v>241696</v>
      </c>
      <c r="D408" s="3" t="s">
        <v>31</v>
      </c>
      <c r="E408" s="3" t="n">
        <f aca="false">IF(Tabla2[[#This Row],[Frecuencia]]="Annual", Tabla2[[#This Row],[Cosecha/Tarea]]/12,Tabla2[[#This Row],[Cosecha/Tarea]])</f>
        <v>20141.3333333333</v>
      </c>
      <c r="F408" s="3" t="n">
        <v>1685540</v>
      </c>
      <c r="G408" s="2" t="s">
        <v>32</v>
      </c>
      <c r="H408" s="2" t="n">
        <f aca="false">F408/Tabla2[[#This Row],[Cosecha Mensual]]</f>
        <v>83.6856216073084</v>
      </c>
      <c r="I408" s="2" t="n">
        <f aca="false">H408*_xlfn.XLOOKUP(Tabla2[[#This Row],[Unidad de producción]],Tabla3[Medida],Tabla3[Equivalencia en Kg],"ELVIS",0)</f>
        <v>2277.08576393486</v>
      </c>
      <c r="J408" s="2" t="n">
        <v>26.375</v>
      </c>
      <c r="K408" s="2" t="s">
        <v>32</v>
      </c>
      <c r="L408" s="2" t="n">
        <f aca="false">J408/_xlfn.XLOOKUP(Tabla2[[#This Row],[Unidad de precio]],Tabla3[Medida],Tabla3[Equivalencia en Kg],"ELVIS",0)</f>
        <v>0.969312752664462</v>
      </c>
      <c r="M408" s="3" t="n">
        <v>3727.21</v>
      </c>
      <c r="N408" s="3" t="n">
        <f aca="false">(Tabla2[[#This Row],[Productividad (kg/TAS)]]*Tabla2[[#This Row],[Precio por kg]]-Tabla2[[#This Row],[Costos (En RD$/Tarea)]])</f>
        <v>-1520.00173010724</v>
      </c>
      <c r="O408" s="9" t="n">
        <f aca="false">IF(Tabla2[[#This Row],[Costos (En RD$/Tarea)]]=0,0,Tabla2[[#This Row],[Beneficio Neto  (En RD$/Tarea)]]/Tabla2[[#This Row],[Costos (En RD$/Tarea)]])</f>
        <v>-0.407812205404912</v>
      </c>
      <c r="P408" s="7" t="n">
        <f aca="false">Tabla2[[#This Row],[Rentabilidad (%)]]/12</f>
        <v>-0.0339843504504093</v>
      </c>
    </row>
    <row r="409" customFormat="false" ht="14.25" hidden="false" customHeight="false" outlineLevel="0" collapsed="false">
      <c r="A409" s="1" t="n">
        <v>37530</v>
      </c>
      <c r="B409" s="2" t="s">
        <v>33</v>
      </c>
      <c r="C409" s="3" t="n">
        <v>660088</v>
      </c>
      <c r="D409" s="3" t="s">
        <v>31</v>
      </c>
      <c r="E409" s="3" t="n">
        <f aca="false">IF(Tabla2[[#This Row],[Frecuencia]]="Annual", Tabla2[[#This Row],[Cosecha/Tarea]]/12,Tabla2[[#This Row],[Cosecha/Tarea]])</f>
        <v>55007.3333333333</v>
      </c>
      <c r="F409" s="3" t="n">
        <v>96305</v>
      </c>
      <c r="G409" s="2" t="s">
        <v>34</v>
      </c>
      <c r="H409" s="2" t="n">
        <f aca="false">F409/Tabla2[[#This Row],[Cosecha Mensual]]</f>
        <v>1.75076656445807</v>
      </c>
      <c r="I409" s="2" t="n">
        <f aca="false">H409*_xlfn.XLOOKUP(Tabla2[[#This Row],[Unidad de producción]],Tabla3[Medida],Tabla3[Equivalencia en Kg],"ELVIS",0)</f>
        <v>714.575373283562</v>
      </c>
      <c r="J409" s="2" t="n">
        <v>1269.54714285714</v>
      </c>
      <c r="K409" s="2" t="s">
        <v>34</v>
      </c>
      <c r="L409" s="2" t="n">
        <f aca="false">J409/_xlfn.XLOOKUP(Tabla2[[#This Row],[Unidad de precio]],Tabla3[Medida],Tabla3[Equivalencia en Kg],"ELVIS",0)</f>
        <v>3.1104915909767</v>
      </c>
      <c r="M409" s="3" t="n">
        <v>3949.84</v>
      </c>
      <c r="N409" s="3" t="n">
        <f aca="false">(Tabla2[[#This Row],[Productividad (kg/TAS)]]*Tabla2[[#This Row],[Precio por kg]]-Tabla2[[#This Row],[Costos (En RD$/Tarea)]])</f>
        <v>-1727.15931028244</v>
      </c>
      <c r="O409" s="9" t="n">
        <f aca="false">IF(Tabla2[[#This Row],[Costos (En RD$/Tarea)]]=0,0,Tabla2[[#This Row],[Beneficio Neto  (En RD$/Tarea)]]/Tabla2[[#This Row],[Costos (En RD$/Tarea)]])</f>
        <v>-0.437273233924018</v>
      </c>
      <c r="P409" s="7" t="n">
        <f aca="false">Tabla2[[#This Row],[Rentabilidad (%)]]/12</f>
        <v>-0.0364394361603349</v>
      </c>
    </row>
    <row r="410" customFormat="false" ht="14.25" hidden="false" customHeight="false" outlineLevel="0" collapsed="false">
      <c r="A410" s="1" t="n">
        <v>37561</v>
      </c>
      <c r="B410" s="2" t="s">
        <v>16</v>
      </c>
      <c r="C410" s="3" t="n">
        <v>294496</v>
      </c>
      <c r="D410" s="8" t="s">
        <v>17</v>
      </c>
      <c r="E410" s="3" t="n">
        <f aca="false">IF(Tabla2[[#This Row],[Frecuencia]]="Annual", Tabla2[[#This Row],[Cosecha/Tarea]]/12,Tabla2[[#This Row],[Cosecha/Tarea]])</f>
        <v>294496</v>
      </c>
      <c r="F410" s="3" t="n">
        <v>1104189</v>
      </c>
      <c r="G410" s="2" t="s">
        <v>18</v>
      </c>
      <c r="H410" s="2" t="n">
        <f aca="false">F410/Tabla2[[#This Row],[Cosecha Mensual]]</f>
        <v>3.74941934695208</v>
      </c>
      <c r="I410" s="2" t="n">
        <f aca="false">H410*_xlfn.XLOOKUP(Tabla2[[#This Row],[Unidad de producción]],Tabla3[Medida],Tabla3[Equivalencia en Kg],"ELVIS",0)</f>
        <v>170.073661577746</v>
      </c>
      <c r="J410" s="2" t="n">
        <v>886.825082508251</v>
      </c>
      <c r="K410" s="2" t="s">
        <v>19</v>
      </c>
      <c r="L410" s="2" t="n">
        <f aca="false">J410/_xlfn.XLOOKUP(Tabla2[[#This Row],[Unidad de precio]],Tabla3[Medida],Tabla3[Equivalencia en Kg],"ELVIS",0)</f>
        <v>8.06204620462046</v>
      </c>
      <c r="M410" s="2" t="n">
        <v>1921.06</v>
      </c>
      <c r="N410" s="3" t="n">
        <f aca="false">(Tabla2[[#This Row],[Productividad (kg/TAS)]]*Tabla2[[#This Row],[Precio por kg]]-Tabla2[[#This Row],[Costos (En RD$/Tarea)]])</f>
        <v>-549.918282171225</v>
      </c>
      <c r="O410" s="9" t="n">
        <f aca="false">IF(Tabla2[[#This Row],[Costos (En RD$/Tarea)]]=0,0,Tabla2[[#This Row],[Beneficio Neto  (En RD$/Tarea)]]/Tabla2[[#This Row],[Costos (En RD$/Tarea)]])</f>
        <v>-0.286257733840289</v>
      </c>
      <c r="P410" s="7" t="n">
        <f aca="false">Tabla2[[#This Row],[Rentabilidad (%)]]/12</f>
        <v>-0.0238548111533574</v>
      </c>
    </row>
    <row r="411" customFormat="false" ht="14.25" hidden="false" customHeight="false" outlineLevel="0" collapsed="false">
      <c r="A411" s="1" t="n">
        <v>37561</v>
      </c>
      <c r="B411" s="2" t="s">
        <v>20</v>
      </c>
      <c r="C411" s="3" t="n">
        <v>26110</v>
      </c>
      <c r="D411" s="8" t="s">
        <v>17</v>
      </c>
      <c r="E411" s="3" t="n">
        <f aca="false">IF(Tabla2[[#This Row],[Frecuencia]]="Annual", Tabla2[[#This Row],[Cosecha/Tarea]]/12,Tabla2[[#This Row],[Cosecha/Tarea]])</f>
        <v>26110</v>
      </c>
      <c r="F411" s="3" t="n">
        <v>44772</v>
      </c>
      <c r="G411" s="2" t="s">
        <v>18</v>
      </c>
      <c r="H411" s="2" t="n">
        <f aca="false">F411/Tabla2[[#This Row],[Cosecha Mensual]]</f>
        <v>1.71474530831099</v>
      </c>
      <c r="I411" s="2" t="n">
        <f aca="false">H411*_xlfn.XLOOKUP(Tabla2[[#This Row],[Unidad de producción]],Tabla3[Medida],Tabla3[Equivalencia en Kg],"ELVIS",0)</f>
        <v>77.7808471849866</v>
      </c>
      <c r="J411" s="2" t="n">
        <v>107.067985714286</v>
      </c>
      <c r="K411" s="2" t="s">
        <v>18</v>
      </c>
      <c r="L411" s="2" t="n">
        <f aca="false">J411/_xlfn.XLOOKUP(Tabla2[[#This Row],[Unidad de precio]],Tabla3[Medida],Tabla3[Equivalencia en Kg],"ELVIS",0)</f>
        <v>2.36040532879819</v>
      </c>
      <c r="M411" s="2" t="n">
        <v>531.935</v>
      </c>
      <c r="N411" s="3" t="n">
        <f aca="false">(Tabla2[[#This Row],[Productividad (kg/TAS)]]*Tabla2[[#This Row],[Precio por kg]]-Tabla2[[#This Row],[Costos (En RD$/Tarea)]])</f>
        <v>-348.34067382612</v>
      </c>
      <c r="O411" s="9" t="n">
        <f aca="false">IF(Tabla2[[#This Row],[Costos (En RD$/Tarea)]]=0,0,Tabla2[[#This Row],[Beneficio Neto  (En RD$/Tarea)]]/Tabla2[[#This Row],[Costos (En RD$/Tarea)]])</f>
        <v>-0.654855713247144</v>
      </c>
      <c r="P411" s="7" t="n">
        <f aca="false">Tabla2[[#This Row],[Rentabilidad (%)]]/12</f>
        <v>-0.054571309437262</v>
      </c>
    </row>
    <row r="412" customFormat="false" ht="14.25" hidden="false" customHeight="false" outlineLevel="0" collapsed="false">
      <c r="A412" s="1" t="n">
        <v>37561</v>
      </c>
      <c r="B412" s="2" t="s">
        <v>21</v>
      </c>
      <c r="C412" s="3" t="n">
        <v>5757</v>
      </c>
      <c r="D412" s="8" t="s">
        <v>17</v>
      </c>
      <c r="E412" s="3" t="n">
        <f aca="false">IF(Tabla2[[#This Row],[Frecuencia]]="Annual", Tabla2[[#This Row],[Cosecha/Tarea]]/12,Tabla2[[#This Row],[Cosecha/Tarea]])</f>
        <v>5757</v>
      </c>
      <c r="F412" s="3" t="n">
        <v>44285</v>
      </c>
      <c r="G412" s="2" t="s">
        <v>18</v>
      </c>
      <c r="H412" s="2" t="n">
        <f aca="false">F412/Tabla2[[#This Row],[Cosecha Mensual]]</f>
        <v>7.69237450060796</v>
      </c>
      <c r="I412" s="2" t="n">
        <f aca="false">H412*_xlfn.XLOOKUP(Tabla2[[#This Row],[Unidad de producción]],Tabla3[Medida],Tabla3[Equivalencia en Kg],"ELVIS",0)</f>
        <v>348.926107347577</v>
      </c>
      <c r="J412" s="2" t="n">
        <v>99.3612</v>
      </c>
      <c r="K412" s="2" t="s">
        <v>18</v>
      </c>
      <c r="L412" s="2" t="n">
        <f aca="false">J412/_xlfn.XLOOKUP(Tabla2[[#This Row],[Unidad de precio]],Tabla3[Medida],Tabla3[Equivalencia en Kg],"ELVIS",0)</f>
        <v>2.19050264550265</v>
      </c>
      <c r="M412" s="2" t="n">
        <v>945.93</v>
      </c>
      <c r="N412" s="3" t="n">
        <f aca="false">(Tabla2[[#This Row],[Productividad (kg/TAS)]]*Tabla2[[#This Row],[Precio por kg]]-Tabla2[[#This Row],[Costos (En RD$/Tarea)]])</f>
        <v>-181.606438770193</v>
      </c>
      <c r="O412" s="9" t="n">
        <f aca="false">IF(Tabla2[[#This Row],[Costos (En RD$/Tarea)]]=0,0,Tabla2[[#This Row],[Beneficio Neto  (En RD$/Tarea)]]/Tabla2[[#This Row],[Costos (En RD$/Tarea)]])</f>
        <v>-0.191987185912481</v>
      </c>
      <c r="P412" s="7" t="n">
        <f aca="false">Tabla2[[#This Row],[Rentabilidad (%)]]/12</f>
        <v>-0.0159989321593734</v>
      </c>
    </row>
    <row r="413" customFormat="false" ht="14.25" hidden="false" customHeight="false" outlineLevel="0" collapsed="false">
      <c r="A413" s="1" t="n">
        <v>37561</v>
      </c>
      <c r="B413" s="2" t="s">
        <v>22</v>
      </c>
      <c r="C413" s="3" t="n">
        <v>5912</v>
      </c>
      <c r="D413" s="8" t="s">
        <v>17</v>
      </c>
      <c r="E413" s="3" t="n">
        <f aca="false">IF(Tabla2[[#This Row],[Frecuencia]]="Annual", Tabla2[[#This Row],[Cosecha/Tarea]]/12,Tabla2[[#This Row],[Cosecha/Tarea]])</f>
        <v>5912</v>
      </c>
      <c r="F413" s="3" t="n">
        <v>52836</v>
      </c>
      <c r="G413" s="2" t="s">
        <v>18</v>
      </c>
      <c r="H413" s="2" t="n">
        <f aca="false">F413/Tabla2[[#This Row],[Cosecha Mensual]]</f>
        <v>8.93707713125846</v>
      </c>
      <c r="I413" s="2" t="n">
        <f aca="false">H413*_xlfn.XLOOKUP(Tabla2[[#This Row],[Unidad de producción]],Tabla3[Medida],Tabla3[Equivalencia en Kg],"ELVIS",0)</f>
        <v>405.385818673884</v>
      </c>
      <c r="J413" s="2" t="n">
        <v>400</v>
      </c>
      <c r="K413" s="2" t="s">
        <v>18</v>
      </c>
      <c r="L413" s="2" t="n">
        <f aca="false">J413/_xlfn.XLOOKUP(Tabla2[[#This Row],[Unidad de precio]],Tabla3[Medida],Tabla3[Equivalencia en Kg],"ELVIS",0)</f>
        <v>8.81834215167549</v>
      </c>
      <c r="M413" s="2" t="n">
        <v>2751.22</v>
      </c>
      <c r="N413" s="3" t="n">
        <f aca="false">(Tabla2[[#This Row],[Productividad (kg/TAS)]]*Tabla2[[#This Row],[Precio por kg]]-Tabla2[[#This Row],[Costos (En RD$/Tarea)]])</f>
        <v>823.610852503383</v>
      </c>
      <c r="O413" s="9" t="n">
        <f aca="false">IF(Tabla2[[#This Row],[Costos (En RD$/Tarea)]]=0,0,Tabla2[[#This Row],[Beneficio Neto  (En RD$/Tarea)]]/Tabla2[[#This Row],[Costos (En RD$/Tarea)]])</f>
        <v>0.299362047565583</v>
      </c>
      <c r="P413" s="7" t="n">
        <f aca="false">Tabla2[[#This Row],[Rentabilidad (%)]]/12</f>
        <v>0.0249468372971319</v>
      </c>
    </row>
    <row r="414" customFormat="false" ht="14.25" hidden="false" customHeight="false" outlineLevel="0" collapsed="false">
      <c r="A414" s="1" t="n">
        <v>37561</v>
      </c>
      <c r="B414" s="2" t="s">
        <v>23</v>
      </c>
      <c r="C414" s="3" t="n">
        <v>3700</v>
      </c>
      <c r="D414" s="8" t="s">
        <v>17</v>
      </c>
      <c r="E414" s="3" t="n">
        <f aca="false">IF(Tabla2[[#This Row],[Frecuencia]]="Annual", Tabla2[[#This Row],[Cosecha/Tarea]]/12,Tabla2[[#This Row],[Cosecha/Tarea]])</f>
        <v>3700</v>
      </c>
      <c r="F414" s="3" t="n">
        <v>74355</v>
      </c>
      <c r="G414" s="2" t="s">
        <v>18</v>
      </c>
      <c r="H414" s="2" t="n">
        <f aca="false">F414/Tabla2[[#This Row],[Cosecha Mensual]]</f>
        <v>20.0959459459459</v>
      </c>
      <c r="I414" s="2" t="n">
        <f aca="false">H414*_xlfn.XLOOKUP(Tabla2[[#This Row],[Unidad de producción]],Tabla3[Medida],Tabla3[Equivalencia en Kg],"ELVIS",0)</f>
        <v>911.552108108108</v>
      </c>
      <c r="J414" s="2" t="n">
        <v>313.333333333333</v>
      </c>
      <c r="K414" s="2" t="s">
        <v>18</v>
      </c>
      <c r="L414" s="2" t="n">
        <f aca="false">J414/_xlfn.XLOOKUP(Tabla2[[#This Row],[Unidad de precio]],Tabla3[Medida],Tabla3[Equivalencia en Kg],"ELVIS",0)</f>
        <v>6.90770135214579</v>
      </c>
      <c r="M414" s="2" t="n">
        <v>5786.34</v>
      </c>
      <c r="N414" s="3" t="n">
        <f aca="false">(Tabla2[[#This Row],[Productividad (kg/TAS)]]*Tabla2[[#This Row],[Precio por kg]]-Tabla2[[#This Row],[Costos (En RD$/Tarea)]])</f>
        <v>510.389729729722</v>
      </c>
      <c r="O414" s="9" t="n">
        <f aca="false">IF(Tabla2[[#This Row],[Costos (En RD$/Tarea)]]=0,0,Tabla2[[#This Row],[Beneficio Neto  (En RD$/Tarea)]]/Tabla2[[#This Row],[Costos (En RD$/Tarea)]])</f>
        <v>0.0882059695299138</v>
      </c>
      <c r="P414" s="7" t="n">
        <f aca="false">Tabla2[[#This Row],[Rentabilidad (%)]]/12</f>
        <v>0.00735049746082615</v>
      </c>
    </row>
    <row r="415" customFormat="false" ht="14.25" hidden="false" customHeight="false" outlineLevel="0" collapsed="false">
      <c r="A415" s="1" t="n">
        <v>37561</v>
      </c>
      <c r="B415" s="2" t="s">
        <v>24</v>
      </c>
      <c r="C415" s="3" t="n">
        <v>6939</v>
      </c>
      <c r="D415" s="8" t="s">
        <v>17</v>
      </c>
      <c r="E415" s="3" t="n">
        <f aca="false">IF(Tabla2[[#This Row],[Frecuencia]]="Annual", Tabla2[[#This Row],[Cosecha/Tarea]]/12,Tabla2[[#This Row],[Cosecha/Tarea]])</f>
        <v>6939</v>
      </c>
      <c r="F415" s="3" t="n">
        <v>103663</v>
      </c>
      <c r="G415" s="2" t="s">
        <v>18</v>
      </c>
      <c r="H415" s="2" t="n">
        <f aca="false">F415/Tabla2[[#This Row],[Cosecha Mensual]]</f>
        <v>14.9391843205073</v>
      </c>
      <c r="I415" s="2" t="n">
        <f aca="false">H415*_xlfn.XLOOKUP(Tabla2[[#This Row],[Unidad de producción]],Tabla3[Medida],Tabla3[Equivalencia en Kg],"ELVIS",0)</f>
        <v>677.64140077821</v>
      </c>
      <c r="J415" s="2" t="n">
        <v>462.3125</v>
      </c>
      <c r="K415" s="2" t="s">
        <v>18</v>
      </c>
      <c r="L415" s="2" t="n">
        <f aca="false">J415/_xlfn.XLOOKUP(Tabla2[[#This Row],[Unidad de precio]],Tabla3[Medida],Tabla3[Equivalencia en Kg],"ELVIS",0)</f>
        <v>10.1920745149912</v>
      </c>
      <c r="M415" s="2" t="n">
        <v>1994.96</v>
      </c>
      <c r="N415" s="3" t="n">
        <f aca="false">(Tabla2[[#This Row],[Productividad (kg/TAS)]]*Tabla2[[#This Row],[Precio por kg]]-Tabla2[[#This Row],[Costos (En RD$/Tarea)]])</f>
        <v>4911.61165117452</v>
      </c>
      <c r="O415" s="9" t="n">
        <f aca="false">IF(Tabla2[[#This Row],[Costos (En RD$/Tarea)]]=0,0,Tabla2[[#This Row],[Beneficio Neto  (En RD$/Tarea)]]/Tabla2[[#This Row],[Costos (En RD$/Tarea)]])</f>
        <v>2.46201009101662</v>
      </c>
      <c r="P415" s="7" t="n">
        <f aca="false">Tabla2[[#This Row],[Rentabilidad (%)]]/12</f>
        <v>0.205167507584719</v>
      </c>
    </row>
    <row r="416" customFormat="false" ht="14.25" hidden="false" customHeight="false" outlineLevel="0" collapsed="false">
      <c r="A416" s="1" t="n">
        <v>37561</v>
      </c>
      <c r="B416" s="2" t="s">
        <v>25</v>
      </c>
      <c r="C416" s="3" t="n">
        <v>25296</v>
      </c>
      <c r="D416" s="8" t="s">
        <v>17</v>
      </c>
      <c r="E416" s="3" t="n">
        <f aca="false">IF(Tabla2[[#This Row],[Frecuencia]]="Annual", Tabla2[[#This Row],[Cosecha/Tarea]]/12,Tabla2[[#This Row],[Cosecha/Tarea]])</f>
        <v>25296</v>
      </c>
      <c r="F416" s="3" t="n">
        <v>274212</v>
      </c>
      <c r="G416" s="2" t="s">
        <v>18</v>
      </c>
      <c r="H416" s="2" t="n">
        <f aca="false">F416/Tabla2[[#This Row],[Cosecha Mensual]]</f>
        <v>10.8401328273245</v>
      </c>
      <c r="I416" s="2" t="n">
        <f aca="false">H416*_xlfn.XLOOKUP(Tabla2[[#This Row],[Unidad de producción]],Tabla3[Medida],Tabla3[Equivalencia en Kg],"ELVIS",0)</f>
        <v>491.708425047438</v>
      </c>
      <c r="J416" s="2" t="n">
        <v>86.0495625</v>
      </c>
      <c r="K416" s="2" t="s">
        <v>18</v>
      </c>
      <c r="L416" s="2" t="n">
        <f aca="false">J416/_xlfn.XLOOKUP(Tabla2[[#This Row],[Unidad de precio]],Tabla3[Medida],Tabla3[Equivalencia en Kg],"ELVIS",0)</f>
        <v>1.89703621031746</v>
      </c>
      <c r="M416" s="2" t="n">
        <v>966.8</v>
      </c>
      <c r="N416" s="3" t="n">
        <f aca="false">(Tabla2[[#This Row],[Productividad (kg/TAS)]]*Tabla2[[#This Row],[Precio por kg]]-Tabla2[[#This Row],[Costos (En RD$/Tarea)]])</f>
        <v>-34.0113127668407</v>
      </c>
      <c r="O416" s="9" t="n">
        <f aca="false">IF(Tabla2[[#This Row],[Costos (En RD$/Tarea)]]=0,0,Tabla2[[#This Row],[Beneficio Neto  (En RD$/Tarea)]]/Tabla2[[#This Row],[Costos (En RD$/Tarea)]])</f>
        <v>-0.0351792643430292</v>
      </c>
      <c r="P416" s="7" t="n">
        <f aca="false">Tabla2[[#This Row],[Rentabilidad (%)]]/12</f>
        <v>-0.0029316053619191</v>
      </c>
    </row>
    <row r="417" customFormat="false" ht="14.25" hidden="false" customHeight="false" outlineLevel="0" collapsed="false">
      <c r="A417" s="1" t="n">
        <v>37561</v>
      </c>
      <c r="B417" s="2" t="s">
        <v>26</v>
      </c>
      <c r="C417" s="3" t="n">
        <v>10191</v>
      </c>
      <c r="D417" s="8" t="s">
        <v>17</v>
      </c>
      <c r="E417" s="3" t="n">
        <f aca="false">IF(Tabla2[[#This Row],[Frecuencia]]="Annual", Tabla2[[#This Row],[Cosecha/Tarea]]/12,Tabla2[[#This Row],[Cosecha/Tarea]])</f>
        <v>10191</v>
      </c>
      <c r="F417" s="3" t="n">
        <v>49948</v>
      </c>
      <c r="G417" s="2" t="s">
        <v>18</v>
      </c>
      <c r="H417" s="2" t="n">
        <f aca="false">F417/Tabla2[[#This Row],[Cosecha Mensual]]</f>
        <v>4.90118732214699</v>
      </c>
      <c r="I417" s="2" t="n">
        <f aca="false">H417*_xlfn.XLOOKUP(Tabla2[[#This Row],[Unidad de producción]],Tabla3[Medida],Tabla3[Equivalencia en Kg],"ELVIS",0)</f>
        <v>222.317856932588</v>
      </c>
      <c r="J417" s="2" t="n">
        <v>217.5</v>
      </c>
      <c r="K417" s="2" t="s">
        <v>18</v>
      </c>
      <c r="L417" s="2" t="n">
        <f aca="false">J417/_xlfn.XLOOKUP(Tabla2[[#This Row],[Unidad de precio]],Tabla3[Medida],Tabla3[Equivalencia en Kg],"ELVIS",0)</f>
        <v>4.79497354497355</v>
      </c>
      <c r="M417" s="2" t="n">
        <v>360.52</v>
      </c>
      <c r="N417" s="3" t="n">
        <f aca="false">(Tabla2[[#This Row],[Productividad (kg/TAS)]]*Tabla2[[#This Row],[Precio por kg]]-Tabla2[[#This Row],[Costos (En RD$/Tarea)]])</f>
        <v>705.488242566971</v>
      </c>
      <c r="O417" s="9" t="n">
        <f aca="false">IF(Tabla2[[#This Row],[Costos (En RD$/Tarea)]]=0,0,Tabla2[[#This Row],[Beneficio Neto  (En RD$/Tarea)]]/Tabla2[[#This Row],[Costos (En RD$/Tarea)]])</f>
        <v>1.95686298282195</v>
      </c>
      <c r="P417" s="7" t="n">
        <f aca="false">Tabla2[[#This Row],[Rentabilidad (%)]]/12</f>
        <v>0.163071915235163</v>
      </c>
    </row>
    <row r="418" customFormat="false" ht="14.25" hidden="false" customHeight="false" outlineLevel="0" collapsed="false">
      <c r="A418" s="1" t="n">
        <v>37561</v>
      </c>
      <c r="B418" s="2" t="s">
        <v>27</v>
      </c>
      <c r="C418" s="3" t="n">
        <v>2421</v>
      </c>
      <c r="D418" s="8" t="s">
        <v>17</v>
      </c>
      <c r="E418" s="3" t="n">
        <f aca="false">IF(Tabla2[[#This Row],[Frecuencia]]="Annual", Tabla2[[#This Row],[Cosecha/Tarea]]/12,Tabla2[[#This Row],[Cosecha/Tarea]])</f>
        <v>2421</v>
      </c>
      <c r="F418" s="3" t="n">
        <v>23674</v>
      </c>
      <c r="G418" s="2" t="s">
        <v>18</v>
      </c>
      <c r="H418" s="2" t="n">
        <f aca="false">F418/Tabla2[[#This Row],[Cosecha Mensual]]</f>
        <v>9.7786038826931</v>
      </c>
      <c r="I418" s="2" t="n">
        <f aca="false">H418*_xlfn.XLOOKUP(Tabla2[[#This Row],[Unidad de producción]],Tabla3[Medida],Tabla3[Equivalencia en Kg],"ELVIS",0)</f>
        <v>443.557472118959</v>
      </c>
      <c r="J418" s="2" t="n">
        <v>286.875</v>
      </c>
      <c r="K418" s="2" t="s">
        <v>18</v>
      </c>
      <c r="L418" s="2" t="n">
        <f aca="false">J418/_xlfn.XLOOKUP(Tabla2[[#This Row],[Unidad de precio]],Tabla3[Medida],Tabla3[Equivalencia en Kg],"ELVIS",0)</f>
        <v>6.32440476190476</v>
      </c>
      <c r="M418" s="2" t="n">
        <v>2321.75</v>
      </c>
      <c r="N418" s="3" t="n">
        <f aca="false">(Tabla2[[#This Row],[Productividad (kg/TAS)]]*Tabla2[[#This Row],[Precio por kg]]-Tabla2[[#This Row],[Costos (En RD$/Tarea)]])</f>
        <v>483.486988847584</v>
      </c>
      <c r="O418" s="9" t="n">
        <f aca="false">IF(Tabla2[[#This Row],[Costos (En RD$/Tarea)]]=0,0,Tabla2[[#This Row],[Beneficio Neto  (En RD$/Tarea)]]/Tabla2[[#This Row],[Costos (En RD$/Tarea)]])</f>
        <v>0.208242484698001</v>
      </c>
      <c r="P418" s="7" t="n">
        <f aca="false">Tabla2[[#This Row],[Rentabilidad (%)]]/12</f>
        <v>0.0173535403915001</v>
      </c>
    </row>
    <row r="419" customFormat="false" ht="14.25" hidden="false" customHeight="false" outlineLevel="0" collapsed="false">
      <c r="A419" s="1" t="n">
        <v>37561</v>
      </c>
      <c r="B419" s="2" t="s">
        <v>28</v>
      </c>
      <c r="C419" s="3" t="n">
        <v>22010</v>
      </c>
      <c r="D419" s="8" t="s">
        <v>17</v>
      </c>
      <c r="E419" s="3" t="n">
        <f aca="false">IF(Tabla2[[#This Row],[Frecuencia]]="Annual", Tabla2[[#This Row],[Cosecha/Tarea]]/12,Tabla2[[#This Row],[Cosecha/Tarea]])</f>
        <v>22010</v>
      </c>
      <c r="F419" s="3" t="n">
        <v>52875</v>
      </c>
      <c r="G419" s="2" t="s">
        <v>18</v>
      </c>
      <c r="H419" s="2" t="n">
        <f aca="false">F419/Tabla2[[#This Row],[Cosecha Mensual]]</f>
        <v>2.40231712857792</v>
      </c>
      <c r="I419" s="2" t="n">
        <f aca="false">H419*_xlfn.XLOOKUP(Tabla2[[#This Row],[Unidad de producción]],Tabla3[Medida],Tabla3[Equivalencia en Kg],"ELVIS",0)</f>
        <v>108.969104952294</v>
      </c>
      <c r="J419" s="2" t="n">
        <v>1296.25</v>
      </c>
      <c r="K419" s="2" t="s">
        <v>29</v>
      </c>
      <c r="L419" s="2" t="n">
        <f aca="false">J419/_xlfn.XLOOKUP(Tabla2[[#This Row],[Unidad de precio]],Tabla3[Medida],Tabla3[Equivalencia en Kg],"ELVIS",0)</f>
        <v>2.30510011736672</v>
      </c>
      <c r="M419" s="2" t="n">
        <v>3619.46</v>
      </c>
      <c r="N419" s="3" t="n">
        <f aca="false">(Tabla2[[#This Row],[Productividad (kg/TAS)]]*Tabla2[[#This Row],[Precio por kg]]-Tabla2[[#This Row],[Costos (En RD$/Tarea)]])</f>
        <v>-3368.27530338512</v>
      </c>
      <c r="O419" s="9" t="n">
        <f aca="false">IF(Tabla2[[#This Row],[Costos (En RD$/Tarea)]]=0,0,Tabla2[[#This Row],[Beneficio Neto  (En RD$/Tarea)]]/Tabla2[[#This Row],[Costos (En RD$/Tarea)]])</f>
        <v>-0.930601610015063</v>
      </c>
      <c r="P419" s="7" t="n">
        <f aca="false">Tabla2[[#This Row],[Rentabilidad (%)]]/12</f>
        <v>-0.0775501341679219</v>
      </c>
    </row>
    <row r="420" customFormat="false" ht="14.25" hidden="false" customHeight="false" outlineLevel="0" collapsed="false">
      <c r="A420" s="1" t="n">
        <v>37561</v>
      </c>
      <c r="B420" s="2" t="s">
        <v>30</v>
      </c>
      <c r="C420" s="3" t="n">
        <v>255089</v>
      </c>
      <c r="D420" s="3" t="s">
        <v>31</v>
      </c>
      <c r="E420" s="3" t="n">
        <f aca="false">IF(Tabla2[[#This Row],[Frecuencia]]="Annual", Tabla2[[#This Row],[Cosecha/Tarea]]/12,Tabla2[[#This Row],[Cosecha/Tarea]])</f>
        <v>21257.4166666667</v>
      </c>
      <c r="F420" s="3" t="n">
        <v>1889129</v>
      </c>
      <c r="G420" s="2" t="s">
        <v>32</v>
      </c>
      <c r="H420" s="2" t="n">
        <f aca="false">F420/Tabla2[[#This Row],[Cosecha Mensual]]</f>
        <v>88.8691711520293</v>
      </c>
      <c r="I420" s="2" t="n">
        <f aca="false">H420*_xlfn.XLOOKUP(Tabla2[[#This Row],[Unidad de producción]],Tabla3[Medida],Tabla3[Equivalencia en Kg],"ELVIS",0)</f>
        <v>2418.13014704672</v>
      </c>
      <c r="J420" s="2" t="n">
        <v>24.908</v>
      </c>
      <c r="K420" s="2" t="s">
        <v>32</v>
      </c>
      <c r="L420" s="2" t="n">
        <f aca="false">J420/_xlfn.XLOOKUP(Tabla2[[#This Row],[Unidad de precio]],Tabla3[Medida],Tabla3[Equivalencia en Kg],"ELVIS",0)</f>
        <v>0.91539875045939</v>
      </c>
      <c r="M420" s="3" t="n">
        <v>3727.21</v>
      </c>
      <c r="N420" s="3" t="n">
        <f aca="false">(Tabla2[[#This Row],[Productividad (kg/TAS)]]*Tabla2[[#This Row],[Precio por kg]]-Tabla2[[#This Row],[Costos (En RD$/Tarea)]])</f>
        <v>-1513.65668494525</v>
      </c>
      <c r="O420" s="9" t="n">
        <f aca="false">IF(Tabla2[[#This Row],[Costos (En RD$/Tarea)]]=0,0,Tabla2[[#This Row],[Beneficio Neto  (En RD$/Tarea)]]/Tabla2[[#This Row],[Costos (En RD$/Tarea)]])</f>
        <v>-0.406109847565674</v>
      </c>
      <c r="P420" s="7" t="n">
        <f aca="false">Tabla2[[#This Row],[Rentabilidad (%)]]/12</f>
        <v>-0.0338424872971395</v>
      </c>
    </row>
    <row r="421" customFormat="false" ht="14.25" hidden="false" customHeight="false" outlineLevel="0" collapsed="false">
      <c r="A421" s="1" t="n">
        <v>37561</v>
      </c>
      <c r="B421" s="2" t="s">
        <v>33</v>
      </c>
      <c r="C421" s="3" t="n">
        <v>684563</v>
      </c>
      <c r="D421" s="3" t="s">
        <v>31</v>
      </c>
      <c r="E421" s="3" t="n">
        <f aca="false">IF(Tabla2[[#This Row],[Frecuencia]]="Annual", Tabla2[[#This Row],[Cosecha/Tarea]]/12,Tabla2[[#This Row],[Cosecha/Tarea]])</f>
        <v>57046.9166666667</v>
      </c>
      <c r="F421" s="3" t="n">
        <v>98507</v>
      </c>
      <c r="G421" s="2" t="s">
        <v>34</v>
      </c>
      <c r="H421" s="2" t="n">
        <f aca="false">F421/Tabla2[[#This Row],[Cosecha Mensual]]</f>
        <v>1.72677167769804</v>
      </c>
      <c r="I421" s="2" t="n">
        <f aca="false">H421*_xlfn.XLOOKUP(Tabla2[[#This Row],[Unidad de producción]],Tabla3[Medida],Tabla3[Equivalencia en Kg],"ELVIS",0)</f>
        <v>704.781860252453</v>
      </c>
      <c r="J421" s="2" t="n">
        <v>1168.3675</v>
      </c>
      <c r="K421" s="2" t="s">
        <v>34</v>
      </c>
      <c r="L421" s="2" t="n">
        <f aca="false">J421/_xlfn.XLOOKUP(Tabla2[[#This Row],[Unidad de precio]],Tabla3[Medida],Tabla3[Equivalencia en Kg],"ELVIS",0)</f>
        <v>2.8625934092858</v>
      </c>
      <c r="M421" s="3" t="n">
        <v>3949.84</v>
      </c>
      <c r="N421" s="3" t="n">
        <f aca="false">(Tabla2[[#This Row],[Productividad (kg/TAS)]]*Tabla2[[#This Row],[Precio por kg]]-Tabla2[[#This Row],[Costos (En RD$/Tarea)]])</f>
        <v>-1932.33609185714</v>
      </c>
      <c r="O421" s="9" t="n">
        <f aca="false">IF(Tabla2[[#This Row],[Costos (En RD$/Tarea)]]=0,0,Tabla2[[#This Row],[Beneficio Neto  (En RD$/Tarea)]]/Tabla2[[#This Row],[Costos (En RD$/Tarea)]])</f>
        <v>-0.489218827055562</v>
      </c>
      <c r="P421" s="7" t="n">
        <f aca="false">Tabla2[[#This Row],[Rentabilidad (%)]]/12</f>
        <v>-0.0407682355879635</v>
      </c>
    </row>
    <row r="422" customFormat="false" ht="14.25" hidden="false" customHeight="false" outlineLevel="0" collapsed="false">
      <c r="A422" s="1" t="n">
        <v>37591</v>
      </c>
      <c r="B422" s="2" t="s">
        <v>16</v>
      </c>
      <c r="C422" s="3" t="n">
        <v>142926</v>
      </c>
      <c r="D422" s="8" t="s">
        <v>17</v>
      </c>
      <c r="E422" s="3" t="n">
        <f aca="false">IF(Tabla2[[#This Row],[Frecuencia]]="Annual", Tabla2[[#This Row],[Cosecha/Tarea]]/12,Tabla2[[#This Row],[Cosecha/Tarea]])</f>
        <v>142926</v>
      </c>
      <c r="F422" s="3" t="n">
        <v>518668</v>
      </c>
      <c r="G422" s="2" t="s">
        <v>18</v>
      </c>
      <c r="H422" s="2" t="n">
        <f aca="false">F422/Tabla2[[#This Row],[Cosecha Mensual]]</f>
        <v>3.6289268572548</v>
      </c>
      <c r="I422" s="2" t="n">
        <f aca="false">H422*_xlfn.XLOOKUP(Tabla2[[#This Row],[Unidad de producción]],Tabla3[Medida],Tabla3[Equivalencia en Kg],"ELVIS",0)</f>
        <v>164.608122245078</v>
      </c>
      <c r="J422" s="2" t="n">
        <v>866.882288228823</v>
      </c>
      <c r="K422" s="2" t="s">
        <v>19</v>
      </c>
      <c r="L422" s="2" t="n">
        <f aca="false">J422/_xlfn.XLOOKUP(Tabla2[[#This Row],[Unidad de precio]],Tabla3[Medida],Tabla3[Equivalencia en Kg],"ELVIS",0)</f>
        <v>7.88074807480748</v>
      </c>
      <c r="M422" s="2" t="n">
        <v>1921.06</v>
      </c>
      <c r="N422" s="3" t="n">
        <f aca="false">(Tabla2[[#This Row],[Productividad (kg/TAS)]]*Tabla2[[#This Row],[Precio por kg]]-Tabla2[[#This Row],[Costos (En RD$/Tarea)]])</f>
        <v>-623.824857519428</v>
      </c>
      <c r="O422" s="9" t="n">
        <f aca="false">IF(Tabla2[[#This Row],[Costos (En RD$/Tarea)]]=0,0,Tabla2[[#This Row],[Beneficio Neto  (En RD$/Tarea)]]/Tabla2[[#This Row],[Costos (En RD$/Tarea)]])</f>
        <v>-0.324729502212023</v>
      </c>
      <c r="P422" s="7" t="n">
        <f aca="false">Tabla2[[#This Row],[Rentabilidad (%)]]/12</f>
        <v>-0.0270607918510019</v>
      </c>
    </row>
    <row r="423" customFormat="false" ht="14.25" hidden="false" customHeight="false" outlineLevel="0" collapsed="false">
      <c r="A423" s="1" t="n">
        <v>37591</v>
      </c>
      <c r="B423" s="2" t="s">
        <v>20</v>
      </c>
      <c r="C423" s="3" t="n">
        <v>30392</v>
      </c>
      <c r="D423" s="8" t="s">
        <v>17</v>
      </c>
      <c r="E423" s="3" t="n">
        <f aca="false">IF(Tabla2[[#This Row],[Frecuencia]]="Annual", Tabla2[[#This Row],[Cosecha/Tarea]]/12,Tabla2[[#This Row],[Cosecha/Tarea]])</f>
        <v>30392</v>
      </c>
      <c r="F423" s="3" t="n">
        <v>49139</v>
      </c>
      <c r="G423" s="2" t="s">
        <v>18</v>
      </c>
      <c r="H423" s="2" t="n">
        <f aca="false">F423/Tabla2[[#This Row],[Cosecha Mensual]]</f>
        <v>1.61683995788365</v>
      </c>
      <c r="I423" s="2" t="n">
        <f aca="false">H423*_xlfn.XLOOKUP(Tabla2[[#This Row],[Unidad de producción]],Tabla3[Medida],Tabla3[Equivalencia en Kg],"ELVIS",0)</f>
        <v>73.3398604896025</v>
      </c>
      <c r="J423" s="2" t="n">
        <v>140.0722875</v>
      </c>
      <c r="K423" s="2" t="s">
        <v>18</v>
      </c>
      <c r="L423" s="2" t="n">
        <f aca="false">J423/_xlfn.XLOOKUP(Tabla2[[#This Row],[Unidad de precio]],Tabla3[Medida],Tabla3[Equivalencia en Kg],"ELVIS",0)</f>
        <v>3.08801339285714</v>
      </c>
      <c r="M423" s="2" t="n">
        <v>531.935</v>
      </c>
      <c r="N423" s="3" t="n">
        <f aca="false">(Tabla2[[#This Row],[Productividad (kg/TAS)]]*Tabla2[[#This Row],[Precio por kg]]-Tabla2[[#This Row],[Costos (En RD$/Tarea)]])</f>
        <v>-305.460528577833</v>
      </c>
      <c r="O423" s="9" t="n">
        <f aca="false">IF(Tabla2[[#This Row],[Costos (En RD$/Tarea)]]=0,0,Tabla2[[#This Row],[Beneficio Neto  (En RD$/Tarea)]]/Tabla2[[#This Row],[Costos (En RD$/Tarea)]])</f>
        <v>-0.574244087299826</v>
      </c>
      <c r="P423" s="7" t="n">
        <f aca="false">Tabla2[[#This Row],[Rentabilidad (%)]]/12</f>
        <v>-0.0478536739416522</v>
      </c>
    </row>
    <row r="424" customFormat="false" ht="14.25" hidden="false" customHeight="false" outlineLevel="0" collapsed="false">
      <c r="A424" s="1" t="n">
        <v>37591</v>
      </c>
      <c r="B424" s="2" t="s">
        <v>21</v>
      </c>
      <c r="C424" s="3" t="n">
        <v>4697</v>
      </c>
      <c r="D424" s="8" t="s">
        <v>17</v>
      </c>
      <c r="E424" s="3" t="n">
        <f aca="false">IF(Tabla2[[#This Row],[Frecuencia]]="Annual", Tabla2[[#This Row],[Cosecha/Tarea]]/12,Tabla2[[#This Row],[Cosecha/Tarea]])</f>
        <v>4697</v>
      </c>
      <c r="F424" s="3" t="n">
        <v>36064</v>
      </c>
      <c r="G424" s="2" t="s">
        <v>18</v>
      </c>
      <c r="H424" s="2" t="n">
        <f aca="false">F424/Tabla2[[#This Row],[Cosecha Mensual]]</f>
        <v>7.67809239940388</v>
      </c>
      <c r="I424" s="2" t="n">
        <f aca="false">H424*_xlfn.XLOOKUP(Tabla2[[#This Row],[Unidad de producción]],Tabla3[Medida],Tabla3[Equivalencia en Kg],"ELVIS",0)</f>
        <v>348.27827123696</v>
      </c>
      <c r="J424" s="2" t="n">
        <v>96.272</v>
      </c>
      <c r="K424" s="2" t="s">
        <v>18</v>
      </c>
      <c r="L424" s="2" t="n">
        <f aca="false">J424/_xlfn.XLOOKUP(Tabla2[[#This Row],[Unidad de precio]],Tabla3[Medida],Tabla3[Equivalencia en Kg],"ELVIS",0)</f>
        <v>2.12239858906526</v>
      </c>
      <c r="M424" s="2" t="n">
        <v>945.93</v>
      </c>
      <c r="N424" s="3" t="n">
        <f aca="false">(Tabla2[[#This Row],[Productividad (kg/TAS)]]*Tabla2[[#This Row],[Precio por kg]]-Tabla2[[#This Row],[Costos (En RD$/Tarea)]])</f>
        <v>-206.74468852459</v>
      </c>
      <c r="O424" s="9" t="n">
        <f aca="false">IF(Tabla2[[#This Row],[Costos (En RD$/Tarea)]]=0,0,Tabla2[[#This Row],[Beneficio Neto  (En RD$/Tarea)]]/Tabla2[[#This Row],[Costos (En RD$/Tarea)]])</f>
        <v>-0.218562355062838</v>
      </c>
      <c r="P424" s="7" t="n">
        <f aca="false">Tabla2[[#This Row],[Rentabilidad (%)]]/12</f>
        <v>-0.0182135295885698</v>
      </c>
    </row>
    <row r="425" customFormat="false" ht="14.25" hidden="false" customHeight="false" outlineLevel="0" collapsed="false">
      <c r="A425" s="1" t="n">
        <v>37591</v>
      </c>
      <c r="B425" s="2" t="s">
        <v>22</v>
      </c>
      <c r="C425" s="3" t="n">
        <v>3013</v>
      </c>
      <c r="D425" s="8" t="s">
        <v>17</v>
      </c>
      <c r="E425" s="3" t="n">
        <f aca="false">IF(Tabla2[[#This Row],[Frecuencia]]="Annual", Tabla2[[#This Row],[Cosecha/Tarea]]/12,Tabla2[[#This Row],[Cosecha/Tarea]])</f>
        <v>3013</v>
      </c>
      <c r="F425" s="3" t="n">
        <v>25923</v>
      </c>
      <c r="G425" s="2" t="s">
        <v>18</v>
      </c>
      <c r="H425" s="2" t="n">
        <f aca="false">F425/Tabla2[[#This Row],[Cosecha Mensual]]</f>
        <v>8.60371722535679</v>
      </c>
      <c r="I425" s="2" t="n">
        <f aca="false">H425*_xlfn.XLOOKUP(Tabla2[[#This Row],[Unidad de producción]],Tabla3[Medida],Tabla3[Equivalencia en Kg],"ELVIS",0)</f>
        <v>390.264613342184</v>
      </c>
      <c r="J425" s="2" t="n">
        <v>358.6</v>
      </c>
      <c r="K425" s="2" t="s">
        <v>18</v>
      </c>
      <c r="L425" s="2" t="n">
        <f aca="false">J425/_xlfn.XLOOKUP(Tabla2[[#This Row],[Unidad de precio]],Tabla3[Medida],Tabla3[Equivalencia en Kg],"ELVIS",0)</f>
        <v>7.90564373897707</v>
      </c>
      <c r="M425" s="2" t="n">
        <v>2751.22</v>
      </c>
      <c r="N425" s="3" t="n">
        <f aca="false">(Tabla2[[#This Row],[Productividad (kg/TAS)]]*Tabla2[[#This Row],[Precio por kg]]-Tabla2[[#This Row],[Costos (En RD$/Tarea)]])</f>
        <v>334.072997012944</v>
      </c>
      <c r="O425" s="9" t="n">
        <f aca="false">IF(Tabla2[[#This Row],[Costos (En RD$/Tarea)]]=0,0,Tabla2[[#This Row],[Beneficio Neto  (En RD$/Tarea)]]/Tabla2[[#This Row],[Costos (En RD$/Tarea)]])</f>
        <v>0.121427220292432</v>
      </c>
      <c r="P425" s="7" t="n">
        <f aca="false">Tabla2[[#This Row],[Rentabilidad (%)]]/12</f>
        <v>0.0101189350243693</v>
      </c>
    </row>
    <row r="426" customFormat="false" ht="14.25" hidden="false" customHeight="false" outlineLevel="0" collapsed="false">
      <c r="A426" s="1" t="n">
        <v>37591</v>
      </c>
      <c r="B426" s="2" t="s">
        <v>23</v>
      </c>
      <c r="C426" s="3" t="n">
        <v>4852</v>
      </c>
      <c r="D426" s="8" t="s">
        <v>17</v>
      </c>
      <c r="E426" s="3" t="n">
        <f aca="false">IF(Tabla2[[#This Row],[Frecuencia]]="Annual", Tabla2[[#This Row],[Cosecha/Tarea]]/12,Tabla2[[#This Row],[Cosecha/Tarea]])</f>
        <v>4852</v>
      </c>
      <c r="F426" s="3" t="n">
        <v>92036</v>
      </c>
      <c r="G426" s="2" t="s">
        <v>18</v>
      </c>
      <c r="H426" s="2" t="n">
        <f aca="false">F426/Tabla2[[#This Row],[Cosecha Mensual]]</f>
        <v>18.9686727122836</v>
      </c>
      <c r="I426" s="2" t="n">
        <f aca="false">H426*_xlfn.XLOOKUP(Tabla2[[#This Row],[Unidad de producción]],Tabla3[Medida],Tabla3[Equivalencia en Kg],"ELVIS",0)</f>
        <v>860.418994229184</v>
      </c>
      <c r="J426" s="2" t="n">
        <v>320.333333333333</v>
      </c>
      <c r="K426" s="2" t="s">
        <v>18</v>
      </c>
      <c r="L426" s="2" t="n">
        <f aca="false">J426/_xlfn.XLOOKUP(Tabla2[[#This Row],[Unidad de precio]],Tabla3[Medida],Tabla3[Equivalencia en Kg],"ELVIS",0)</f>
        <v>7.06202233980011</v>
      </c>
      <c r="M426" s="2" t="n">
        <v>5786.34</v>
      </c>
      <c r="N426" s="3" t="n">
        <f aca="false">(Tabla2[[#This Row],[Productividad (kg/TAS)]]*Tabla2[[#This Row],[Precio por kg]]-Tabla2[[#This Row],[Costos (En RD$/Tarea)]])</f>
        <v>289.958158834838</v>
      </c>
      <c r="O426" s="9" t="n">
        <f aca="false">IF(Tabla2[[#This Row],[Costos (En RD$/Tarea)]]=0,0,Tabla2[[#This Row],[Beneficio Neto  (En RD$/Tarea)]]/Tabla2[[#This Row],[Costos (En RD$/Tarea)]])</f>
        <v>0.0501108055929721</v>
      </c>
      <c r="P426" s="7" t="n">
        <f aca="false">Tabla2[[#This Row],[Rentabilidad (%)]]/12</f>
        <v>0.00417590046608101</v>
      </c>
    </row>
    <row r="427" customFormat="false" ht="14.25" hidden="false" customHeight="false" outlineLevel="0" collapsed="false">
      <c r="A427" s="1" t="n">
        <v>37591</v>
      </c>
      <c r="B427" s="2" t="s">
        <v>24</v>
      </c>
      <c r="C427" s="3" t="n">
        <v>10056</v>
      </c>
      <c r="D427" s="8" t="s">
        <v>17</v>
      </c>
      <c r="E427" s="3" t="n">
        <f aca="false">IF(Tabla2[[#This Row],[Frecuencia]]="Annual", Tabla2[[#This Row],[Cosecha/Tarea]]/12,Tabla2[[#This Row],[Cosecha/Tarea]])</f>
        <v>10056</v>
      </c>
      <c r="F427" s="3" t="n">
        <v>200649</v>
      </c>
      <c r="G427" s="2" t="s">
        <v>18</v>
      </c>
      <c r="H427" s="2" t="n">
        <f aca="false">F427/Tabla2[[#This Row],[Cosecha Mensual]]</f>
        <v>19.9531622911695</v>
      </c>
      <c r="I427" s="2" t="n">
        <f aca="false">H427*_xlfn.XLOOKUP(Tabla2[[#This Row],[Unidad de producción]],Tabla3[Medida],Tabla3[Equivalencia en Kg],"ELVIS",0)</f>
        <v>905.075441527446</v>
      </c>
      <c r="J427" s="2" t="n">
        <v>356.625</v>
      </c>
      <c r="K427" s="2" t="s">
        <v>18</v>
      </c>
      <c r="L427" s="2" t="n">
        <f aca="false">J427/_xlfn.XLOOKUP(Tabla2[[#This Row],[Unidad de precio]],Tabla3[Medida],Tabla3[Equivalencia en Kg],"ELVIS",0)</f>
        <v>7.86210317460318</v>
      </c>
      <c r="M427" s="2" t="n">
        <v>1994.96</v>
      </c>
      <c r="N427" s="3" t="n">
        <f aca="false">(Tabla2[[#This Row],[Productividad (kg/TAS)]]*Tabla2[[#This Row],[Precio por kg]]-Tabla2[[#This Row],[Costos (En RD$/Tarea)]])</f>
        <v>5120.83650208831</v>
      </c>
      <c r="O427" s="9" t="n">
        <f aca="false">IF(Tabla2[[#This Row],[Costos (En RD$/Tarea)]]=0,0,Tabla2[[#This Row],[Beneficio Neto  (En RD$/Tarea)]]/Tabla2[[#This Row],[Costos (En RD$/Tarea)]])</f>
        <v>2.56688680579476</v>
      </c>
      <c r="P427" s="7" t="n">
        <f aca="false">Tabla2[[#This Row],[Rentabilidad (%)]]/12</f>
        <v>0.21390723381623</v>
      </c>
    </row>
    <row r="428" customFormat="false" ht="14.25" hidden="false" customHeight="false" outlineLevel="0" collapsed="false">
      <c r="A428" s="1" t="n">
        <v>37591</v>
      </c>
      <c r="B428" s="2" t="s">
        <v>25</v>
      </c>
      <c r="C428" s="3" t="n">
        <v>19801</v>
      </c>
      <c r="D428" s="8" t="s">
        <v>17</v>
      </c>
      <c r="E428" s="3" t="n">
        <f aca="false">IF(Tabla2[[#This Row],[Frecuencia]]="Annual", Tabla2[[#This Row],[Cosecha/Tarea]]/12,Tabla2[[#This Row],[Cosecha/Tarea]])</f>
        <v>19801</v>
      </c>
      <c r="F428" s="3" t="n">
        <v>208498</v>
      </c>
      <c r="G428" s="2" t="s">
        <v>18</v>
      </c>
      <c r="H428" s="2" t="n">
        <f aca="false">F428/Tabla2[[#This Row],[Cosecha Mensual]]</f>
        <v>10.5296702186758</v>
      </c>
      <c r="I428" s="2" t="n">
        <f aca="false">H428*_xlfn.XLOOKUP(Tabla2[[#This Row],[Unidad de producción]],Tabla3[Medida],Tabla3[Equivalencia en Kg],"ELVIS",0)</f>
        <v>477.625841119135</v>
      </c>
      <c r="J428" s="2" t="n">
        <v>90.4245</v>
      </c>
      <c r="K428" s="2" t="s">
        <v>18</v>
      </c>
      <c r="L428" s="2" t="n">
        <f aca="false">J428/_xlfn.XLOOKUP(Tabla2[[#This Row],[Unidad de precio]],Tabla3[Medida],Tabla3[Equivalencia en Kg],"ELVIS",0)</f>
        <v>1.99348544973545</v>
      </c>
      <c r="M428" s="2" t="n">
        <v>966.8</v>
      </c>
      <c r="N428" s="3" t="n">
        <f aca="false">(Tabla2[[#This Row],[Productividad (kg/TAS)]]*Tabla2[[#This Row],[Precio por kg]]-Tabla2[[#This Row],[Costos (En RD$/Tarea)]])</f>
        <v>-14.6598353113478</v>
      </c>
      <c r="O428" s="9" t="n">
        <f aca="false">IF(Tabla2[[#This Row],[Costos (En RD$/Tarea)]]=0,0,Tabla2[[#This Row],[Beneficio Neto  (En RD$/Tarea)]]/Tabla2[[#This Row],[Costos (En RD$/Tarea)]])</f>
        <v>-0.015163255390306</v>
      </c>
      <c r="P428" s="7" t="n">
        <f aca="false">Tabla2[[#This Row],[Rentabilidad (%)]]/12</f>
        <v>-0.00126360461585883</v>
      </c>
    </row>
    <row r="429" customFormat="false" ht="14.25" hidden="false" customHeight="false" outlineLevel="0" collapsed="false">
      <c r="A429" s="1" t="n">
        <v>37591</v>
      </c>
      <c r="B429" s="2" t="s">
        <v>26</v>
      </c>
      <c r="C429" s="3" t="n">
        <v>10291</v>
      </c>
      <c r="D429" s="8" t="s">
        <v>17</v>
      </c>
      <c r="E429" s="3" t="n">
        <f aca="false">IF(Tabla2[[#This Row],[Frecuencia]]="Annual", Tabla2[[#This Row],[Cosecha/Tarea]]/12,Tabla2[[#This Row],[Cosecha/Tarea]])</f>
        <v>10291</v>
      </c>
      <c r="F429" s="3" t="n">
        <v>48245</v>
      </c>
      <c r="G429" s="2" t="s">
        <v>18</v>
      </c>
      <c r="H429" s="2" t="n">
        <f aca="false">F429/Tabla2[[#This Row],[Cosecha Mensual]]</f>
        <v>4.68807696045088</v>
      </c>
      <c r="I429" s="2" t="n">
        <f aca="false">H429*_xlfn.XLOOKUP(Tabla2[[#This Row],[Unidad de producción]],Tabla3[Medida],Tabla3[Equivalencia en Kg],"ELVIS",0)</f>
        <v>212.651170926052</v>
      </c>
      <c r="J429" s="2" t="n">
        <v>216.416</v>
      </c>
      <c r="K429" s="2" t="s">
        <v>18</v>
      </c>
      <c r="L429" s="2" t="n">
        <f aca="false">J429/_xlfn.XLOOKUP(Tabla2[[#This Row],[Unidad de precio]],Tabla3[Medida],Tabla3[Equivalencia en Kg],"ELVIS",0)</f>
        <v>4.7710758377425</v>
      </c>
      <c r="M429" s="2" t="n">
        <v>360.52</v>
      </c>
      <c r="N429" s="3" t="n">
        <f aca="false">(Tabla2[[#This Row],[Productividad (kg/TAS)]]*Tabla2[[#This Row],[Precio por kg]]-Tabla2[[#This Row],[Costos (En RD$/Tarea)]])</f>
        <v>654.054863472938</v>
      </c>
      <c r="O429" s="9" t="n">
        <f aca="false">IF(Tabla2[[#This Row],[Costos (En RD$/Tarea)]]=0,0,Tabla2[[#This Row],[Beneficio Neto  (En RD$/Tarea)]]/Tabla2[[#This Row],[Costos (En RD$/Tarea)]])</f>
        <v>1.81419855617702</v>
      </c>
      <c r="P429" s="7" t="n">
        <f aca="false">Tabla2[[#This Row],[Rentabilidad (%)]]/12</f>
        <v>0.151183213014751</v>
      </c>
    </row>
    <row r="430" customFormat="false" ht="14.25" hidden="false" customHeight="false" outlineLevel="0" collapsed="false">
      <c r="A430" s="1" t="n">
        <v>37591</v>
      </c>
      <c r="B430" s="2" t="s">
        <v>27</v>
      </c>
      <c r="C430" s="3" t="n">
        <v>2539</v>
      </c>
      <c r="D430" s="8" t="s">
        <v>17</v>
      </c>
      <c r="E430" s="3" t="n">
        <f aca="false">IF(Tabla2[[#This Row],[Frecuencia]]="Annual", Tabla2[[#This Row],[Cosecha/Tarea]]/12,Tabla2[[#This Row],[Cosecha/Tarea]])</f>
        <v>2539</v>
      </c>
      <c r="F430" s="3" t="n">
        <v>23946</v>
      </c>
      <c r="G430" s="2" t="s">
        <v>18</v>
      </c>
      <c r="H430" s="2" t="n">
        <f aca="false">F430/Tabla2[[#This Row],[Cosecha Mensual]]</f>
        <v>9.43127215439149</v>
      </c>
      <c r="I430" s="2" t="n">
        <f aca="false">H430*_xlfn.XLOOKUP(Tabla2[[#This Row],[Unidad de producción]],Tabla3[Medida],Tabla3[Equivalencia en Kg],"ELVIS",0)</f>
        <v>427.802504923198</v>
      </c>
      <c r="J430" s="2" t="n">
        <v>236.14</v>
      </c>
      <c r="K430" s="2" t="s">
        <v>18</v>
      </c>
      <c r="L430" s="2" t="n">
        <f aca="false">J430/_xlfn.XLOOKUP(Tabla2[[#This Row],[Unidad de precio]],Tabla3[Medida],Tabla3[Equivalencia en Kg],"ELVIS",0)</f>
        <v>5.20590828924162</v>
      </c>
      <c r="M430" s="2" t="n">
        <v>2321.75</v>
      </c>
      <c r="N430" s="3" t="n">
        <f aca="false">(Tabla2[[#This Row],[Productividad (kg/TAS)]]*Tabla2[[#This Row],[Precio por kg]]-Tabla2[[#This Row],[Costos (En RD$/Tarea)]])</f>
        <v>-94.649393461993</v>
      </c>
      <c r="O430" s="9" t="n">
        <f aca="false">IF(Tabla2[[#This Row],[Costos (En RD$/Tarea)]]=0,0,Tabla2[[#This Row],[Beneficio Neto  (En RD$/Tarea)]]/Tabla2[[#This Row],[Costos (En RD$/Tarea)]])</f>
        <v>-0.0407664018356813</v>
      </c>
      <c r="P430" s="7" t="n">
        <f aca="false">Tabla2[[#This Row],[Rentabilidad (%)]]/12</f>
        <v>-0.00339720015297344</v>
      </c>
    </row>
    <row r="431" customFormat="false" ht="14.25" hidden="false" customHeight="false" outlineLevel="0" collapsed="false">
      <c r="A431" s="1" t="n">
        <v>37591</v>
      </c>
      <c r="B431" s="2" t="s">
        <v>28</v>
      </c>
      <c r="C431" s="3" t="n">
        <v>14731</v>
      </c>
      <c r="D431" s="8" t="s">
        <v>17</v>
      </c>
      <c r="E431" s="3" t="n">
        <f aca="false">IF(Tabla2[[#This Row],[Frecuencia]]="Annual", Tabla2[[#This Row],[Cosecha/Tarea]]/12,Tabla2[[#This Row],[Cosecha/Tarea]])</f>
        <v>14731</v>
      </c>
      <c r="F431" s="3" t="n">
        <v>27780</v>
      </c>
      <c r="G431" s="2" t="s">
        <v>18</v>
      </c>
      <c r="H431" s="2" t="n">
        <f aca="false">F431/Tabla2[[#This Row],[Cosecha Mensual]]</f>
        <v>1.88581902111194</v>
      </c>
      <c r="I431" s="2" t="n">
        <f aca="false">H431*_xlfn.XLOOKUP(Tabla2[[#This Row],[Unidad de producción]],Tabla3[Medida],Tabla3[Equivalencia en Kg],"ELVIS",0)</f>
        <v>85.5407507976376</v>
      </c>
      <c r="J431" s="2" t="n">
        <v>1590.8</v>
      </c>
      <c r="K431" s="2" t="s">
        <v>29</v>
      </c>
      <c r="L431" s="2" t="n">
        <f aca="false">J431/_xlfn.XLOOKUP(Tabla2[[#This Row],[Unidad de precio]],Tabla3[Medida],Tabla3[Equivalencia en Kg],"ELVIS",0)</f>
        <v>2.82889355194366</v>
      </c>
      <c r="M431" s="2" t="n">
        <v>3619.46</v>
      </c>
      <c r="N431" s="3" t="n">
        <f aca="false">(Tabla2[[#This Row],[Productividad (kg/TAS)]]*Tabla2[[#This Row],[Precio por kg]]-Tabla2[[#This Row],[Costos (En RD$/Tarea)]])</f>
        <v>-3377.47432164014</v>
      </c>
      <c r="O431" s="9" t="n">
        <f aca="false">IF(Tabla2[[#This Row],[Costos (En RD$/Tarea)]]=0,0,Tabla2[[#This Row],[Beneficio Neto  (En RD$/Tarea)]]/Tabla2[[#This Row],[Costos (En RD$/Tarea)]])</f>
        <v>-0.933143154404288</v>
      </c>
      <c r="P431" s="7" t="n">
        <f aca="false">Tabla2[[#This Row],[Rentabilidad (%)]]/12</f>
        <v>-0.0777619295336906</v>
      </c>
    </row>
    <row r="432" customFormat="false" ht="14.25" hidden="false" customHeight="false" outlineLevel="0" collapsed="false">
      <c r="A432" s="1" t="n">
        <v>37591</v>
      </c>
      <c r="B432" s="2" t="s">
        <v>30</v>
      </c>
      <c r="C432" s="3" t="n">
        <v>247067</v>
      </c>
      <c r="D432" s="3" t="s">
        <v>31</v>
      </c>
      <c r="E432" s="3" t="n">
        <f aca="false">IF(Tabla2[[#This Row],[Frecuencia]]="Annual", Tabla2[[#This Row],[Cosecha/Tarea]]/12,Tabla2[[#This Row],[Cosecha/Tarea]])</f>
        <v>20588.9166666667</v>
      </c>
      <c r="F432" s="3" t="n">
        <v>1662405</v>
      </c>
      <c r="G432" s="2" t="s">
        <v>32</v>
      </c>
      <c r="H432" s="2" t="n">
        <f aca="false">F432/Tabla2[[#This Row],[Cosecha Mensual]]</f>
        <v>80.7427135149575</v>
      </c>
      <c r="I432" s="2" t="n">
        <f aca="false">H432*_xlfn.XLOOKUP(Tabla2[[#This Row],[Unidad de producción]],Tabla3[Medida],Tabla3[Equivalencia en Kg],"ELVIS",0)</f>
        <v>2197.00923474199</v>
      </c>
      <c r="J432" s="2" t="n">
        <v>26.458</v>
      </c>
      <c r="K432" s="2" t="s">
        <v>32</v>
      </c>
      <c r="L432" s="2" t="n">
        <f aca="false">J432/_xlfn.XLOOKUP(Tabla2[[#This Row],[Unidad de precio]],Tabla3[Medida],Tabla3[Equivalencia en Kg],"ELVIS",0)</f>
        <v>0.972363101800808</v>
      </c>
      <c r="M432" s="3" t="n">
        <v>3727.21</v>
      </c>
      <c r="N432" s="3" t="n">
        <f aca="false">(Tabla2[[#This Row],[Productividad (kg/TAS)]]*Tabla2[[#This Row],[Precio por kg]]-Tabla2[[#This Row],[Costos (En RD$/Tarea)]])</f>
        <v>-1590.91928582126</v>
      </c>
      <c r="O432" s="9" t="n">
        <f aca="false">IF(Tabla2[[#This Row],[Costos (En RD$/Tarea)]]=0,0,Tabla2[[#This Row],[Beneficio Neto  (En RD$/Tarea)]]/Tabla2[[#This Row],[Costos (En RD$/Tarea)]])</f>
        <v>-0.426839186904214</v>
      </c>
      <c r="P432" s="7" t="n">
        <f aca="false">Tabla2[[#This Row],[Rentabilidad (%)]]/12</f>
        <v>-0.0355699322420178</v>
      </c>
    </row>
    <row r="433" customFormat="false" ht="14.25" hidden="false" customHeight="false" outlineLevel="0" collapsed="false">
      <c r="A433" s="1" t="n">
        <v>37591</v>
      </c>
      <c r="B433" s="2" t="s">
        <v>33</v>
      </c>
      <c r="C433" s="3" t="n">
        <v>670905</v>
      </c>
      <c r="D433" s="3" t="s">
        <v>31</v>
      </c>
      <c r="E433" s="3" t="n">
        <f aca="false">IF(Tabla2[[#This Row],[Frecuencia]]="Annual", Tabla2[[#This Row],[Cosecha/Tarea]]/12,Tabla2[[#This Row],[Cosecha/Tarea]])</f>
        <v>55908.75</v>
      </c>
      <c r="F433" s="3" t="n">
        <v>85177</v>
      </c>
      <c r="G433" s="2" t="s">
        <v>34</v>
      </c>
      <c r="H433" s="2" t="n">
        <f aca="false">F433/Tabla2[[#This Row],[Cosecha Mensual]]</f>
        <v>1.52350034654683</v>
      </c>
      <c r="I433" s="2" t="n">
        <f aca="false">H433*_xlfn.XLOOKUP(Tabla2[[#This Row],[Unidad de producción]],Tabla3[Medida],Tabla3[Equivalencia en Kg],"ELVIS",0)</f>
        <v>621.816666443088</v>
      </c>
      <c r="J433" s="2" t="n">
        <v>1199.70875</v>
      </c>
      <c r="K433" s="2" t="s">
        <v>34</v>
      </c>
      <c r="L433" s="2" t="n">
        <f aca="false">J433/_xlfn.XLOOKUP(Tabla2[[#This Row],[Unidad de precio]],Tabla3[Medida],Tabla3[Equivalencia en Kg],"ELVIS",0)</f>
        <v>2.93938196741394</v>
      </c>
      <c r="M433" s="3" t="n">
        <v>3949.84</v>
      </c>
      <c r="N433" s="3" t="n">
        <f aca="false">(Tabla2[[#This Row],[Productividad (kg/TAS)]]*Tabla2[[#This Row],[Precio por kg]]-Tabla2[[#This Row],[Costos (En RD$/Tarea)]])</f>
        <v>-2122.08330361974</v>
      </c>
      <c r="O433" s="9" t="n">
        <f aca="false">IF(Tabla2[[#This Row],[Costos (En RD$/Tarea)]]=0,0,Tabla2[[#This Row],[Beneficio Neto  (En RD$/Tarea)]]/Tabla2[[#This Row],[Costos (En RD$/Tarea)]])</f>
        <v>-0.53725804174846</v>
      </c>
      <c r="P433" s="7" t="n">
        <f aca="false">Tabla2[[#This Row],[Rentabilidad (%)]]/12</f>
        <v>-0.0447715034790384</v>
      </c>
    </row>
    <row r="434" customFormat="false" ht="14.25" hidden="false" customHeight="false" outlineLevel="0" collapsed="false">
      <c r="A434" s="1" t="n">
        <v>37622</v>
      </c>
      <c r="B434" s="2" t="s">
        <v>16</v>
      </c>
      <c r="C434" s="3" t="n">
        <v>92808</v>
      </c>
      <c r="D434" s="8" t="s">
        <v>17</v>
      </c>
      <c r="E434" s="3" t="n">
        <f aca="false">IF(Tabla2[[#This Row],[Frecuencia]]="Annual", Tabla2[[#This Row],[Cosecha/Tarea]]/12,Tabla2[[#This Row],[Cosecha/Tarea]])</f>
        <v>92808</v>
      </c>
      <c r="F434" s="3" t="n">
        <v>263203</v>
      </c>
      <c r="G434" s="2" t="s">
        <v>18</v>
      </c>
      <c r="H434" s="2" t="n">
        <f aca="false">F434/Tabla2[[#This Row],[Cosecha Mensual]]</f>
        <v>2.8359947418326</v>
      </c>
      <c r="I434" s="2" t="n">
        <f aca="false">H434*_xlfn.XLOOKUP(Tabla2[[#This Row],[Unidad de producción]],Tabla3[Medida],Tabla3[Equivalencia en Kg],"ELVIS",0)</f>
        <v>128.640721489527</v>
      </c>
      <c r="J434" s="2" t="n">
        <v>739.529152915291</v>
      </c>
      <c r="K434" s="2" t="s">
        <v>19</v>
      </c>
      <c r="L434" s="2" t="n">
        <f aca="false">J434/_xlfn.XLOOKUP(Tabla2[[#This Row],[Unidad de precio]],Tabla3[Medida],Tabla3[Equivalencia en Kg],"ELVIS",0)</f>
        <v>6.72299229922992</v>
      </c>
      <c r="M434" s="2" t="n">
        <v>4275.41</v>
      </c>
      <c r="N434" s="3" t="n">
        <f aca="false">(Tabla2[[#This Row],[Productividad (kg/TAS)]]*Tabla2[[#This Row],[Precio por kg]]-Tabla2[[#This Row],[Costos (En RD$/Tarea)]])</f>
        <v>-3410.55942005853</v>
      </c>
      <c r="O434" s="9" t="n">
        <f aca="false">IF(Tabla2[[#This Row],[Costos (En RD$/Tarea)]]=0,0,Tabla2[[#This Row],[Beneficio Neto  (En RD$/Tarea)]]/Tabla2[[#This Row],[Costos (En RD$/Tarea)]])</f>
        <v>-0.797715171190256</v>
      </c>
      <c r="P434" s="7" t="n">
        <f aca="false">Tabla2[[#This Row],[Rentabilidad (%)]]/12</f>
        <v>-0.0664762642658546</v>
      </c>
    </row>
    <row r="435" customFormat="false" ht="14.25" hidden="false" customHeight="false" outlineLevel="0" collapsed="false">
      <c r="A435" s="1" t="n">
        <v>37622</v>
      </c>
      <c r="B435" s="2" t="s">
        <v>20</v>
      </c>
      <c r="C435" s="3" t="n">
        <v>26798</v>
      </c>
      <c r="D435" s="8" t="s">
        <v>17</v>
      </c>
      <c r="E435" s="3" t="n">
        <f aca="false">IF(Tabla2[[#This Row],[Frecuencia]]="Annual", Tabla2[[#This Row],[Cosecha/Tarea]]/12,Tabla2[[#This Row],[Cosecha/Tarea]])</f>
        <v>26798</v>
      </c>
      <c r="F435" s="3" t="n">
        <v>39943</v>
      </c>
      <c r="G435" s="2" t="s">
        <v>18</v>
      </c>
      <c r="H435" s="2" t="n">
        <f aca="false">F435/Tabla2[[#This Row],[Cosecha Mensual]]</f>
        <v>1.49052168072244</v>
      </c>
      <c r="I435" s="2" t="n">
        <f aca="false">H435*_xlfn.XLOOKUP(Tabla2[[#This Row],[Unidad de producción]],Tabla3[Medida],Tabla3[Equivalencia en Kg],"ELVIS",0)</f>
        <v>67.61006343757</v>
      </c>
      <c r="J435" s="2" t="n">
        <v>175.870125</v>
      </c>
      <c r="K435" s="2" t="s">
        <v>18</v>
      </c>
      <c r="L435" s="2" t="n">
        <f aca="false">J435/_xlfn.XLOOKUP(Tabla2[[#This Row],[Unidad de precio]],Tabla3[Medida],Tabla3[Equivalencia en Kg],"ELVIS",0)</f>
        <v>3.87720734126984</v>
      </c>
      <c r="M435" s="2" t="n">
        <v>938.62</v>
      </c>
      <c r="N435" s="3" t="n">
        <f aca="false">(Tabla2[[#This Row],[Productividad (kg/TAS)]]*Tabla2[[#This Row],[Precio por kg]]-Tabla2[[#This Row],[Costos (En RD$/Tarea)]])</f>
        <v>-676.481765696134</v>
      </c>
      <c r="O435" s="9" t="n">
        <f aca="false">IF(Tabla2[[#This Row],[Costos (En RD$/Tarea)]]=0,0,Tabla2[[#This Row],[Beneficio Neto  (En RD$/Tarea)]]/Tabla2[[#This Row],[Costos (En RD$/Tarea)]])</f>
        <v>-0.7207195304768</v>
      </c>
      <c r="P435" s="7" t="n">
        <f aca="false">Tabla2[[#This Row],[Rentabilidad (%)]]/12</f>
        <v>-0.0600599608730667</v>
      </c>
    </row>
    <row r="436" customFormat="false" ht="14.25" hidden="false" customHeight="false" outlineLevel="0" collapsed="false">
      <c r="A436" s="1" t="n">
        <v>37622</v>
      </c>
      <c r="B436" s="2" t="s">
        <v>21</v>
      </c>
      <c r="C436" s="3" t="n">
        <v>7695</v>
      </c>
      <c r="D436" s="8" t="s">
        <v>17</v>
      </c>
      <c r="E436" s="3" t="n">
        <f aca="false">IF(Tabla2[[#This Row],[Frecuencia]]="Annual", Tabla2[[#This Row],[Cosecha/Tarea]]/12,Tabla2[[#This Row],[Cosecha/Tarea]])</f>
        <v>7695</v>
      </c>
      <c r="F436" s="3" t="n">
        <v>53865</v>
      </c>
      <c r="G436" s="2" t="s">
        <v>18</v>
      </c>
      <c r="H436" s="2" t="n">
        <f aca="false">F436/Tabla2[[#This Row],[Cosecha Mensual]]</f>
        <v>7</v>
      </c>
      <c r="I436" s="2" t="n">
        <f aca="false">H436*_xlfn.XLOOKUP(Tabla2[[#This Row],[Unidad de producción]],Tabla3[Medida],Tabla3[Equivalencia en Kg],"ELVIS",0)</f>
        <v>317.52</v>
      </c>
      <c r="J436" s="2" t="n">
        <v>97.5</v>
      </c>
      <c r="K436" s="2" t="s">
        <v>18</v>
      </c>
      <c r="L436" s="2" t="n">
        <f aca="false">J436/_xlfn.XLOOKUP(Tabla2[[#This Row],[Unidad de precio]],Tabla3[Medida],Tabla3[Equivalencia en Kg],"ELVIS",0)</f>
        <v>2.1494708994709</v>
      </c>
      <c r="M436" s="2" t="n">
        <v>1545.78</v>
      </c>
      <c r="N436" s="3" t="n">
        <f aca="false">(Tabla2[[#This Row],[Productividad (kg/TAS)]]*Tabla2[[#This Row],[Precio por kg]]-Tabla2[[#This Row],[Costos (En RD$/Tarea)]])</f>
        <v>-863.28</v>
      </c>
      <c r="O436" s="9" t="n">
        <f aca="false">IF(Tabla2[[#This Row],[Costos (En RD$/Tarea)]]=0,0,Tabla2[[#This Row],[Beneficio Neto  (En RD$/Tarea)]]/Tabla2[[#This Row],[Costos (En RD$/Tarea)]])</f>
        <v>-0.558475332841672</v>
      </c>
      <c r="P436" s="7" t="n">
        <f aca="false">Tabla2[[#This Row],[Rentabilidad (%)]]/12</f>
        <v>-0.0465396110701394</v>
      </c>
    </row>
    <row r="437" customFormat="false" ht="14.25" hidden="false" customHeight="false" outlineLevel="0" collapsed="false">
      <c r="A437" s="1" t="n">
        <v>37622</v>
      </c>
      <c r="B437" s="2" t="s">
        <v>22</v>
      </c>
      <c r="C437" s="3" t="n">
        <v>5876</v>
      </c>
      <c r="D437" s="8" t="s">
        <v>17</v>
      </c>
      <c r="E437" s="3" t="n">
        <f aca="false">IF(Tabla2[[#This Row],[Frecuencia]]="Annual", Tabla2[[#This Row],[Cosecha/Tarea]]/12,Tabla2[[#This Row],[Cosecha/Tarea]])</f>
        <v>5876</v>
      </c>
      <c r="F437" s="3" t="n">
        <v>58314</v>
      </c>
      <c r="G437" s="2" t="s">
        <v>18</v>
      </c>
      <c r="H437" s="2" t="n">
        <f aca="false">F437/Tabla2[[#This Row],[Cosecha Mensual]]</f>
        <v>9.92409802586794</v>
      </c>
      <c r="I437" s="2" t="n">
        <f aca="false">H437*_xlfn.XLOOKUP(Tabla2[[#This Row],[Unidad de producción]],Tabla3[Medida],Tabla3[Equivalencia en Kg],"ELVIS",0)</f>
        <v>450.15708645337</v>
      </c>
      <c r="J437" s="2" t="n">
        <v>201.72</v>
      </c>
      <c r="K437" s="2" t="s">
        <v>18</v>
      </c>
      <c r="L437" s="2" t="n">
        <f aca="false">J437/_xlfn.XLOOKUP(Tabla2[[#This Row],[Unidad de precio]],Tabla3[Medida],Tabla3[Equivalencia en Kg],"ELVIS",0)</f>
        <v>4.44708994708995</v>
      </c>
      <c r="M437" s="2" t="n">
        <v>3985.46</v>
      </c>
      <c r="N437" s="3" t="n">
        <f aca="false">(Tabla2[[#This Row],[Productividad (kg/TAS)]]*Tabla2[[#This Row],[Precio por kg]]-Tabla2[[#This Row],[Costos (En RD$/Tarea)]])</f>
        <v>-1983.57094622192</v>
      </c>
      <c r="O437" s="9" t="n">
        <f aca="false">IF(Tabla2[[#This Row],[Costos (En RD$/Tarea)]]=0,0,Tabla2[[#This Row],[Beneficio Neto  (En RD$/Tarea)]]/Tabla2[[#This Row],[Costos (En RD$/Tarea)]])</f>
        <v>-0.497701882899821</v>
      </c>
      <c r="P437" s="7" t="n">
        <f aca="false">Tabla2[[#This Row],[Rentabilidad (%)]]/12</f>
        <v>-0.0414751569083184</v>
      </c>
    </row>
    <row r="438" customFormat="false" ht="14.25" hidden="false" customHeight="false" outlineLevel="0" collapsed="false">
      <c r="A438" s="1" t="n">
        <v>37622</v>
      </c>
      <c r="B438" s="2" t="s">
        <v>23</v>
      </c>
      <c r="C438" s="3" t="n">
        <v>4724</v>
      </c>
      <c r="D438" s="8" t="s">
        <v>17</v>
      </c>
      <c r="E438" s="3" t="n">
        <f aca="false">IF(Tabla2[[#This Row],[Frecuencia]]="Annual", Tabla2[[#This Row],[Cosecha/Tarea]]/12,Tabla2[[#This Row],[Cosecha/Tarea]])</f>
        <v>4724</v>
      </c>
      <c r="F438" s="3" t="n">
        <v>101433</v>
      </c>
      <c r="G438" s="2" t="s">
        <v>18</v>
      </c>
      <c r="H438" s="2" t="n">
        <f aca="false">F438/Tabla2[[#This Row],[Cosecha Mensual]]</f>
        <v>21.4718458933108</v>
      </c>
      <c r="I438" s="2" t="n">
        <f aca="false">H438*_xlfn.XLOOKUP(Tabla2[[#This Row],[Unidad de producción]],Tabla3[Medida],Tabla3[Equivalencia en Kg],"ELVIS",0)</f>
        <v>973.962929720576</v>
      </c>
      <c r="J438" s="2" t="n">
        <v>298.333333333333</v>
      </c>
      <c r="K438" s="2" t="s">
        <v>18</v>
      </c>
      <c r="L438" s="2" t="n">
        <f aca="false">J438/_xlfn.XLOOKUP(Tabla2[[#This Row],[Unidad de precio]],Tabla3[Medida],Tabla3[Equivalencia en Kg],"ELVIS",0)</f>
        <v>6.57701352145796</v>
      </c>
      <c r="M438" s="2" t="n">
        <v>9309.96</v>
      </c>
      <c r="N438" s="3" t="n">
        <f aca="false">(Tabla2[[#This Row],[Productividad (kg/TAS)]]*Tabla2[[#This Row],[Precio por kg]]-Tabla2[[#This Row],[Costos (En RD$/Tarea)]])</f>
        <v>-2904.19264182897</v>
      </c>
      <c r="O438" s="9" t="n">
        <f aca="false">IF(Tabla2[[#This Row],[Costos (En RD$/Tarea)]]=0,0,Tabla2[[#This Row],[Beneficio Neto  (En RD$/Tarea)]]/Tabla2[[#This Row],[Costos (En RD$/Tarea)]])</f>
        <v>-0.311944695984619</v>
      </c>
      <c r="P438" s="7" t="n">
        <f aca="false">Tabla2[[#This Row],[Rentabilidad (%)]]/12</f>
        <v>-0.0259953913320516</v>
      </c>
    </row>
    <row r="439" customFormat="false" ht="14.25" hidden="false" customHeight="false" outlineLevel="0" collapsed="false">
      <c r="A439" s="1" t="n">
        <v>37622</v>
      </c>
      <c r="B439" s="2" t="s">
        <v>24</v>
      </c>
      <c r="C439" s="3" t="n">
        <v>8615</v>
      </c>
      <c r="D439" s="8" t="s">
        <v>17</v>
      </c>
      <c r="E439" s="3" t="n">
        <f aca="false">IF(Tabla2[[#This Row],[Frecuencia]]="Annual", Tabla2[[#This Row],[Cosecha/Tarea]]/12,Tabla2[[#This Row],[Cosecha/Tarea]])</f>
        <v>8615</v>
      </c>
      <c r="F439" s="3" t="n">
        <v>99719</v>
      </c>
      <c r="G439" s="2" t="s">
        <v>18</v>
      </c>
      <c r="H439" s="2" t="n">
        <f aca="false">F439/Tabla2[[#This Row],[Cosecha Mensual]]</f>
        <v>11.575043528729</v>
      </c>
      <c r="I439" s="2" t="n">
        <f aca="false">H439*_xlfn.XLOOKUP(Tabla2[[#This Row],[Unidad de producción]],Tabla3[Medida],Tabla3[Equivalencia en Kg],"ELVIS",0)</f>
        <v>525.043974463146</v>
      </c>
      <c r="J439" s="2" t="n">
        <v>371.5</v>
      </c>
      <c r="K439" s="2" t="s">
        <v>18</v>
      </c>
      <c r="L439" s="2" t="n">
        <f aca="false">J439/_xlfn.XLOOKUP(Tabla2[[#This Row],[Unidad de precio]],Tabla3[Medida],Tabla3[Equivalencia en Kg],"ELVIS",0)</f>
        <v>8.19003527336861</v>
      </c>
      <c r="M439" s="2" t="n">
        <v>3188.34</v>
      </c>
      <c r="N439" s="3" t="n">
        <f aca="false">(Tabla2[[#This Row],[Productividad (kg/TAS)]]*Tabla2[[#This Row],[Precio por kg]]-Tabla2[[#This Row],[Costos (En RD$/Tarea)]])</f>
        <v>1111.78867092281</v>
      </c>
      <c r="O439" s="9" t="n">
        <f aca="false">IF(Tabla2[[#This Row],[Costos (En RD$/Tarea)]]=0,0,Tabla2[[#This Row],[Beneficio Neto  (En RD$/Tarea)]]/Tabla2[[#This Row],[Costos (En RD$/Tarea)]])</f>
        <v>0.34870455187427</v>
      </c>
      <c r="P439" s="7" t="n">
        <f aca="false">Tabla2[[#This Row],[Rentabilidad (%)]]/12</f>
        <v>0.0290587126561891</v>
      </c>
    </row>
    <row r="440" customFormat="false" ht="14.25" hidden="false" customHeight="false" outlineLevel="0" collapsed="false">
      <c r="A440" s="1" t="n">
        <v>37622</v>
      </c>
      <c r="B440" s="2" t="s">
        <v>25</v>
      </c>
      <c r="C440" s="3" t="n">
        <v>26276</v>
      </c>
      <c r="D440" s="8" t="s">
        <v>17</v>
      </c>
      <c r="E440" s="3" t="n">
        <f aca="false">IF(Tabla2[[#This Row],[Frecuencia]]="Annual", Tabla2[[#This Row],[Cosecha/Tarea]]/12,Tabla2[[#This Row],[Cosecha/Tarea]])</f>
        <v>26276</v>
      </c>
      <c r="F440" s="3" t="n">
        <v>268546</v>
      </c>
      <c r="G440" s="2" t="s">
        <v>18</v>
      </c>
      <c r="H440" s="2" t="n">
        <f aca="false">F440/Tabla2[[#This Row],[Cosecha Mensual]]</f>
        <v>10.2202009438271</v>
      </c>
      <c r="I440" s="2" t="n">
        <f aca="false">H440*_xlfn.XLOOKUP(Tabla2[[#This Row],[Unidad de producción]],Tabla3[Medida],Tabla3[Equivalencia en Kg],"ELVIS",0)</f>
        <v>463.588314811996</v>
      </c>
      <c r="J440" s="2" t="n">
        <v>91.24425</v>
      </c>
      <c r="K440" s="2" t="s">
        <v>18</v>
      </c>
      <c r="L440" s="2" t="n">
        <f aca="false">J440/_xlfn.XLOOKUP(Tabla2[[#This Row],[Unidad de precio]],Tabla3[Medida],Tabla3[Equivalencia en Kg],"ELVIS",0)</f>
        <v>2.01155753968254</v>
      </c>
      <c r="M440" s="2" t="n">
        <v>1396.74</v>
      </c>
      <c r="N440" s="3" t="n">
        <f aca="false">(Tabla2[[#This Row],[Productividad (kg/TAS)]]*Tabla2[[#This Row],[Precio por kg]]-Tabla2[[#This Row],[Costos (En RD$/Tarea)]])</f>
        <v>-464.205430031207</v>
      </c>
      <c r="O440" s="9" t="n">
        <f aca="false">IF(Tabla2[[#This Row],[Costos (En RD$/Tarea)]]=0,0,Tabla2[[#This Row],[Beneficio Neto  (En RD$/Tarea)]]/Tabla2[[#This Row],[Costos (En RD$/Tarea)]])</f>
        <v>-0.33234920603062</v>
      </c>
      <c r="P440" s="7" t="n">
        <f aca="false">Tabla2[[#This Row],[Rentabilidad (%)]]/12</f>
        <v>-0.0276957671692183</v>
      </c>
    </row>
    <row r="441" customFormat="false" ht="14.25" hidden="false" customHeight="false" outlineLevel="0" collapsed="false">
      <c r="A441" s="1" t="n">
        <v>37622</v>
      </c>
      <c r="B441" s="2" t="s">
        <v>26</v>
      </c>
      <c r="C441" s="3" t="n">
        <v>9767</v>
      </c>
      <c r="D441" s="8" t="s">
        <v>17</v>
      </c>
      <c r="E441" s="3" t="n">
        <f aca="false">IF(Tabla2[[#This Row],[Frecuencia]]="Annual", Tabla2[[#This Row],[Cosecha/Tarea]]/12,Tabla2[[#This Row],[Cosecha/Tarea]])</f>
        <v>9767</v>
      </c>
      <c r="F441" s="3" t="n">
        <v>62399</v>
      </c>
      <c r="G441" s="2" t="s">
        <v>18</v>
      </c>
      <c r="H441" s="2" t="n">
        <f aca="false">F441/Tabla2[[#This Row],[Cosecha Mensual]]</f>
        <v>6.38875806286475</v>
      </c>
      <c r="I441" s="2" t="n">
        <f aca="false">H441*_xlfn.XLOOKUP(Tabla2[[#This Row],[Unidad de producción]],Tabla3[Medida],Tabla3[Equivalencia en Kg],"ELVIS",0)</f>
        <v>289.794065731545</v>
      </c>
      <c r="J441" s="2" t="n">
        <v>220.376</v>
      </c>
      <c r="K441" s="2" t="s">
        <v>18</v>
      </c>
      <c r="L441" s="2" t="n">
        <f aca="false">J441/_xlfn.XLOOKUP(Tabla2[[#This Row],[Unidad de precio]],Tabla3[Medida],Tabla3[Equivalencia en Kg],"ELVIS",0)</f>
        <v>4.85837742504409</v>
      </c>
      <c r="M441" s="2" t="n">
        <v>1217.11</v>
      </c>
      <c r="N441" s="3" t="n">
        <f aca="false">(Tabla2[[#This Row],[Productividad (kg/TAS)]]*Tabla2[[#This Row],[Precio por kg]]-Tabla2[[#This Row],[Costos (En RD$/Tarea)]])</f>
        <v>190.818946861882</v>
      </c>
      <c r="O441" s="9" t="n">
        <f aca="false">IF(Tabla2[[#This Row],[Costos (En RD$/Tarea)]]=0,0,Tabla2[[#This Row],[Beneficio Neto  (En RD$/Tarea)]]/Tabla2[[#This Row],[Costos (En RD$/Tarea)]])</f>
        <v>0.156780362384568</v>
      </c>
      <c r="P441" s="7" t="n">
        <f aca="false">Tabla2[[#This Row],[Rentabilidad (%)]]/12</f>
        <v>0.013065030198714</v>
      </c>
    </row>
    <row r="442" customFormat="false" ht="14.25" hidden="false" customHeight="false" outlineLevel="0" collapsed="false">
      <c r="A442" s="1" t="n">
        <v>37622</v>
      </c>
      <c r="B442" s="2" t="s">
        <v>27</v>
      </c>
      <c r="C442" s="3" t="n">
        <v>2582</v>
      </c>
      <c r="D442" s="8" t="s">
        <v>17</v>
      </c>
      <c r="E442" s="3" t="n">
        <f aca="false">IF(Tabla2[[#This Row],[Frecuencia]]="Annual", Tabla2[[#This Row],[Cosecha/Tarea]]/12,Tabla2[[#This Row],[Cosecha/Tarea]])</f>
        <v>2582</v>
      </c>
      <c r="F442" s="3" t="n">
        <v>24182</v>
      </c>
      <c r="G442" s="2" t="s">
        <v>18</v>
      </c>
      <c r="H442" s="2" t="n">
        <f aca="false">F442/Tabla2[[#This Row],[Cosecha Mensual]]</f>
        <v>9.36560805577072</v>
      </c>
      <c r="I442" s="2" t="n">
        <f aca="false">H442*_xlfn.XLOOKUP(Tabla2[[#This Row],[Unidad de producción]],Tabla3[Medida],Tabla3[Equivalencia en Kg],"ELVIS",0)</f>
        <v>424.82398140976</v>
      </c>
      <c r="J442" s="2" t="n">
        <v>256.396666666667</v>
      </c>
      <c r="K442" s="2" t="s">
        <v>18</v>
      </c>
      <c r="L442" s="2" t="n">
        <f aca="false">J442/_xlfn.XLOOKUP(Tabla2[[#This Row],[Unidad de precio]],Tabla3[Medida],Tabla3[Equivalencia en Kg],"ELVIS",0)</f>
        <v>5.6524838330394</v>
      </c>
      <c r="M442" s="2" t="n">
        <v>3938.29</v>
      </c>
      <c r="N442" s="3" t="n">
        <f aca="false">(Tabla2[[#This Row],[Productividad (kg/TAS)]]*Tabla2[[#This Row],[Precio por kg]]-Tabla2[[#This Row],[Costos (En RD$/Tarea)]])</f>
        <v>-1536.9793131939</v>
      </c>
      <c r="O442" s="9" t="n">
        <f aca="false">IF(Tabla2[[#This Row],[Costos (En RD$/Tarea)]]=0,0,Tabla2[[#This Row],[Beneficio Neto  (En RD$/Tarea)]]/Tabla2[[#This Row],[Costos (En RD$/Tarea)]])</f>
        <v>-0.390265651639139</v>
      </c>
      <c r="P442" s="7" t="n">
        <f aca="false">Tabla2[[#This Row],[Rentabilidad (%)]]/12</f>
        <v>-0.0325221376365949</v>
      </c>
    </row>
    <row r="443" customFormat="false" ht="14.25" hidden="false" customHeight="false" outlineLevel="0" collapsed="false">
      <c r="A443" s="1" t="n">
        <v>37622</v>
      </c>
      <c r="B443" s="2" t="s">
        <v>28</v>
      </c>
      <c r="C443" s="3" t="n">
        <v>20640</v>
      </c>
      <c r="D443" s="8" t="s">
        <v>17</v>
      </c>
      <c r="E443" s="3" t="n">
        <f aca="false">IF(Tabla2[[#This Row],[Frecuencia]]="Annual", Tabla2[[#This Row],[Cosecha/Tarea]]/12,Tabla2[[#This Row],[Cosecha/Tarea]])</f>
        <v>20640</v>
      </c>
      <c r="F443" s="3" t="n">
        <v>42720</v>
      </c>
      <c r="G443" s="2" t="s">
        <v>29</v>
      </c>
      <c r="H443" s="2" t="n">
        <f aca="false">F443/Tabla2[[#This Row],[Cosecha Mensual]]</f>
        <v>2.06976744186047</v>
      </c>
      <c r="I443" s="2" t="n">
        <f aca="false">H443*_xlfn.XLOOKUP(Tabla2[[#This Row],[Unidad de producción]],Tabla3[Medida],Tabla3[Equivalencia en Kg],"ELVIS",0)</f>
        <v>1163.91302325581</v>
      </c>
      <c r="J443" s="2" t="n">
        <v>2737.6</v>
      </c>
      <c r="K443" s="2" t="s">
        <v>29</v>
      </c>
      <c r="L443" s="2" t="n">
        <f aca="false">J443/_xlfn.XLOOKUP(Tabla2[[#This Row],[Unidad de precio]],Tabla3[Medida],Tabla3[Equivalencia en Kg],"ELVIS",0)</f>
        <v>4.86822918519045</v>
      </c>
      <c r="M443" s="2" t="n">
        <v>7517.1463872</v>
      </c>
      <c r="N443" s="3" t="n">
        <f aca="false">(Tabla2[[#This Row],[Productividad (kg/TAS)]]*Tabla2[[#This Row],[Precio por kg]]-Tabla2[[#This Row],[Costos (En RD$/Tarea)]])</f>
        <v>-1850.95103836279</v>
      </c>
      <c r="O443" s="9" t="n">
        <f aca="false">IF(Tabla2[[#This Row],[Costos (En RD$/Tarea)]]=0,0,Tabla2[[#This Row],[Beneficio Neto  (En RD$/Tarea)]]/Tabla2[[#This Row],[Costos (En RD$/Tarea)]])</f>
        <v>-0.24623054321711</v>
      </c>
      <c r="P443" s="7" t="n">
        <f aca="false">Tabla2[[#This Row],[Rentabilidad (%)]]/12</f>
        <v>-0.0205192119347592</v>
      </c>
    </row>
    <row r="444" customFormat="false" ht="14.25" hidden="false" customHeight="false" outlineLevel="0" collapsed="false">
      <c r="A444" s="1" t="n">
        <v>37622</v>
      </c>
      <c r="B444" s="2" t="s">
        <v>30</v>
      </c>
      <c r="C444" s="3" t="n">
        <v>256667</v>
      </c>
      <c r="D444" s="3" t="s">
        <v>31</v>
      </c>
      <c r="E444" s="3" t="n">
        <f aca="false">IF(Tabla2[[#This Row],[Frecuencia]]="Annual", Tabla2[[#This Row],[Cosecha/Tarea]]/12,Tabla2[[#This Row],[Cosecha/Tarea]])</f>
        <v>21388.9166666667</v>
      </c>
      <c r="F444" s="3" t="n">
        <v>1735173</v>
      </c>
      <c r="G444" s="2" t="s">
        <v>32</v>
      </c>
      <c r="H444" s="2" t="n">
        <f aca="false">F444/Tabla2[[#This Row],[Cosecha Mensual]]</f>
        <v>81.1248660716025</v>
      </c>
      <c r="I444" s="2" t="n">
        <f aca="false">H444*_xlfn.XLOOKUP(Tabla2[[#This Row],[Unidad de producción]],Tabla3[Medida],Tabla3[Equivalencia en Kg],"ELVIS",0)</f>
        <v>2207.4076058083</v>
      </c>
      <c r="J444" s="2" t="n">
        <v>26.1157142857143</v>
      </c>
      <c r="K444" s="2" t="s">
        <v>32</v>
      </c>
      <c r="L444" s="2" t="n">
        <f aca="false">J444/_xlfn.XLOOKUP(Tabla2[[#This Row],[Unidad de precio]],Tabla3[Medida],Tabla3[Equivalencia en Kg],"ELVIS",0)</f>
        <v>0.959783692970022</v>
      </c>
      <c r="M444" s="3" t="n">
        <v>6435.96</v>
      </c>
      <c r="N444" s="3" t="n">
        <f aca="false">(Tabla2[[#This Row],[Productividad (kg/TAS)]]*Tabla2[[#This Row],[Precio por kg]]-Tabla2[[#This Row],[Costos (En RD$/Tarea)]])</f>
        <v>-4317.32617620719</v>
      </c>
      <c r="O444" s="9" t="n">
        <f aca="false">IF(Tabla2[[#This Row],[Costos (En RD$/Tarea)]]=0,0,Tabla2[[#This Row],[Beneficio Neto  (En RD$/Tarea)]]/Tabla2[[#This Row],[Costos (En RD$/Tarea)]])</f>
        <v>-0.670813084016556</v>
      </c>
      <c r="P444" s="7" t="n">
        <f aca="false">Tabla2[[#This Row],[Rentabilidad (%)]]/12</f>
        <v>-0.055901090334713</v>
      </c>
    </row>
    <row r="445" customFormat="false" ht="14.25" hidden="false" customHeight="false" outlineLevel="0" collapsed="false">
      <c r="A445" s="1" t="n">
        <v>37622</v>
      </c>
      <c r="B445" s="2" t="s">
        <v>33</v>
      </c>
      <c r="C445" s="3" t="n">
        <v>662209</v>
      </c>
      <c r="D445" s="3" t="s">
        <v>31</v>
      </c>
      <c r="E445" s="3" t="n">
        <f aca="false">IF(Tabla2[[#This Row],[Frecuencia]]="Annual", Tabla2[[#This Row],[Cosecha/Tarea]]/12,Tabla2[[#This Row],[Cosecha/Tarea]])</f>
        <v>55184.0833333333</v>
      </c>
      <c r="F445" s="3" t="n">
        <v>89773</v>
      </c>
      <c r="G445" s="2" t="s">
        <v>34</v>
      </c>
      <c r="H445" s="2" t="n">
        <f aca="false">F445/Tabla2[[#This Row],[Cosecha Mensual]]</f>
        <v>1.6267915416432</v>
      </c>
      <c r="I445" s="2" t="n">
        <f aca="false">H445*_xlfn.XLOOKUP(Tabla2[[#This Row],[Unidad de producción]],Tabla3[Medida],Tabla3[Equivalencia en Kg],"ELVIS",0)</f>
        <v>663.974967721671</v>
      </c>
      <c r="J445" s="2" t="n">
        <v>1385.1175</v>
      </c>
      <c r="K445" s="2" t="s">
        <v>34</v>
      </c>
      <c r="L445" s="2" t="n">
        <f aca="false">J445/_xlfn.XLOOKUP(Tabla2[[#This Row],[Unidad de precio]],Tabla3[Medida],Tabla3[Equivalencia en Kg],"ELVIS",0)</f>
        <v>3.39364816856548</v>
      </c>
      <c r="M445" s="3" t="n">
        <v>8666.64</v>
      </c>
      <c r="N445" s="3" t="n">
        <f aca="false">(Tabla2[[#This Row],[Productividad (kg/TAS)]]*Tabla2[[#This Row],[Precio por kg]]-Tabla2[[#This Row],[Costos (En RD$/Tarea)]])</f>
        <v>-6413.34256681803</v>
      </c>
      <c r="O445" s="9" t="n">
        <f aca="false">IF(Tabla2[[#This Row],[Costos (En RD$/Tarea)]]=0,0,Tabla2[[#This Row],[Beneficio Neto  (En RD$/Tarea)]]/Tabla2[[#This Row],[Costos (En RD$/Tarea)]])</f>
        <v>-0.740003342335441</v>
      </c>
      <c r="P445" s="7" t="n">
        <f aca="false">Tabla2[[#This Row],[Rentabilidad (%)]]/12</f>
        <v>-0.0616669451946201</v>
      </c>
    </row>
    <row r="446" customFormat="false" ht="14.25" hidden="false" customHeight="false" outlineLevel="0" collapsed="false">
      <c r="A446" s="1" t="n">
        <v>37653</v>
      </c>
      <c r="B446" s="2" t="s">
        <v>16</v>
      </c>
      <c r="C446" s="3" t="n">
        <v>29624</v>
      </c>
      <c r="D446" s="8" t="s">
        <v>17</v>
      </c>
      <c r="E446" s="3" t="n">
        <f aca="false">IF(Tabla2[[#This Row],[Frecuencia]]="Annual", Tabla2[[#This Row],[Cosecha/Tarea]]/12,Tabla2[[#This Row],[Cosecha/Tarea]])</f>
        <v>29624</v>
      </c>
      <c r="F446" s="3" t="n">
        <v>88587</v>
      </c>
      <c r="G446" s="2" t="s">
        <v>18</v>
      </c>
      <c r="H446" s="2" t="n">
        <f aca="false">F446/Tabla2[[#This Row],[Cosecha Mensual]]</f>
        <v>2.9903794220902</v>
      </c>
      <c r="I446" s="2" t="n">
        <f aca="false">H446*_xlfn.XLOOKUP(Tabla2[[#This Row],[Unidad de producción]],Tabla3[Medida],Tabla3[Equivalencia en Kg],"ELVIS",0)</f>
        <v>135.643610586011</v>
      </c>
      <c r="J446" s="2" t="n">
        <v>753.445544554455</v>
      </c>
      <c r="K446" s="2" t="s">
        <v>19</v>
      </c>
      <c r="L446" s="2" t="n">
        <f aca="false">J446/_xlfn.XLOOKUP(Tabla2[[#This Row],[Unidad de precio]],Tabla3[Medida],Tabla3[Equivalencia en Kg],"ELVIS",0)</f>
        <v>6.84950495049505</v>
      </c>
      <c r="M446" s="2" t="n">
        <v>4275.41</v>
      </c>
      <c r="N446" s="3" t="n">
        <f aca="false">(Tabla2[[#This Row],[Productividad (kg/TAS)]]*Tabla2[[#This Row],[Precio por kg]]-Tabla2[[#This Row],[Costos (En RD$/Tarea)]])</f>
        <v>-3346.31841778809</v>
      </c>
      <c r="O446" s="9" t="n">
        <f aca="false">IF(Tabla2[[#This Row],[Costos (En RD$/Tarea)]]=0,0,Tabla2[[#This Row],[Beneficio Neto  (En RD$/Tarea)]]/Tabla2[[#This Row],[Costos (En RD$/Tarea)]])</f>
        <v>-0.782689477216944</v>
      </c>
      <c r="P446" s="7" t="n">
        <f aca="false">Tabla2[[#This Row],[Rentabilidad (%)]]/12</f>
        <v>-0.065224123101412</v>
      </c>
    </row>
    <row r="447" customFormat="false" ht="14.25" hidden="false" customHeight="false" outlineLevel="0" collapsed="false">
      <c r="A447" s="1" t="n">
        <v>37653</v>
      </c>
      <c r="B447" s="2" t="s">
        <v>20</v>
      </c>
      <c r="C447" s="3" t="n">
        <v>27861</v>
      </c>
      <c r="D447" s="8" t="s">
        <v>17</v>
      </c>
      <c r="E447" s="3" t="n">
        <f aca="false">IF(Tabla2[[#This Row],[Frecuencia]]="Annual", Tabla2[[#This Row],[Cosecha/Tarea]]/12,Tabla2[[#This Row],[Cosecha/Tarea]])</f>
        <v>27861</v>
      </c>
      <c r="F447" s="3" t="n">
        <v>39302</v>
      </c>
      <c r="G447" s="2" t="s">
        <v>18</v>
      </c>
      <c r="H447" s="2" t="n">
        <f aca="false">F447/Tabla2[[#This Row],[Cosecha Mensual]]</f>
        <v>1.41064570546642</v>
      </c>
      <c r="I447" s="2" t="n">
        <f aca="false">H447*_xlfn.XLOOKUP(Tabla2[[#This Row],[Unidad de producción]],Tabla3[Medida],Tabla3[Equivalencia en Kg],"ELVIS",0)</f>
        <v>63.9868891999569</v>
      </c>
      <c r="J447" s="2" t="n">
        <v>186.400433333333</v>
      </c>
      <c r="K447" s="2" t="s">
        <v>18</v>
      </c>
      <c r="L447" s="2" t="n">
        <f aca="false">J447/_xlfn.XLOOKUP(Tabla2[[#This Row],[Unidad de precio]],Tabla3[Medida],Tabla3[Equivalencia en Kg],"ELVIS",0)</f>
        <v>4.10935699588477</v>
      </c>
      <c r="M447" s="2" t="n">
        <v>938.62</v>
      </c>
      <c r="N447" s="3" t="n">
        <f aca="false">(Tabla2[[#This Row],[Productividad (kg/TAS)]]*Tabla2[[#This Row],[Precio por kg]]-Tabla2[[#This Row],[Costos (En RD$/Tarea)]])</f>
        <v>-675.675029221254</v>
      </c>
      <c r="O447" s="9" t="n">
        <f aca="false">IF(Tabla2[[#This Row],[Costos (En RD$/Tarea)]]=0,0,Tabla2[[#This Row],[Beneficio Neto  (En RD$/Tarea)]]/Tabla2[[#This Row],[Costos (En RD$/Tarea)]])</f>
        <v>-0.719860038376823</v>
      </c>
      <c r="P447" s="7" t="n">
        <f aca="false">Tabla2[[#This Row],[Rentabilidad (%)]]/12</f>
        <v>-0.0599883365314019</v>
      </c>
    </row>
    <row r="448" customFormat="false" ht="14.25" hidden="false" customHeight="false" outlineLevel="0" collapsed="false">
      <c r="A448" s="1" t="n">
        <v>37653</v>
      </c>
      <c r="B448" s="2" t="s">
        <v>21</v>
      </c>
      <c r="C448" s="3" t="n">
        <v>8322</v>
      </c>
      <c r="D448" s="8" t="s">
        <v>17</v>
      </c>
      <c r="E448" s="3" t="n">
        <f aca="false">IF(Tabla2[[#This Row],[Frecuencia]]="Annual", Tabla2[[#This Row],[Cosecha/Tarea]]/12,Tabla2[[#This Row],[Cosecha/Tarea]])</f>
        <v>8322</v>
      </c>
      <c r="F448" s="3" t="n">
        <v>68539</v>
      </c>
      <c r="G448" s="2" t="s">
        <v>18</v>
      </c>
      <c r="H448" s="2" t="n">
        <f aca="false">F448/Tabla2[[#This Row],[Cosecha Mensual]]</f>
        <v>8.23588079788512</v>
      </c>
      <c r="I448" s="2" t="n">
        <f aca="false">H448*_xlfn.XLOOKUP(Tabla2[[#This Row],[Unidad de producción]],Tabla3[Medida],Tabla3[Equivalencia en Kg],"ELVIS",0)</f>
        <v>373.579552992069</v>
      </c>
      <c r="J448" s="2" t="n">
        <v>94.642275</v>
      </c>
      <c r="K448" s="2" t="s">
        <v>18</v>
      </c>
      <c r="L448" s="2" t="n">
        <f aca="false">J448/_xlfn.XLOOKUP(Tabla2[[#This Row],[Unidad de precio]],Tabla3[Medida],Tabla3[Equivalencia en Kg],"ELVIS",0)</f>
        <v>2.08646990740741</v>
      </c>
      <c r="M448" s="2" t="n">
        <v>1545.78</v>
      </c>
      <c r="N448" s="3" t="n">
        <f aca="false">(Tabla2[[#This Row],[Productividad (kg/TAS)]]*Tabla2[[#This Row],[Precio por kg]]-Tabla2[[#This Row],[Costos (En RD$/Tarea)]])</f>
        <v>-766.317504659337</v>
      </c>
      <c r="O448" s="9" t="n">
        <f aca="false">IF(Tabla2[[#This Row],[Costos (En RD$/Tarea)]]=0,0,Tabla2[[#This Row],[Beneficio Neto  (En RD$/Tarea)]]/Tabla2[[#This Row],[Costos (En RD$/Tarea)]])</f>
        <v>-0.495748104296431</v>
      </c>
      <c r="P448" s="7" t="n">
        <f aca="false">Tabla2[[#This Row],[Rentabilidad (%)]]/12</f>
        <v>-0.0413123420247026</v>
      </c>
    </row>
    <row r="449" customFormat="false" ht="14.25" hidden="false" customHeight="false" outlineLevel="0" collapsed="false">
      <c r="A449" s="1" t="n">
        <v>37653</v>
      </c>
      <c r="B449" s="2" t="s">
        <v>22</v>
      </c>
      <c r="C449" s="3" t="n">
        <v>6785</v>
      </c>
      <c r="D449" s="8" t="s">
        <v>17</v>
      </c>
      <c r="E449" s="3" t="n">
        <f aca="false">IF(Tabla2[[#This Row],[Frecuencia]]="Annual", Tabla2[[#This Row],[Cosecha/Tarea]]/12,Tabla2[[#This Row],[Cosecha/Tarea]])</f>
        <v>6785</v>
      </c>
      <c r="F449" s="3" t="n">
        <v>60982</v>
      </c>
      <c r="G449" s="2" t="s">
        <v>18</v>
      </c>
      <c r="H449" s="2" t="n">
        <f aca="false">F449/Tabla2[[#This Row],[Cosecha Mensual]]</f>
        <v>8.98776713338246</v>
      </c>
      <c r="I449" s="2" t="n">
        <f aca="false">H449*_xlfn.XLOOKUP(Tabla2[[#This Row],[Unidad de producción]],Tabla3[Medida],Tabla3[Equivalencia en Kg],"ELVIS",0)</f>
        <v>407.685117170228</v>
      </c>
      <c r="J449" s="2" t="n">
        <v>210.741375</v>
      </c>
      <c r="K449" s="2" t="s">
        <v>18</v>
      </c>
      <c r="L449" s="2" t="n">
        <f aca="false">J449/_xlfn.XLOOKUP(Tabla2[[#This Row],[Unidad de precio]],Tabla3[Medida],Tabla3[Equivalencia en Kg],"ELVIS",0)</f>
        <v>4.64597387566138</v>
      </c>
      <c r="M449" s="2" t="n">
        <v>3985.46</v>
      </c>
      <c r="N449" s="3" t="n">
        <f aca="false">(Tabla2[[#This Row],[Productividad (kg/TAS)]]*Tabla2[[#This Row],[Precio por kg]]-Tabla2[[#This Row],[Costos (En RD$/Tarea)]])</f>
        <v>-2091.36559613117</v>
      </c>
      <c r="O449" s="9" t="n">
        <f aca="false">IF(Tabla2[[#This Row],[Costos (En RD$/Tarea)]]=0,0,Tabla2[[#This Row],[Beneficio Neto  (En RD$/Tarea)]]/Tabla2[[#This Row],[Costos (En RD$/Tarea)]])</f>
        <v>-0.524748861143048</v>
      </c>
      <c r="P449" s="7" t="n">
        <f aca="false">Tabla2[[#This Row],[Rentabilidad (%)]]/12</f>
        <v>-0.0437290717619207</v>
      </c>
    </row>
    <row r="450" customFormat="false" ht="14.25" hidden="false" customHeight="false" outlineLevel="0" collapsed="false">
      <c r="A450" s="1" t="n">
        <v>37653</v>
      </c>
      <c r="B450" s="2" t="s">
        <v>23</v>
      </c>
      <c r="C450" s="3" t="n">
        <v>3570</v>
      </c>
      <c r="D450" s="8" t="s">
        <v>17</v>
      </c>
      <c r="E450" s="3" t="n">
        <f aca="false">IF(Tabla2[[#This Row],[Frecuencia]]="Annual", Tabla2[[#This Row],[Cosecha/Tarea]]/12,Tabla2[[#This Row],[Cosecha/Tarea]])</f>
        <v>3570</v>
      </c>
      <c r="F450" s="3" t="n">
        <v>76862</v>
      </c>
      <c r="G450" s="2" t="s">
        <v>18</v>
      </c>
      <c r="H450" s="2" t="n">
        <f aca="false">F450/Tabla2[[#This Row],[Cosecha Mensual]]</f>
        <v>21.5299719887955</v>
      </c>
      <c r="I450" s="2" t="n">
        <f aca="false">H450*_xlfn.XLOOKUP(Tabla2[[#This Row],[Unidad de producción]],Tabla3[Medida],Tabla3[Equivalencia en Kg],"ELVIS",0)</f>
        <v>976.599529411765</v>
      </c>
      <c r="J450" s="2" t="n">
        <v>290</v>
      </c>
      <c r="K450" s="2" t="s">
        <v>18</v>
      </c>
      <c r="L450" s="2" t="n">
        <f aca="false">J450/_xlfn.XLOOKUP(Tabla2[[#This Row],[Unidad de precio]],Tabla3[Medida],Tabla3[Equivalencia en Kg],"ELVIS",0)</f>
        <v>6.39329805996473</v>
      </c>
      <c r="M450" s="2" t="n">
        <v>9309.96</v>
      </c>
      <c r="N450" s="3" t="n">
        <f aca="false">(Tabla2[[#This Row],[Productividad (kg/TAS)]]*Tabla2[[#This Row],[Precio por kg]]-Tabla2[[#This Row],[Costos (En RD$/Tarea)]])</f>
        <v>-3066.2681232493</v>
      </c>
      <c r="O450" s="9" t="n">
        <f aca="false">IF(Tabla2[[#This Row],[Costos (En RD$/Tarea)]]=0,0,Tabla2[[#This Row],[Beneficio Neto  (En RD$/Tarea)]]/Tabla2[[#This Row],[Costos (En RD$/Tarea)]])</f>
        <v>-0.329353522813127</v>
      </c>
      <c r="P450" s="7" t="n">
        <f aca="false">Tabla2[[#This Row],[Rentabilidad (%)]]/12</f>
        <v>-0.0274461269010939</v>
      </c>
    </row>
    <row r="451" customFormat="false" ht="14.25" hidden="false" customHeight="false" outlineLevel="0" collapsed="false">
      <c r="A451" s="1" t="n">
        <v>37653</v>
      </c>
      <c r="B451" s="2" t="s">
        <v>24</v>
      </c>
      <c r="C451" s="3" t="n">
        <v>14335</v>
      </c>
      <c r="D451" s="8" t="s">
        <v>17</v>
      </c>
      <c r="E451" s="3" t="n">
        <f aca="false">IF(Tabla2[[#This Row],[Frecuencia]]="Annual", Tabla2[[#This Row],[Cosecha/Tarea]]/12,Tabla2[[#This Row],[Cosecha/Tarea]])</f>
        <v>14335</v>
      </c>
      <c r="F451" s="3" t="n">
        <v>156235</v>
      </c>
      <c r="G451" s="2" t="s">
        <v>18</v>
      </c>
      <c r="H451" s="2" t="n">
        <f aca="false">F451/Tabla2[[#This Row],[Cosecha Mensual]]</f>
        <v>10.8988489710499</v>
      </c>
      <c r="I451" s="2" t="n">
        <f aca="false">H451*_xlfn.XLOOKUP(Tabla2[[#This Row],[Unidad de producción]],Tabla3[Medida],Tabla3[Equivalencia en Kg],"ELVIS",0)</f>
        <v>494.371789326822</v>
      </c>
      <c r="J451" s="2" t="n">
        <v>346</v>
      </c>
      <c r="K451" s="2" t="s">
        <v>18</v>
      </c>
      <c r="L451" s="2" t="n">
        <f aca="false">J451/_xlfn.XLOOKUP(Tabla2[[#This Row],[Unidad de precio]],Tabla3[Medida],Tabla3[Equivalencia en Kg],"ELVIS",0)</f>
        <v>7.62786596119929</v>
      </c>
      <c r="M451" s="2" t="n">
        <v>3188.34</v>
      </c>
      <c r="N451" s="3" t="n">
        <f aca="false">(Tabla2[[#This Row],[Productividad (kg/TAS)]]*Tabla2[[#This Row],[Precio por kg]]-Tabla2[[#This Row],[Costos (En RD$/Tarea)]])</f>
        <v>582.661743983258</v>
      </c>
      <c r="O451" s="9" t="n">
        <f aca="false">IF(Tabla2[[#This Row],[Costos (En RD$/Tarea)]]=0,0,Tabla2[[#This Row],[Beneficio Neto  (En RD$/Tarea)]]/Tabla2[[#This Row],[Costos (En RD$/Tarea)]])</f>
        <v>0.182747681860547</v>
      </c>
      <c r="P451" s="7" t="n">
        <f aca="false">Tabla2[[#This Row],[Rentabilidad (%)]]/12</f>
        <v>0.0152289734883789</v>
      </c>
    </row>
    <row r="452" customFormat="false" ht="14.25" hidden="false" customHeight="false" outlineLevel="0" collapsed="false">
      <c r="A452" s="1" t="n">
        <v>37653</v>
      </c>
      <c r="B452" s="2" t="s">
        <v>25</v>
      </c>
      <c r="C452" s="3" t="n">
        <v>28814</v>
      </c>
      <c r="D452" s="8" t="s">
        <v>17</v>
      </c>
      <c r="E452" s="3" t="n">
        <f aca="false">IF(Tabla2[[#This Row],[Frecuencia]]="Annual", Tabla2[[#This Row],[Cosecha/Tarea]]/12,Tabla2[[#This Row],[Cosecha/Tarea]])</f>
        <v>28814</v>
      </c>
      <c r="F452" s="3" t="n">
        <v>286089</v>
      </c>
      <c r="G452" s="2" t="s">
        <v>18</v>
      </c>
      <c r="H452" s="2" t="n">
        <f aca="false">F452/Tabla2[[#This Row],[Cosecha Mensual]]</f>
        <v>9.92881932393975</v>
      </c>
      <c r="I452" s="2" t="n">
        <f aca="false">H452*_xlfn.XLOOKUP(Tabla2[[#This Row],[Unidad de producción]],Tabla3[Medida],Tabla3[Equivalencia en Kg],"ELVIS",0)</f>
        <v>450.371244533907</v>
      </c>
      <c r="J452" s="2" t="n">
        <v>97.896</v>
      </c>
      <c r="K452" s="2" t="s">
        <v>18</v>
      </c>
      <c r="L452" s="2" t="n">
        <f aca="false">J452/_xlfn.XLOOKUP(Tabla2[[#This Row],[Unidad de precio]],Tabla3[Medida],Tabla3[Equivalencia en Kg],"ELVIS",0)</f>
        <v>2.15820105820106</v>
      </c>
      <c r="M452" s="2" t="n">
        <v>1396.74</v>
      </c>
      <c r="N452" s="3" t="n">
        <f aca="false">(Tabla2[[#This Row],[Productividad (kg/TAS)]]*Tabla2[[#This Row],[Precio por kg]]-Tabla2[[#This Row],[Costos (En RD$/Tarea)]])</f>
        <v>-424.748303463594</v>
      </c>
      <c r="O452" s="9" t="n">
        <f aca="false">IF(Tabla2[[#This Row],[Costos (En RD$/Tarea)]]=0,0,Tabla2[[#This Row],[Beneficio Neto  (En RD$/Tarea)]]/Tabla2[[#This Row],[Costos (En RD$/Tarea)]])</f>
        <v>-0.304099763351514</v>
      </c>
      <c r="P452" s="7" t="n">
        <f aca="false">Tabla2[[#This Row],[Rentabilidad (%)]]/12</f>
        <v>-0.0253416469459595</v>
      </c>
    </row>
    <row r="453" customFormat="false" ht="14.25" hidden="false" customHeight="false" outlineLevel="0" collapsed="false">
      <c r="A453" s="1" t="n">
        <v>37653</v>
      </c>
      <c r="B453" s="2" t="s">
        <v>26</v>
      </c>
      <c r="C453" s="3" t="n">
        <v>9109</v>
      </c>
      <c r="D453" s="8" t="s">
        <v>17</v>
      </c>
      <c r="E453" s="3" t="n">
        <f aca="false">IF(Tabla2[[#This Row],[Frecuencia]]="Annual", Tabla2[[#This Row],[Cosecha/Tarea]]/12,Tabla2[[#This Row],[Cosecha/Tarea]])</f>
        <v>9109</v>
      </c>
      <c r="F453" s="3" t="n">
        <v>51629</v>
      </c>
      <c r="G453" s="2" t="s">
        <v>18</v>
      </c>
      <c r="H453" s="2" t="n">
        <f aca="false">F453/Tabla2[[#This Row],[Cosecha Mensual]]</f>
        <v>5.66791085739379</v>
      </c>
      <c r="I453" s="2" t="n">
        <f aca="false">H453*_xlfn.XLOOKUP(Tabla2[[#This Row],[Unidad de producción]],Tabla3[Medida],Tabla3[Equivalencia en Kg],"ELVIS",0)</f>
        <v>257.096436491382</v>
      </c>
      <c r="J453" s="2" t="n">
        <v>228</v>
      </c>
      <c r="K453" s="2" t="s">
        <v>18</v>
      </c>
      <c r="L453" s="2" t="n">
        <f aca="false">J453/_xlfn.XLOOKUP(Tabla2[[#This Row],[Unidad de precio]],Tabla3[Medida],Tabla3[Equivalencia en Kg],"ELVIS",0)</f>
        <v>5.02645502645503</v>
      </c>
      <c r="M453" s="2" t="n">
        <v>1217.11</v>
      </c>
      <c r="N453" s="3" t="n">
        <f aca="false">(Tabla2[[#This Row],[Productividad (kg/TAS)]]*Tabla2[[#This Row],[Precio por kg]]-Tabla2[[#This Row],[Costos (En RD$/Tarea)]])</f>
        <v>75.1736754857834</v>
      </c>
      <c r="O453" s="9" t="n">
        <f aca="false">IF(Tabla2[[#This Row],[Costos (En RD$/Tarea)]]=0,0,Tabla2[[#This Row],[Beneficio Neto  (En RD$/Tarea)]]/Tabla2[[#This Row],[Costos (En RD$/Tarea)]])</f>
        <v>0.0617640767767773</v>
      </c>
      <c r="P453" s="7" t="n">
        <f aca="false">Tabla2[[#This Row],[Rentabilidad (%)]]/12</f>
        <v>0.00514700639806478</v>
      </c>
    </row>
    <row r="454" customFormat="false" ht="14.25" hidden="false" customHeight="false" outlineLevel="0" collapsed="false">
      <c r="A454" s="1" t="n">
        <v>37653</v>
      </c>
      <c r="B454" s="2" t="s">
        <v>27</v>
      </c>
      <c r="C454" s="3" t="n">
        <v>2949</v>
      </c>
      <c r="D454" s="8" t="s">
        <v>17</v>
      </c>
      <c r="E454" s="3" t="n">
        <f aca="false">IF(Tabla2[[#This Row],[Frecuencia]]="Annual", Tabla2[[#This Row],[Cosecha/Tarea]]/12,Tabla2[[#This Row],[Cosecha/Tarea]])</f>
        <v>2949</v>
      </c>
      <c r="F454" s="3" t="n">
        <v>27350</v>
      </c>
      <c r="G454" s="2" t="s">
        <v>18</v>
      </c>
      <c r="H454" s="2" t="n">
        <f aca="false">F454/Tabla2[[#This Row],[Cosecha Mensual]]</f>
        <v>9.27433028145134</v>
      </c>
      <c r="I454" s="2" t="n">
        <f aca="false">H454*_xlfn.XLOOKUP(Tabla2[[#This Row],[Unidad de producción]],Tabla3[Medida],Tabla3[Equivalencia en Kg],"ELVIS",0)</f>
        <v>420.683621566633</v>
      </c>
      <c r="J454" s="2" t="n">
        <v>246.372</v>
      </c>
      <c r="K454" s="2" t="s">
        <v>18</v>
      </c>
      <c r="L454" s="2" t="n">
        <f aca="false">J454/_xlfn.XLOOKUP(Tabla2[[#This Row],[Unidad de precio]],Tabla3[Medida],Tabla3[Equivalencia en Kg],"ELVIS",0)</f>
        <v>5.43148148148148</v>
      </c>
      <c r="M454" s="2" t="n">
        <v>3938.29</v>
      </c>
      <c r="N454" s="3" t="n">
        <f aca="false">(Tabla2[[#This Row],[Productividad (kg/TAS)]]*Tabla2[[#This Row],[Precio por kg]]-Tabla2[[#This Row],[Costos (En RD$/Tarea)]])</f>
        <v>-1653.35469989827</v>
      </c>
      <c r="O454" s="9" t="n">
        <f aca="false">IF(Tabla2[[#This Row],[Costos (En RD$/Tarea)]]=0,0,Tabla2[[#This Row],[Beneficio Neto  (En RD$/Tarea)]]/Tabla2[[#This Row],[Costos (En RD$/Tarea)]])</f>
        <v>-0.419815376698585</v>
      </c>
      <c r="P454" s="7" t="n">
        <f aca="false">Tabla2[[#This Row],[Rentabilidad (%)]]/12</f>
        <v>-0.0349846147248821</v>
      </c>
    </row>
    <row r="455" customFormat="false" ht="14.25" hidden="false" customHeight="false" outlineLevel="0" collapsed="false">
      <c r="A455" s="1" t="n">
        <v>37653</v>
      </c>
      <c r="B455" s="2" t="s">
        <v>28</v>
      </c>
      <c r="C455" s="3" t="n">
        <v>14858</v>
      </c>
      <c r="D455" s="8" t="s">
        <v>17</v>
      </c>
      <c r="E455" s="3" t="n">
        <f aca="false">IF(Tabla2[[#This Row],[Frecuencia]]="Annual", Tabla2[[#This Row],[Cosecha/Tarea]]/12,Tabla2[[#This Row],[Cosecha/Tarea]])</f>
        <v>14858</v>
      </c>
      <c r="F455" s="3" t="n">
        <v>22138</v>
      </c>
      <c r="G455" s="2" t="s">
        <v>29</v>
      </c>
      <c r="H455" s="2" t="n">
        <f aca="false">F455/Tabla2[[#This Row],[Cosecha Mensual]]</f>
        <v>1.48997173240005</v>
      </c>
      <c r="I455" s="2" t="n">
        <f aca="false">H455*_xlfn.XLOOKUP(Tabla2[[#This Row],[Unidad de producción]],Tabla3[Medida],Tabla3[Equivalencia en Kg],"ELVIS",0)</f>
        <v>837.870703997846</v>
      </c>
      <c r="J455" s="2" t="n">
        <v>2940</v>
      </c>
      <c r="K455" s="2" t="s">
        <v>29</v>
      </c>
      <c r="L455" s="2" t="n">
        <f aca="false">J455/_xlfn.XLOOKUP(Tabla2[[#This Row],[Unidad de precio]],Tabla3[Medida],Tabla3[Equivalencia en Kg],"ELVIS",0)</f>
        <v>5.22815378596579</v>
      </c>
      <c r="M455" s="2" t="n">
        <v>7517.1463872</v>
      </c>
      <c r="N455" s="3" t="n">
        <f aca="false">(Tabla2[[#This Row],[Productividad (kg/TAS)]]*Tabla2[[#This Row],[Precio por kg]]-Tabla2[[#This Row],[Costos (En RD$/Tarea)]])</f>
        <v>-3136.62949394384</v>
      </c>
      <c r="O455" s="9" t="n">
        <f aca="false">IF(Tabla2[[#This Row],[Costos (En RD$/Tarea)]]=0,0,Tabla2[[#This Row],[Beneficio Neto  (En RD$/Tarea)]]/Tabla2[[#This Row],[Costos (En RD$/Tarea)]])</f>
        <v>-0.41726332472184</v>
      </c>
      <c r="P455" s="7" t="n">
        <f aca="false">Tabla2[[#This Row],[Rentabilidad (%)]]/12</f>
        <v>-0.03477194372682</v>
      </c>
    </row>
    <row r="456" customFormat="false" ht="14.25" hidden="false" customHeight="false" outlineLevel="0" collapsed="false">
      <c r="A456" s="1" t="n">
        <v>37653</v>
      </c>
      <c r="B456" s="2" t="s">
        <v>30</v>
      </c>
      <c r="C456" s="3" t="n">
        <v>249356</v>
      </c>
      <c r="D456" s="3" t="s">
        <v>31</v>
      </c>
      <c r="E456" s="3" t="n">
        <f aca="false">IF(Tabla2[[#This Row],[Frecuencia]]="Annual", Tabla2[[#This Row],[Cosecha/Tarea]]/12,Tabla2[[#This Row],[Cosecha/Tarea]])</f>
        <v>20779.6666666667</v>
      </c>
      <c r="F456" s="3" t="n">
        <v>1466678</v>
      </c>
      <c r="G456" s="2" t="s">
        <v>32</v>
      </c>
      <c r="H456" s="2" t="n">
        <f aca="false">F456/Tabla2[[#This Row],[Cosecha Mensual]]</f>
        <v>70.5823641701022</v>
      </c>
      <c r="I456" s="2" t="n">
        <f aca="false">H456*_xlfn.XLOOKUP(Tabla2[[#This Row],[Unidad de producción]],Tabla3[Medida],Tabla3[Equivalencia en Kg],"ELVIS",0)</f>
        <v>1920.54612906848</v>
      </c>
      <c r="J456" s="2" t="n">
        <v>31.446</v>
      </c>
      <c r="K456" s="2" t="s">
        <v>32</v>
      </c>
      <c r="L456" s="2" t="n">
        <f aca="false">J456/_xlfn.XLOOKUP(Tabla2[[#This Row],[Unidad de precio]],Tabla3[Medida],Tabla3[Equivalencia en Kg],"ELVIS",0)</f>
        <v>1.15567805953694</v>
      </c>
      <c r="M456" s="3" t="n">
        <v>6435.96</v>
      </c>
      <c r="N456" s="3" t="n">
        <f aca="false">(Tabla2[[#This Row],[Productividad (kg/TAS)]]*Tabla2[[#This Row],[Precio por kg]]-Tabla2[[#This Row],[Costos (En RD$/Tarea)]])</f>
        <v>-4216.42697630697</v>
      </c>
      <c r="O456" s="9" t="n">
        <f aca="false">IF(Tabla2[[#This Row],[Costos (En RD$/Tarea)]]=0,0,Tabla2[[#This Row],[Beneficio Neto  (En RD$/Tarea)]]/Tabla2[[#This Row],[Costos (En RD$/Tarea)]])</f>
        <v>-0.655135671493758</v>
      </c>
      <c r="P456" s="7" t="n">
        <f aca="false">Tabla2[[#This Row],[Rentabilidad (%)]]/12</f>
        <v>-0.0545946392911465</v>
      </c>
    </row>
    <row r="457" customFormat="false" ht="14.25" hidden="false" customHeight="false" outlineLevel="0" collapsed="false">
      <c r="A457" s="1" t="n">
        <v>37653</v>
      </c>
      <c r="B457" s="2" t="s">
        <v>33</v>
      </c>
      <c r="C457" s="3" t="n">
        <v>674945</v>
      </c>
      <c r="D457" s="3" t="s">
        <v>31</v>
      </c>
      <c r="E457" s="3" t="n">
        <f aca="false">IF(Tabla2[[#This Row],[Frecuencia]]="Annual", Tabla2[[#This Row],[Cosecha/Tarea]]/12,Tabla2[[#This Row],[Cosecha/Tarea]])</f>
        <v>56245.4166666667</v>
      </c>
      <c r="F457" s="3" t="n">
        <v>101443</v>
      </c>
      <c r="G457" s="2" t="s">
        <v>34</v>
      </c>
      <c r="H457" s="2" t="n">
        <f aca="false">F457/Tabla2[[#This Row],[Cosecha Mensual]]</f>
        <v>1.80357806932417</v>
      </c>
      <c r="I457" s="2" t="n">
        <f aca="false">H457*_xlfn.XLOOKUP(Tabla2[[#This Row],[Unidad de producción]],Tabla3[Medida],Tabla3[Equivalencia en Kg],"ELVIS",0)</f>
        <v>736.130388994659</v>
      </c>
      <c r="J457" s="2" t="n">
        <v>1308.70166666667</v>
      </c>
      <c r="K457" s="2" t="s">
        <v>34</v>
      </c>
      <c r="L457" s="2" t="n">
        <f aca="false">J457/_xlfn.XLOOKUP(Tabla2[[#This Row],[Unidad de precio]],Tabla3[Medida],Tabla3[Equivalencia en Kg],"ELVIS",0)</f>
        <v>3.20642329209033</v>
      </c>
      <c r="M457" s="3" t="n">
        <v>8666.64</v>
      </c>
      <c r="N457" s="3" t="n">
        <f aca="false">(Tabla2[[#This Row],[Productividad (kg/TAS)]]*Tabla2[[#This Row],[Precio por kg]]-Tabla2[[#This Row],[Costos (En RD$/Tarea)]])</f>
        <v>-6306.29437471201</v>
      </c>
      <c r="O457" s="9" t="n">
        <f aca="false">IF(Tabla2[[#This Row],[Costos (En RD$/Tarea)]]=0,0,Tabla2[[#This Row],[Beneficio Neto  (En RD$/Tarea)]]/Tabla2[[#This Row],[Costos (En RD$/Tarea)]])</f>
        <v>-0.727651589856277</v>
      </c>
      <c r="P457" s="7" t="n">
        <f aca="false">Tabla2[[#This Row],[Rentabilidad (%)]]/12</f>
        <v>-0.0606376324880231</v>
      </c>
    </row>
    <row r="458" customFormat="false" ht="14.25" hidden="false" customHeight="false" outlineLevel="0" collapsed="false">
      <c r="A458" s="1" t="n">
        <v>37681</v>
      </c>
      <c r="B458" s="2" t="s">
        <v>16</v>
      </c>
      <c r="C458" s="3" t="n">
        <v>3688</v>
      </c>
      <c r="D458" s="8" t="s">
        <v>17</v>
      </c>
      <c r="E458" s="3" t="n">
        <f aca="false">IF(Tabla2[[#This Row],[Frecuencia]]="Annual", Tabla2[[#This Row],[Cosecha/Tarea]]/12,Tabla2[[#This Row],[Cosecha/Tarea]])</f>
        <v>3688</v>
      </c>
      <c r="F458" s="3" t="n">
        <v>11642</v>
      </c>
      <c r="G458" s="2" t="s">
        <v>18</v>
      </c>
      <c r="H458" s="2" t="n">
        <f aca="false">F458/Tabla2[[#This Row],[Cosecha Mensual]]</f>
        <v>3.15672451193059</v>
      </c>
      <c r="I458" s="2" t="n">
        <f aca="false">H458*_xlfn.XLOOKUP(Tabla2[[#This Row],[Unidad de producción]],Tabla3[Medida],Tabla3[Equivalencia en Kg],"ELVIS",0)</f>
        <v>143.189023861171</v>
      </c>
      <c r="J458" s="2" t="n">
        <v>933.80198019802</v>
      </c>
      <c r="K458" s="2" t="s">
        <v>19</v>
      </c>
      <c r="L458" s="2" t="n">
        <f aca="false">J458/_xlfn.XLOOKUP(Tabla2[[#This Row],[Unidad de precio]],Tabla3[Medida],Tabla3[Equivalencia en Kg],"ELVIS",0)</f>
        <v>8.48910891089109</v>
      </c>
      <c r="M458" s="2" t="n">
        <v>4275.41</v>
      </c>
      <c r="N458" s="3" t="n">
        <f aca="false">(Tabla2[[#This Row],[Productividad (kg/TAS)]]*Tabla2[[#This Row],[Precio por kg]]-Tabla2[[#This Row],[Costos (En RD$/Tarea)]])</f>
        <v>-3059.86278159833</v>
      </c>
      <c r="O458" s="9" t="n">
        <f aca="false">IF(Tabla2[[#This Row],[Costos (En RD$/Tarea)]]=0,0,Tabla2[[#This Row],[Beneficio Neto  (En RD$/Tarea)]]/Tabla2[[#This Row],[Costos (En RD$/Tarea)]])</f>
        <v>-0.715688736658784</v>
      </c>
      <c r="P458" s="7" t="n">
        <f aca="false">Tabla2[[#This Row],[Rentabilidad (%)]]/12</f>
        <v>-0.0596407280548987</v>
      </c>
    </row>
    <row r="459" customFormat="false" ht="14.25" hidden="false" customHeight="false" outlineLevel="0" collapsed="false">
      <c r="A459" s="1" t="n">
        <v>37681</v>
      </c>
      <c r="B459" s="2" t="s">
        <v>20</v>
      </c>
      <c r="C459" s="3" t="n">
        <v>27128</v>
      </c>
      <c r="D459" s="8" t="s">
        <v>17</v>
      </c>
      <c r="E459" s="3" t="n">
        <f aca="false">IF(Tabla2[[#This Row],[Frecuencia]]="Annual", Tabla2[[#This Row],[Cosecha/Tarea]]/12,Tabla2[[#This Row],[Cosecha/Tarea]])</f>
        <v>27128</v>
      </c>
      <c r="F459" s="3" t="n">
        <v>59257</v>
      </c>
      <c r="G459" s="2" t="s">
        <v>18</v>
      </c>
      <c r="H459" s="2" t="n">
        <f aca="false">F459/Tabla2[[#This Row],[Cosecha Mensual]]</f>
        <v>2.18434827484518</v>
      </c>
      <c r="I459" s="2" t="n">
        <f aca="false">H459*_xlfn.XLOOKUP(Tabla2[[#This Row],[Unidad de producción]],Tabla3[Medida],Tabla3[Equivalencia en Kg],"ELVIS",0)</f>
        <v>99.0820377469773</v>
      </c>
      <c r="J459" s="2" t="n">
        <v>174.187133333333</v>
      </c>
      <c r="K459" s="2" t="s">
        <v>18</v>
      </c>
      <c r="L459" s="2" t="n">
        <f aca="false">J459/_xlfn.XLOOKUP(Tabla2[[#This Row],[Unidad de precio]],Tabla3[Medida],Tabla3[Equivalencia en Kg],"ELVIS",0)</f>
        <v>3.84010435038212</v>
      </c>
      <c r="M459" s="2" t="n">
        <v>938.62</v>
      </c>
      <c r="N459" s="3" t="n">
        <f aca="false">(Tabla2[[#This Row],[Productividad (kg/TAS)]]*Tabla2[[#This Row],[Precio por kg]]-Tabla2[[#This Row],[Costos (En RD$/Tarea)]])</f>
        <v>-558.134635803107</v>
      </c>
      <c r="O459" s="9" t="n">
        <f aca="false">IF(Tabla2[[#This Row],[Costos (En RD$/Tarea)]]=0,0,Tabla2[[#This Row],[Beneficio Neto  (En RD$/Tarea)]]/Tabla2[[#This Row],[Costos (En RD$/Tarea)]])</f>
        <v>-0.594633223032864</v>
      </c>
      <c r="P459" s="7" t="n">
        <f aca="false">Tabla2[[#This Row],[Rentabilidad (%)]]/12</f>
        <v>-0.049552768586072</v>
      </c>
    </row>
    <row r="460" customFormat="false" ht="14.25" hidden="false" customHeight="false" outlineLevel="0" collapsed="false">
      <c r="A460" s="1" t="n">
        <v>37681</v>
      </c>
      <c r="B460" s="2" t="s">
        <v>21</v>
      </c>
      <c r="C460" s="3" t="n">
        <v>8240</v>
      </c>
      <c r="D460" s="8" t="s">
        <v>17</v>
      </c>
      <c r="E460" s="3" t="n">
        <f aca="false">IF(Tabla2[[#This Row],[Frecuencia]]="Annual", Tabla2[[#This Row],[Cosecha/Tarea]]/12,Tabla2[[#This Row],[Cosecha/Tarea]])</f>
        <v>8240</v>
      </c>
      <c r="F460" s="3" t="n">
        <v>80501</v>
      </c>
      <c r="G460" s="2" t="s">
        <v>18</v>
      </c>
      <c r="H460" s="2" t="n">
        <f aca="false">F460/Tabla2[[#This Row],[Cosecha Mensual]]</f>
        <v>9.76953883495146</v>
      </c>
      <c r="I460" s="2" t="n">
        <f aca="false">H460*_xlfn.XLOOKUP(Tabla2[[#This Row],[Unidad de producción]],Tabla3[Medida],Tabla3[Equivalencia en Kg],"ELVIS",0)</f>
        <v>443.146281553398</v>
      </c>
      <c r="J460" s="2" t="n">
        <v>95.70015</v>
      </c>
      <c r="K460" s="2" t="s">
        <v>18</v>
      </c>
      <c r="L460" s="2" t="n">
        <f aca="false">J460/_xlfn.XLOOKUP(Tabla2[[#This Row],[Unidad de precio]],Tabla3[Medida],Tabla3[Equivalencia en Kg],"ELVIS",0)</f>
        <v>2.10979166666667</v>
      </c>
      <c r="M460" s="2" t="n">
        <v>1545.78</v>
      </c>
      <c r="N460" s="3" t="n">
        <f aca="false">(Tabla2[[#This Row],[Productividad (kg/TAS)]]*Tabla2[[#This Row],[Precio por kg]]-Tabla2[[#This Row],[Costos (En RD$/Tarea)]])</f>
        <v>-610.83366806432</v>
      </c>
      <c r="O460" s="9" t="n">
        <f aca="false">IF(Tabla2[[#This Row],[Costos (En RD$/Tarea)]]=0,0,Tabla2[[#This Row],[Beneficio Neto  (En RD$/Tarea)]]/Tabla2[[#This Row],[Costos (En RD$/Tarea)]])</f>
        <v>-0.395162098140952</v>
      </c>
      <c r="P460" s="7" t="n">
        <f aca="false">Tabla2[[#This Row],[Rentabilidad (%)]]/12</f>
        <v>-0.0329301748450793</v>
      </c>
    </row>
    <row r="461" customFormat="false" ht="14.25" hidden="false" customHeight="false" outlineLevel="0" collapsed="false">
      <c r="A461" s="1" t="n">
        <v>37681</v>
      </c>
      <c r="B461" s="2" t="s">
        <v>22</v>
      </c>
      <c r="C461" s="3" t="n">
        <v>4104</v>
      </c>
      <c r="D461" s="8" t="s">
        <v>17</v>
      </c>
      <c r="E461" s="3" t="n">
        <f aca="false">IF(Tabla2[[#This Row],[Frecuencia]]="Annual", Tabla2[[#This Row],[Cosecha/Tarea]]/12,Tabla2[[#This Row],[Cosecha/Tarea]])</f>
        <v>4104</v>
      </c>
      <c r="F461" s="3" t="n">
        <v>33154</v>
      </c>
      <c r="G461" s="2" t="s">
        <v>18</v>
      </c>
      <c r="H461" s="2" t="n">
        <f aca="false">F461/Tabla2[[#This Row],[Cosecha Mensual]]</f>
        <v>8.07846003898636</v>
      </c>
      <c r="I461" s="2" t="n">
        <f aca="false">H461*_xlfn.XLOOKUP(Tabla2[[#This Row],[Unidad de producción]],Tabla3[Medida],Tabla3[Equivalencia en Kg],"ELVIS",0)</f>
        <v>366.438947368421</v>
      </c>
      <c r="J461" s="2" t="n">
        <v>321.6</v>
      </c>
      <c r="K461" s="2" t="s">
        <v>18</v>
      </c>
      <c r="L461" s="2" t="n">
        <f aca="false">J461/_xlfn.XLOOKUP(Tabla2[[#This Row],[Unidad de precio]],Tabla3[Medida],Tabla3[Equivalencia en Kg],"ELVIS",0)</f>
        <v>7.08994708994709</v>
      </c>
      <c r="M461" s="2" t="n">
        <v>3985.46</v>
      </c>
      <c r="N461" s="3" t="n">
        <f aca="false">(Tabla2[[#This Row],[Productividad (kg/TAS)]]*Tabla2[[#This Row],[Precio por kg]]-Tabla2[[#This Row],[Costos (En RD$/Tarea)]])</f>
        <v>-1387.42725146199</v>
      </c>
      <c r="O461" s="9" t="n">
        <f aca="false">IF(Tabla2[[#This Row],[Costos (En RD$/Tarea)]]=0,0,Tabla2[[#This Row],[Beneficio Neto  (En RD$/Tarea)]]/Tabla2[[#This Row],[Costos (En RD$/Tarea)]])</f>
        <v>-0.348122237197711</v>
      </c>
      <c r="P461" s="7" t="n">
        <f aca="false">Tabla2[[#This Row],[Rentabilidad (%)]]/12</f>
        <v>-0.0290101864331426</v>
      </c>
    </row>
    <row r="462" customFormat="false" ht="14.25" hidden="false" customHeight="false" outlineLevel="0" collapsed="false">
      <c r="A462" s="1" t="n">
        <v>37681</v>
      </c>
      <c r="B462" s="2" t="s">
        <v>23</v>
      </c>
      <c r="C462" s="3" t="n">
        <v>2367</v>
      </c>
      <c r="D462" s="8" t="s">
        <v>17</v>
      </c>
      <c r="E462" s="3" t="n">
        <f aca="false">IF(Tabla2[[#This Row],[Frecuencia]]="Annual", Tabla2[[#This Row],[Cosecha/Tarea]]/12,Tabla2[[#This Row],[Cosecha/Tarea]])</f>
        <v>2367</v>
      </c>
      <c r="F462" s="3" t="n">
        <v>84715</v>
      </c>
      <c r="G462" s="2" t="s">
        <v>18</v>
      </c>
      <c r="H462" s="2" t="n">
        <f aca="false">F462/Tabla2[[#This Row],[Cosecha Mensual]]</f>
        <v>35.7900295732995</v>
      </c>
      <c r="I462" s="2" t="n">
        <f aca="false">H462*_xlfn.XLOOKUP(Tabla2[[#This Row],[Unidad de producción]],Tabla3[Medida],Tabla3[Equivalencia en Kg],"ELVIS",0)</f>
        <v>1623.43574144487</v>
      </c>
      <c r="J462" s="2" t="n">
        <v>258.683333333333</v>
      </c>
      <c r="K462" s="2" t="s">
        <v>18</v>
      </c>
      <c r="L462" s="2" t="n">
        <f aca="false">J462/_xlfn.XLOOKUP(Tabla2[[#This Row],[Unidad de precio]],Tabla3[Medida],Tabla3[Equivalencia en Kg],"ELVIS",0)</f>
        <v>5.70289535567313</v>
      </c>
      <c r="M462" s="2" t="n">
        <v>9309.96</v>
      </c>
      <c r="N462" s="3" t="n">
        <f aca="false">(Tabla2[[#This Row],[Productividad (kg/TAS)]]*Tabla2[[#This Row],[Precio por kg]]-Tabla2[[#This Row],[Costos (En RD$/Tarea)]])</f>
        <v>-51.6758498803101</v>
      </c>
      <c r="O462" s="9" t="n">
        <f aca="false">IF(Tabla2[[#This Row],[Costos (En RD$/Tarea)]]=0,0,Tabla2[[#This Row],[Beneficio Neto  (En RD$/Tarea)]]/Tabla2[[#This Row],[Costos (En RD$/Tarea)]])</f>
        <v>-0.00555059848595592</v>
      </c>
      <c r="P462" s="7" t="n">
        <f aca="false">Tabla2[[#This Row],[Rentabilidad (%)]]/12</f>
        <v>-0.00046254987382966</v>
      </c>
    </row>
    <row r="463" customFormat="false" ht="14.25" hidden="false" customHeight="false" outlineLevel="0" collapsed="false">
      <c r="A463" s="1" t="n">
        <v>37681</v>
      </c>
      <c r="B463" s="2" t="s">
        <v>24</v>
      </c>
      <c r="C463" s="3" t="n">
        <v>11429</v>
      </c>
      <c r="D463" s="8" t="s">
        <v>17</v>
      </c>
      <c r="E463" s="3" t="n">
        <f aca="false">IF(Tabla2[[#This Row],[Frecuencia]]="Annual", Tabla2[[#This Row],[Cosecha/Tarea]]/12,Tabla2[[#This Row],[Cosecha/Tarea]])</f>
        <v>11429</v>
      </c>
      <c r="F463" s="3" t="n">
        <v>144765</v>
      </c>
      <c r="G463" s="2" t="s">
        <v>18</v>
      </c>
      <c r="H463" s="2" t="n">
        <f aca="false">F463/Tabla2[[#This Row],[Cosecha Mensual]]</f>
        <v>12.666462507656</v>
      </c>
      <c r="I463" s="2" t="n">
        <f aca="false">H463*_xlfn.XLOOKUP(Tabla2[[#This Row],[Unidad de producción]],Tabla3[Medida],Tabla3[Equivalencia en Kg],"ELVIS",0)</f>
        <v>574.550739347274</v>
      </c>
      <c r="J463" s="2" t="n">
        <v>319.945</v>
      </c>
      <c r="K463" s="2" t="s">
        <v>18</v>
      </c>
      <c r="L463" s="2" t="n">
        <f aca="false">J463/_xlfn.XLOOKUP(Tabla2[[#This Row],[Unidad de precio]],Tabla3[Medida],Tabla3[Equivalencia en Kg],"ELVIS",0)</f>
        <v>7.05346119929453</v>
      </c>
      <c r="M463" s="2" t="n">
        <v>3188.34</v>
      </c>
      <c r="N463" s="3" t="n">
        <f aca="false">(Tabla2[[#This Row],[Productividad (kg/TAS)]]*Tabla2[[#This Row],[Precio por kg]]-Tabla2[[#This Row],[Costos (En RD$/Tarea)]])</f>
        <v>864.231347011987</v>
      </c>
      <c r="O463" s="9" t="n">
        <f aca="false">IF(Tabla2[[#This Row],[Costos (En RD$/Tarea)]]=0,0,Tabla2[[#This Row],[Beneficio Neto  (En RD$/Tarea)]]/Tabla2[[#This Row],[Costos (En RD$/Tarea)]])</f>
        <v>0.271059970709519</v>
      </c>
      <c r="P463" s="7" t="n">
        <f aca="false">Tabla2[[#This Row],[Rentabilidad (%)]]/12</f>
        <v>0.0225883308924599</v>
      </c>
    </row>
    <row r="464" customFormat="false" ht="14.25" hidden="false" customHeight="false" outlineLevel="0" collapsed="false">
      <c r="A464" s="1" t="n">
        <v>37681</v>
      </c>
      <c r="B464" s="2" t="s">
        <v>25</v>
      </c>
      <c r="C464" s="3" t="n">
        <v>19530</v>
      </c>
      <c r="D464" s="8" t="s">
        <v>17</v>
      </c>
      <c r="E464" s="3" t="n">
        <f aca="false">IF(Tabla2[[#This Row],[Frecuencia]]="Annual", Tabla2[[#This Row],[Cosecha/Tarea]]/12,Tabla2[[#This Row],[Cosecha/Tarea]])</f>
        <v>19530</v>
      </c>
      <c r="F464" s="3" t="n">
        <v>197747</v>
      </c>
      <c r="G464" s="2" t="s">
        <v>18</v>
      </c>
      <c r="H464" s="2" t="n">
        <f aca="false">F464/Tabla2[[#This Row],[Cosecha Mensual]]</f>
        <v>10.1252944188428</v>
      </c>
      <c r="I464" s="2" t="n">
        <f aca="false">H464*_xlfn.XLOOKUP(Tabla2[[#This Row],[Unidad de producción]],Tabla3[Medida],Tabla3[Equivalencia en Kg],"ELVIS",0)</f>
        <v>459.28335483871</v>
      </c>
      <c r="J464" s="2" t="n">
        <v>99.6792</v>
      </c>
      <c r="K464" s="2" t="s">
        <v>18</v>
      </c>
      <c r="L464" s="2" t="n">
        <f aca="false">J464/_xlfn.XLOOKUP(Tabla2[[#This Row],[Unidad de precio]],Tabla3[Medida],Tabla3[Equivalencia en Kg],"ELVIS",0)</f>
        <v>2.19751322751323</v>
      </c>
      <c r="M464" s="2" t="n">
        <v>1396.74</v>
      </c>
      <c r="N464" s="3" t="n">
        <f aca="false">(Tabla2[[#This Row],[Productividad (kg/TAS)]]*Tabla2[[#This Row],[Precio por kg]]-Tabla2[[#This Row],[Costos (En RD$/Tarea)]])</f>
        <v>-387.458752565284</v>
      </c>
      <c r="O464" s="9" t="n">
        <f aca="false">IF(Tabla2[[#This Row],[Costos (En RD$/Tarea)]]=0,0,Tabla2[[#This Row],[Beneficio Neto  (En RD$/Tarea)]]/Tabla2[[#This Row],[Costos (En RD$/Tarea)]])</f>
        <v>-0.277402202675719</v>
      </c>
      <c r="P464" s="7" t="n">
        <f aca="false">Tabla2[[#This Row],[Rentabilidad (%)]]/12</f>
        <v>-0.0231168502229766</v>
      </c>
    </row>
    <row r="465" customFormat="false" ht="14.25" hidden="false" customHeight="false" outlineLevel="0" collapsed="false">
      <c r="A465" s="1" t="n">
        <v>37681</v>
      </c>
      <c r="B465" s="2" t="s">
        <v>26</v>
      </c>
      <c r="C465" s="3" t="n">
        <v>8926</v>
      </c>
      <c r="D465" s="8" t="s">
        <v>17</v>
      </c>
      <c r="E465" s="3" t="n">
        <f aca="false">IF(Tabla2[[#This Row],[Frecuencia]]="Annual", Tabla2[[#This Row],[Cosecha/Tarea]]/12,Tabla2[[#This Row],[Cosecha/Tarea]])</f>
        <v>8926</v>
      </c>
      <c r="F465" s="3" t="n">
        <v>48360</v>
      </c>
      <c r="G465" s="2" t="s">
        <v>18</v>
      </c>
      <c r="H465" s="2" t="n">
        <f aca="false">F465/Tabla2[[#This Row],[Cosecha Mensual]]</f>
        <v>5.41788034954067</v>
      </c>
      <c r="I465" s="2" t="n">
        <f aca="false">H465*_xlfn.XLOOKUP(Tabla2[[#This Row],[Unidad de producción]],Tabla3[Medida],Tabla3[Equivalencia en Kg],"ELVIS",0)</f>
        <v>245.755052655165</v>
      </c>
      <c r="J465" s="2" t="n">
        <v>271.875</v>
      </c>
      <c r="K465" s="2" t="s">
        <v>18</v>
      </c>
      <c r="L465" s="2" t="n">
        <f aca="false">J465/_xlfn.XLOOKUP(Tabla2[[#This Row],[Unidad de precio]],Tabla3[Medida],Tabla3[Equivalencia en Kg],"ELVIS",0)</f>
        <v>5.99371693121693</v>
      </c>
      <c r="M465" s="2" t="n">
        <v>1217.11</v>
      </c>
      <c r="N465" s="3" t="n">
        <f aca="false">(Tabla2[[#This Row],[Productividad (kg/TAS)]]*Tabla2[[#This Row],[Precio por kg]]-Tabla2[[#This Row],[Costos (En RD$/Tarea)]])</f>
        <v>255.876220031369</v>
      </c>
      <c r="O465" s="9" t="n">
        <f aca="false">IF(Tabla2[[#This Row],[Costos (En RD$/Tarea)]]=0,0,Tabla2[[#This Row],[Beneficio Neto  (En RD$/Tarea)]]/Tabla2[[#This Row],[Costos (En RD$/Tarea)]])</f>
        <v>0.210232616633968</v>
      </c>
      <c r="P465" s="7" t="n">
        <f aca="false">Tabla2[[#This Row],[Rentabilidad (%)]]/12</f>
        <v>0.0175193847194974</v>
      </c>
    </row>
    <row r="466" customFormat="false" ht="14.25" hidden="false" customHeight="false" outlineLevel="0" collapsed="false">
      <c r="A466" s="1" t="n">
        <v>37681</v>
      </c>
      <c r="B466" s="2" t="s">
        <v>27</v>
      </c>
      <c r="C466" s="3" t="n">
        <v>3327</v>
      </c>
      <c r="D466" s="8" t="s">
        <v>17</v>
      </c>
      <c r="E466" s="3" t="n">
        <f aca="false">IF(Tabla2[[#This Row],[Frecuencia]]="Annual", Tabla2[[#This Row],[Cosecha/Tarea]]/12,Tabla2[[#This Row],[Cosecha/Tarea]])</f>
        <v>3327</v>
      </c>
      <c r="F466" s="3" t="n">
        <v>33603</v>
      </c>
      <c r="G466" s="2" t="s">
        <v>18</v>
      </c>
      <c r="H466" s="2" t="n">
        <f aca="false">F466/Tabla2[[#This Row],[Cosecha Mensual]]</f>
        <v>10.1000901713255</v>
      </c>
      <c r="I466" s="2" t="n">
        <f aca="false">H466*_xlfn.XLOOKUP(Tabla2[[#This Row],[Unidad de producción]],Tabla3[Medida],Tabla3[Equivalencia en Kg],"ELVIS",0)</f>
        <v>458.140090171326</v>
      </c>
      <c r="J466" s="2" t="n">
        <v>252.205</v>
      </c>
      <c r="K466" s="2" t="s">
        <v>18</v>
      </c>
      <c r="L466" s="2" t="n">
        <f aca="false">J466/_xlfn.XLOOKUP(Tabla2[[#This Row],[Unidad de precio]],Tabla3[Medida],Tabla3[Equivalencia en Kg],"ELVIS",0)</f>
        <v>5.56007495590829</v>
      </c>
      <c r="M466" s="2" t="n">
        <v>3938.29</v>
      </c>
      <c r="N466" s="3" t="n">
        <f aca="false">(Tabla2[[#This Row],[Productividad (kg/TAS)]]*Tabla2[[#This Row],[Precio por kg]]-Tabla2[[#This Row],[Costos (En RD$/Tarea)]])</f>
        <v>-1390.99675834085</v>
      </c>
      <c r="O466" s="9" t="n">
        <f aca="false">IF(Tabla2[[#This Row],[Costos (En RD$/Tarea)]]=0,0,Tabla2[[#This Row],[Beneficio Neto  (En RD$/Tarea)]]/Tabla2[[#This Row],[Costos (En RD$/Tarea)]])</f>
        <v>-0.353198154107709</v>
      </c>
      <c r="P466" s="7" t="n">
        <f aca="false">Tabla2[[#This Row],[Rentabilidad (%)]]/12</f>
        <v>-0.0294331795089757</v>
      </c>
    </row>
    <row r="467" customFormat="false" ht="14.25" hidden="false" customHeight="false" outlineLevel="0" collapsed="false">
      <c r="A467" s="1" t="n">
        <v>37681</v>
      </c>
      <c r="B467" s="2" t="s">
        <v>28</v>
      </c>
      <c r="C467" s="3" t="n">
        <v>4295</v>
      </c>
      <c r="D467" s="8" t="s">
        <v>17</v>
      </c>
      <c r="E467" s="3" t="n">
        <f aca="false">IF(Tabla2[[#This Row],[Frecuencia]]="Annual", Tabla2[[#This Row],[Cosecha/Tarea]]/12,Tabla2[[#This Row],[Cosecha/Tarea]])</f>
        <v>4295</v>
      </c>
      <c r="F467" s="3" t="n">
        <v>6111</v>
      </c>
      <c r="G467" s="2" t="s">
        <v>29</v>
      </c>
      <c r="H467" s="2" t="n">
        <f aca="false">F467/Tabla2[[#This Row],[Cosecha Mensual]]</f>
        <v>1.42281722933644</v>
      </c>
      <c r="I467" s="2" t="n">
        <f aca="false">H467*_xlfn.XLOOKUP(Tabla2[[#This Row],[Unidad de producción]],Tabla3[Medida],Tabla3[Equivalencia en Kg],"ELVIS",0)</f>
        <v>800.107040745052</v>
      </c>
      <c r="J467" s="2" t="n">
        <v>2566.66</v>
      </c>
      <c r="K467" s="2" t="s">
        <v>29</v>
      </c>
      <c r="L467" s="2" t="n">
        <f aca="false">J467/_xlfn.XLOOKUP(Tabla2[[#This Row],[Unidad de precio]],Tabla3[Medida],Tabla3[Equivalencia en Kg],"ELVIS",0)</f>
        <v>4.56424938649216</v>
      </c>
      <c r="M467" s="2" t="n">
        <v>7517.1463872</v>
      </c>
      <c r="N467" s="3" t="n">
        <f aca="false">(Tabla2[[#This Row],[Productividad (kg/TAS)]]*Tabla2[[#This Row],[Precio por kg]]-Tabla2[[#This Row],[Costos (En RD$/Tarea)]])</f>
        <v>-3865.25831735134</v>
      </c>
      <c r="O467" s="9" t="n">
        <f aca="false">IF(Tabla2[[#This Row],[Costos (En RD$/Tarea)]]=0,0,Tabla2[[#This Row],[Beneficio Neto  (En RD$/Tarea)]]/Tabla2[[#This Row],[Costos (En RD$/Tarea)]])</f>
        <v>-0.514192237087866</v>
      </c>
      <c r="P467" s="7" t="n">
        <f aca="false">Tabla2[[#This Row],[Rentabilidad (%)]]/12</f>
        <v>-0.0428493530906555</v>
      </c>
    </row>
    <row r="468" customFormat="false" ht="14.25" hidden="false" customHeight="false" outlineLevel="0" collapsed="false">
      <c r="A468" s="1" t="n">
        <v>37681</v>
      </c>
      <c r="B468" s="2" t="s">
        <v>30</v>
      </c>
      <c r="C468" s="3" t="n">
        <v>234278</v>
      </c>
      <c r="D468" s="3" t="s">
        <v>31</v>
      </c>
      <c r="E468" s="3" t="n">
        <f aca="false">IF(Tabla2[[#This Row],[Frecuencia]]="Annual", Tabla2[[#This Row],[Cosecha/Tarea]]/12,Tabla2[[#This Row],[Cosecha/Tarea]])</f>
        <v>19523.1666666667</v>
      </c>
      <c r="F468" s="3" t="n">
        <v>1516989</v>
      </c>
      <c r="G468" s="2" t="s">
        <v>32</v>
      </c>
      <c r="H468" s="2" t="n">
        <f aca="false">F468/Tabla2[[#This Row],[Cosecha Mensual]]</f>
        <v>77.7019950656912</v>
      </c>
      <c r="I468" s="2" t="n">
        <f aca="false">H468*_xlfn.XLOOKUP(Tabla2[[#This Row],[Unidad de producción]],Tabla3[Medida],Tabla3[Equivalencia en Kg],"ELVIS",0)</f>
        <v>2114.27128573746</v>
      </c>
      <c r="J468" s="2" t="n">
        <v>31.276</v>
      </c>
      <c r="K468" s="2" t="s">
        <v>32</v>
      </c>
      <c r="L468" s="2" t="n">
        <f aca="false">J468/_xlfn.XLOOKUP(Tabla2[[#This Row],[Unidad de precio]],Tabla3[Medida],Tabla3[Equivalencia en Kg],"ELVIS",0)</f>
        <v>1.14943035648659</v>
      </c>
      <c r="M468" s="3" t="n">
        <v>6435.96</v>
      </c>
      <c r="N468" s="3" t="n">
        <f aca="false">(Tabla2[[#This Row],[Productividad (kg/TAS)]]*Tabla2[[#This Row],[Precio por kg]]-Tabla2[[#This Row],[Costos (En RD$/Tarea)]])</f>
        <v>-4005.75240232544</v>
      </c>
      <c r="O468" s="9" t="n">
        <f aca="false">IF(Tabla2[[#This Row],[Costos (En RD$/Tarea)]]=0,0,Tabla2[[#This Row],[Beneficio Neto  (En RD$/Tarea)]]/Tabla2[[#This Row],[Costos (En RD$/Tarea)]])</f>
        <v>-0.622401693348847</v>
      </c>
      <c r="P468" s="7" t="n">
        <f aca="false">Tabla2[[#This Row],[Rentabilidad (%)]]/12</f>
        <v>-0.0518668077790705</v>
      </c>
    </row>
    <row r="469" customFormat="false" ht="14.25" hidden="false" customHeight="false" outlineLevel="0" collapsed="false">
      <c r="A469" s="1" t="n">
        <v>37681</v>
      </c>
      <c r="B469" s="2" t="s">
        <v>33</v>
      </c>
      <c r="C469" s="3" t="n">
        <v>672318</v>
      </c>
      <c r="D469" s="3" t="s">
        <v>31</v>
      </c>
      <c r="E469" s="3" t="n">
        <f aca="false">IF(Tabla2[[#This Row],[Frecuencia]]="Annual", Tabla2[[#This Row],[Cosecha/Tarea]]/12,Tabla2[[#This Row],[Cosecha/Tarea]])</f>
        <v>56026.5</v>
      </c>
      <c r="F469" s="3" t="n">
        <v>94843</v>
      </c>
      <c r="G469" s="2" t="s">
        <v>34</v>
      </c>
      <c r="H469" s="2" t="n">
        <f aca="false">F469/Tabla2[[#This Row],[Cosecha Mensual]]</f>
        <v>1.6928239315324</v>
      </c>
      <c r="I469" s="2" t="n">
        <f aca="false">H469*_xlfn.XLOOKUP(Tabla2[[#This Row],[Unidad de producción]],Tabla3[Medida],Tabla3[Equivalencia en Kg],"ELVIS",0)</f>
        <v>690.926087654949</v>
      </c>
      <c r="J469" s="2" t="n">
        <v>1379.15666666667</v>
      </c>
      <c r="K469" s="2" t="s">
        <v>34</v>
      </c>
      <c r="L469" s="2" t="n">
        <f aca="false">J469/_xlfn.XLOOKUP(Tabla2[[#This Row],[Unidad de precio]],Tabla3[Medida],Tabla3[Equivalencia en Kg],"ELVIS",0)</f>
        <v>3.37904365225204</v>
      </c>
      <c r="M469" s="3" t="n">
        <v>8666.64</v>
      </c>
      <c r="N469" s="3" t="n">
        <f aca="false">(Tabla2[[#This Row],[Productividad (kg/TAS)]]*Tabla2[[#This Row],[Precio por kg]]-Tabla2[[#This Row],[Costos (En RD$/Tarea)]])</f>
        <v>-6331.97058933421</v>
      </c>
      <c r="O469" s="9" t="n">
        <f aca="false">IF(Tabla2[[#This Row],[Costos (En RD$/Tarea)]]=0,0,Tabla2[[#This Row],[Beneficio Neto  (En RD$/Tarea)]]/Tabla2[[#This Row],[Costos (En RD$/Tarea)]])</f>
        <v>-0.730614239120837</v>
      </c>
      <c r="P469" s="7" t="n">
        <f aca="false">Tabla2[[#This Row],[Rentabilidad (%)]]/12</f>
        <v>-0.0608845199267364</v>
      </c>
    </row>
    <row r="470" customFormat="false" ht="14.25" hidden="false" customHeight="false" outlineLevel="0" collapsed="false">
      <c r="A470" s="1" t="n">
        <v>37712</v>
      </c>
      <c r="B470" s="2" t="s">
        <v>16</v>
      </c>
      <c r="C470" s="3" t="n">
        <v>3927</v>
      </c>
      <c r="D470" s="8" t="s">
        <v>17</v>
      </c>
      <c r="E470" s="3" t="n">
        <f aca="false">IF(Tabla2[[#This Row],[Frecuencia]]="Annual", Tabla2[[#This Row],[Cosecha/Tarea]]/12,Tabla2[[#This Row],[Cosecha/Tarea]])</f>
        <v>3927</v>
      </c>
      <c r="F470" s="3" t="n">
        <v>12643</v>
      </c>
      <c r="G470" s="2" t="s">
        <v>18</v>
      </c>
      <c r="H470" s="2" t="n">
        <f aca="false">F470/Tabla2[[#This Row],[Cosecha Mensual]]</f>
        <v>3.21950598421187</v>
      </c>
      <c r="I470" s="2" t="n">
        <f aca="false">H470*_xlfn.XLOOKUP(Tabla2[[#This Row],[Unidad de producción]],Tabla3[Medida],Tabla3[Equivalencia en Kg],"ELVIS",0)</f>
        <v>146.03679144385</v>
      </c>
      <c r="J470" s="2" t="n">
        <v>919.69196919692</v>
      </c>
      <c r="K470" s="2" t="s">
        <v>19</v>
      </c>
      <c r="L470" s="2" t="n">
        <f aca="false">J470/_xlfn.XLOOKUP(Tabla2[[#This Row],[Unidad de precio]],Tabla3[Medida],Tabla3[Equivalencia en Kg],"ELVIS",0)</f>
        <v>8.36083608360836</v>
      </c>
      <c r="M470" s="2" t="n">
        <v>4275.41</v>
      </c>
      <c r="N470" s="3" t="n">
        <f aca="false">(Tabla2[[#This Row],[Productividad (kg/TAS)]]*Tabla2[[#This Row],[Precio por kg]]-Tabla2[[#This Row],[Costos (En RD$/Tarea)]])</f>
        <v>-3054.42032456187</v>
      </c>
      <c r="O470" s="9" t="n">
        <f aca="false">IF(Tabla2[[#This Row],[Costos (En RD$/Tarea)]]=0,0,Tabla2[[#This Row],[Beneficio Neto  (En RD$/Tarea)]]/Tabla2[[#This Row],[Costos (En RD$/Tarea)]])</f>
        <v>-0.71441576937928</v>
      </c>
      <c r="P470" s="7" t="n">
        <f aca="false">Tabla2[[#This Row],[Rentabilidad (%)]]/12</f>
        <v>-0.0595346474482733</v>
      </c>
    </row>
    <row r="471" customFormat="false" ht="14.25" hidden="false" customHeight="false" outlineLevel="0" collapsed="false">
      <c r="A471" s="1" t="n">
        <v>37712</v>
      </c>
      <c r="B471" s="2" t="s">
        <v>20</v>
      </c>
      <c r="C471" s="3" t="n">
        <v>36498</v>
      </c>
      <c r="D471" s="8" t="s">
        <v>17</v>
      </c>
      <c r="E471" s="3" t="n">
        <f aca="false">IF(Tabla2[[#This Row],[Frecuencia]]="Annual", Tabla2[[#This Row],[Cosecha/Tarea]]/12,Tabla2[[#This Row],[Cosecha/Tarea]])</f>
        <v>36498</v>
      </c>
      <c r="F471" s="3" t="n">
        <v>79666</v>
      </c>
      <c r="G471" s="2" t="s">
        <v>18</v>
      </c>
      <c r="H471" s="2" t="n">
        <f aca="false">F471/Tabla2[[#This Row],[Cosecha Mensual]]</f>
        <v>2.18274973971177</v>
      </c>
      <c r="I471" s="2" t="n">
        <f aca="false">H471*_xlfn.XLOOKUP(Tabla2[[#This Row],[Unidad de producción]],Tabla3[Medida],Tabla3[Equivalencia en Kg],"ELVIS",0)</f>
        <v>99.0095281933257</v>
      </c>
      <c r="J471" s="2" t="n">
        <v>163.022</v>
      </c>
      <c r="K471" s="2" t="s">
        <v>18</v>
      </c>
      <c r="L471" s="2" t="n">
        <f aca="false">J471/_xlfn.XLOOKUP(Tabla2[[#This Row],[Unidad de precio]],Tabla3[Medida],Tabla3[Equivalencia en Kg],"ELVIS",0)</f>
        <v>3.5939594356261</v>
      </c>
      <c r="M471" s="2" t="n">
        <v>938.62</v>
      </c>
      <c r="N471" s="3" t="n">
        <f aca="false">(Tabla2[[#This Row],[Productividad (kg/TAS)]]*Tabla2[[#This Row],[Precio por kg]]-Tabla2[[#This Row],[Costos (En RD$/Tarea)]])</f>
        <v>-582.783771932709</v>
      </c>
      <c r="O471" s="9" t="n">
        <f aca="false">IF(Tabla2[[#This Row],[Costos (En RD$/Tarea)]]=0,0,Tabla2[[#This Row],[Beneficio Neto  (En RD$/Tarea)]]/Tabla2[[#This Row],[Costos (En RD$/Tarea)]])</f>
        <v>-0.620894261716891</v>
      </c>
      <c r="P471" s="7" t="n">
        <f aca="false">Tabla2[[#This Row],[Rentabilidad (%)]]/12</f>
        <v>-0.0517411884764076</v>
      </c>
    </row>
    <row r="472" customFormat="false" ht="14.25" hidden="false" customHeight="false" outlineLevel="0" collapsed="false">
      <c r="A472" s="1" t="n">
        <v>37712</v>
      </c>
      <c r="B472" s="2" t="s">
        <v>21</v>
      </c>
      <c r="C472" s="3" t="n">
        <v>7027</v>
      </c>
      <c r="D472" s="8" t="s">
        <v>17</v>
      </c>
      <c r="E472" s="3" t="n">
        <f aca="false">IF(Tabla2[[#This Row],[Frecuencia]]="Annual", Tabla2[[#This Row],[Cosecha/Tarea]]/12,Tabla2[[#This Row],[Cosecha/Tarea]])</f>
        <v>7027</v>
      </c>
      <c r="F472" s="3" t="n">
        <v>69939</v>
      </c>
      <c r="G472" s="2" t="s">
        <v>18</v>
      </c>
      <c r="H472" s="2" t="n">
        <f aca="false">F472/Tabla2[[#This Row],[Cosecha Mensual]]</f>
        <v>9.95289597267682</v>
      </c>
      <c r="I472" s="2" t="n">
        <f aca="false">H472*_xlfn.XLOOKUP(Tabla2[[#This Row],[Unidad de producción]],Tabla3[Medida],Tabla3[Equivalencia en Kg],"ELVIS",0)</f>
        <v>451.46336132062</v>
      </c>
      <c r="J472" s="2" t="n">
        <v>109.565625</v>
      </c>
      <c r="K472" s="2" t="s">
        <v>18</v>
      </c>
      <c r="L472" s="2" t="n">
        <f aca="false">J472/_xlfn.XLOOKUP(Tabla2[[#This Row],[Unidad de precio]],Tabla3[Medida],Tabla3[Equivalencia en Kg],"ELVIS",0)</f>
        <v>2.41546792328042</v>
      </c>
      <c r="M472" s="2" t="n">
        <v>1545.78</v>
      </c>
      <c r="N472" s="3" t="n">
        <f aca="false">(Tabla2[[#This Row],[Productividad (kg/TAS)]]*Tabla2[[#This Row],[Precio por kg]]-Tabla2[[#This Row],[Costos (En RD$/Tarea)]])</f>
        <v>-455.284732193682</v>
      </c>
      <c r="O472" s="9" t="n">
        <f aca="false">IF(Tabla2[[#This Row],[Costos (En RD$/Tarea)]]=0,0,Tabla2[[#This Row],[Beneficio Neto  (En RD$/Tarea)]]/Tabla2[[#This Row],[Costos (En RD$/Tarea)]])</f>
        <v>-0.294533977793529</v>
      </c>
      <c r="P472" s="7" t="n">
        <f aca="false">Tabla2[[#This Row],[Rentabilidad (%)]]/12</f>
        <v>-0.0245444981494608</v>
      </c>
    </row>
    <row r="473" customFormat="false" ht="14.25" hidden="false" customHeight="false" outlineLevel="0" collapsed="false">
      <c r="A473" s="1" t="n">
        <v>37712</v>
      </c>
      <c r="B473" s="2" t="s">
        <v>22</v>
      </c>
      <c r="C473" s="3" t="n">
        <v>4494</v>
      </c>
      <c r="D473" s="8" t="s">
        <v>17</v>
      </c>
      <c r="E473" s="3" t="n">
        <f aca="false">IF(Tabla2[[#This Row],[Frecuencia]]="Annual", Tabla2[[#This Row],[Cosecha/Tarea]]/12,Tabla2[[#This Row],[Cosecha/Tarea]])</f>
        <v>4494</v>
      </c>
      <c r="F473" s="3" t="n">
        <v>40314</v>
      </c>
      <c r="G473" s="2" t="s">
        <v>18</v>
      </c>
      <c r="H473" s="2" t="n">
        <f aca="false">F473/Tabla2[[#This Row],[Cosecha Mensual]]</f>
        <v>8.97062750333778</v>
      </c>
      <c r="I473" s="2" t="n">
        <f aca="false">H473*_xlfn.XLOOKUP(Tabla2[[#This Row],[Unidad de producción]],Tabla3[Medida],Tabla3[Equivalencia en Kg],"ELVIS",0)</f>
        <v>406.907663551402</v>
      </c>
      <c r="J473" s="2" t="n">
        <v>354.825</v>
      </c>
      <c r="K473" s="2" t="s">
        <v>18</v>
      </c>
      <c r="L473" s="2" t="n">
        <f aca="false">J473/_xlfn.XLOOKUP(Tabla2[[#This Row],[Unidad de precio]],Tabla3[Medida],Tabla3[Equivalencia en Kg],"ELVIS",0)</f>
        <v>7.82242063492063</v>
      </c>
      <c r="M473" s="2" t="n">
        <v>3985.46</v>
      </c>
      <c r="N473" s="3" t="n">
        <f aca="false">(Tabla2[[#This Row],[Productividad (kg/TAS)]]*Tabla2[[#This Row],[Precio por kg]]-Tabla2[[#This Row],[Costos (En RD$/Tarea)]])</f>
        <v>-802.457096128171</v>
      </c>
      <c r="O473" s="9" t="n">
        <f aca="false">IF(Tabla2[[#This Row],[Costos (En RD$/Tarea)]]=0,0,Tabla2[[#This Row],[Beneficio Neto  (En RD$/Tarea)]]/Tabla2[[#This Row],[Costos (En RD$/Tarea)]])</f>
        <v>-0.201346167350361</v>
      </c>
      <c r="P473" s="7" t="n">
        <f aca="false">Tabla2[[#This Row],[Rentabilidad (%)]]/12</f>
        <v>-0.0167788472791968</v>
      </c>
    </row>
    <row r="474" customFormat="false" ht="14.25" hidden="false" customHeight="false" outlineLevel="0" collapsed="false">
      <c r="A474" s="1" t="n">
        <v>37712</v>
      </c>
      <c r="B474" s="2" t="s">
        <v>23</v>
      </c>
      <c r="C474" s="3" t="n">
        <v>3282</v>
      </c>
      <c r="D474" s="8" t="s">
        <v>17</v>
      </c>
      <c r="E474" s="3" t="n">
        <f aca="false">IF(Tabla2[[#This Row],[Frecuencia]]="Annual", Tabla2[[#This Row],[Cosecha/Tarea]]/12,Tabla2[[#This Row],[Cosecha/Tarea]])</f>
        <v>3282</v>
      </c>
      <c r="F474" s="3" t="n">
        <v>103473</v>
      </c>
      <c r="G474" s="2" t="s">
        <v>18</v>
      </c>
      <c r="H474" s="2" t="n">
        <f aca="false">F474/Tabla2[[#This Row],[Cosecha Mensual]]</f>
        <v>31.5274223034735</v>
      </c>
      <c r="I474" s="2" t="n">
        <f aca="false">H474*_xlfn.XLOOKUP(Tabla2[[#This Row],[Unidad de producción]],Tabla3[Medida],Tabla3[Equivalencia en Kg],"ELVIS",0)</f>
        <v>1430.08387568556</v>
      </c>
      <c r="J474" s="2" t="n">
        <v>196.35</v>
      </c>
      <c r="K474" s="2" t="s">
        <v>18</v>
      </c>
      <c r="L474" s="2" t="n">
        <f aca="false">J474/_xlfn.XLOOKUP(Tabla2[[#This Row],[Unidad de precio]],Tabla3[Medida],Tabla3[Equivalencia en Kg],"ELVIS",0)</f>
        <v>4.3287037037037</v>
      </c>
      <c r="M474" s="2" t="n">
        <v>9309.96</v>
      </c>
      <c r="N474" s="3" t="n">
        <f aca="false">(Tabla2[[#This Row],[Productividad (kg/TAS)]]*Tabla2[[#This Row],[Precio por kg]]-Tabla2[[#This Row],[Costos (En RD$/Tarea)]])</f>
        <v>-3119.55063071298</v>
      </c>
      <c r="O474" s="9" t="n">
        <f aca="false">IF(Tabla2[[#This Row],[Costos (En RD$/Tarea)]]=0,0,Tabla2[[#This Row],[Beneficio Neto  (En RD$/Tarea)]]/Tabla2[[#This Row],[Costos (En RD$/Tarea)]])</f>
        <v>-0.335076695357765</v>
      </c>
      <c r="P474" s="7" t="n">
        <f aca="false">Tabla2[[#This Row],[Rentabilidad (%)]]/12</f>
        <v>-0.0279230579464804</v>
      </c>
    </row>
    <row r="475" customFormat="false" ht="14.25" hidden="false" customHeight="false" outlineLevel="0" collapsed="false">
      <c r="A475" s="1" t="n">
        <v>37712</v>
      </c>
      <c r="B475" s="2" t="s">
        <v>24</v>
      </c>
      <c r="C475" s="3" t="n">
        <v>11288</v>
      </c>
      <c r="D475" s="8" t="s">
        <v>17</v>
      </c>
      <c r="E475" s="3" t="n">
        <f aca="false">IF(Tabla2[[#This Row],[Frecuencia]]="Annual", Tabla2[[#This Row],[Cosecha/Tarea]]/12,Tabla2[[#This Row],[Cosecha/Tarea]])</f>
        <v>11288</v>
      </c>
      <c r="F475" s="3" t="n">
        <v>154713</v>
      </c>
      <c r="G475" s="2" t="s">
        <v>18</v>
      </c>
      <c r="H475" s="2" t="n">
        <f aca="false">F475/Tabla2[[#This Row],[Cosecha Mensual]]</f>
        <v>13.7059709425939</v>
      </c>
      <c r="I475" s="2" t="n">
        <f aca="false">H475*_xlfn.XLOOKUP(Tabla2[[#This Row],[Unidad de producción]],Tabla3[Medida],Tabla3[Equivalencia en Kg],"ELVIS",0)</f>
        <v>621.70284195606</v>
      </c>
      <c r="J475" s="2" t="n">
        <v>330</v>
      </c>
      <c r="K475" s="2" t="s">
        <v>18</v>
      </c>
      <c r="L475" s="2" t="n">
        <f aca="false">J475/_xlfn.XLOOKUP(Tabla2[[#This Row],[Unidad de precio]],Tabla3[Medida],Tabla3[Equivalencia en Kg],"ELVIS",0)</f>
        <v>7.27513227513228</v>
      </c>
      <c r="M475" s="2" t="n">
        <v>3188.34</v>
      </c>
      <c r="N475" s="3" t="n">
        <f aca="false">(Tabla2[[#This Row],[Productividad (kg/TAS)]]*Tabla2[[#This Row],[Precio por kg]]-Tabla2[[#This Row],[Costos (En RD$/Tarea)]])</f>
        <v>1334.63041105599</v>
      </c>
      <c r="O475" s="9" t="n">
        <f aca="false">IF(Tabla2[[#This Row],[Costos (En RD$/Tarea)]]=0,0,Tabla2[[#This Row],[Beneficio Neto  (En RD$/Tarea)]]/Tabla2[[#This Row],[Costos (En RD$/Tarea)]])</f>
        <v>0.41859726724753</v>
      </c>
      <c r="P475" s="7" t="n">
        <f aca="false">Tabla2[[#This Row],[Rentabilidad (%)]]/12</f>
        <v>0.0348831056039608</v>
      </c>
    </row>
    <row r="476" customFormat="false" ht="14.25" hidden="false" customHeight="false" outlineLevel="0" collapsed="false">
      <c r="A476" s="1" t="n">
        <v>37712</v>
      </c>
      <c r="B476" s="2" t="s">
        <v>25</v>
      </c>
      <c r="C476" s="3" t="n">
        <v>25732</v>
      </c>
      <c r="D476" s="8" t="s">
        <v>17</v>
      </c>
      <c r="E476" s="3" t="n">
        <f aca="false">IF(Tabla2[[#This Row],[Frecuencia]]="Annual", Tabla2[[#This Row],[Cosecha/Tarea]]/12,Tabla2[[#This Row],[Cosecha/Tarea]])</f>
        <v>25732</v>
      </c>
      <c r="F476" s="3" t="n">
        <v>262365</v>
      </c>
      <c r="G476" s="2" t="s">
        <v>18</v>
      </c>
      <c r="H476" s="2" t="n">
        <f aca="false">F476/Tabla2[[#This Row],[Cosecha Mensual]]</f>
        <v>10.1960593813151</v>
      </c>
      <c r="I476" s="2" t="n">
        <f aca="false">H476*_xlfn.XLOOKUP(Tabla2[[#This Row],[Unidad de producción]],Tabla3[Medida],Tabla3[Equivalencia en Kg],"ELVIS",0)</f>
        <v>462.493253536453</v>
      </c>
      <c r="J476" s="2" t="n">
        <v>93.7404</v>
      </c>
      <c r="K476" s="2" t="s">
        <v>18</v>
      </c>
      <c r="L476" s="2" t="n">
        <f aca="false">J476/_xlfn.XLOOKUP(Tabla2[[#This Row],[Unidad de precio]],Tabla3[Medida],Tabla3[Equivalencia en Kg],"ELVIS",0)</f>
        <v>2.0665873015873</v>
      </c>
      <c r="M476" s="2" t="n">
        <v>1396.74</v>
      </c>
      <c r="N476" s="3" t="n">
        <f aca="false">(Tabla2[[#This Row],[Productividad (kg/TAS)]]*Tabla2[[#This Row],[Precio por kg]]-Tabla2[[#This Row],[Costos (En RD$/Tarea)]])</f>
        <v>-440.957315171771</v>
      </c>
      <c r="O476" s="9" t="n">
        <f aca="false">IF(Tabla2[[#This Row],[Costos (En RD$/Tarea)]]=0,0,Tabla2[[#This Row],[Beneficio Neto  (En RD$/Tarea)]]/Tabla2[[#This Row],[Costos (En RD$/Tarea)]])</f>
        <v>-0.315704651668722</v>
      </c>
      <c r="P476" s="7" t="n">
        <f aca="false">Tabla2[[#This Row],[Rentabilidad (%)]]/12</f>
        <v>-0.0263087209723935</v>
      </c>
    </row>
    <row r="477" customFormat="false" ht="14.25" hidden="false" customHeight="false" outlineLevel="0" collapsed="false">
      <c r="A477" s="1" t="n">
        <v>37712</v>
      </c>
      <c r="B477" s="2" t="s">
        <v>26</v>
      </c>
      <c r="C477" s="3" t="n">
        <v>9061</v>
      </c>
      <c r="D477" s="8" t="s">
        <v>17</v>
      </c>
      <c r="E477" s="3" t="n">
        <f aca="false">IF(Tabla2[[#This Row],[Frecuencia]]="Annual", Tabla2[[#This Row],[Cosecha/Tarea]]/12,Tabla2[[#This Row],[Cosecha/Tarea]])</f>
        <v>9061</v>
      </c>
      <c r="F477" s="3" t="n">
        <v>59712</v>
      </c>
      <c r="G477" s="2" t="s">
        <v>18</v>
      </c>
      <c r="H477" s="2" t="n">
        <f aca="false">F477/Tabla2[[#This Row],[Cosecha Mensual]]</f>
        <v>6.59000110363095</v>
      </c>
      <c r="I477" s="2" t="n">
        <f aca="false">H477*_xlfn.XLOOKUP(Tabla2[[#This Row],[Unidad de producción]],Tabla3[Medida],Tabla3[Equivalencia en Kg],"ELVIS",0)</f>
        <v>298.9224500607</v>
      </c>
      <c r="J477" s="2" t="n">
        <v>256.25</v>
      </c>
      <c r="K477" s="2" t="s">
        <v>18</v>
      </c>
      <c r="L477" s="2" t="n">
        <f aca="false">J477/_xlfn.XLOOKUP(Tabla2[[#This Row],[Unidad de precio]],Tabla3[Medida],Tabla3[Equivalencia en Kg],"ELVIS",0)</f>
        <v>5.64925044091711</v>
      </c>
      <c r="M477" s="2" t="n">
        <v>1217.11</v>
      </c>
      <c r="N477" s="3" t="n">
        <f aca="false">(Tabla2[[#This Row],[Productividad (kg/TAS)]]*Tabla2[[#This Row],[Precio por kg]]-Tabla2[[#This Row],[Costos (En RD$/Tarea)]])</f>
        <v>471.57778280543</v>
      </c>
      <c r="O477" s="9" t="n">
        <f aca="false">IF(Tabla2[[#This Row],[Costos (En RD$/Tarea)]]=0,0,Tabla2[[#This Row],[Beneficio Neto  (En RD$/Tarea)]]/Tabla2[[#This Row],[Costos (En RD$/Tarea)]])</f>
        <v>0.38745699468859</v>
      </c>
      <c r="P477" s="7" t="n">
        <f aca="false">Tabla2[[#This Row],[Rentabilidad (%)]]/12</f>
        <v>0.0322880828907159</v>
      </c>
    </row>
    <row r="478" customFormat="false" ht="14.25" hidden="false" customHeight="false" outlineLevel="0" collapsed="false">
      <c r="A478" s="1" t="n">
        <v>37712</v>
      </c>
      <c r="B478" s="2" t="s">
        <v>27</v>
      </c>
      <c r="C478" s="3" t="n">
        <v>3901</v>
      </c>
      <c r="D478" s="8" t="s">
        <v>17</v>
      </c>
      <c r="E478" s="3" t="n">
        <f aca="false">IF(Tabla2[[#This Row],[Frecuencia]]="Annual", Tabla2[[#This Row],[Cosecha/Tarea]]/12,Tabla2[[#This Row],[Cosecha/Tarea]])</f>
        <v>3901</v>
      </c>
      <c r="F478" s="3" t="n">
        <v>38620</v>
      </c>
      <c r="G478" s="2" t="s">
        <v>18</v>
      </c>
      <c r="H478" s="2" t="n">
        <f aca="false">F478/Tabla2[[#This Row],[Cosecha Mensual]]</f>
        <v>9.90002563445271</v>
      </c>
      <c r="I478" s="2" t="n">
        <f aca="false">H478*_xlfn.XLOOKUP(Tabla2[[#This Row],[Unidad de producción]],Tabla3[Medida],Tabla3[Equivalencia en Kg],"ELVIS",0)</f>
        <v>449.065162778775</v>
      </c>
      <c r="J478" s="2" t="n">
        <v>213.9375</v>
      </c>
      <c r="K478" s="2" t="s">
        <v>18</v>
      </c>
      <c r="L478" s="2" t="n">
        <f aca="false">J478/_xlfn.XLOOKUP(Tabla2[[#This Row],[Unidad de precio]],Tabla3[Medida],Tabla3[Equivalencia en Kg],"ELVIS",0)</f>
        <v>4.71643518518519</v>
      </c>
      <c r="M478" s="2" t="n">
        <v>3938.29</v>
      </c>
      <c r="N478" s="3" t="n">
        <f aca="false">(Tabla2[[#This Row],[Productividad (kg/TAS)]]*Tabla2[[#This Row],[Precio por kg]]-Tabla2[[#This Row],[Costos (En RD$/Tarea)]])</f>
        <v>-1820.30326582927</v>
      </c>
      <c r="O478" s="9" t="n">
        <f aca="false">IF(Tabla2[[#This Row],[Costos (En RD$/Tarea)]]=0,0,Tabla2[[#This Row],[Beneficio Neto  (En RD$/Tarea)]]/Tabla2[[#This Row],[Costos (En RD$/Tarea)]])</f>
        <v>-0.462206507349452</v>
      </c>
      <c r="P478" s="7" t="n">
        <f aca="false">Tabla2[[#This Row],[Rentabilidad (%)]]/12</f>
        <v>-0.0385172089457877</v>
      </c>
    </row>
    <row r="479" customFormat="false" ht="14.25" hidden="false" customHeight="false" outlineLevel="0" collapsed="false">
      <c r="A479" s="1" t="n">
        <v>37712</v>
      </c>
      <c r="B479" s="2" t="s">
        <v>28</v>
      </c>
      <c r="C479" s="3" t="n">
        <v>3306</v>
      </c>
      <c r="D479" s="8" t="s">
        <v>17</v>
      </c>
      <c r="E479" s="3" t="n">
        <f aca="false">IF(Tabla2[[#This Row],[Frecuencia]]="Annual", Tabla2[[#This Row],[Cosecha/Tarea]]/12,Tabla2[[#This Row],[Cosecha/Tarea]])</f>
        <v>3306</v>
      </c>
      <c r="F479" s="3" t="n">
        <v>4879</v>
      </c>
      <c r="G479" s="2" t="s">
        <v>29</v>
      </c>
      <c r="H479" s="2" t="n">
        <f aca="false">F479/Tabla2[[#This Row],[Cosecha Mensual]]</f>
        <v>1.47580157289776</v>
      </c>
      <c r="I479" s="2" t="n">
        <f aca="false">H479*_xlfn.XLOOKUP(Tabla2[[#This Row],[Unidad de producción]],Tabla3[Medida],Tabla3[Equivalencia en Kg],"ELVIS",0)</f>
        <v>829.902256503327</v>
      </c>
      <c r="J479" s="2" t="n">
        <v>2800</v>
      </c>
      <c r="K479" s="2" t="s">
        <v>29</v>
      </c>
      <c r="L479" s="2" t="n">
        <f aca="false">J479/_xlfn.XLOOKUP(Tabla2[[#This Row],[Unidad de precio]],Tabla3[Medida],Tabla3[Equivalencia en Kg],"ELVIS",0)</f>
        <v>4.97919408187218</v>
      </c>
      <c r="M479" s="2" t="n">
        <v>7517.1463872</v>
      </c>
      <c r="N479" s="3" t="n">
        <f aca="false">(Tabla2[[#This Row],[Productividad (kg/TAS)]]*Tabla2[[#This Row],[Precio por kg]]-Tabla2[[#This Row],[Costos (En RD$/Tarea)]])</f>
        <v>-3384.90198308627</v>
      </c>
      <c r="O479" s="9" t="n">
        <f aca="false">IF(Tabla2[[#This Row],[Costos (En RD$/Tarea)]]=0,0,Tabla2[[#This Row],[Beneficio Neto  (En RD$/Tarea)]]/Tabla2[[#This Row],[Costos (En RD$/Tarea)]])</f>
        <v>-0.450290816319606</v>
      </c>
      <c r="P479" s="7" t="n">
        <f aca="false">Tabla2[[#This Row],[Rentabilidad (%)]]/12</f>
        <v>-0.0375242346933005</v>
      </c>
    </row>
    <row r="480" customFormat="false" ht="14.25" hidden="false" customHeight="false" outlineLevel="0" collapsed="false">
      <c r="A480" s="1" t="n">
        <v>37712</v>
      </c>
      <c r="B480" s="2" t="s">
        <v>30</v>
      </c>
      <c r="C480" s="3" t="n">
        <v>223322</v>
      </c>
      <c r="D480" s="3" t="s">
        <v>31</v>
      </c>
      <c r="E480" s="3" t="n">
        <f aca="false">IF(Tabla2[[#This Row],[Frecuencia]]="Annual", Tabla2[[#This Row],[Cosecha/Tarea]]/12,Tabla2[[#This Row],[Cosecha/Tarea]])</f>
        <v>18610.1666666667</v>
      </c>
      <c r="F480" s="3" t="n">
        <v>1514711</v>
      </c>
      <c r="G480" s="2" t="s">
        <v>32</v>
      </c>
      <c r="H480" s="2" t="n">
        <f aca="false">F480/Tabla2[[#This Row],[Cosecha Mensual]]</f>
        <v>81.39158703576</v>
      </c>
      <c r="I480" s="2" t="n">
        <f aca="false">H480*_xlfn.XLOOKUP(Tabla2[[#This Row],[Unidad de producción]],Tabla3[Medida],Tabla3[Equivalencia en Kg],"ELVIS",0)</f>
        <v>2214.66508324303</v>
      </c>
      <c r="J480" s="2" t="n">
        <v>29.3875</v>
      </c>
      <c r="K480" s="2" t="s">
        <v>32</v>
      </c>
      <c r="L480" s="2" t="n">
        <f aca="false">J480/_xlfn.XLOOKUP(Tabla2[[#This Row],[Unidad de precio]],Tabla3[Medida],Tabla3[Equivalencia en Kg],"ELVIS",0)</f>
        <v>1.08002572583609</v>
      </c>
      <c r="M480" s="3" t="n">
        <v>6435.96</v>
      </c>
      <c r="N480" s="3" t="n">
        <f aca="false">(Tabla2[[#This Row],[Productividad (kg/TAS)]]*Tabla2[[#This Row],[Precio por kg]]-Tabla2[[#This Row],[Costos (En RD$/Tarea)]])</f>
        <v>-4044.0647359866</v>
      </c>
      <c r="O480" s="9" t="n">
        <f aca="false">IF(Tabla2[[#This Row],[Costos (En RD$/Tarea)]]=0,0,Tabla2[[#This Row],[Beneficio Neto  (En RD$/Tarea)]]/Tabla2[[#This Row],[Costos (En RD$/Tarea)]])</f>
        <v>-0.628354547881995</v>
      </c>
      <c r="P480" s="7" t="n">
        <f aca="false">Tabla2[[#This Row],[Rentabilidad (%)]]/12</f>
        <v>-0.0523628789901662</v>
      </c>
    </row>
    <row r="481" customFormat="false" ht="14.25" hidden="false" customHeight="false" outlineLevel="0" collapsed="false">
      <c r="A481" s="1" t="n">
        <v>37712</v>
      </c>
      <c r="B481" s="2" t="s">
        <v>33</v>
      </c>
      <c r="C481" s="3" t="n">
        <v>682792</v>
      </c>
      <c r="D481" s="3" t="s">
        <v>31</v>
      </c>
      <c r="E481" s="3" t="n">
        <f aca="false">IF(Tabla2[[#This Row],[Frecuencia]]="Annual", Tabla2[[#This Row],[Cosecha/Tarea]]/12,Tabla2[[#This Row],[Cosecha/Tarea]])</f>
        <v>56899.3333333333</v>
      </c>
      <c r="F481" s="3" t="n">
        <v>99447</v>
      </c>
      <c r="G481" s="2" t="s">
        <v>34</v>
      </c>
      <c r="H481" s="2" t="n">
        <f aca="false">F481/Tabla2[[#This Row],[Cosecha Mensual]]</f>
        <v>1.7477709170582</v>
      </c>
      <c r="I481" s="2" t="n">
        <f aca="false">H481*_xlfn.XLOOKUP(Tabla2[[#This Row],[Unidad de producción]],Tabla3[Medida],Tabla3[Equivalencia en Kg],"ELVIS",0)</f>
        <v>713.352699797303</v>
      </c>
      <c r="J481" s="2" t="n">
        <v>1343.934</v>
      </c>
      <c r="K481" s="2" t="s">
        <v>34</v>
      </c>
      <c r="L481" s="2" t="n">
        <f aca="false">J481/_xlfn.XLOOKUP(Tabla2[[#This Row],[Unidad de precio]],Tabla3[Medida],Tabla3[Equivalencia en Kg],"ELVIS",0)</f>
        <v>3.29274531422271</v>
      </c>
      <c r="M481" s="3" t="n">
        <v>8666.64</v>
      </c>
      <c r="N481" s="3" t="n">
        <f aca="false">(Tabla2[[#This Row],[Productividad (kg/TAS)]]*Tabla2[[#This Row],[Precio por kg]]-Tabla2[[#This Row],[Costos (En RD$/Tarea)]])</f>
        <v>-6317.75124035431</v>
      </c>
      <c r="O481" s="9" t="n">
        <f aca="false">IF(Tabla2[[#This Row],[Costos (En RD$/Tarea)]]=0,0,Tabla2[[#This Row],[Beneficio Neto  (En RD$/Tarea)]]/Tabla2[[#This Row],[Costos (En RD$/Tarea)]])</f>
        <v>-0.728973539959467</v>
      </c>
      <c r="P481" s="7" t="n">
        <f aca="false">Tabla2[[#This Row],[Rentabilidad (%)]]/12</f>
        <v>-0.0607477949966222</v>
      </c>
    </row>
    <row r="482" customFormat="false" ht="14.25" hidden="false" customHeight="false" outlineLevel="0" collapsed="false">
      <c r="A482" s="1" t="n">
        <v>37742</v>
      </c>
      <c r="B482" s="2" t="s">
        <v>16</v>
      </c>
      <c r="C482" s="3" t="n">
        <v>29543</v>
      </c>
      <c r="D482" s="8" t="s">
        <v>17</v>
      </c>
      <c r="E482" s="3" t="n">
        <f aca="false">IF(Tabla2[[#This Row],[Frecuencia]]="Annual", Tabla2[[#This Row],[Cosecha/Tarea]]/12,Tabla2[[#This Row],[Cosecha/Tarea]])</f>
        <v>29543</v>
      </c>
      <c r="F482" s="3" t="n">
        <v>133183</v>
      </c>
      <c r="G482" s="2" t="s">
        <v>18</v>
      </c>
      <c r="H482" s="2" t="n">
        <f aca="false">F482/Tabla2[[#This Row],[Cosecha Mensual]]</f>
        <v>4.50810682733643</v>
      </c>
      <c r="I482" s="2" t="n">
        <f aca="false">H482*_xlfn.XLOOKUP(Tabla2[[#This Row],[Unidad de producción]],Tabla3[Medida],Tabla3[Equivalencia en Kg],"ELVIS",0)</f>
        <v>204.48772568798</v>
      </c>
      <c r="J482" s="2" t="n">
        <v>677.667766776678</v>
      </c>
      <c r="K482" s="2" t="s">
        <v>19</v>
      </c>
      <c r="L482" s="2" t="n">
        <f aca="false">J482/_xlfn.XLOOKUP(Tabla2[[#This Row],[Unidad de precio]],Tabla3[Medida],Tabla3[Equivalencia en Kg],"ELVIS",0)</f>
        <v>6.16061606160616</v>
      </c>
      <c r="M482" s="2" t="n">
        <v>4275.41</v>
      </c>
      <c r="N482" s="3" t="n">
        <f aca="false">(Tabla2[[#This Row],[Productividad (kg/TAS)]]*Tabla2[[#This Row],[Precio por kg]]-Tabla2[[#This Row],[Costos (En RD$/Tarea)]])</f>
        <v>-3015.63963272531</v>
      </c>
      <c r="O482" s="9" t="n">
        <f aca="false">IF(Tabla2[[#This Row],[Costos (En RD$/Tarea)]]=0,0,Tabla2[[#This Row],[Beneficio Neto  (En RD$/Tarea)]]/Tabla2[[#This Row],[Costos (En RD$/Tarea)]])</f>
        <v>-0.705345132449359</v>
      </c>
      <c r="P482" s="7" t="n">
        <f aca="false">Tabla2[[#This Row],[Rentabilidad (%)]]/12</f>
        <v>-0.0587787610374466</v>
      </c>
    </row>
    <row r="483" customFormat="false" ht="14.25" hidden="false" customHeight="false" outlineLevel="0" collapsed="false">
      <c r="A483" s="1" t="n">
        <v>37742</v>
      </c>
      <c r="B483" s="2" t="s">
        <v>20</v>
      </c>
      <c r="C483" s="3" t="n">
        <v>44160</v>
      </c>
      <c r="D483" s="8" t="s">
        <v>17</v>
      </c>
      <c r="E483" s="3" t="n">
        <f aca="false">IF(Tabla2[[#This Row],[Frecuencia]]="Annual", Tabla2[[#This Row],[Cosecha/Tarea]]/12,Tabla2[[#This Row],[Cosecha/Tarea]])</f>
        <v>44160</v>
      </c>
      <c r="F483" s="3" t="n">
        <v>103396</v>
      </c>
      <c r="G483" s="2" t="s">
        <v>18</v>
      </c>
      <c r="H483" s="2" t="n">
        <f aca="false">F483/Tabla2[[#This Row],[Cosecha Mensual]]</f>
        <v>2.34139492753623</v>
      </c>
      <c r="I483" s="2" t="n">
        <f aca="false">H483*_xlfn.XLOOKUP(Tabla2[[#This Row],[Unidad de producción]],Tabla3[Medida],Tabla3[Equivalencia en Kg],"ELVIS",0)</f>
        <v>106.205673913043</v>
      </c>
      <c r="J483" s="2" t="n">
        <v>189.8568</v>
      </c>
      <c r="K483" s="2" t="s">
        <v>18</v>
      </c>
      <c r="L483" s="2" t="n">
        <f aca="false">J483/_xlfn.XLOOKUP(Tabla2[[#This Row],[Unidad de precio]],Tabla3[Medida],Tabla3[Equivalencia en Kg],"ELVIS",0)</f>
        <v>4.18555555555556</v>
      </c>
      <c r="M483" s="2" t="n">
        <v>938.62</v>
      </c>
      <c r="N483" s="3" t="n">
        <f aca="false">(Tabla2[[#This Row],[Productividad (kg/TAS)]]*Tabla2[[#This Row],[Precio por kg]]-Tabla2[[#This Row],[Costos (En RD$/Tarea)]])</f>
        <v>-494.090251521739</v>
      </c>
      <c r="O483" s="9" t="n">
        <f aca="false">IF(Tabla2[[#This Row],[Costos (En RD$/Tarea)]]=0,0,Tabla2[[#This Row],[Beneficio Neto  (En RD$/Tarea)]]/Tabla2[[#This Row],[Costos (En RD$/Tarea)]])</f>
        <v>-0.526400728219875</v>
      </c>
      <c r="P483" s="7" t="n">
        <f aca="false">Tabla2[[#This Row],[Rentabilidad (%)]]/12</f>
        <v>-0.0438667273516563</v>
      </c>
    </row>
    <row r="484" customFormat="false" ht="14.25" hidden="false" customHeight="false" outlineLevel="0" collapsed="false">
      <c r="A484" s="1" t="n">
        <v>37742</v>
      </c>
      <c r="B484" s="2" t="s">
        <v>21</v>
      </c>
      <c r="C484" s="3" t="n">
        <v>6410</v>
      </c>
      <c r="D484" s="8" t="s">
        <v>17</v>
      </c>
      <c r="E484" s="3" t="n">
        <f aca="false">IF(Tabla2[[#This Row],[Frecuencia]]="Annual", Tabla2[[#This Row],[Cosecha/Tarea]]/12,Tabla2[[#This Row],[Cosecha/Tarea]])</f>
        <v>6410</v>
      </c>
      <c r="F484" s="3" t="n">
        <v>72193</v>
      </c>
      <c r="G484" s="2" t="s">
        <v>18</v>
      </c>
      <c r="H484" s="2" t="n">
        <f aca="false">F484/Tabla2[[#This Row],[Cosecha Mensual]]</f>
        <v>11.2625585023401</v>
      </c>
      <c r="I484" s="2" t="n">
        <f aca="false">H484*_xlfn.XLOOKUP(Tabla2[[#This Row],[Unidad de producción]],Tabla3[Medida],Tabla3[Equivalencia en Kg],"ELVIS",0)</f>
        <v>510.869653666147</v>
      </c>
      <c r="J484" s="2" t="n">
        <v>144.16</v>
      </c>
      <c r="K484" s="2" t="s">
        <v>18</v>
      </c>
      <c r="L484" s="2" t="n">
        <f aca="false">J484/_xlfn.XLOOKUP(Tabla2[[#This Row],[Unidad de precio]],Tabla3[Medida],Tabla3[Equivalencia en Kg],"ELVIS",0)</f>
        <v>3.17813051146385</v>
      </c>
      <c r="M484" s="2" t="n">
        <v>1545.78</v>
      </c>
      <c r="N484" s="3" t="n">
        <f aca="false">(Tabla2[[#This Row],[Productividad (kg/TAS)]]*Tabla2[[#This Row],[Precio por kg]]-Tabla2[[#This Row],[Costos (En RD$/Tarea)]])</f>
        <v>77.8304336973479</v>
      </c>
      <c r="O484" s="9" t="n">
        <f aca="false">IF(Tabla2[[#This Row],[Costos (En RD$/Tarea)]]=0,0,Tabla2[[#This Row],[Beneficio Neto  (En RD$/Tarea)]]/Tabla2[[#This Row],[Costos (En RD$/Tarea)]])</f>
        <v>0.0503502656893917</v>
      </c>
      <c r="P484" s="7" t="n">
        <f aca="false">Tabla2[[#This Row],[Rentabilidad (%)]]/12</f>
        <v>0.00419585547411597</v>
      </c>
    </row>
    <row r="485" customFormat="false" ht="14.25" hidden="false" customHeight="false" outlineLevel="0" collapsed="false">
      <c r="A485" s="1" t="n">
        <v>37742</v>
      </c>
      <c r="B485" s="2" t="s">
        <v>22</v>
      </c>
      <c r="C485" s="3" t="n">
        <v>4113</v>
      </c>
      <c r="D485" s="8" t="s">
        <v>17</v>
      </c>
      <c r="E485" s="3" t="n">
        <f aca="false">IF(Tabla2[[#This Row],[Frecuencia]]="Annual", Tabla2[[#This Row],[Cosecha/Tarea]]/12,Tabla2[[#This Row],[Cosecha/Tarea]])</f>
        <v>4113</v>
      </c>
      <c r="F485" s="3" t="n">
        <v>36650</v>
      </c>
      <c r="G485" s="2" t="s">
        <v>18</v>
      </c>
      <c r="H485" s="2" t="n">
        <f aca="false">F485/Tabla2[[#This Row],[Cosecha Mensual]]</f>
        <v>8.91077072696329</v>
      </c>
      <c r="I485" s="2" t="n">
        <f aca="false">H485*_xlfn.XLOOKUP(Tabla2[[#This Row],[Unidad de producción]],Tabla3[Medida],Tabla3[Equivalencia en Kg],"ELVIS",0)</f>
        <v>404.192560175055</v>
      </c>
      <c r="J485" s="2" t="n">
        <v>371</v>
      </c>
      <c r="K485" s="2" t="s">
        <v>18</v>
      </c>
      <c r="L485" s="2" t="n">
        <f aca="false">J485/_xlfn.XLOOKUP(Tabla2[[#This Row],[Unidad de precio]],Tabla3[Medida],Tabla3[Equivalencia en Kg],"ELVIS",0)</f>
        <v>8.17901234567901</v>
      </c>
      <c r="M485" s="2" t="n">
        <v>3985.46</v>
      </c>
      <c r="N485" s="3" t="n">
        <f aca="false">(Tabla2[[#This Row],[Productividad (kg/TAS)]]*Tabla2[[#This Row],[Precio por kg]]-Tabla2[[#This Row],[Costos (En RD$/Tarea)]])</f>
        <v>-679.56406029662</v>
      </c>
      <c r="O485" s="9" t="n">
        <f aca="false">IF(Tabla2[[#This Row],[Costos (En RD$/Tarea)]]=0,0,Tabla2[[#This Row],[Beneficio Neto  (En RD$/Tarea)]]/Tabla2[[#This Row],[Costos (En RD$/Tarea)]])</f>
        <v>-0.170510821911804</v>
      </c>
      <c r="P485" s="7" t="n">
        <f aca="false">Tabla2[[#This Row],[Rentabilidad (%)]]/12</f>
        <v>-0.014209235159317</v>
      </c>
    </row>
    <row r="486" customFormat="false" ht="14.25" hidden="false" customHeight="false" outlineLevel="0" collapsed="false">
      <c r="A486" s="1" t="n">
        <v>37742</v>
      </c>
      <c r="B486" s="2" t="s">
        <v>23</v>
      </c>
      <c r="C486" s="3" t="n">
        <v>3235</v>
      </c>
      <c r="D486" s="8" t="s">
        <v>17</v>
      </c>
      <c r="E486" s="3" t="n">
        <f aca="false">IF(Tabla2[[#This Row],[Frecuencia]]="Annual", Tabla2[[#This Row],[Cosecha/Tarea]]/12,Tabla2[[#This Row],[Cosecha/Tarea]])</f>
        <v>3235</v>
      </c>
      <c r="F486" s="3" t="n">
        <v>76996</v>
      </c>
      <c r="G486" s="2" t="s">
        <v>18</v>
      </c>
      <c r="H486" s="2" t="n">
        <f aca="false">F486/Tabla2[[#This Row],[Cosecha Mensual]]</f>
        <v>23.8009273570325</v>
      </c>
      <c r="I486" s="2" t="n">
        <f aca="false">H486*_xlfn.XLOOKUP(Tabla2[[#This Row],[Unidad de producción]],Tabla3[Medida],Tabla3[Equivalencia en Kg],"ELVIS",0)</f>
        <v>1079.61006491499</v>
      </c>
      <c r="J486" s="2" t="n">
        <v>190.626666666667</v>
      </c>
      <c r="K486" s="2" t="s">
        <v>18</v>
      </c>
      <c r="L486" s="2" t="n">
        <f aca="false">J486/_xlfn.XLOOKUP(Tabla2[[#This Row],[Unidad de precio]],Tabla3[Medida],Tabla3[Equivalencia en Kg],"ELVIS",0)</f>
        <v>4.20252792475016</v>
      </c>
      <c r="M486" s="2" t="n">
        <v>9309.96</v>
      </c>
      <c r="N486" s="3" t="n">
        <f aca="false">(Tabla2[[#This Row],[Productividad (kg/TAS)]]*Tabla2[[#This Row],[Precio por kg]]-Tabla2[[#This Row],[Costos (En RD$/Tarea)]])</f>
        <v>-4772.86855435342</v>
      </c>
      <c r="O486" s="9" t="n">
        <f aca="false">IF(Tabla2[[#This Row],[Costos (En RD$/Tarea)]]=0,0,Tabla2[[#This Row],[Beneficio Neto  (En RD$/Tarea)]]/Tabla2[[#This Row],[Costos (En RD$/Tarea)]])</f>
        <v>-0.512662627374706</v>
      </c>
      <c r="P486" s="7" t="n">
        <f aca="false">Tabla2[[#This Row],[Rentabilidad (%)]]/12</f>
        <v>-0.0427218856145588</v>
      </c>
    </row>
    <row r="487" customFormat="false" ht="14.25" hidden="false" customHeight="false" outlineLevel="0" collapsed="false">
      <c r="A487" s="1" t="n">
        <v>37742</v>
      </c>
      <c r="B487" s="2" t="s">
        <v>24</v>
      </c>
      <c r="C487" s="3" t="n">
        <v>8475</v>
      </c>
      <c r="D487" s="8" t="s">
        <v>17</v>
      </c>
      <c r="E487" s="3" t="n">
        <f aca="false">IF(Tabla2[[#This Row],[Frecuencia]]="Annual", Tabla2[[#This Row],[Cosecha/Tarea]]/12,Tabla2[[#This Row],[Cosecha/Tarea]])</f>
        <v>8475</v>
      </c>
      <c r="F487" s="3" t="n">
        <v>129236</v>
      </c>
      <c r="G487" s="2" t="s">
        <v>18</v>
      </c>
      <c r="H487" s="2" t="n">
        <f aca="false">F487/Tabla2[[#This Row],[Cosecha Mensual]]</f>
        <v>15.2490855457227</v>
      </c>
      <c r="I487" s="2" t="n">
        <f aca="false">H487*_xlfn.XLOOKUP(Tabla2[[#This Row],[Unidad de producción]],Tabla3[Medida],Tabla3[Equivalencia en Kg],"ELVIS",0)</f>
        <v>691.698520353982</v>
      </c>
      <c r="J487" s="2" t="n">
        <v>327.0825</v>
      </c>
      <c r="K487" s="2" t="s">
        <v>18</v>
      </c>
      <c r="L487" s="2" t="n">
        <f aca="false">J487/_xlfn.XLOOKUP(Tabla2[[#This Row],[Unidad de precio]],Tabla3[Medida],Tabla3[Equivalencia en Kg],"ELVIS",0)</f>
        <v>7.21081349206349</v>
      </c>
      <c r="M487" s="2" t="n">
        <v>3188.34</v>
      </c>
      <c r="N487" s="3" t="n">
        <f aca="false">(Tabla2[[#This Row],[Productividad (kg/TAS)]]*Tabla2[[#This Row],[Precio por kg]]-Tabla2[[#This Row],[Costos (En RD$/Tarea)]])</f>
        <v>1799.36902300885</v>
      </c>
      <c r="O487" s="9" t="n">
        <f aca="false">IF(Tabla2[[#This Row],[Costos (En RD$/Tarea)]]=0,0,Tabla2[[#This Row],[Beneficio Neto  (En RD$/Tarea)]]/Tabla2[[#This Row],[Costos (En RD$/Tarea)]])</f>
        <v>0.564359203538158</v>
      </c>
      <c r="P487" s="7" t="n">
        <f aca="false">Tabla2[[#This Row],[Rentabilidad (%)]]/12</f>
        <v>0.0470299336281798</v>
      </c>
    </row>
    <row r="488" customFormat="false" ht="14.25" hidden="false" customHeight="false" outlineLevel="0" collapsed="false">
      <c r="A488" s="1" t="n">
        <v>37742</v>
      </c>
      <c r="B488" s="2" t="s">
        <v>25</v>
      </c>
      <c r="C488" s="3" t="n">
        <v>21460</v>
      </c>
      <c r="D488" s="8" t="s">
        <v>17</v>
      </c>
      <c r="E488" s="3" t="n">
        <f aca="false">IF(Tabla2[[#This Row],[Frecuencia]]="Annual", Tabla2[[#This Row],[Cosecha/Tarea]]/12,Tabla2[[#This Row],[Cosecha/Tarea]])</f>
        <v>21460</v>
      </c>
      <c r="F488" s="3" t="n">
        <v>236326</v>
      </c>
      <c r="G488" s="2" t="s">
        <v>18</v>
      </c>
      <c r="H488" s="2" t="n">
        <f aca="false">F488/Tabla2[[#This Row],[Cosecha Mensual]]</f>
        <v>11.0123951537745</v>
      </c>
      <c r="I488" s="2" t="n">
        <f aca="false">H488*_xlfn.XLOOKUP(Tabla2[[#This Row],[Unidad de producción]],Tabla3[Medida],Tabla3[Equivalencia en Kg],"ELVIS",0)</f>
        <v>499.52224417521</v>
      </c>
      <c r="J488" s="2" t="n">
        <v>97.0569285714286</v>
      </c>
      <c r="K488" s="2" t="s">
        <v>18</v>
      </c>
      <c r="L488" s="2" t="n">
        <f aca="false">J488/_xlfn.XLOOKUP(Tabla2[[#This Row],[Unidad de precio]],Tabla3[Medida],Tabla3[Equivalencia en Kg],"ELVIS",0)</f>
        <v>2.13970301083396</v>
      </c>
      <c r="M488" s="2" t="n">
        <v>1396.74</v>
      </c>
      <c r="N488" s="3" t="n">
        <f aca="false">(Tabla2[[#This Row],[Productividad (kg/TAS)]]*Tabla2[[#This Row],[Precio por kg]]-Tabla2[[#This Row],[Costos (En RD$/Tarea)]])</f>
        <v>-327.910750159765</v>
      </c>
      <c r="O488" s="9" t="n">
        <f aca="false">IF(Tabla2[[#This Row],[Costos (En RD$/Tarea)]]=0,0,Tabla2[[#This Row],[Beneficio Neto  (En RD$/Tarea)]]/Tabla2[[#This Row],[Costos (En RD$/Tarea)]])</f>
        <v>-0.234768639947138</v>
      </c>
      <c r="P488" s="7" t="n">
        <f aca="false">Tabla2[[#This Row],[Rentabilidad (%)]]/12</f>
        <v>-0.0195640533289282</v>
      </c>
    </row>
    <row r="489" customFormat="false" ht="14.25" hidden="false" customHeight="false" outlineLevel="0" collapsed="false">
      <c r="A489" s="1" t="n">
        <v>37742</v>
      </c>
      <c r="B489" s="2" t="s">
        <v>26</v>
      </c>
      <c r="C489" s="3" t="n">
        <v>10930</v>
      </c>
      <c r="D489" s="8" t="s">
        <v>17</v>
      </c>
      <c r="E489" s="3" t="n">
        <f aca="false">IF(Tabla2[[#This Row],[Frecuencia]]="Annual", Tabla2[[#This Row],[Cosecha/Tarea]]/12,Tabla2[[#This Row],[Cosecha/Tarea]])</f>
        <v>10930</v>
      </c>
      <c r="F489" s="3" t="n">
        <v>76729</v>
      </c>
      <c r="G489" s="2" t="s">
        <v>18</v>
      </c>
      <c r="H489" s="2" t="n">
        <f aca="false">F489/Tabla2[[#This Row],[Cosecha Mensual]]</f>
        <v>7.02003659652333</v>
      </c>
      <c r="I489" s="2" t="n">
        <f aca="false">H489*_xlfn.XLOOKUP(Tabla2[[#This Row],[Unidad de producción]],Tabla3[Medida],Tabla3[Equivalencia en Kg],"ELVIS",0)</f>
        <v>318.428860018298</v>
      </c>
      <c r="J489" s="2" t="n">
        <v>210.5</v>
      </c>
      <c r="K489" s="2" t="s">
        <v>18</v>
      </c>
      <c r="L489" s="2" t="n">
        <f aca="false">J489/_xlfn.XLOOKUP(Tabla2[[#This Row],[Unidad de precio]],Tabla3[Medida],Tabla3[Equivalencia en Kg],"ELVIS",0)</f>
        <v>4.64065255731922</v>
      </c>
      <c r="M489" s="2" t="n">
        <v>1217.11</v>
      </c>
      <c r="N489" s="3" t="n">
        <f aca="false">(Tabla2[[#This Row],[Productividad (kg/TAS)]]*Tabla2[[#This Row],[Precio por kg]]-Tabla2[[#This Row],[Costos (En RD$/Tarea)]])</f>
        <v>260.607703568161</v>
      </c>
      <c r="O489" s="9" t="n">
        <f aca="false">IF(Tabla2[[#This Row],[Costos (En RD$/Tarea)]]=0,0,Tabla2[[#This Row],[Beneficio Neto  (En RD$/Tarea)]]/Tabla2[[#This Row],[Costos (En RD$/Tarea)]])</f>
        <v>0.214120090680515</v>
      </c>
      <c r="P489" s="7" t="n">
        <f aca="false">Tabla2[[#This Row],[Rentabilidad (%)]]/12</f>
        <v>0.0178433408900429</v>
      </c>
    </row>
    <row r="490" customFormat="false" ht="14.25" hidden="false" customHeight="false" outlineLevel="0" collapsed="false">
      <c r="A490" s="1" t="n">
        <v>37742</v>
      </c>
      <c r="B490" s="2" t="s">
        <v>27</v>
      </c>
      <c r="C490" s="3" t="n">
        <v>4011</v>
      </c>
      <c r="D490" s="8" t="s">
        <v>17</v>
      </c>
      <c r="E490" s="3" t="n">
        <f aca="false">IF(Tabla2[[#This Row],[Frecuencia]]="Annual", Tabla2[[#This Row],[Cosecha/Tarea]]/12,Tabla2[[#This Row],[Cosecha/Tarea]])</f>
        <v>4011</v>
      </c>
      <c r="F490" s="3" t="n">
        <v>36961</v>
      </c>
      <c r="G490" s="2" t="s">
        <v>18</v>
      </c>
      <c r="H490" s="2" t="n">
        <f aca="false">F490/Tabla2[[#This Row],[Cosecha Mensual]]</f>
        <v>9.21490900024931</v>
      </c>
      <c r="I490" s="2" t="n">
        <f aca="false">H490*_xlfn.XLOOKUP(Tabla2[[#This Row],[Unidad de producción]],Tabla3[Medida],Tabla3[Equivalencia en Kg],"ELVIS",0)</f>
        <v>417.988272251309</v>
      </c>
      <c r="J490" s="2" t="n">
        <v>256.667142857143</v>
      </c>
      <c r="K490" s="2" t="s">
        <v>18</v>
      </c>
      <c r="L490" s="2" t="n">
        <f aca="false">J490/_xlfn.XLOOKUP(Tabla2[[#This Row],[Unidad de precio]],Tabla3[Medida],Tabla3[Equivalencia en Kg],"ELVIS",0)</f>
        <v>5.65844671201814</v>
      </c>
      <c r="M490" s="2" t="n">
        <v>3938.29</v>
      </c>
      <c r="N490" s="3" t="n">
        <f aca="false">(Tabla2[[#This Row],[Productividad (kg/TAS)]]*Tabla2[[#This Row],[Precio por kg]]-Tabla2[[#This Row],[Costos (En RD$/Tarea)]])</f>
        <v>-1573.12563521744</v>
      </c>
      <c r="O490" s="9" t="n">
        <f aca="false">IF(Tabla2[[#This Row],[Costos (En RD$/Tarea)]]=0,0,Tabla2[[#This Row],[Beneficio Neto  (En RD$/Tarea)]]/Tabla2[[#This Row],[Costos (En RD$/Tarea)]])</f>
        <v>-0.39944382846805</v>
      </c>
      <c r="P490" s="7" t="n">
        <f aca="false">Tabla2[[#This Row],[Rentabilidad (%)]]/12</f>
        <v>-0.0332869857056708</v>
      </c>
    </row>
    <row r="491" customFormat="false" ht="14.25" hidden="false" customHeight="false" outlineLevel="0" collapsed="false">
      <c r="A491" s="1" t="n">
        <v>37742</v>
      </c>
      <c r="B491" s="2" t="s">
        <v>28</v>
      </c>
      <c r="C491" s="3" t="n">
        <v>3066</v>
      </c>
      <c r="D491" s="8" t="s">
        <v>17</v>
      </c>
      <c r="E491" s="3" t="n">
        <f aca="false">IF(Tabla2[[#This Row],[Frecuencia]]="Annual", Tabla2[[#This Row],[Cosecha/Tarea]]/12,Tabla2[[#This Row],[Cosecha/Tarea]])</f>
        <v>3066</v>
      </c>
      <c r="F491" s="3" t="n">
        <v>4869</v>
      </c>
      <c r="G491" s="2" t="s">
        <v>29</v>
      </c>
      <c r="H491" s="2" t="n">
        <f aca="false">F491/Tabla2[[#This Row],[Cosecha Mensual]]</f>
        <v>1.5880626223092</v>
      </c>
      <c r="I491" s="2" t="n">
        <f aca="false">H491*_xlfn.XLOOKUP(Tabla2[[#This Row],[Unidad de producción]],Tabla3[Medida],Tabla3[Equivalencia en Kg],"ELVIS",0)</f>
        <v>893.031135029354</v>
      </c>
      <c r="J491" s="2" t="n">
        <v>2933.33333333333</v>
      </c>
      <c r="K491" s="2" t="s">
        <v>29</v>
      </c>
      <c r="L491" s="2" t="n">
        <f aca="false">J491/_xlfn.XLOOKUP(Tabla2[[#This Row],[Unidad de precio]],Tabla3[Medida],Tabla3[Equivalencia en Kg],"ELVIS",0)</f>
        <v>5.21629856196132</v>
      </c>
      <c r="M491" s="2" t="n">
        <v>7517.1463872</v>
      </c>
      <c r="N491" s="3" t="n">
        <f aca="false">(Tabla2[[#This Row],[Productividad (kg/TAS)]]*Tabla2[[#This Row],[Precio por kg]]-Tabla2[[#This Row],[Costos (En RD$/Tarea)]])</f>
        <v>-2858.82936175969</v>
      </c>
      <c r="O491" s="9" t="n">
        <f aca="false">IF(Tabla2[[#This Row],[Costos (En RD$/Tarea)]]=0,0,Tabla2[[#This Row],[Beneficio Neto  (En RD$/Tarea)]]/Tabla2[[#This Row],[Costos (En RD$/Tarea)]])</f>
        <v>-0.380307794275183</v>
      </c>
      <c r="P491" s="7" t="n">
        <f aca="false">Tabla2[[#This Row],[Rentabilidad (%)]]/12</f>
        <v>-0.0316923161895986</v>
      </c>
    </row>
    <row r="492" customFormat="false" ht="14.25" hidden="false" customHeight="false" outlineLevel="0" collapsed="false">
      <c r="A492" s="1" t="n">
        <v>37742</v>
      </c>
      <c r="B492" s="2" t="s">
        <v>30</v>
      </c>
      <c r="C492" s="3" t="n">
        <v>259184</v>
      </c>
      <c r="D492" s="3" t="s">
        <v>31</v>
      </c>
      <c r="E492" s="3" t="n">
        <f aca="false">IF(Tabla2[[#This Row],[Frecuencia]]="Annual", Tabla2[[#This Row],[Cosecha/Tarea]]/12,Tabla2[[#This Row],[Cosecha/Tarea]])</f>
        <v>21598.6666666667</v>
      </c>
      <c r="F492" s="3" t="n">
        <v>1682273</v>
      </c>
      <c r="G492" s="2" t="s">
        <v>32</v>
      </c>
      <c r="H492" s="2" t="n">
        <f aca="false">F492/Tabla2[[#This Row],[Cosecha Mensual]]</f>
        <v>77.8878171492067</v>
      </c>
      <c r="I492" s="2" t="n">
        <f aca="false">H492*_xlfn.XLOOKUP(Tabla2[[#This Row],[Unidad de producción]],Tabla3[Medida],Tabla3[Equivalencia en Kg],"ELVIS",0)</f>
        <v>2119.32750462992</v>
      </c>
      <c r="J492" s="2" t="n">
        <v>30.9766666666667</v>
      </c>
      <c r="K492" s="2" t="s">
        <v>32</v>
      </c>
      <c r="L492" s="2" t="n">
        <f aca="false">J492/_xlfn.XLOOKUP(Tabla2[[#This Row],[Unidad de precio]],Tabla3[Medida],Tabla3[Equivalencia en Kg],"ELVIS",0)</f>
        <v>1.13842949895872</v>
      </c>
      <c r="M492" s="3" t="n">
        <v>6435.96</v>
      </c>
      <c r="N492" s="3" t="n">
        <f aca="false">(Tabla2[[#This Row],[Productividad (kg/TAS)]]*Tabla2[[#This Row],[Precio por kg]]-Tabla2[[#This Row],[Costos (En RD$/Tarea)]])</f>
        <v>-4023.25505077474</v>
      </c>
      <c r="O492" s="9" t="n">
        <f aca="false">IF(Tabla2[[#This Row],[Costos (En RD$/Tarea)]]=0,0,Tabla2[[#This Row],[Beneficio Neto  (En RD$/Tarea)]]/Tabla2[[#This Row],[Costos (En RD$/Tarea)]])</f>
        <v>-0.625121201930207</v>
      </c>
      <c r="P492" s="7" t="n">
        <f aca="false">Tabla2[[#This Row],[Rentabilidad (%)]]/12</f>
        <v>-0.0520934334941839</v>
      </c>
    </row>
    <row r="493" customFormat="false" ht="14.25" hidden="false" customHeight="false" outlineLevel="0" collapsed="false">
      <c r="A493" s="1" t="n">
        <v>37742</v>
      </c>
      <c r="B493" s="2" t="s">
        <v>33</v>
      </c>
      <c r="C493" s="3" t="n">
        <v>712060</v>
      </c>
      <c r="D493" s="3" t="s">
        <v>31</v>
      </c>
      <c r="E493" s="3" t="n">
        <f aca="false">IF(Tabla2[[#This Row],[Frecuencia]]="Annual", Tabla2[[#This Row],[Cosecha/Tarea]]/12,Tabla2[[#This Row],[Cosecha/Tarea]])</f>
        <v>59338.3333333333</v>
      </c>
      <c r="F493" s="3" t="n">
        <v>122693</v>
      </c>
      <c r="G493" s="2" t="s">
        <v>34</v>
      </c>
      <c r="H493" s="2" t="n">
        <f aca="false">F493/Tabla2[[#This Row],[Cosecha Mensual]]</f>
        <v>2.06768530741791</v>
      </c>
      <c r="I493" s="2" t="n">
        <f aca="false">H493*_xlfn.XLOOKUP(Tabla2[[#This Row],[Unidad de producción]],Tabla3[Medida],Tabla3[Equivalencia en Kg],"ELVIS",0)</f>
        <v>843.925758222622</v>
      </c>
      <c r="J493" s="2" t="n">
        <v>1284.45166666667</v>
      </c>
      <c r="K493" s="2" t="s">
        <v>34</v>
      </c>
      <c r="L493" s="2" t="n">
        <f aca="false">J493/_xlfn.XLOOKUP(Tabla2[[#This Row],[Unidad de precio]],Tabla3[Medida],Tabla3[Equivalencia en Kg],"ELVIS",0)</f>
        <v>3.14700886112133</v>
      </c>
      <c r="M493" s="3" t="n">
        <v>8666.64</v>
      </c>
      <c r="N493" s="3" t="n">
        <f aca="false">(Tabla2[[#This Row],[Productividad (kg/TAS)]]*Tabla2[[#This Row],[Precio por kg]]-Tabla2[[#This Row],[Costos (En RD$/Tarea)]])</f>
        <v>-6010.79816074487</v>
      </c>
      <c r="O493" s="9" t="n">
        <f aca="false">IF(Tabla2[[#This Row],[Costos (En RD$/Tarea)]]=0,0,Tabla2[[#This Row],[Beneficio Neto  (En RD$/Tarea)]]/Tabla2[[#This Row],[Costos (En RD$/Tarea)]])</f>
        <v>-0.693555767949848</v>
      </c>
      <c r="P493" s="7" t="n">
        <f aca="false">Tabla2[[#This Row],[Rentabilidad (%)]]/12</f>
        <v>-0.0577963139958207</v>
      </c>
    </row>
    <row r="494" customFormat="false" ht="14.25" hidden="false" customHeight="false" outlineLevel="0" collapsed="false">
      <c r="A494" s="1" t="n">
        <v>37773</v>
      </c>
      <c r="B494" s="2" t="s">
        <v>16</v>
      </c>
      <c r="C494" s="3" t="n">
        <v>208015</v>
      </c>
      <c r="D494" s="8" t="s">
        <v>17</v>
      </c>
      <c r="E494" s="3" t="n">
        <f aca="false">IF(Tabla2[[#This Row],[Frecuencia]]="Annual", Tabla2[[#This Row],[Cosecha/Tarea]]/12,Tabla2[[#This Row],[Cosecha/Tarea]])</f>
        <v>208015</v>
      </c>
      <c r="F494" s="3" t="n">
        <v>1025174</v>
      </c>
      <c r="G494" s="2" t="s">
        <v>18</v>
      </c>
      <c r="H494" s="2" t="n">
        <f aca="false">F494/Tabla2[[#This Row],[Cosecha Mensual]]</f>
        <v>4.92836574285508</v>
      </c>
      <c r="I494" s="2" t="n">
        <f aca="false">H494*_xlfn.XLOOKUP(Tabla2[[#This Row],[Unidad de producción]],Tabla3[Medida],Tabla3[Equivalencia en Kg],"ELVIS",0)</f>
        <v>223.550670095907</v>
      </c>
      <c r="J494" s="2" t="n">
        <v>1067.08470847085</v>
      </c>
      <c r="K494" s="2" t="s">
        <v>19</v>
      </c>
      <c r="L494" s="2" t="n">
        <f aca="false">J494/_xlfn.XLOOKUP(Tabla2[[#This Row],[Unidad de precio]],Tabla3[Medida],Tabla3[Equivalencia en Kg],"ELVIS",0)</f>
        <v>9.70077007700773</v>
      </c>
      <c r="M494" s="2" t="n">
        <v>4275.41</v>
      </c>
      <c r="N494" s="3" t="n">
        <f aca="false">(Tabla2[[#This Row],[Productividad (kg/TAS)]]*Tabla2[[#This Row],[Precio por kg]]-Tabla2[[#This Row],[Costos (En RD$/Tarea)]])</f>
        <v>-2106.7963488386</v>
      </c>
      <c r="O494" s="9" t="n">
        <f aca="false">IF(Tabla2[[#This Row],[Costos (En RD$/Tarea)]]=0,0,Tabla2[[#This Row],[Beneficio Neto  (En RD$/Tarea)]]/Tabla2[[#This Row],[Costos (En RD$/Tarea)]])</f>
        <v>-0.492770599507089</v>
      </c>
      <c r="P494" s="7" t="n">
        <f aca="false">Tabla2[[#This Row],[Rentabilidad (%)]]/12</f>
        <v>-0.0410642166255907</v>
      </c>
    </row>
    <row r="495" customFormat="false" ht="14.25" hidden="false" customHeight="false" outlineLevel="0" collapsed="false">
      <c r="A495" s="1" t="n">
        <v>37773</v>
      </c>
      <c r="B495" s="2" t="s">
        <v>20</v>
      </c>
      <c r="C495" s="3" t="n">
        <v>29643</v>
      </c>
      <c r="D495" s="8" t="s">
        <v>17</v>
      </c>
      <c r="E495" s="3" t="n">
        <f aca="false">IF(Tabla2[[#This Row],[Frecuencia]]="Annual", Tabla2[[#This Row],[Cosecha/Tarea]]/12,Tabla2[[#This Row],[Cosecha/Tarea]])</f>
        <v>29643</v>
      </c>
      <c r="F495" s="3" t="n">
        <v>71186</v>
      </c>
      <c r="G495" s="2" t="s">
        <v>18</v>
      </c>
      <c r="H495" s="2" t="n">
        <f aca="false">F495/Tabla2[[#This Row],[Cosecha Mensual]]</f>
        <v>2.40144384846338</v>
      </c>
      <c r="I495" s="2" t="n">
        <f aca="false">H495*_xlfn.XLOOKUP(Tabla2[[#This Row],[Unidad de producción]],Tabla3[Medida],Tabla3[Equivalencia en Kg],"ELVIS",0)</f>
        <v>108.929492966299</v>
      </c>
      <c r="J495" s="2" t="n">
        <v>248.661075</v>
      </c>
      <c r="K495" s="2" t="s">
        <v>18</v>
      </c>
      <c r="L495" s="2" t="n">
        <f aca="false">J495/_xlfn.XLOOKUP(Tabla2[[#This Row],[Unidad de precio]],Tabla3[Medida],Tabla3[Equivalencia en Kg],"ELVIS",0)</f>
        <v>5.4819460978836</v>
      </c>
      <c r="M495" s="2" t="n">
        <v>938.62</v>
      </c>
      <c r="N495" s="3" t="n">
        <f aca="false">(Tabla2[[#This Row],[Productividad (kg/TAS)]]*Tabla2[[#This Row],[Precio por kg]]-Tabla2[[#This Row],[Costos (En RD$/Tarea)]])</f>
        <v>-341.474391088959</v>
      </c>
      <c r="O495" s="9" t="n">
        <f aca="false">IF(Tabla2[[#This Row],[Costos (En RD$/Tarea)]]=0,0,Tabla2[[#This Row],[Beneficio Neto  (En RD$/Tarea)]]/Tabla2[[#This Row],[Costos (En RD$/Tarea)]])</f>
        <v>-0.363804725116617</v>
      </c>
      <c r="P495" s="7" t="n">
        <f aca="false">Tabla2[[#This Row],[Rentabilidad (%)]]/12</f>
        <v>-0.0303170604263847</v>
      </c>
    </row>
    <row r="496" customFormat="false" ht="14.25" hidden="false" customHeight="false" outlineLevel="0" collapsed="false">
      <c r="A496" s="1" t="n">
        <v>37773</v>
      </c>
      <c r="B496" s="2" t="s">
        <v>21</v>
      </c>
      <c r="C496" s="3" t="n">
        <v>6631</v>
      </c>
      <c r="D496" s="8" t="s">
        <v>17</v>
      </c>
      <c r="E496" s="3" t="n">
        <f aca="false">IF(Tabla2[[#This Row],[Frecuencia]]="Annual", Tabla2[[#This Row],[Cosecha/Tarea]]/12,Tabla2[[#This Row],[Cosecha/Tarea]])</f>
        <v>6631</v>
      </c>
      <c r="F496" s="3" t="n">
        <v>61038</v>
      </c>
      <c r="G496" s="2" t="s">
        <v>18</v>
      </c>
      <c r="H496" s="2" t="n">
        <f aca="false">F496/Tabla2[[#This Row],[Cosecha Mensual]]</f>
        <v>9.20494646358015</v>
      </c>
      <c r="I496" s="2" t="n">
        <f aca="false">H496*_xlfn.XLOOKUP(Tabla2[[#This Row],[Unidad de producción]],Tabla3[Medida],Tabla3[Equivalencia en Kg],"ELVIS",0)</f>
        <v>417.536371587996</v>
      </c>
      <c r="J496" s="2" t="n">
        <v>110.1348</v>
      </c>
      <c r="K496" s="2" t="s">
        <v>18</v>
      </c>
      <c r="L496" s="2" t="n">
        <f aca="false">J496/_xlfn.XLOOKUP(Tabla2[[#This Row],[Unidad de precio]],Tabla3[Medida],Tabla3[Equivalencia en Kg],"ELVIS",0)</f>
        <v>2.42801587301587</v>
      </c>
      <c r="M496" s="2" t="n">
        <v>1545.78</v>
      </c>
      <c r="N496" s="3" t="n">
        <f aca="false">(Tabla2[[#This Row],[Productividad (kg/TAS)]]*Tabla2[[#This Row],[Precio por kg]]-Tabla2[[#This Row],[Costos (En RD$/Tarea)]])</f>
        <v>-531.995062222892</v>
      </c>
      <c r="O496" s="9" t="n">
        <f aca="false">IF(Tabla2[[#This Row],[Costos (En RD$/Tarea)]]=0,0,Tabla2[[#This Row],[Beneficio Neto  (En RD$/Tarea)]]/Tabla2[[#This Row],[Costos (En RD$/Tarea)]])</f>
        <v>-0.344159623117709</v>
      </c>
      <c r="P496" s="7" t="n">
        <f aca="false">Tabla2[[#This Row],[Rentabilidad (%)]]/12</f>
        <v>-0.0286799685931424</v>
      </c>
    </row>
    <row r="497" customFormat="false" ht="14.25" hidden="false" customHeight="false" outlineLevel="0" collapsed="false">
      <c r="A497" s="1" t="n">
        <v>37773</v>
      </c>
      <c r="B497" s="2" t="s">
        <v>22</v>
      </c>
      <c r="C497" s="3" t="n">
        <v>3349</v>
      </c>
      <c r="D497" s="8" t="s">
        <v>17</v>
      </c>
      <c r="E497" s="3" t="n">
        <f aca="false">IF(Tabla2[[#This Row],[Frecuencia]]="Annual", Tabla2[[#This Row],[Cosecha/Tarea]]/12,Tabla2[[#This Row],[Cosecha/Tarea]])</f>
        <v>3349</v>
      </c>
      <c r="F497" s="3" t="n">
        <v>33155</v>
      </c>
      <c r="G497" s="2" t="s">
        <v>18</v>
      </c>
      <c r="H497" s="2" t="n">
        <f aca="false">F497/Tabla2[[#This Row],[Cosecha Mensual]]</f>
        <v>9.8999701403404</v>
      </c>
      <c r="I497" s="2" t="n">
        <f aca="false">H497*_xlfn.XLOOKUP(Tabla2[[#This Row],[Unidad de producción]],Tabla3[Medida],Tabla3[Equivalencia en Kg],"ELVIS",0)</f>
        <v>449.062645565841</v>
      </c>
      <c r="J497" s="2" t="n">
        <v>457.784</v>
      </c>
      <c r="K497" s="2" t="s">
        <v>18</v>
      </c>
      <c r="L497" s="2" t="n">
        <f aca="false">J497/_xlfn.XLOOKUP(Tabla2[[#This Row],[Unidad de precio]],Tabla3[Medida],Tabla3[Equivalencia en Kg],"ELVIS",0)</f>
        <v>10.0922398589065</v>
      </c>
      <c r="M497" s="2" t="n">
        <v>3985.46</v>
      </c>
      <c r="N497" s="3" t="n">
        <f aca="false">(Tabla2[[#This Row],[Productividad (kg/TAS)]]*Tabla2[[#This Row],[Precio por kg]]-Tabla2[[#This Row],[Costos (En RD$/Tarea)]])</f>
        <v>546.58793072559</v>
      </c>
      <c r="O497" s="9" t="n">
        <f aca="false">IF(Tabla2[[#This Row],[Costos (En RD$/Tarea)]]=0,0,Tabla2[[#This Row],[Beneficio Neto  (En RD$/Tarea)]]/Tabla2[[#This Row],[Costos (En RD$/Tarea)]])</f>
        <v>0.137145506597881</v>
      </c>
      <c r="P497" s="7" t="n">
        <f aca="false">Tabla2[[#This Row],[Rentabilidad (%)]]/12</f>
        <v>0.0114287922164901</v>
      </c>
    </row>
    <row r="498" customFormat="false" ht="14.25" hidden="false" customHeight="false" outlineLevel="0" collapsed="false">
      <c r="A498" s="1" t="n">
        <v>37773</v>
      </c>
      <c r="B498" s="2" t="s">
        <v>23</v>
      </c>
      <c r="C498" s="3" t="n">
        <v>3074</v>
      </c>
      <c r="D498" s="8" t="s">
        <v>17</v>
      </c>
      <c r="E498" s="3" t="n">
        <f aca="false">IF(Tabla2[[#This Row],[Frecuencia]]="Annual", Tabla2[[#This Row],[Cosecha/Tarea]]/12,Tabla2[[#This Row],[Cosecha/Tarea]])</f>
        <v>3074</v>
      </c>
      <c r="F498" s="3" t="n">
        <v>69657</v>
      </c>
      <c r="G498" s="2" t="s">
        <v>18</v>
      </c>
      <c r="H498" s="2" t="n">
        <f aca="false">F498/Tabla2[[#This Row],[Cosecha Mensual]]</f>
        <v>22.660052049447</v>
      </c>
      <c r="I498" s="2" t="n">
        <f aca="false">H498*_xlfn.XLOOKUP(Tabla2[[#This Row],[Unidad de producción]],Tabla3[Medida],Tabla3[Equivalencia en Kg],"ELVIS",0)</f>
        <v>1027.85996096291</v>
      </c>
      <c r="J498" s="2" t="n">
        <v>214.2</v>
      </c>
      <c r="K498" s="2" t="s">
        <v>18</v>
      </c>
      <c r="L498" s="2" t="n">
        <f aca="false">J498/_xlfn.XLOOKUP(Tabla2[[#This Row],[Unidad de precio]],Tabla3[Medida],Tabla3[Equivalencia en Kg],"ELVIS",0)</f>
        <v>4.72222222222222</v>
      </c>
      <c r="M498" s="2" t="n">
        <v>9309.96</v>
      </c>
      <c r="N498" s="3" t="n">
        <f aca="false">(Tabla2[[#This Row],[Productividad (kg/TAS)]]*Tabla2[[#This Row],[Precio por kg]]-Tabla2[[#This Row],[Costos (En RD$/Tarea)]])</f>
        <v>-4456.17685100846</v>
      </c>
      <c r="O498" s="9" t="n">
        <f aca="false">IF(Tabla2[[#This Row],[Costos (En RD$/Tarea)]]=0,0,Tabla2[[#This Row],[Beneficio Neto  (En RD$/Tarea)]]/Tabla2[[#This Row],[Costos (En RD$/Tarea)]])</f>
        <v>-0.478646186558101</v>
      </c>
      <c r="P498" s="7" t="n">
        <f aca="false">Tabla2[[#This Row],[Rentabilidad (%)]]/12</f>
        <v>-0.0398871822131751</v>
      </c>
    </row>
    <row r="499" customFormat="false" ht="14.25" hidden="false" customHeight="false" outlineLevel="0" collapsed="false">
      <c r="A499" s="1" t="n">
        <v>37773</v>
      </c>
      <c r="B499" s="2" t="s">
        <v>24</v>
      </c>
      <c r="C499" s="3" t="n">
        <v>6817</v>
      </c>
      <c r="D499" s="8" t="s">
        <v>17</v>
      </c>
      <c r="E499" s="3" t="n">
        <f aca="false">IF(Tabla2[[#This Row],[Frecuencia]]="Annual", Tabla2[[#This Row],[Cosecha/Tarea]]/12,Tabla2[[#This Row],[Cosecha/Tarea]])</f>
        <v>6817</v>
      </c>
      <c r="F499" s="3" t="n">
        <v>79077</v>
      </c>
      <c r="G499" s="2" t="s">
        <v>18</v>
      </c>
      <c r="H499" s="2" t="n">
        <f aca="false">F499/Tabla2[[#This Row],[Cosecha Mensual]]</f>
        <v>11.5999706615813</v>
      </c>
      <c r="I499" s="2" t="n">
        <f aca="false">H499*_xlfn.XLOOKUP(Tabla2[[#This Row],[Unidad de producción]],Tabla3[Medida],Tabla3[Equivalencia en Kg],"ELVIS",0)</f>
        <v>526.17466920933</v>
      </c>
      <c r="J499" s="2" t="n">
        <v>262.571428571429</v>
      </c>
      <c r="K499" s="2" t="s">
        <v>18</v>
      </c>
      <c r="L499" s="2" t="n">
        <f aca="false">J499/_xlfn.XLOOKUP(Tabla2[[#This Row],[Unidad de precio]],Tabla3[Medida],Tabla3[Equivalencia en Kg],"ELVIS",0)</f>
        <v>5.7886117409927</v>
      </c>
      <c r="M499" s="2" t="n">
        <v>3188.34</v>
      </c>
      <c r="N499" s="3" t="n">
        <f aca="false">(Tabla2[[#This Row],[Productividad (kg/TAS)]]*Tabla2[[#This Row],[Precio por kg]]-Tabla2[[#This Row],[Costos (En RD$/Tarea)]])</f>
        <v>-142.519132001923</v>
      </c>
      <c r="O499" s="9" t="n">
        <f aca="false">IF(Tabla2[[#This Row],[Costos (En RD$/Tarea)]]=0,0,Tabla2[[#This Row],[Beneficio Neto  (En RD$/Tarea)]]/Tabla2[[#This Row],[Costos (En RD$/Tarea)]])</f>
        <v>-0.0447001047573104</v>
      </c>
      <c r="P499" s="7" t="n">
        <f aca="false">Tabla2[[#This Row],[Rentabilidad (%)]]/12</f>
        <v>-0.00372500872977587</v>
      </c>
    </row>
    <row r="500" customFormat="false" ht="14.25" hidden="false" customHeight="false" outlineLevel="0" collapsed="false">
      <c r="A500" s="1" t="n">
        <v>37773</v>
      </c>
      <c r="B500" s="2" t="s">
        <v>25</v>
      </c>
      <c r="C500" s="3" t="n">
        <v>22716</v>
      </c>
      <c r="D500" s="8" t="s">
        <v>17</v>
      </c>
      <c r="E500" s="3" t="n">
        <f aca="false">IF(Tabla2[[#This Row],[Frecuencia]]="Annual", Tabla2[[#This Row],[Cosecha/Tarea]]/12,Tabla2[[#This Row],[Cosecha/Tarea]])</f>
        <v>22716</v>
      </c>
      <c r="F500" s="3" t="n">
        <v>222617</v>
      </c>
      <c r="G500" s="2" t="s">
        <v>18</v>
      </c>
      <c r="H500" s="2" t="n">
        <f aca="false">F500/Tabla2[[#This Row],[Cosecha Mensual]]</f>
        <v>9.80000880436697</v>
      </c>
      <c r="I500" s="2" t="n">
        <f aca="false">H500*_xlfn.XLOOKUP(Tabla2[[#This Row],[Unidad de producción]],Tabla3[Medida],Tabla3[Equivalencia en Kg],"ELVIS",0)</f>
        <v>444.528399366086</v>
      </c>
      <c r="J500" s="2" t="n">
        <v>108.851875</v>
      </c>
      <c r="K500" s="2" t="s">
        <v>18</v>
      </c>
      <c r="L500" s="2" t="n">
        <f aca="false">J500/_xlfn.XLOOKUP(Tabla2[[#This Row],[Unidad de precio]],Tabla3[Medida],Tabla3[Equivalencia en Kg],"ELVIS",0)</f>
        <v>2.39973269400353</v>
      </c>
      <c r="M500" s="2" t="n">
        <v>1396.74</v>
      </c>
      <c r="N500" s="3" t="n">
        <f aca="false">(Tabla2[[#This Row],[Productividad (kg/TAS)]]*Tabla2[[#This Row],[Precio por kg]]-Tabla2[[#This Row],[Costos (En RD$/Tarea)]])</f>
        <v>-329.990666628147</v>
      </c>
      <c r="O500" s="9" t="n">
        <f aca="false">IF(Tabla2[[#This Row],[Costos (En RD$/Tarea)]]=0,0,Tabla2[[#This Row],[Beneficio Neto  (En RD$/Tarea)]]/Tabla2[[#This Row],[Costos (En RD$/Tarea)]])</f>
        <v>-0.236257762094697</v>
      </c>
      <c r="P500" s="7" t="n">
        <f aca="false">Tabla2[[#This Row],[Rentabilidad (%)]]/12</f>
        <v>-0.0196881468412248</v>
      </c>
    </row>
    <row r="501" customFormat="false" ht="14.25" hidden="false" customHeight="false" outlineLevel="0" collapsed="false">
      <c r="A501" s="1" t="n">
        <v>37773</v>
      </c>
      <c r="B501" s="2" t="s">
        <v>26</v>
      </c>
      <c r="C501" s="3" t="n">
        <v>8965</v>
      </c>
      <c r="D501" s="8" t="s">
        <v>17</v>
      </c>
      <c r="E501" s="3" t="n">
        <f aca="false">IF(Tabla2[[#This Row],[Frecuencia]]="Annual", Tabla2[[#This Row],[Cosecha/Tarea]]/12,Tabla2[[#This Row],[Cosecha/Tarea]])</f>
        <v>8965</v>
      </c>
      <c r="F501" s="3" t="n">
        <v>51363</v>
      </c>
      <c r="G501" s="2" t="s">
        <v>18</v>
      </c>
      <c r="H501" s="2" t="n">
        <f aca="false">F501/Tabla2[[#This Row],[Cosecha Mensual]]</f>
        <v>5.72928053541551</v>
      </c>
      <c r="I501" s="2" t="n">
        <f aca="false">H501*_xlfn.XLOOKUP(Tabla2[[#This Row],[Unidad de producción]],Tabla3[Medida],Tabla3[Equivalencia en Kg],"ELVIS",0)</f>
        <v>259.880165086447</v>
      </c>
      <c r="J501" s="2" t="n">
        <v>239.25</v>
      </c>
      <c r="K501" s="2" t="s">
        <v>18</v>
      </c>
      <c r="L501" s="2" t="n">
        <f aca="false">J501/_xlfn.XLOOKUP(Tabla2[[#This Row],[Unidad de precio]],Tabla3[Medida],Tabla3[Equivalencia en Kg],"ELVIS",0)</f>
        <v>5.2744708994709</v>
      </c>
      <c r="M501" s="2" t="n">
        <v>1217.11</v>
      </c>
      <c r="N501" s="3" t="n">
        <f aca="false">(Tabla2[[#This Row],[Productividad (kg/TAS)]]*Tabla2[[#This Row],[Precio por kg]]-Tabla2[[#This Row],[Costos (En RD$/Tarea)]])</f>
        <v>153.62036809816</v>
      </c>
      <c r="O501" s="9" t="n">
        <f aca="false">IF(Tabla2[[#This Row],[Costos (En RD$/Tarea)]]=0,0,Tabla2[[#This Row],[Beneficio Neto  (En RD$/Tarea)]]/Tabla2[[#This Row],[Costos (En RD$/Tarea)]])</f>
        <v>0.126217324726738</v>
      </c>
      <c r="P501" s="7" t="n">
        <f aca="false">Tabla2[[#This Row],[Rentabilidad (%)]]/12</f>
        <v>0.0105181103938948</v>
      </c>
    </row>
    <row r="502" customFormat="false" ht="14.25" hidden="false" customHeight="false" outlineLevel="0" collapsed="false">
      <c r="A502" s="1" t="n">
        <v>37773</v>
      </c>
      <c r="B502" s="2" t="s">
        <v>27</v>
      </c>
      <c r="C502" s="3" t="n">
        <v>3822</v>
      </c>
      <c r="D502" s="8" t="s">
        <v>17</v>
      </c>
      <c r="E502" s="3" t="n">
        <f aca="false">IF(Tabla2[[#This Row],[Frecuencia]]="Annual", Tabla2[[#This Row],[Cosecha/Tarea]]/12,Tabla2[[#This Row],[Cosecha/Tarea]])</f>
        <v>3822</v>
      </c>
      <c r="F502" s="3" t="n">
        <v>36691</v>
      </c>
      <c r="G502" s="2" t="s">
        <v>18</v>
      </c>
      <c r="H502" s="2" t="n">
        <f aca="false">F502/Tabla2[[#This Row],[Cosecha Mensual]]</f>
        <v>9.59994767137624</v>
      </c>
      <c r="I502" s="2" t="n">
        <f aca="false">H502*_xlfn.XLOOKUP(Tabla2[[#This Row],[Unidad de producción]],Tabla3[Medida],Tabla3[Equivalencia en Kg],"ELVIS",0)</f>
        <v>435.453626373626</v>
      </c>
      <c r="J502" s="2" t="n">
        <v>229.258571428571</v>
      </c>
      <c r="K502" s="2" t="s">
        <v>18</v>
      </c>
      <c r="L502" s="2" t="n">
        <f aca="false">J502/_xlfn.XLOOKUP(Tabla2[[#This Row],[Unidad de precio]],Tabla3[Medida],Tabla3[Equivalencia en Kg],"ELVIS",0)</f>
        <v>5.05420131015368</v>
      </c>
      <c r="M502" s="2" t="n">
        <v>3938.29</v>
      </c>
      <c r="N502" s="3" t="n">
        <f aca="false">(Tabla2[[#This Row],[Productividad (kg/TAS)]]*Tabla2[[#This Row],[Precio por kg]]-Tabla2[[#This Row],[Costos (En RD$/Tarea)]])</f>
        <v>-1737.41971107125</v>
      </c>
      <c r="O502" s="9" t="n">
        <f aca="false">IF(Tabla2[[#This Row],[Costos (En RD$/Tarea)]]=0,0,Tabla2[[#This Row],[Beneficio Neto  (En RD$/Tarea)]]/Tabla2[[#This Row],[Costos (En RD$/Tarea)]])</f>
        <v>-0.441160938140982</v>
      </c>
      <c r="P502" s="7" t="n">
        <f aca="false">Tabla2[[#This Row],[Rentabilidad (%)]]/12</f>
        <v>-0.0367634115117485</v>
      </c>
    </row>
    <row r="503" customFormat="false" ht="14.25" hidden="false" customHeight="false" outlineLevel="0" collapsed="false">
      <c r="A503" s="1" t="n">
        <v>37773</v>
      </c>
      <c r="B503" s="2" t="s">
        <v>28</v>
      </c>
      <c r="C503" s="3" t="n">
        <v>11819</v>
      </c>
      <c r="D503" s="8" t="s">
        <v>17</v>
      </c>
      <c r="E503" s="3" t="n">
        <f aca="false">IF(Tabla2[[#This Row],[Frecuencia]]="Annual", Tabla2[[#This Row],[Cosecha/Tarea]]/12,Tabla2[[#This Row],[Cosecha/Tarea]])</f>
        <v>11819</v>
      </c>
      <c r="F503" s="3" t="n">
        <v>21797</v>
      </c>
      <c r="G503" s="2" t="s">
        <v>29</v>
      </c>
      <c r="H503" s="2" t="n">
        <f aca="false">F503/Tabla2[[#This Row],[Cosecha Mensual]]</f>
        <v>1.84423386073272</v>
      </c>
      <c r="I503" s="2" t="n">
        <f aca="false">H503*_xlfn.XLOOKUP(Tabla2[[#This Row],[Unidad de producción]],Tabla3[Medida],Tabla3[Equivalencia en Kg],"ELVIS",0)</f>
        <v>1037.08646924444</v>
      </c>
      <c r="J503" s="2" t="n">
        <v>1412</v>
      </c>
      <c r="K503" s="2" t="s">
        <v>29</v>
      </c>
      <c r="L503" s="2" t="n">
        <f aca="false">J503/_xlfn.XLOOKUP(Tabla2[[#This Row],[Unidad de precio]],Tabla3[Medida],Tabla3[Equivalencia en Kg],"ELVIS",0)</f>
        <v>2.51093644414411</v>
      </c>
      <c r="M503" s="2" t="n">
        <v>7517.1463872</v>
      </c>
      <c r="N503" s="3" t="n">
        <f aca="false">(Tabla2[[#This Row],[Productividad (kg/TAS)]]*Tabla2[[#This Row],[Precio por kg]]-Tabla2[[#This Row],[Costos (En RD$/Tarea)]])</f>
        <v>-4913.0881758454</v>
      </c>
      <c r="O503" s="9" t="n">
        <f aca="false">IF(Tabla2[[#This Row],[Costos (En RD$/Tarea)]]=0,0,Tabla2[[#This Row],[Beneficio Neto  (En RD$/Tarea)]]/Tabla2[[#This Row],[Costos (En RD$/Tarea)]])</f>
        <v>-0.653584209057213</v>
      </c>
      <c r="P503" s="7" t="n">
        <f aca="false">Tabla2[[#This Row],[Rentabilidad (%)]]/12</f>
        <v>-0.0544653507547678</v>
      </c>
    </row>
    <row r="504" customFormat="false" ht="14.25" hidden="false" customHeight="false" outlineLevel="0" collapsed="false">
      <c r="A504" s="1" t="n">
        <v>37773</v>
      </c>
      <c r="B504" s="2" t="s">
        <v>30</v>
      </c>
      <c r="C504" s="3" t="n">
        <v>242367</v>
      </c>
      <c r="D504" s="3" t="s">
        <v>31</v>
      </c>
      <c r="E504" s="3" t="n">
        <f aca="false">IF(Tabla2[[#This Row],[Frecuencia]]="Annual", Tabla2[[#This Row],[Cosecha/Tarea]]/12,Tabla2[[#This Row],[Cosecha/Tarea]])</f>
        <v>20197.25</v>
      </c>
      <c r="F504" s="3" t="n">
        <v>1822866</v>
      </c>
      <c r="G504" s="2" t="s">
        <v>32</v>
      </c>
      <c r="H504" s="2" t="n">
        <f aca="false">F504/Tabla2[[#This Row],[Cosecha Mensual]]</f>
        <v>90.2531780316627</v>
      </c>
      <c r="I504" s="2" t="n">
        <f aca="false">H504*_xlfn.XLOOKUP(Tabla2[[#This Row],[Unidad de producción]],Tabla3[Medida],Tabla3[Equivalencia en Kg],"ELVIS",0)</f>
        <v>2455.78897424154</v>
      </c>
      <c r="J504" s="2" t="n">
        <v>31.6785714285714</v>
      </c>
      <c r="K504" s="2" t="s">
        <v>32</v>
      </c>
      <c r="L504" s="2" t="n">
        <f aca="false">J504/_xlfn.XLOOKUP(Tabla2[[#This Row],[Unidad de precio]],Tabla3[Medida],Tabla3[Equivalencia en Kg],"ELVIS",0)</f>
        <v>1.16422533732346</v>
      </c>
      <c r="M504" s="3" t="n">
        <v>6435.96</v>
      </c>
      <c r="N504" s="3" t="n">
        <f aca="false">(Tabla2[[#This Row],[Productividad (kg/TAS)]]*Tabla2[[#This Row],[Precio por kg]]-Tabla2[[#This Row],[Costos (En RD$/Tarea)]])</f>
        <v>-3576.8682530684</v>
      </c>
      <c r="O504" s="9" t="n">
        <f aca="false">IF(Tabla2[[#This Row],[Costos (En RD$/Tarea)]]=0,0,Tabla2[[#This Row],[Beneficio Neto  (En RD$/Tarea)]]/Tabla2[[#This Row],[Costos (En RD$/Tarea)]])</f>
        <v>-0.555762971346684</v>
      </c>
      <c r="P504" s="7" t="n">
        <f aca="false">Tabla2[[#This Row],[Rentabilidad (%)]]/12</f>
        <v>-0.046313580945557</v>
      </c>
    </row>
    <row r="505" customFormat="false" ht="14.25" hidden="false" customHeight="false" outlineLevel="0" collapsed="false">
      <c r="A505" s="1" t="n">
        <v>37773</v>
      </c>
      <c r="B505" s="2" t="s">
        <v>33</v>
      </c>
      <c r="C505" s="3" t="n">
        <v>674673</v>
      </c>
      <c r="D505" s="3" t="s">
        <v>31</v>
      </c>
      <c r="E505" s="3" t="n">
        <f aca="false">IF(Tabla2[[#This Row],[Frecuencia]]="Annual", Tabla2[[#This Row],[Cosecha/Tarea]]/12,Tabla2[[#This Row],[Cosecha/Tarea]])</f>
        <v>56222.75</v>
      </c>
      <c r="F505" s="3" t="n">
        <v>109311</v>
      </c>
      <c r="G505" s="2" t="s">
        <v>34</v>
      </c>
      <c r="H505" s="2" t="n">
        <f aca="false">F505/Tabla2[[#This Row],[Cosecha Mensual]]</f>
        <v>1.94424854707392</v>
      </c>
      <c r="I505" s="2" t="n">
        <f aca="false">H505*_xlfn.XLOOKUP(Tabla2[[#This Row],[Unidad de producción]],Tabla3[Medida],Tabla3[Equivalencia en Kg],"ELVIS",0)</f>
        <v>793.545044488219</v>
      </c>
      <c r="J505" s="2" t="n">
        <v>1429.5725</v>
      </c>
      <c r="K505" s="2" t="s">
        <v>34</v>
      </c>
      <c r="L505" s="2" t="n">
        <f aca="false">J505/_xlfn.XLOOKUP(Tabla2[[#This Row],[Unidad de precio]],Tabla3[Medida],Tabla3[Equivalencia en Kg],"ELVIS",0)</f>
        <v>3.5025664584099</v>
      </c>
      <c r="M505" s="3" t="n">
        <v>8666.64</v>
      </c>
      <c r="N505" s="3" t="n">
        <f aca="false">(Tabla2[[#This Row],[Productividad (kg/TAS)]]*Tabla2[[#This Row],[Precio por kg]]-Tabla2[[#This Row],[Costos (En RD$/Tarea)]])</f>
        <v>-5887.19574393817</v>
      </c>
      <c r="O505" s="9" t="n">
        <f aca="false">IF(Tabla2[[#This Row],[Costos (En RD$/Tarea)]]=0,0,Tabla2[[#This Row],[Beneficio Neto  (En RD$/Tarea)]]/Tabla2[[#This Row],[Costos (En RD$/Tarea)]])</f>
        <v>-0.679293906743349</v>
      </c>
      <c r="P505" s="7" t="n">
        <f aca="false">Tabla2[[#This Row],[Rentabilidad (%)]]/12</f>
        <v>-0.0566078255619457</v>
      </c>
    </row>
    <row r="506" customFormat="false" ht="14.25" hidden="false" customHeight="false" outlineLevel="0" collapsed="false">
      <c r="A506" s="1" t="n">
        <v>37803</v>
      </c>
      <c r="B506" s="2" t="s">
        <v>16</v>
      </c>
      <c r="C506" s="3" t="n">
        <v>441634</v>
      </c>
      <c r="D506" s="8" t="s">
        <v>17</v>
      </c>
      <c r="E506" s="3" t="n">
        <f aca="false">IF(Tabla2[[#This Row],[Frecuencia]]="Annual", Tabla2[[#This Row],[Cosecha/Tarea]]/12,Tabla2[[#This Row],[Cosecha/Tarea]])</f>
        <v>441634</v>
      </c>
      <c r="F506" s="3" t="n">
        <v>2227693</v>
      </c>
      <c r="G506" s="2" t="s">
        <v>18</v>
      </c>
      <c r="H506" s="2" t="n">
        <f aca="false">F506/Tabla2[[#This Row],[Cosecha Mensual]]</f>
        <v>5.04420628846511</v>
      </c>
      <c r="I506" s="2" t="n">
        <f aca="false">H506*_xlfn.XLOOKUP(Tabla2[[#This Row],[Unidad de producción]],Tabla3[Medida],Tabla3[Equivalencia en Kg],"ELVIS",0)</f>
        <v>228.805197244777</v>
      </c>
      <c r="J506" s="2" t="n">
        <v>1087.12431243124</v>
      </c>
      <c r="K506" s="2" t="s">
        <v>19</v>
      </c>
      <c r="L506" s="2" t="n">
        <f aca="false">J506/_xlfn.XLOOKUP(Tabla2[[#This Row],[Unidad de precio]],Tabla3[Medida],Tabla3[Equivalencia en Kg],"ELVIS",0)</f>
        <v>9.88294829482945</v>
      </c>
      <c r="M506" s="2" t="n">
        <v>4275.41</v>
      </c>
      <c r="N506" s="3" t="n">
        <f aca="false">(Tabla2[[#This Row],[Productividad (kg/TAS)]]*Tabla2[[#This Row],[Precio por kg]]-Tabla2[[#This Row],[Costos (En RD$/Tarea)]])</f>
        <v>-2014.14006604161</v>
      </c>
      <c r="O506" s="9" t="n">
        <f aca="false">IF(Tabla2[[#This Row],[Costos (En RD$/Tarea)]]=0,0,Tabla2[[#This Row],[Beneficio Neto  (En RD$/Tarea)]]/Tabla2[[#This Row],[Costos (En RD$/Tarea)]])</f>
        <v>-0.471098693702267</v>
      </c>
      <c r="P506" s="7" t="n">
        <f aca="false">Tabla2[[#This Row],[Rentabilidad (%)]]/12</f>
        <v>-0.0392582244751889</v>
      </c>
    </row>
    <row r="507" customFormat="false" ht="14.25" hidden="false" customHeight="false" outlineLevel="0" collapsed="false">
      <c r="A507" s="1" t="n">
        <v>37803</v>
      </c>
      <c r="B507" s="2" t="s">
        <v>20</v>
      </c>
      <c r="C507" s="3" t="n">
        <v>34139</v>
      </c>
      <c r="D507" s="8" t="s">
        <v>17</v>
      </c>
      <c r="E507" s="3" t="n">
        <f aca="false">IF(Tabla2[[#This Row],[Frecuencia]]="Annual", Tabla2[[#This Row],[Cosecha/Tarea]]/12,Tabla2[[#This Row],[Cosecha/Tarea]])</f>
        <v>34139</v>
      </c>
      <c r="F507" s="3" t="n">
        <v>103731</v>
      </c>
      <c r="G507" s="2" t="s">
        <v>18</v>
      </c>
      <c r="H507" s="2" t="n">
        <f aca="false">F507/Tabla2[[#This Row],[Cosecha Mensual]]</f>
        <v>3.03848970385776</v>
      </c>
      <c r="I507" s="2" t="n">
        <f aca="false">H507*_xlfn.XLOOKUP(Tabla2[[#This Row],[Unidad de producción]],Tabla3[Medida],Tabla3[Equivalencia en Kg],"ELVIS",0)</f>
        <v>137.825892966988</v>
      </c>
      <c r="J507" s="2" t="n">
        <v>270.904285714286</v>
      </c>
      <c r="K507" s="2" t="s">
        <v>18</v>
      </c>
      <c r="L507" s="2" t="n">
        <f aca="false">J507/_xlfn.XLOOKUP(Tabla2[[#This Row],[Unidad de precio]],Tabla3[Medida],Tabla3[Equivalencia en Kg],"ELVIS",0)</f>
        <v>5.97231670445957</v>
      </c>
      <c r="M507" s="2" t="n">
        <v>938.62</v>
      </c>
      <c r="N507" s="3" t="n">
        <f aca="false">(Tabla2[[#This Row],[Productividad (kg/TAS)]]*Tabla2[[#This Row],[Precio por kg]]-Tabla2[[#This Row],[Costos (En RD$/Tarea)]])</f>
        <v>-115.480117126202</v>
      </c>
      <c r="O507" s="9" t="n">
        <f aca="false">IF(Tabla2[[#This Row],[Costos (En RD$/Tarea)]]=0,0,Tabla2[[#This Row],[Beneficio Neto  (En RD$/Tarea)]]/Tabla2[[#This Row],[Costos (En RD$/Tarea)]])</f>
        <v>-0.123031809599414</v>
      </c>
      <c r="P507" s="7" t="n">
        <f aca="false">Tabla2[[#This Row],[Rentabilidad (%)]]/12</f>
        <v>-0.0102526507999511</v>
      </c>
    </row>
    <row r="508" customFormat="false" ht="14.25" hidden="false" customHeight="false" outlineLevel="0" collapsed="false">
      <c r="A508" s="1" t="n">
        <v>37803</v>
      </c>
      <c r="B508" s="2" t="s">
        <v>21</v>
      </c>
      <c r="C508" s="3" t="n">
        <v>7095</v>
      </c>
      <c r="D508" s="8" t="s">
        <v>17</v>
      </c>
      <c r="E508" s="3" t="n">
        <f aca="false">IF(Tabla2[[#This Row],[Frecuencia]]="Annual", Tabla2[[#This Row],[Cosecha/Tarea]]/12,Tabla2[[#This Row],[Cosecha/Tarea]])</f>
        <v>7095</v>
      </c>
      <c r="F508" s="3" t="n">
        <v>62837</v>
      </c>
      <c r="G508" s="2" t="s">
        <v>18</v>
      </c>
      <c r="H508" s="2" t="n">
        <f aca="false">F508/Tabla2[[#This Row],[Cosecha Mensual]]</f>
        <v>8.85651867512333</v>
      </c>
      <c r="I508" s="2" t="n">
        <f aca="false">H508*_xlfn.XLOOKUP(Tabla2[[#This Row],[Unidad de producción]],Tabla3[Medida],Tabla3[Equivalencia en Kg],"ELVIS",0)</f>
        <v>401.731687103594</v>
      </c>
      <c r="J508" s="2" t="n">
        <v>111.5132</v>
      </c>
      <c r="K508" s="2" t="s">
        <v>18</v>
      </c>
      <c r="L508" s="2" t="n">
        <f aca="false">J508/_xlfn.XLOOKUP(Tabla2[[#This Row],[Unidad de precio]],Tabla3[Medida],Tabla3[Equivalencia en Kg],"ELVIS",0)</f>
        <v>2.45840388007055</v>
      </c>
      <c r="M508" s="2" t="n">
        <v>1545.78</v>
      </c>
      <c r="N508" s="3" t="n">
        <f aca="false">(Tabla2[[#This Row],[Productividad (kg/TAS)]]*Tabla2[[#This Row],[Precio por kg]]-Tabla2[[#This Row],[Costos (En RD$/Tarea)]])</f>
        <v>-558.161261677238</v>
      </c>
      <c r="O508" s="9" t="n">
        <f aca="false">IF(Tabla2[[#This Row],[Costos (En RD$/Tarea)]]=0,0,Tabla2[[#This Row],[Beneficio Neto  (En RD$/Tarea)]]/Tabla2[[#This Row],[Costos (En RD$/Tarea)]])</f>
        <v>-0.361087128619362</v>
      </c>
      <c r="P508" s="7" t="n">
        <f aca="false">Tabla2[[#This Row],[Rentabilidad (%)]]/12</f>
        <v>-0.0300905940516135</v>
      </c>
    </row>
    <row r="509" customFormat="false" ht="14.25" hidden="false" customHeight="false" outlineLevel="0" collapsed="false">
      <c r="A509" s="1" t="n">
        <v>37803</v>
      </c>
      <c r="B509" s="2" t="s">
        <v>22</v>
      </c>
      <c r="C509" s="3" t="n">
        <v>4861</v>
      </c>
      <c r="D509" s="8" t="s">
        <v>17</v>
      </c>
      <c r="E509" s="3" t="n">
        <f aca="false">IF(Tabla2[[#This Row],[Frecuencia]]="Annual", Tabla2[[#This Row],[Cosecha/Tarea]]/12,Tabla2[[#This Row],[Cosecha/Tarea]])</f>
        <v>4861</v>
      </c>
      <c r="F509" s="3" t="n">
        <v>51186</v>
      </c>
      <c r="G509" s="2" t="s">
        <v>18</v>
      </c>
      <c r="H509" s="2" t="n">
        <f aca="false">F509/Tabla2[[#This Row],[Cosecha Mensual]]</f>
        <v>10.529932112734</v>
      </c>
      <c r="I509" s="2" t="n">
        <f aca="false">H509*_xlfn.XLOOKUP(Tabla2[[#This Row],[Unidad de producción]],Tabla3[Medida],Tabla3[Equivalencia en Kg],"ELVIS",0)</f>
        <v>477.637720633615</v>
      </c>
      <c r="J509" s="2" t="n">
        <v>453.334</v>
      </c>
      <c r="K509" s="2" t="s">
        <v>18</v>
      </c>
      <c r="L509" s="2" t="n">
        <f aca="false">J509/_xlfn.XLOOKUP(Tabla2[[#This Row],[Unidad de precio]],Tabla3[Medida],Tabla3[Equivalencia en Kg],"ELVIS",0)</f>
        <v>9.99413580246914</v>
      </c>
      <c r="M509" s="2" t="n">
        <v>3985.46</v>
      </c>
      <c r="N509" s="3" t="n">
        <f aca="false">(Tabla2[[#This Row],[Productividad (kg/TAS)]]*Tabla2[[#This Row],[Precio por kg]]-Tabla2[[#This Row],[Costos (En RD$/Tarea)]])</f>
        <v>788.116244394158</v>
      </c>
      <c r="O509" s="9" t="n">
        <f aca="false">IF(Tabla2[[#This Row],[Costos (En RD$/Tarea)]]=0,0,Tabla2[[#This Row],[Beneficio Neto  (En RD$/Tarea)]]/Tabla2[[#This Row],[Costos (En RD$/Tarea)]])</f>
        <v>0.197747874622793</v>
      </c>
      <c r="P509" s="7" t="n">
        <f aca="false">Tabla2[[#This Row],[Rentabilidad (%)]]/12</f>
        <v>0.0164789895518994</v>
      </c>
    </row>
    <row r="510" customFormat="false" ht="14.25" hidden="false" customHeight="false" outlineLevel="0" collapsed="false">
      <c r="A510" s="1" t="n">
        <v>37803</v>
      </c>
      <c r="B510" s="2" t="s">
        <v>23</v>
      </c>
      <c r="C510" s="3" t="n">
        <v>4033</v>
      </c>
      <c r="D510" s="8" t="s">
        <v>17</v>
      </c>
      <c r="E510" s="3" t="n">
        <f aca="false">IF(Tabla2[[#This Row],[Frecuencia]]="Annual", Tabla2[[#This Row],[Cosecha/Tarea]]/12,Tabla2[[#This Row],[Cosecha/Tarea]])</f>
        <v>4033</v>
      </c>
      <c r="F510" s="3" t="n">
        <v>95420</v>
      </c>
      <c r="G510" s="2" t="s">
        <v>18</v>
      </c>
      <c r="H510" s="2" t="n">
        <f aca="false">F510/Tabla2[[#This Row],[Cosecha Mensual]]</f>
        <v>23.6598065955864</v>
      </c>
      <c r="I510" s="2" t="n">
        <f aca="false">H510*_xlfn.XLOOKUP(Tabla2[[#This Row],[Unidad de producción]],Tabla3[Medida],Tabla3[Equivalencia en Kg],"ELVIS",0)</f>
        <v>1073.2088271758</v>
      </c>
      <c r="J510" s="2" t="n">
        <v>279.35</v>
      </c>
      <c r="K510" s="2" t="s">
        <v>18</v>
      </c>
      <c r="L510" s="2" t="n">
        <f aca="false">J510/_xlfn.XLOOKUP(Tabla2[[#This Row],[Unidad de precio]],Tabla3[Medida],Tabla3[Equivalencia en Kg],"ELVIS",0)</f>
        <v>6.15850970017637</v>
      </c>
      <c r="M510" s="2" t="n">
        <v>9309.96</v>
      </c>
      <c r="N510" s="3" t="n">
        <f aca="false">(Tabla2[[#This Row],[Productividad (kg/TAS)]]*Tabla2[[#This Row],[Precio por kg]]-Tabla2[[#This Row],[Costos (En RD$/Tarea)]])</f>
        <v>-2700.59302752293</v>
      </c>
      <c r="O510" s="9" t="n">
        <f aca="false">IF(Tabla2[[#This Row],[Costos (En RD$/Tarea)]]=0,0,Tabla2[[#This Row],[Beneficio Neto  (En RD$/Tarea)]]/Tabla2[[#This Row],[Costos (En RD$/Tarea)]])</f>
        <v>-0.290075685343754</v>
      </c>
      <c r="P510" s="7" t="n">
        <f aca="false">Tabla2[[#This Row],[Rentabilidad (%)]]/12</f>
        <v>-0.0241729737786461</v>
      </c>
    </row>
    <row r="511" customFormat="false" ht="14.25" hidden="false" customHeight="false" outlineLevel="0" collapsed="false">
      <c r="A511" s="1" t="n">
        <v>37803</v>
      </c>
      <c r="B511" s="2" t="s">
        <v>24</v>
      </c>
      <c r="C511" s="3" t="n">
        <v>7195</v>
      </c>
      <c r="D511" s="8" t="s">
        <v>17</v>
      </c>
      <c r="E511" s="3" t="n">
        <f aca="false">IF(Tabla2[[#This Row],[Frecuencia]]="Annual", Tabla2[[#This Row],[Cosecha/Tarea]]/12,Tabla2[[#This Row],[Cosecha/Tarea]])</f>
        <v>7195</v>
      </c>
      <c r="F511" s="3" t="n">
        <v>86876</v>
      </c>
      <c r="G511" s="2" t="s">
        <v>18</v>
      </c>
      <c r="H511" s="2" t="n">
        <f aca="false">F511/Tabla2[[#This Row],[Cosecha Mensual]]</f>
        <v>12.0744961779013</v>
      </c>
      <c r="I511" s="2" t="n">
        <f aca="false">H511*_xlfn.XLOOKUP(Tabla2[[#This Row],[Unidad de producción]],Tabla3[Medida],Tabla3[Equivalencia en Kg],"ELVIS",0)</f>
        <v>547.699146629604</v>
      </c>
      <c r="J511" s="2" t="n">
        <v>290.96875</v>
      </c>
      <c r="K511" s="2" t="s">
        <v>18</v>
      </c>
      <c r="L511" s="2" t="n">
        <f aca="false">J511/_xlfn.XLOOKUP(Tabla2[[#This Row],[Unidad de precio]],Tabla3[Medida],Tabla3[Equivalencia en Kg],"ELVIS",0)</f>
        <v>6.41465498236332</v>
      </c>
      <c r="M511" s="2" t="n">
        <v>3188.34</v>
      </c>
      <c r="N511" s="3" t="n">
        <f aca="false">(Tabla2[[#This Row],[Productividad (kg/TAS)]]*Tabla2[[#This Row],[Precio por kg]]-Tabla2[[#This Row],[Costos (En RD$/Tarea)]])</f>
        <v>324.961059763725</v>
      </c>
      <c r="O511" s="9" t="n">
        <f aca="false">IF(Tabla2[[#This Row],[Costos (En RD$/Tarea)]]=0,0,Tabla2[[#This Row],[Beneficio Neto  (En RD$/Tarea)]]/Tabla2[[#This Row],[Costos (En RD$/Tarea)]])</f>
        <v>0.101921708401151</v>
      </c>
      <c r="P511" s="7" t="n">
        <f aca="false">Tabla2[[#This Row],[Rentabilidad (%)]]/12</f>
        <v>0.00849347570009589</v>
      </c>
    </row>
    <row r="512" customFormat="false" ht="14.25" hidden="false" customHeight="false" outlineLevel="0" collapsed="false">
      <c r="A512" s="1" t="n">
        <v>37803</v>
      </c>
      <c r="B512" s="2" t="s">
        <v>25</v>
      </c>
      <c r="C512" s="3" t="n">
        <v>19271</v>
      </c>
      <c r="D512" s="8" t="s">
        <v>17</v>
      </c>
      <c r="E512" s="3" t="n">
        <f aca="false">IF(Tabla2[[#This Row],[Frecuencia]]="Annual", Tabla2[[#This Row],[Cosecha/Tarea]]/12,Tabla2[[#This Row],[Cosecha/Tarea]])</f>
        <v>19271</v>
      </c>
      <c r="F512" s="3" t="n">
        <v>215066</v>
      </c>
      <c r="G512" s="2" t="s">
        <v>18</v>
      </c>
      <c r="H512" s="2" t="n">
        <f aca="false">F512/Tabla2[[#This Row],[Cosecha Mensual]]</f>
        <v>11.1600851019667</v>
      </c>
      <c r="I512" s="2" t="n">
        <f aca="false">H512*_xlfn.XLOOKUP(Tabla2[[#This Row],[Unidad de producción]],Tabla3[Medida],Tabla3[Equivalencia en Kg],"ELVIS",0)</f>
        <v>506.221460225209</v>
      </c>
      <c r="J512" s="2" t="n">
        <v>105.494714285714</v>
      </c>
      <c r="K512" s="2" t="s">
        <v>18</v>
      </c>
      <c r="L512" s="2" t="n">
        <f aca="false">J512/_xlfn.XLOOKUP(Tabla2[[#This Row],[Unidad de precio]],Tabla3[Medida],Tabla3[Equivalencia en Kg],"ELVIS",0)</f>
        <v>2.32572121441168</v>
      </c>
      <c r="M512" s="2" t="n">
        <v>1396.74</v>
      </c>
      <c r="N512" s="3" t="n">
        <f aca="false">(Tabla2[[#This Row],[Productividad (kg/TAS)]]*Tabla2[[#This Row],[Precio por kg]]-Tabla2[[#This Row],[Costos (En RD$/Tarea)]])</f>
        <v>-219.410010763771</v>
      </c>
      <c r="O512" s="9" t="n">
        <f aca="false">IF(Tabla2[[#This Row],[Costos (En RD$/Tarea)]]=0,0,Tabla2[[#This Row],[Beneficio Neto  (En RD$/Tarea)]]/Tabla2[[#This Row],[Costos (En RD$/Tarea)]])</f>
        <v>-0.157087225083961</v>
      </c>
      <c r="P512" s="7" t="n">
        <f aca="false">Tabla2[[#This Row],[Rentabilidad (%)]]/12</f>
        <v>-0.0130906020903301</v>
      </c>
    </row>
    <row r="513" customFormat="false" ht="14.25" hidden="false" customHeight="false" outlineLevel="0" collapsed="false">
      <c r="A513" s="1" t="n">
        <v>37803</v>
      </c>
      <c r="B513" s="2" t="s">
        <v>26</v>
      </c>
      <c r="C513" s="3" t="n">
        <v>8462</v>
      </c>
      <c r="D513" s="8" t="s">
        <v>17</v>
      </c>
      <c r="E513" s="3" t="n">
        <f aca="false">IF(Tabla2[[#This Row],[Frecuencia]]="Annual", Tabla2[[#This Row],[Cosecha/Tarea]]/12,Tabla2[[#This Row],[Cosecha/Tarea]])</f>
        <v>8462</v>
      </c>
      <c r="F513" s="3" t="n">
        <v>43187</v>
      </c>
      <c r="G513" s="2" t="s">
        <v>18</v>
      </c>
      <c r="H513" s="2" t="n">
        <f aca="false">F513/Tabla2[[#This Row],[Cosecha Mensual]]</f>
        <v>5.10363980146537</v>
      </c>
      <c r="I513" s="2" t="n">
        <f aca="false">H513*_xlfn.XLOOKUP(Tabla2[[#This Row],[Unidad de producción]],Tabla3[Medida],Tabla3[Equivalencia en Kg],"ELVIS",0)</f>
        <v>231.501101394469</v>
      </c>
      <c r="J513" s="2" t="n">
        <v>233.541666666667</v>
      </c>
      <c r="K513" s="2" t="s">
        <v>18</v>
      </c>
      <c r="L513" s="2" t="n">
        <f aca="false">J513/_xlfn.XLOOKUP(Tabla2[[#This Row],[Unidad de precio]],Tabla3[Medida],Tabla3[Equivalencia en Kg],"ELVIS",0)</f>
        <v>5.14862580834804</v>
      </c>
      <c r="M513" s="2" t="n">
        <v>1217.11</v>
      </c>
      <c r="N513" s="3" t="n">
        <f aca="false">(Tabla2[[#This Row],[Productividad (kg/TAS)]]*Tabla2[[#This Row],[Precio por kg]]-Tabla2[[#This Row],[Costos (En RD$/Tarea)]])</f>
        <v>-25.1974546994388</v>
      </c>
      <c r="O513" s="9" t="n">
        <f aca="false">IF(Tabla2[[#This Row],[Costos (En RD$/Tarea)]]=0,0,Tabla2[[#This Row],[Beneficio Neto  (En RD$/Tarea)]]/Tabla2[[#This Row],[Costos (En RD$/Tarea)]])</f>
        <v>-0.0207026930182472</v>
      </c>
      <c r="P513" s="7" t="n">
        <f aca="false">Tabla2[[#This Row],[Rentabilidad (%)]]/12</f>
        <v>-0.00172522441818727</v>
      </c>
    </row>
    <row r="514" customFormat="false" ht="14.25" hidden="false" customHeight="false" outlineLevel="0" collapsed="false">
      <c r="A514" s="1" t="n">
        <v>37803</v>
      </c>
      <c r="B514" s="2" t="s">
        <v>27</v>
      </c>
      <c r="C514" s="3" t="n">
        <v>4295</v>
      </c>
      <c r="D514" s="8" t="s">
        <v>17</v>
      </c>
      <c r="E514" s="3" t="n">
        <f aca="false">IF(Tabla2[[#This Row],[Frecuencia]]="Annual", Tabla2[[#This Row],[Cosecha/Tarea]]/12,Tabla2[[#This Row],[Cosecha/Tarea]])</f>
        <v>4295</v>
      </c>
      <c r="F514" s="3" t="n">
        <v>44081</v>
      </c>
      <c r="G514" s="2" t="s">
        <v>18</v>
      </c>
      <c r="H514" s="2" t="n">
        <f aca="false">F514/Tabla2[[#This Row],[Cosecha Mensual]]</f>
        <v>10.2633294528522</v>
      </c>
      <c r="I514" s="2" t="n">
        <f aca="false">H514*_xlfn.XLOOKUP(Tabla2[[#This Row],[Unidad de producción]],Tabla3[Medida],Tabla3[Equivalencia en Kg],"ELVIS",0)</f>
        <v>465.544623981374</v>
      </c>
      <c r="J514" s="2" t="n">
        <v>232.166666666667</v>
      </c>
      <c r="K514" s="2" t="s">
        <v>18</v>
      </c>
      <c r="L514" s="2" t="n">
        <f aca="false">J514/_xlfn.XLOOKUP(Tabla2[[#This Row],[Unidad de precio]],Tabla3[Medida],Tabla3[Equivalencia en Kg],"ELVIS",0)</f>
        <v>5.11831275720165</v>
      </c>
      <c r="M514" s="2" t="n">
        <v>3938.29</v>
      </c>
      <c r="N514" s="3" t="n">
        <f aca="false">(Tabla2[[#This Row],[Productividad (kg/TAS)]]*Tabla2[[#This Row],[Precio por kg]]-Tabla2[[#This Row],[Costos (En RD$/Tarea)]])</f>
        <v>-1555.48701202949</v>
      </c>
      <c r="O514" s="9" t="n">
        <f aca="false">IF(Tabla2[[#This Row],[Costos (En RD$/Tarea)]]=0,0,Tabla2[[#This Row],[Beneficio Neto  (En RD$/Tarea)]]/Tabla2[[#This Row],[Costos (En RD$/Tarea)]])</f>
        <v>-0.394965076728603</v>
      </c>
      <c r="P514" s="7" t="n">
        <f aca="false">Tabla2[[#This Row],[Rentabilidad (%)]]/12</f>
        <v>-0.0329137563940502</v>
      </c>
    </row>
    <row r="515" customFormat="false" ht="14.25" hidden="false" customHeight="false" outlineLevel="0" collapsed="false">
      <c r="A515" s="1" t="n">
        <v>37803</v>
      </c>
      <c r="B515" s="2" t="s">
        <v>28</v>
      </c>
      <c r="C515" s="3" t="n">
        <v>16334</v>
      </c>
      <c r="D515" s="8" t="s">
        <v>17</v>
      </c>
      <c r="E515" s="3" t="n">
        <f aca="false">IF(Tabla2[[#This Row],[Frecuencia]]="Annual", Tabla2[[#This Row],[Cosecha/Tarea]]/12,Tabla2[[#This Row],[Cosecha/Tarea]])</f>
        <v>16334</v>
      </c>
      <c r="F515" s="3" t="n">
        <v>28421</v>
      </c>
      <c r="G515" s="2" t="s">
        <v>29</v>
      </c>
      <c r="H515" s="2" t="n">
        <f aca="false">F515/Tabla2[[#This Row],[Cosecha Mensual]]</f>
        <v>1.73999020448145</v>
      </c>
      <c r="I515" s="2" t="n">
        <f aca="false">H515*_xlfn.XLOOKUP(Tabla2[[#This Row],[Unidad de producción]],Tabla3[Medida],Tabla3[Equivalencia en Kg],"ELVIS",0)</f>
        <v>978.466091588099</v>
      </c>
      <c r="J515" s="2" t="n">
        <v>2160.73428571429</v>
      </c>
      <c r="K515" s="2" t="s">
        <v>29</v>
      </c>
      <c r="L515" s="2" t="n">
        <f aca="false">J515/_xlfn.XLOOKUP(Tabla2[[#This Row],[Unidad de precio]],Tabla3[Medida],Tabla3[Equivalencia en Kg],"ELVIS",0)</f>
        <v>3.84239834568818</v>
      </c>
      <c r="M515" s="2" t="n">
        <v>7517.1463872</v>
      </c>
      <c r="N515" s="3" t="n">
        <f aca="false">(Tabla2[[#This Row],[Productividad (kg/TAS)]]*Tabla2[[#This Row],[Precio por kg]]-Tabla2[[#This Row],[Costos (En RD$/Tarea)]])</f>
        <v>-3757.48989556991</v>
      </c>
      <c r="O515" s="9" t="n">
        <f aca="false">IF(Tabla2[[#This Row],[Costos (En RD$/Tarea)]]=0,0,Tabla2[[#This Row],[Beneficio Neto  (En RD$/Tarea)]]/Tabla2[[#This Row],[Costos (En RD$/Tarea)]])</f>
        <v>-0.499855889725398</v>
      </c>
      <c r="P515" s="7" t="n">
        <f aca="false">Tabla2[[#This Row],[Rentabilidad (%)]]/12</f>
        <v>-0.0416546574771165</v>
      </c>
    </row>
    <row r="516" customFormat="false" ht="14.25" hidden="false" customHeight="false" outlineLevel="0" collapsed="false">
      <c r="A516" s="1" t="n">
        <v>37803</v>
      </c>
      <c r="B516" s="2" t="s">
        <v>30</v>
      </c>
      <c r="C516" s="3" t="n">
        <v>340820</v>
      </c>
      <c r="D516" s="3" t="s">
        <v>31</v>
      </c>
      <c r="E516" s="3" t="n">
        <f aca="false">IF(Tabla2[[#This Row],[Frecuencia]]="Annual", Tabla2[[#This Row],[Cosecha/Tarea]]/12,Tabla2[[#This Row],[Cosecha/Tarea]])</f>
        <v>28401.6666666667</v>
      </c>
      <c r="F516" s="3" t="n">
        <v>2276806</v>
      </c>
      <c r="G516" s="2" t="s">
        <v>32</v>
      </c>
      <c r="H516" s="2" t="n">
        <f aca="false">F516/Tabla2[[#This Row],[Cosecha Mensual]]</f>
        <v>80.1645208614518</v>
      </c>
      <c r="I516" s="2" t="n">
        <f aca="false">H516*_xlfn.XLOOKUP(Tabla2[[#This Row],[Unidad de producción]],Tabla3[Medida],Tabla3[Equivalencia en Kg],"ELVIS",0)</f>
        <v>2181.2766126401</v>
      </c>
      <c r="J516" s="2" t="n">
        <v>30.7233333333333</v>
      </c>
      <c r="K516" s="2" t="s">
        <v>32</v>
      </c>
      <c r="L516" s="2" t="n">
        <f aca="false">J516/_xlfn.XLOOKUP(Tabla2[[#This Row],[Unidad de precio]],Tabla3[Medida],Tabla3[Equivalencia en Kg],"ELVIS",0)</f>
        <v>1.12911919637388</v>
      </c>
      <c r="M516" s="3" t="n">
        <v>6435.96</v>
      </c>
      <c r="N516" s="3" t="n">
        <f aca="false">(Tabla2[[#This Row],[Productividad (kg/TAS)]]*Tabla2[[#This Row],[Precio por kg]]-Tabla2[[#This Row],[Costos (En RD$/Tarea)]])</f>
        <v>-3973.03870406667</v>
      </c>
      <c r="O516" s="9" t="n">
        <f aca="false">IF(Tabla2[[#This Row],[Costos (En RD$/Tarea)]]=0,0,Tabla2[[#This Row],[Beneficio Neto  (En RD$/Tarea)]]/Tabla2[[#This Row],[Costos (En RD$/Tarea)]])</f>
        <v>-0.61731873785211</v>
      </c>
      <c r="P516" s="7" t="n">
        <f aca="false">Tabla2[[#This Row],[Rentabilidad (%)]]/12</f>
        <v>-0.0514432281543425</v>
      </c>
    </row>
    <row r="517" customFormat="false" ht="14.25" hidden="false" customHeight="false" outlineLevel="0" collapsed="false">
      <c r="A517" s="1" t="n">
        <v>37803</v>
      </c>
      <c r="B517" s="2" t="s">
        <v>33</v>
      </c>
      <c r="C517" s="3" t="n">
        <v>692694</v>
      </c>
      <c r="D517" s="3" t="s">
        <v>31</v>
      </c>
      <c r="E517" s="3" t="n">
        <f aca="false">IF(Tabla2[[#This Row],[Frecuencia]]="Annual", Tabla2[[#This Row],[Cosecha/Tarea]]/12,Tabla2[[#This Row],[Cosecha/Tarea]])</f>
        <v>57724.5</v>
      </c>
      <c r="F517" s="3" t="n">
        <v>121355</v>
      </c>
      <c r="G517" s="2" t="s">
        <v>34</v>
      </c>
      <c r="H517" s="2" t="n">
        <f aca="false">F517/Tabla2[[#This Row],[Cosecha Mensual]]</f>
        <v>2.10231357569143</v>
      </c>
      <c r="I517" s="2" t="n">
        <f aca="false">H517*_xlfn.XLOOKUP(Tabla2[[#This Row],[Unidad de producción]],Tabla3[Medida],Tabla3[Equivalencia en Kg],"ELVIS",0)</f>
        <v>858.059285918458</v>
      </c>
      <c r="J517" s="2" t="n">
        <v>1260.21714285714</v>
      </c>
      <c r="K517" s="2" t="s">
        <v>34</v>
      </c>
      <c r="L517" s="2" t="n">
        <f aca="false">J517/_xlfn.XLOOKUP(Tabla2[[#This Row],[Unidad de precio]],Tabla3[Medida],Tabla3[Equivalencia en Kg],"ELVIS",0)</f>
        <v>3.08763234805131</v>
      </c>
      <c r="M517" s="3" t="n">
        <v>8666.64</v>
      </c>
      <c r="N517" s="3" t="n">
        <f aca="false">(Tabla2[[#This Row],[Productividad (kg/TAS)]]*Tabla2[[#This Row],[Precio por kg]]-Tabla2[[#This Row],[Costos (En RD$/Tarea)]])</f>
        <v>-6017.26839225237</v>
      </c>
      <c r="O517" s="9" t="n">
        <f aca="false">IF(Tabla2[[#This Row],[Costos (En RD$/Tarea)]]=0,0,Tabla2[[#This Row],[Beneficio Neto  (En RD$/Tarea)]]/Tabla2[[#This Row],[Costos (En RD$/Tarea)]])</f>
        <v>-0.694302335420921</v>
      </c>
      <c r="P517" s="7" t="n">
        <f aca="false">Tabla2[[#This Row],[Rentabilidad (%)]]/12</f>
        <v>-0.0578585279517434</v>
      </c>
    </row>
    <row r="518" customFormat="false" ht="14.25" hidden="false" customHeight="false" outlineLevel="0" collapsed="false">
      <c r="A518" s="1" t="n">
        <v>37834</v>
      </c>
      <c r="B518" s="2" t="s">
        <v>16</v>
      </c>
      <c r="C518" s="3" t="n">
        <v>283002</v>
      </c>
      <c r="D518" s="8" t="s">
        <v>17</v>
      </c>
      <c r="E518" s="3" t="n">
        <f aca="false">IF(Tabla2[[#This Row],[Frecuencia]]="Annual", Tabla2[[#This Row],[Cosecha/Tarea]]/12,Tabla2[[#This Row],[Cosecha/Tarea]])</f>
        <v>283002</v>
      </c>
      <c r="F518" s="3" t="n">
        <v>1446278</v>
      </c>
      <c r="G518" s="2" t="s">
        <v>18</v>
      </c>
      <c r="H518" s="2" t="n">
        <f aca="false">F518/Tabla2[[#This Row],[Cosecha Mensual]]</f>
        <v>5.11048685168303</v>
      </c>
      <c r="I518" s="2" t="n">
        <f aca="false">H518*_xlfn.XLOOKUP(Tabla2[[#This Row],[Unidad de producción]],Tabla3[Medida],Tabla3[Equivalencia en Kg],"ELVIS",0)</f>
        <v>231.811683592342</v>
      </c>
      <c r="J518" s="2" t="n">
        <v>1162.22442244224</v>
      </c>
      <c r="K518" s="2" t="s">
        <v>19</v>
      </c>
      <c r="L518" s="2" t="n">
        <f aca="false">J518/_xlfn.XLOOKUP(Tabla2[[#This Row],[Unidad de precio]],Tabla3[Medida],Tabla3[Equivalencia en Kg],"ELVIS",0)</f>
        <v>10.5656765676567</v>
      </c>
      <c r="M518" s="2" t="n">
        <v>4275.41</v>
      </c>
      <c r="N518" s="3" t="n">
        <f aca="false">(Tabla2[[#This Row],[Productividad (kg/TAS)]]*Tabla2[[#This Row],[Precio por kg]]-Tabla2[[#This Row],[Costos (En RD$/Tarea)]])</f>
        <v>-1826.16272655934</v>
      </c>
      <c r="O518" s="9" t="n">
        <f aca="false">IF(Tabla2[[#This Row],[Costos (En RD$/Tarea)]]=0,0,Tabla2[[#This Row],[Beneficio Neto  (En RD$/Tarea)]]/Tabla2[[#This Row],[Costos (En RD$/Tarea)]])</f>
        <v>-0.427131602947866</v>
      </c>
      <c r="P518" s="7" t="n">
        <f aca="false">Tabla2[[#This Row],[Rentabilidad (%)]]/12</f>
        <v>-0.0355943002456555</v>
      </c>
    </row>
    <row r="519" customFormat="false" ht="14.25" hidden="false" customHeight="false" outlineLevel="0" collapsed="false">
      <c r="A519" s="1" t="n">
        <v>37834</v>
      </c>
      <c r="B519" s="2" t="s">
        <v>20</v>
      </c>
      <c r="C519" s="3" t="n">
        <v>61576</v>
      </c>
      <c r="D519" s="8" t="s">
        <v>17</v>
      </c>
      <c r="E519" s="3" t="n">
        <f aca="false">IF(Tabla2[[#This Row],[Frecuencia]]="Annual", Tabla2[[#This Row],[Cosecha/Tarea]]/12,Tabla2[[#This Row],[Cosecha/Tarea]])</f>
        <v>61576</v>
      </c>
      <c r="F519" s="3" t="n">
        <v>110331</v>
      </c>
      <c r="G519" s="2" t="s">
        <v>18</v>
      </c>
      <c r="H519" s="2" t="n">
        <f aca="false">F519/Tabla2[[#This Row],[Cosecha Mensual]]</f>
        <v>1.79178576068598</v>
      </c>
      <c r="I519" s="2" t="n">
        <f aca="false">H519*_xlfn.XLOOKUP(Tabla2[[#This Row],[Unidad de producción]],Tabla3[Medida],Tabla3[Equivalencia en Kg],"ELVIS",0)</f>
        <v>81.2754021047161</v>
      </c>
      <c r="J519" s="2" t="n">
        <v>279.234285714286</v>
      </c>
      <c r="K519" s="2" t="s">
        <v>18</v>
      </c>
      <c r="L519" s="2" t="n">
        <f aca="false">J519/_xlfn.XLOOKUP(Tabla2[[#This Row],[Unidad de precio]],Tabla3[Medida],Tabla3[Equivalencia en Kg],"ELVIS",0)</f>
        <v>6.15595867976821</v>
      </c>
      <c r="M519" s="2" t="n">
        <v>938.62</v>
      </c>
      <c r="N519" s="3" t="n">
        <f aca="false">(Tabla2[[#This Row],[Productividad (kg/TAS)]]*Tabla2[[#This Row],[Precio por kg]]-Tabla2[[#This Row],[Costos (En RD$/Tarea)]])</f>
        <v>-438.291982961821</v>
      </c>
      <c r="O519" s="9" t="n">
        <f aca="false">IF(Tabla2[[#This Row],[Costos (En RD$/Tarea)]]=0,0,Tabla2[[#This Row],[Beneficio Neto  (En RD$/Tarea)]]/Tabla2[[#This Row],[Costos (En RD$/Tarea)]])</f>
        <v>-0.466953594598263</v>
      </c>
      <c r="P519" s="7" t="n">
        <f aca="false">Tabla2[[#This Row],[Rentabilidad (%)]]/12</f>
        <v>-0.0389127995498552</v>
      </c>
    </row>
    <row r="520" customFormat="false" ht="14.25" hidden="false" customHeight="false" outlineLevel="0" collapsed="false">
      <c r="A520" s="1" t="n">
        <v>37834</v>
      </c>
      <c r="B520" s="2" t="s">
        <v>21</v>
      </c>
      <c r="C520" s="3" t="n">
        <v>6197</v>
      </c>
      <c r="D520" s="8" t="s">
        <v>17</v>
      </c>
      <c r="E520" s="3" t="n">
        <f aca="false">IF(Tabla2[[#This Row],[Frecuencia]]="Annual", Tabla2[[#This Row],[Cosecha/Tarea]]/12,Tabla2[[#This Row],[Cosecha/Tarea]])</f>
        <v>6197</v>
      </c>
      <c r="F520" s="3" t="n">
        <v>59391</v>
      </c>
      <c r="G520" s="2" t="s">
        <v>18</v>
      </c>
      <c r="H520" s="2" t="n">
        <f aca="false">F520/Tabla2[[#This Row],[Cosecha Mensual]]</f>
        <v>9.58383088591254</v>
      </c>
      <c r="I520" s="2" t="n">
        <f aca="false">H520*_xlfn.XLOOKUP(Tabla2[[#This Row],[Unidad de producción]],Tabla3[Medida],Tabla3[Equivalencia en Kg],"ELVIS",0)</f>
        <v>434.722568984993</v>
      </c>
      <c r="J520" s="2" t="n">
        <v>132.675</v>
      </c>
      <c r="K520" s="2" t="s">
        <v>18</v>
      </c>
      <c r="L520" s="2" t="n">
        <f aca="false">J520/_xlfn.XLOOKUP(Tabla2[[#This Row],[Unidad de precio]],Tabla3[Medida],Tabla3[Equivalencia en Kg],"ELVIS",0)</f>
        <v>2.92493386243386</v>
      </c>
      <c r="M520" s="2" t="n">
        <v>1545.78</v>
      </c>
      <c r="N520" s="3" t="n">
        <f aca="false">(Tabla2[[#This Row],[Productividad (kg/TAS)]]*Tabla2[[#This Row],[Precio por kg]]-Tabla2[[#This Row],[Costos (En RD$/Tarea)]])</f>
        <v>-274.245237211554</v>
      </c>
      <c r="O520" s="9" t="n">
        <f aca="false">IF(Tabla2[[#This Row],[Costos (En RD$/Tarea)]]=0,0,Tabla2[[#This Row],[Beneficio Neto  (En RD$/Tarea)]]/Tabla2[[#This Row],[Costos (En RD$/Tarea)]])</f>
        <v>-0.177415438944451</v>
      </c>
      <c r="P520" s="7" t="n">
        <f aca="false">Tabla2[[#This Row],[Rentabilidad (%)]]/12</f>
        <v>-0.0147846199120376</v>
      </c>
    </row>
    <row r="521" customFormat="false" ht="14.25" hidden="false" customHeight="false" outlineLevel="0" collapsed="false">
      <c r="A521" s="1" t="n">
        <v>37834</v>
      </c>
      <c r="B521" s="2" t="s">
        <v>22</v>
      </c>
      <c r="C521" s="3" t="n">
        <v>3156</v>
      </c>
      <c r="D521" s="8" t="s">
        <v>17</v>
      </c>
      <c r="E521" s="3" t="n">
        <f aca="false">IF(Tabla2[[#This Row],[Frecuencia]]="Annual", Tabla2[[#This Row],[Cosecha/Tarea]]/12,Tabla2[[#This Row],[Cosecha/Tarea]])</f>
        <v>3156</v>
      </c>
      <c r="F521" s="3" t="n">
        <v>32475</v>
      </c>
      <c r="G521" s="2" t="s">
        <v>18</v>
      </c>
      <c r="H521" s="2" t="n">
        <f aca="false">F521/Tabla2[[#This Row],[Cosecha Mensual]]</f>
        <v>10.2899239543726</v>
      </c>
      <c r="I521" s="2" t="n">
        <f aca="false">H521*_xlfn.XLOOKUP(Tabla2[[#This Row],[Unidad de producción]],Tabla3[Medida],Tabla3[Equivalencia en Kg],"ELVIS",0)</f>
        <v>466.750950570342</v>
      </c>
      <c r="J521" s="2" t="n">
        <v>459.11</v>
      </c>
      <c r="K521" s="2" t="s">
        <v>18</v>
      </c>
      <c r="L521" s="2" t="n">
        <f aca="false">J521/_xlfn.XLOOKUP(Tabla2[[#This Row],[Unidad de precio]],Tabla3[Medida],Tabla3[Equivalencia en Kg],"ELVIS",0)</f>
        <v>10.1214726631393</v>
      </c>
      <c r="M521" s="2" t="n">
        <v>3985.46</v>
      </c>
      <c r="N521" s="3" t="n">
        <f aca="false">(Tabla2[[#This Row],[Productividad (kg/TAS)]]*Tabla2[[#This Row],[Precio por kg]]-Tabla2[[#This Row],[Costos (En RD$/Tarea)]])</f>
        <v>738.746986692016</v>
      </c>
      <c r="O521" s="9" t="n">
        <f aca="false">IF(Tabla2[[#This Row],[Costos (En RD$/Tarea)]]=0,0,Tabla2[[#This Row],[Beneficio Neto  (En RD$/Tarea)]]/Tabla2[[#This Row],[Costos (En RD$/Tarea)]])</f>
        <v>0.185360532207578</v>
      </c>
      <c r="P521" s="7" t="n">
        <f aca="false">Tabla2[[#This Row],[Rentabilidad (%)]]/12</f>
        <v>0.0154467110172982</v>
      </c>
    </row>
    <row r="522" customFormat="false" ht="14.25" hidden="false" customHeight="false" outlineLevel="0" collapsed="false">
      <c r="A522" s="1" t="n">
        <v>37834</v>
      </c>
      <c r="B522" s="2" t="s">
        <v>23</v>
      </c>
      <c r="C522" s="3" t="n">
        <v>2783</v>
      </c>
      <c r="D522" s="8" t="s">
        <v>17</v>
      </c>
      <c r="E522" s="3" t="n">
        <f aca="false">IF(Tabla2[[#This Row],[Frecuencia]]="Annual", Tabla2[[#This Row],[Cosecha/Tarea]]/12,Tabla2[[#This Row],[Cosecha/Tarea]])</f>
        <v>2783</v>
      </c>
      <c r="F522" s="3" t="n">
        <v>89355</v>
      </c>
      <c r="G522" s="2" t="s">
        <v>18</v>
      </c>
      <c r="H522" s="2" t="n">
        <f aca="false">F522/Tabla2[[#This Row],[Cosecha Mensual]]</f>
        <v>32.1074380165289</v>
      </c>
      <c r="I522" s="2" t="n">
        <f aca="false">H522*_xlfn.XLOOKUP(Tabla2[[#This Row],[Unidad de producción]],Tabla3[Medida],Tabla3[Equivalencia en Kg],"ELVIS",0)</f>
        <v>1456.39338842975</v>
      </c>
      <c r="J522" s="2" t="n">
        <v>212.7</v>
      </c>
      <c r="K522" s="2" t="s">
        <v>18</v>
      </c>
      <c r="L522" s="2" t="n">
        <f aca="false">J522/_xlfn.XLOOKUP(Tabla2[[#This Row],[Unidad de precio]],Tabla3[Medida],Tabla3[Equivalencia en Kg],"ELVIS",0)</f>
        <v>4.68915343915344</v>
      </c>
      <c r="M522" s="2" t="n">
        <v>9309.96</v>
      </c>
      <c r="N522" s="3" t="n">
        <f aca="false">(Tabla2[[#This Row],[Productividad (kg/TAS)]]*Tabla2[[#This Row],[Precio por kg]]-Tabla2[[#This Row],[Costos (En RD$/Tarea)]])</f>
        <v>-2480.7079338843</v>
      </c>
      <c r="O522" s="9" t="n">
        <f aca="false">IF(Tabla2[[#This Row],[Costos (En RD$/Tarea)]]=0,0,Tabla2[[#This Row],[Beneficio Neto  (En RD$/Tarea)]]/Tabla2[[#This Row],[Costos (En RD$/Tarea)]])</f>
        <v>-0.266457421286912</v>
      </c>
      <c r="P522" s="7" t="n">
        <f aca="false">Tabla2[[#This Row],[Rentabilidad (%)]]/12</f>
        <v>-0.0222047851072427</v>
      </c>
    </row>
    <row r="523" customFormat="false" ht="14.25" hidden="false" customHeight="false" outlineLevel="0" collapsed="false">
      <c r="A523" s="1" t="n">
        <v>37834</v>
      </c>
      <c r="B523" s="2" t="s">
        <v>24</v>
      </c>
      <c r="C523" s="3" t="n">
        <v>8936</v>
      </c>
      <c r="D523" s="8" t="s">
        <v>17</v>
      </c>
      <c r="E523" s="3" t="n">
        <f aca="false">IF(Tabla2[[#This Row],[Frecuencia]]="Annual", Tabla2[[#This Row],[Cosecha/Tarea]]/12,Tabla2[[#This Row],[Cosecha/Tarea]])</f>
        <v>8936</v>
      </c>
      <c r="F523" s="3" t="n">
        <v>117419</v>
      </c>
      <c r="G523" s="2" t="s">
        <v>18</v>
      </c>
      <c r="H523" s="2" t="n">
        <f aca="false">F523/Tabla2[[#This Row],[Cosecha Mensual]]</f>
        <v>13.1399955237243</v>
      </c>
      <c r="I523" s="2" t="n">
        <f aca="false">H523*_xlfn.XLOOKUP(Tabla2[[#This Row],[Unidad de producción]],Tabla3[Medida],Tabla3[Equivalencia en Kg],"ELVIS",0)</f>
        <v>596.030196956133</v>
      </c>
      <c r="J523" s="2" t="n">
        <v>435.445</v>
      </c>
      <c r="K523" s="2" t="s">
        <v>18</v>
      </c>
      <c r="L523" s="2" t="n">
        <f aca="false">J523/_xlfn.XLOOKUP(Tabla2[[#This Row],[Unidad de precio]],Tabla3[Medida],Tabla3[Equivalencia en Kg],"ELVIS",0)</f>
        <v>9.59975749559083</v>
      </c>
      <c r="M523" s="2" t="n">
        <v>3188.34</v>
      </c>
      <c r="N523" s="3" t="n">
        <f aca="false">(Tabla2[[#This Row],[Productividad (kg/TAS)]]*Tabla2[[#This Row],[Precio por kg]]-Tabla2[[#This Row],[Costos (En RD$/Tarea)]])</f>
        <v>2533.40535082811</v>
      </c>
      <c r="O523" s="9" t="n">
        <f aca="false">IF(Tabla2[[#This Row],[Costos (En RD$/Tarea)]]=0,0,Tabla2[[#This Row],[Beneficio Neto  (En RD$/Tarea)]]/Tabla2[[#This Row],[Costos (En RD$/Tarea)]])</f>
        <v>0.794584439184062</v>
      </c>
      <c r="P523" s="7" t="n">
        <f aca="false">Tabla2[[#This Row],[Rentabilidad (%)]]/12</f>
        <v>0.0662153699320051</v>
      </c>
    </row>
    <row r="524" customFormat="false" ht="14.25" hidden="false" customHeight="false" outlineLevel="0" collapsed="false">
      <c r="A524" s="1" t="n">
        <v>37834</v>
      </c>
      <c r="B524" s="2" t="s">
        <v>25</v>
      </c>
      <c r="C524" s="3" t="n">
        <v>18679</v>
      </c>
      <c r="D524" s="8" t="s">
        <v>17</v>
      </c>
      <c r="E524" s="3" t="n">
        <f aca="false">IF(Tabla2[[#This Row],[Frecuencia]]="Annual", Tabla2[[#This Row],[Cosecha/Tarea]]/12,Tabla2[[#This Row],[Cosecha/Tarea]])</f>
        <v>18679</v>
      </c>
      <c r="F524" s="3" t="n">
        <v>194186</v>
      </c>
      <c r="G524" s="2" t="s">
        <v>18</v>
      </c>
      <c r="H524" s="2" t="n">
        <f aca="false">F524/Tabla2[[#This Row],[Cosecha Mensual]]</f>
        <v>10.395952674126</v>
      </c>
      <c r="I524" s="2" t="n">
        <f aca="false">H524*_xlfn.XLOOKUP(Tabla2[[#This Row],[Unidad de producción]],Tabla3[Medida],Tabla3[Equivalencia en Kg],"ELVIS",0)</f>
        <v>471.560413298356</v>
      </c>
      <c r="J524" s="2" t="n">
        <v>101.670642857143</v>
      </c>
      <c r="K524" s="2" t="s">
        <v>18</v>
      </c>
      <c r="L524" s="2" t="n">
        <f aca="false">J524/_xlfn.XLOOKUP(Tabla2[[#This Row],[Unidad de precio]],Tabla3[Medida],Tabla3[Equivalencia en Kg],"ELVIS",0)</f>
        <v>2.24141628873772</v>
      </c>
      <c r="M524" s="2" t="n">
        <v>1396.74</v>
      </c>
      <c r="N524" s="3" t="n">
        <f aca="false">(Tabla2[[#This Row],[Productividad (kg/TAS)]]*Tabla2[[#This Row],[Precio por kg]]-Tabla2[[#This Row],[Costos (En RD$/Tarea)]])</f>
        <v>-339.776808509172</v>
      </c>
      <c r="O524" s="9" t="n">
        <f aca="false">IF(Tabla2[[#This Row],[Costos (En RD$/Tarea)]]=0,0,Tabla2[[#This Row],[Beneficio Neto  (En RD$/Tarea)]]/Tabla2[[#This Row],[Costos (En RD$/Tarea)]])</f>
        <v>-0.243264178379063</v>
      </c>
      <c r="P524" s="7" t="n">
        <f aca="false">Tabla2[[#This Row],[Rentabilidad (%)]]/12</f>
        <v>-0.0202720148649219</v>
      </c>
    </row>
    <row r="525" customFormat="false" ht="14.25" hidden="false" customHeight="false" outlineLevel="0" collapsed="false">
      <c r="A525" s="1" t="n">
        <v>37834</v>
      </c>
      <c r="B525" s="2" t="s">
        <v>26</v>
      </c>
      <c r="C525" s="3" t="n">
        <v>13850</v>
      </c>
      <c r="D525" s="8" t="s">
        <v>17</v>
      </c>
      <c r="E525" s="3" t="n">
        <f aca="false">IF(Tabla2[[#This Row],[Frecuencia]]="Annual", Tabla2[[#This Row],[Cosecha/Tarea]]/12,Tabla2[[#This Row],[Cosecha/Tarea]])</f>
        <v>13850</v>
      </c>
      <c r="F525" s="3" t="n">
        <v>80192</v>
      </c>
      <c r="G525" s="2" t="s">
        <v>18</v>
      </c>
      <c r="H525" s="2" t="n">
        <f aca="false">F525/Tabla2[[#This Row],[Cosecha Mensual]]</f>
        <v>5.79003610108303</v>
      </c>
      <c r="I525" s="2" t="n">
        <f aca="false">H525*_xlfn.XLOOKUP(Tabla2[[#This Row],[Unidad de producción]],Tabla3[Medida],Tabla3[Equivalencia en Kg],"ELVIS",0)</f>
        <v>262.636037545126</v>
      </c>
      <c r="J525" s="2" t="n">
        <v>246.4575</v>
      </c>
      <c r="K525" s="2" t="s">
        <v>18</v>
      </c>
      <c r="L525" s="2" t="n">
        <f aca="false">J525/_xlfn.XLOOKUP(Tabla2[[#This Row],[Unidad de precio]],Tabla3[Medida],Tabla3[Equivalencia en Kg],"ELVIS",0)</f>
        <v>5.4333664021164</v>
      </c>
      <c r="M525" s="2" t="n">
        <v>1217.11</v>
      </c>
      <c r="N525" s="3" t="n">
        <f aca="false">(Tabla2[[#This Row],[Productividad (kg/TAS)]]*Tabla2[[#This Row],[Precio por kg]]-Tabla2[[#This Row],[Costos (En RD$/Tarea)]])</f>
        <v>209.887822382672</v>
      </c>
      <c r="O525" s="9" t="n">
        <f aca="false">IF(Tabla2[[#This Row],[Costos (En RD$/Tarea)]]=0,0,Tabla2[[#This Row],[Beneficio Neto  (En RD$/Tarea)]]/Tabla2[[#This Row],[Costos (En RD$/Tarea)]])</f>
        <v>0.172447701836869</v>
      </c>
      <c r="P525" s="7" t="n">
        <f aca="false">Tabla2[[#This Row],[Rentabilidad (%)]]/12</f>
        <v>0.0143706418197391</v>
      </c>
    </row>
    <row r="526" customFormat="false" ht="14.25" hidden="false" customHeight="false" outlineLevel="0" collapsed="false">
      <c r="A526" s="1" t="n">
        <v>37834</v>
      </c>
      <c r="B526" s="2" t="s">
        <v>27</v>
      </c>
      <c r="C526" s="3" t="n">
        <v>4504</v>
      </c>
      <c r="D526" s="8" t="s">
        <v>17</v>
      </c>
      <c r="E526" s="3" t="n">
        <f aca="false">IF(Tabla2[[#This Row],[Frecuencia]]="Annual", Tabla2[[#This Row],[Cosecha/Tarea]]/12,Tabla2[[#This Row],[Cosecha/Tarea]])</f>
        <v>4504</v>
      </c>
      <c r="F526" s="3" t="n">
        <v>44209</v>
      </c>
      <c r="G526" s="2" t="s">
        <v>18</v>
      </c>
      <c r="H526" s="2" t="n">
        <f aca="false">F526/Tabla2[[#This Row],[Cosecha Mensual]]</f>
        <v>9.8154973357016</v>
      </c>
      <c r="I526" s="2" t="n">
        <f aca="false">H526*_xlfn.XLOOKUP(Tabla2[[#This Row],[Unidad de producción]],Tabla3[Medida],Tabla3[Equivalencia en Kg],"ELVIS",0)</f>
        <v>445.230959147425</v>
      </c>
      <c r="J526" s="2" t="n">
        <v>230.474285714286</v>
      </c>
      <c r="K526" s="2" t="s">
        <v>18</v>
      </c>
      <c r="L526" s="2" t="n">
        <f aca="false">J526/_xlfn.XLOOKUP(Tabla2[[#This Row],[Unidad de precio]],Tabla3[Medida],Tabla3[Equivalencia en Kg],"ELVIS",0)</f>
        <v>5.08100277147897</v>
      </c>
      <c r="M526" s="2" t="n">
        <v>3938.29</v>
      </c>
      <c r="N526" s="3" t="n">
        <f aca="false">(Tabla2[[#This Row],[Productividad (kg/TAS)]]*Tabla2[[#This Row],[Precio por kg]]-Tabla2[[#This Row],[Costos (En RD$/Tarea)]])</f>
        <v>-1676.0702626237</v>
      </c>
      <c r="O526" s="9" t="n">
        <f aca="false">IF(Tabla2[[#This Row],[Costos (En RD$/Tarea)]]=0,0,Tabla2[[#This Row],[Beneficio Neto  (En RD$/Tarea)]]/Tabla2[[#This Row],[Costos (En RD$/Tarea)]])</f>
        <v>-0.425583251264812</v>
      </c>
      <c r="P526" s="7" t="n">
        <f aca="false">Tabla2[[#This Row],[Rentabilidad (%)]]/12</f>
        <v>-0.0354652709387343</v>
      </c>
    </row>
    <row r="527" customFormat="false" ht="14.25" hidden="false" customHeight="false" outlineLevel="0" collapsed="false">
      <c r="A527" s="1" t="n">
        <v>37834</v>
      </c>
      <c r="B527" s="2" t="s">
        <v>28</v>
      </c>
      <c r="C527" s="3" t="n">
        <v>26834</v>
      </c>
      <c r="D527" s="8" t="s">
        <v>17</v>
      </c>
      <c r="E527" s="3" t="n">
        <f aca="false">IF(Tabla2[[#This Row],[Frecuencia]]="Annual", Tabla2[[#This Row],[Cosecha/Tarea]]/12,Tabla2[[#This Row],[Cosecha/Tarea]])</f>
        <v>26834</v>
      </c>
      <c r="F527" s="3" t="n">
        <v>53668</v>
      </c>
      <c r="G527" s="2" t="s">
        <v>29</v>
      </c>
      <c r="H527" s="2" t="n">
        <f aca="false">F527/Tabla2[[#This Row],[Cosecha Mensual]]</f>
        <v>2</v>
      </c>
      <c r="I527" s="2" t="n">
        <f aca="false">H527*_xlfn.XLOOKUP(Tabla2[[#This Row],[Unidad de producción]],Tabla3[Medida],Tabla3[Equivalencia en Kg],"ELVIS",0)</f>
        <v>1124.68</v>
      </c>
      <c r="J527" s="2" t="n">
        <v>1368.46428571429</v>
      </c>
      <c r="K527" s="2" t="s">
        <v>29</v>
      </c>
      <c r="L527" s="2" t="n">
        <f aca="false">J527/_xlfn.XLOOKUP(Tabla2[[#This Row],[Unidad de precio]],Tabla3[Medida],Tabla3[Equivalencia en Kg],"ELVIS",0)</f>
        <v>2.43351759738644</v>
      </c>
      <c r="M527" s="2" t="n">
        <v>7517.1463872</v>
      </c>
      <c r="N527" s="3" t="n">
        <f aca="false">(Tabla2[[#This Row],[Productividad (kg/TAS)]]*Tabla2[[#This Row],[Precio por kg]]-Tabla2[[#This Row],[Costos (En RD$/Tarea)]])</f>
        <v>-4780.21781577142</v>
      </c>
      <c r="O527" s="9" t="n">
        <f aca="false">IF(Tabla2[[#This Row],[Costos (En RD$/Tarea)]]=0,0,Tabla2[[#This Row],[Beneficio Neto  (En RD$/Tarea)]]/Tabla2[[#This Row],[Costos (En RD$/Tarea)]])</f>
        <v>-0.635908570825633</v>
      </c>
      <c r="P527" s="7" t="n">
        <f aca="false">Tabla2[[#This Row],[Rentabilidad (%)]]/12</f>
        <v>-0.0529923809021361</v>
      </c>
    </row>
    <row r="528" customFormat="false" ht="14.25" hidden="false" customHeight="false" outlineLevel="0" collapsed="false">
      <c r="A528" s="1" t="n">
        <v>37834</v>
      </c>
      <c r="B528" s="2" t="s">
        <v>30</v>
      </c>
      <c r="C528" s="3" t="n">
        <v>245567</v>
      </c>
      <c r="D528" s="3" t="s">
        <v>31</v>
      </c>
      <c r="E528" s="3" t="n">
        <f aca="false">IF(Tabla2[[#This Row],[Frecuencia]]="Annual", Tabla2[[#This Row],[Cosecha/Tarea]]/12,Tabla2[[#This Row],[Cosecha/Tarea]])</f>
        <v>20463.9166666667</v>
      </c>
      <c r="F528" s="3" t="n">
        <v>1859443</v>
      </c>
      <c r="G528" s="2" t="s">
        <v>32</v>
      </c>
      <c r="H528" s="2" t="n">
        <f aca="false">F528/Tabla2[[#This Row],[Cosecha Mensual]]</f>
        <v>90.8644728322617</v>
      </c>
      <c r="I528" s="2" t="n">
        <f aca="false">H528*_xlfn.XLOOKUP(Tabla2[[#This Row],[Unidad de producción]],Tabla3[Medida],Tabla3[Equivalencia en Kg],"ELVIS",0)</f>
        <v>2472.42230576584</v>
      </c>
      <c r="J528" s="2" t="n">
        <v>31.7257142857143</v>
      </c>
      <c r="K528" s="2" t="s">
        <v>32</v>
      </c>
      <c r="L528" s="2" t="n">
        <f aca="false">J528/_xlfn.XLOOKUP(Tabla2[[#This Row],[Unidad de precio]],Tabla3[Medida],Tabla3[Equivalencia en Kg],"ELVIS",0)</f>
        <v>1.16595789363154</v>
      </c>
      <c r="M528" s="3" t="n">
        <v>6435.96</v>
      </c>
      <c r="N528" s="3" t="n">
        <f aca="false">(Tabla2[[#This Row],[Productividad (kg/TAS)]]*Tabla2[[#This Row],[Precio por kg]]-Tabla2[[#This Row],[Costos (En RD$/Tarea)]])</f>
        <v>-3553.21969620162</v>
      </c>
      <c r="O528" s="9" t="n">
        <f aca="false">IF(Tabla2[[#This Row],[Costos (En RD$/Tarea)]]=0,0,Tabla2[[#This Row],[Beneficio Neto  (En RD$/Tarea)]]/Tabla2[[#This Row],[Costos (En RD$/Tarea)]])</f>
        <v>-0.552088530102987</v>
      </c>
      <c r="P528" s="7" t="n">
        <f aca="false">Tabla2[[#This Row],[Rentabilidad (%)]]/12</f>
        <v>-0.0460073775085822</v>
      </c>
    </row>
    <row r="529" customFormat="false" ht="14.25" hidden="false" customHeight="false" outlineLevel="0" collapsed="false">
      <c r="A529" s="1" t="n">
        <v>37834</v>
      </c>
      <c r="B529" s="2" t="s">
        <v>33</v>
      </c>
      <c r="C529" s="3" t="n">
        <v>673401</v>
      </c>
      <c r="D529" s="3" t="s">
        <v>31</v>
      </c>
      <c r="E529" s="3" t="n">
        <f aca="false">IF(Tabla2[[#This Row],[Frecuencia]]="Annual", Tabla2[[#This Row],[Cosecha/Tarea]]/12,Tabla2[[#This Row],[Cosecha/Tarea]])</f>
        <v>56116.75</v>
      </c>
      <c r="F529" s="3" t="n">
        <v>127960</v>
      </c>
      <c r="G529" s="2" t="s">
        <v>34</v>
      </c>
      <c r="H529" s="2" t="n">
        <f aca="false">F529/Tabla2[[#This Row],[Cosecha Mensual]]</f>
        <v>2.28024609408064</v>
      </c>
      <c r="I529" s="2" t="n">
        <f aca="false">H529*_xlfn.XLOOKUP(Tabla2[[#This Row],[Unidad de producción]],Tabla3[Medida],Tabla3[Equivalencia en Kg],"ELVIS",0)</f>
        <v>930.682443299015</v>
      </c>
      <c r="J529" s="2" t="n">
        <v>1322.36857142857</v>
      </c>
      <c r="K529" s="2" t="s">
        <v>34</v>
      </c>
      <c r="L529" s="2" t="n">
        <f aca="false">J529/_xlfn.XLOOKUP(Tabla2[[#This Row],[Unidad de precio]],Tabla3[Medida],Tabla3[Equivalencia en Kg],"ELVIS",0)</f>
        <v>3.23990829701965</v>
      </c>
      <c r="M529" s="3" t="n">
        <v>8666.64</v>
      </c>
      <c r="N529" s="3" t="n">
        <f aca="false">(Tabla2[[#This Row],[Productividad (kg/TAS)]]*Tabla2[[#This Row],[Precio por kg]]-Tabla2[[#This Row],[Costos (En RD$/Tarea)]])</f>
        <v>-5651.314230065</v>
      </c>
      <c r="O529" s="9" t="n">
        <f aca="false">IF(Tabla2[[#This Row],[Costos (En RD$/Tarea)]]=0,0,Tabla2[[#This Row],[Beneficio Neto  (En RD$/Tarea)]]/Tabla2[[#This Row],[Costos (En RD$/Tarea)]])</f>
        <v>-0.652076725243578</v>
      </c>
      <c r="P529" s="7" t="n">
        <f aca="false">Tabla2[[#This Row],[Rentabilidad (%)]]/12</f>
        <v>-0.0543397271036315</v>
      </c>
    </row>
    <row r="530" customFormat="false" ht="14.25" hidden="false" customHeight="false" outlineLevel="0" collapsed="false">
      <c r="A530" s="1" t="n">
        <v>37865</v>
      </c>
      <c r="B530" s="2" t="s">
        <v>16</v>
      </c>
      <c r="C530" s="3" t="n">
        <v>98132</v>
      </c>
      <c r="D530" s="8" t="s">
        <v>17</v>
      </c>
      <c r="E530" s="3" t="n">
        <f aca="false">IF(Tabla2[[#This Row],[Frecuencia]]="Annual", Tabla2[[#This Row],[Cosecha/Tarea]]/12,Tabla2[[#This Row],[Cosecha/Tarea]])</f>
        <v>98132</v>
      </c>
      <c r="F530" s="3" t="n">
        <v>388201</v>
      </c>
      <c r="G530" s="2" t="s">
        <v>18</v>
      </c>
      <c r="H530" s="2" t="n">
        <f aca="false">F530/Tabla2[[#This Row],[Cosecha Mensual]]</f>
        <v>3.95590633024905</v>
      </c>
      <c r="I530" s="2" t="n">
        <f aca="false">H530*_xlfn.XLOOKUP(Tabla2[[#This Row],[Unidad de producción]],Tabla3[Medida],Tabla3[Equivalencia en Kg],"ELVIS",0)</f>
        <v>179.439911140097</v>
      </c>
      <c r="J530" s="2" t="n">
        <v>1199.54455445545</v>
      </c>
      <c r="K530" s="2" t="s">
        <v>19</v>
      </c>
      <c r="L530" s="2" t="n">
        <f aca="false">J530/_xlfn.XLOOKUP(Tabla2[[#This Row],[Unidad de precio]],Tabla3[Medida],Tabla3[Equivalencia en Kg],"ELVIS",0)</f>
        <v>10.9049504950495</v>
      </c>
      <c r="M530" s="2" t="n">
        <v>4275.41</v>
      </c>
      <c r="N530" s="3" t="n">
        <f aca="false">(Tabla2[[#This Row],[Productividad (kg/TAS)]]*Tabla2[[#This Row],[Precio por kg]]-Tabla2[[#This Row],[Costos (En RD$/Tarea)]])</f>
        <v>-2318.62665218115</v>
      </c>
      <c r="O530" s="9" t="n">
        <f aca="false">IF(Tabla2[[#This Row],[Costos (En RD$/Tarea)]]=0,0,Tabla2[[#This Row],[Beneficio Neto  (En RD$/Tarea)]]/Tabla2[[#This Row],[Costos (En RD$/Tarea)]])</f>
        <v>-0.542316795858445</v>
      </c>
      <c r="P530" s="7" t="n">
        <f aca="false">Tabla2[[#This Row],[Rentabilidad (%)]]/12</f>
        <v>-0.0451930663215371</v>
      </c>
    </row>
    <row r="531" customFormat="false" ht="14.25" hidden="false" customHeight="false" outlineLevel="0" collapsed="false">
      <c r="A531" s="1" t="n">
        <v>37865</v>
      </c>
      <c r="B531" s="2" t="s">
        <v>20</v>
      </c>
      <c r="C531" s="3" t="n">
        <v>50019</v>
      </c>
      <c r="D531" s="8" t="s">
        <v>17</v>
      </c>
      <c r="E531" s="3" t="n">
        <f aca="false">IF(Tabla2[[#This Row],[Frecuencia]]="Annual", Tabla2[[#This Row],[Cosecha/Tarea]]/12,Tabla2[[#This Row],[Cosecha/Tarea]])</f>
        <v>50019</v>
      </c>
      <c r="F531" s="3" t="n">
        <v>91370</v>
      </c>
      <c r="G531" s="2" t="s">
        <v>18</v>
      </c>
      <c r="H531" s="2" t="n">
        <f aca="false">F531/Tabla2[[#This Row],[Cosecha Mensual]]</f>
        <v>1.82670585177633</v>
      </c>
      <c r="I531" s="2" t="n">
        <f aca="false">H531*_xlfn.XLOOKUP(Tabla2[[#This Row],[Unidad de producción]],Tabla3[Medida],Tabla3[Equivalencia en Kg],"ELVIS",0)</f>
        <v>82.8593774365741</v>
      </c>
      <c r="J531" s="2" t="n">
        <v>205.185885714286</v>
      </c>
      <c r="K531" s="2" t="s">
        <v>18</v>
      </c>
      <c r="L531" s="2" t="n">
        <f aca="false">J531/_xlfn.XLOOKUP(Tabla2[[#This Row],[Unidad de precio]],Tabla3[Medida],Tabla3[Equivalencia en Kg],"ELVIS",0)</f>
        <v>4.52349836230789</v>
      </c>
      <c r="M531" s="2" t="n">
        <v>938.62</v>
      </c>
      <c r="N531" s="3" t="n">
        <f aca="false">(Tabla2[[#This Row],[Productividad (kg/TAS)]]*Tabla2[[#This Row],[Precio por kg]]-Tabla2[[#This Row],[Costos (En RD$/Tarea)]])</f>
        <v>-563.805741863806</v>
      </c>
      <c r="O531" s="9" t="n">
        <f aca="false">IF(Tabla2[[#This Row],[Costos (En RD$/Tarea)]]=0,0,Tabla2[[#This Row],[Beneficio Neto  (En RD$/Tarea)]]/Tabla2[[#This Row],[Costos (En RD$/Tarea)]])</f>
        <v>-0.600675184700737</v>
      </c>
      <c r="P531" s="7" t="n">
        <f aca="false">Tabla2[[#This Row],[Rentabilidad (%)]]/12</f>
        <v>-0.0500562653917281</v>
      </c>
    </row>
    <row r="532" customFormat="false" ht="14.25" hidden="false" customHeight="false" outlineLevel="0" collapsed="false">
      <c r="A532" s="1" t="n">
        <v>37865</v>
      </c>
      <c r="B532" s="2" t="s">
        <v>21</v>
      </c>
      <c r="C532" s="3" t="n">
        <v>6208</v>
      </c>
      <c r="D532" s="8" t="s">
        <v>17</v>
      </c>
      <c r="E532" s="3" t="n">
        <f aca="false">IF(Tabla2[[#This Row],[Frecuencia]]="Annual", Tabla2[[#This Row],[Cosecha/Tarea]]/12,Tabla2[[#This Row],[Cosecha/Tarea]])</f>
        <v>6208</v>
      </c>
      <c r="F532" s="3" t="n">
        <v>56545</v>
      </c>
      <c r="G532" s="2" t="s">
        <v>18</v>
      </c>
      <c r="H532" s="2" t="n">
        <f aca="false">F532/Tabla2[[#This Row],[Cosecha Mensual]]</f>
        <v>9.10840850515464</v>
      </c>
      <c r="I532" s="2" t="n">
        <f aca="false">H532*_xlfn.XLOOKUP(Tabla2[[#This Row],[Unidad de producción]],Tabla3[Medida],Tabla3[Equivalencia en Kg],"ELVIS",0)</f>
        <v>413.157409793814</v>
      </c>
      <c r="J532" s="2" t="n">
        <v>128.228285714286</v>
      </c>
      <c r="K532" s="2" t="s">
        <v>18</v>
      </c>
      <c r="L532" s="2" t="n">
        <f aca="false">J532/_xlfn.XLOOKUP(Tabla2[[#This Row],[Unidad de precio]],Tabla3[Medida],Tabla3[Equivalencia en Kg],"ELVIS",0)</f>
        <v>2.82690224237844</v>
      </c>
      <c r="M532" s="2" t="n">
        <v>1545.78</v>
      </c>
      <c r="N532" s="3" t="n">
        <f aca="false">(Tabla2[[#This Row],[Productividad (kg/TAS)]]*Tabla2[[#This Row],[Precio por kg]]-Tabla2[[#This Row],[Costos (En RD$/Tarea)]])</f>
        <v>-377.824391798598</v>
      </c>
      <c r="O532" s="9" t="n">
        <f aca="false">IF(Tabla2[[#This Row],[Costos (En RD$/Tarea)]]=0,0,Tabla2[[#This Row],[Beneficio Neto  (En RD$/Tarea)]]/Tabla2[[#This Row],[Costos (En RD$/Tarea)]])</f>
        <v>-0.2444231338215</v>
      </c>
      <c r="P532" s="7" t="n">
        <f aca="false">Tabla2[[#This Row],[Rentabilidad (%)]]/12</f>
        <v>-0.020368594485125</v>
      </c>
    </row>
    <row r="533" customFormat="false" ht="14.25" hidden="false" customHeight="false" outlineLevel="0" collapsed="false">
      <c r="A533" s="1" t="n">
        <v>37865</v>
      </c>
      <c r="B533" s="2" t="s">
        <v>22</v>
      </c>
      <c r="C533" s="3" t="n">
        <v>3760</v>
      </c>
      <c r="D533" s="8" t="s">
        <v>17</v>
      </c>
      <c r="E533" s="3" t="n">
        <f aca="false">IF(Tabla2[[#This Row],[Frecuencia]]="Annual", Tabla2[[#This Row],[Cosecha/Tarea]]/12,Tabla2[[#This Row],[Cosecha/Tarea]])</f>
        <v>3760</v>
      </c>
      <c r="F533" s="3" t="n">
        <v>45336</v>
      </c>
      <c r="G533" s="2" t="s">
        <v>18</v>
      </c>
      <c r="H533" s="2" t="n">
        <f aca="false">F533/Tabla2[[#This Row],[Cosecha Mensual]]</f>
        <v>12.0574468085106</v>
      </c>
      <c r="I533" s="2" t="n">
        <f aca="false">H533*_xlfn.XLOOKUP(Tabla2[[#This Row],[Unidad de producción]],Tabla3[Medida],Tabla3[Equivalencia en Kg],"ELVIS",0)</f>
        <v>546.925787234043</v>
      </c>
      <c r="J533" s="2" t="n">
        <v>448.6</v>
      </c>
      <c r="K533" s="2" t="s">
        <v>18</v>
      </c>
      <c r="L533" s="2" t="n">
        <f aca="false">J533/_xlfn.XLOOKUP(Tabla2[[#This Row],[Unidad de precio]],Tabla3[Medida],Tabla3[Equivalencia en Kg],"ELVIS",0)</f>
        <v>9.88977072310406</v>
      </c>
      <c r="M533" s="2" t="n">
        <v>3985.46</v>
      </c>
      <c r="N533" s="3" t="n">
        <f aca="false">(Tabla2[[#This Row],[Productividad (kg/TAS)]]*Tabla2[[#This Row],[Precio por kg]]-Tabla2[[#This Row],[Costos (En RD$/Tarea)]])</f>
        <v>1423.51063829787</v>
      </c>
      <c r="O533" s="9" t="n">
        <f aca="false">IF(Tabla2[[#This Row],[Costos (En RD$/Tarea)]]=0,0,Tabla2[[#This Row],[Beneficio Neto  (En RD$/Tarea)]]/Tabla2[[#This Row],[Costos (En RD$/Tarea)]])</f>
        <v>0.357175994313799</v>
      </c>
      <c r="P533" s="7" t="n">
        <f aca="false">Tabla2[[#This Row],[Rentabilidad (%)]]/12</f>
        <v>0.0297646661928166</v>
      </c>
    </row>
    <row r="534" customFormat="false" ht="14.25" hidden="false" customHeight="false" outlineLevel="0" collapsed="false">
      <c r="A534" s="1" t="n">
        <v>37865</v>
      </c>
      <c r="B534" s="2" t="s">
        <v>23</v>
      </c>
      <c r="C534" s="3" t="n">
        <v>6443</v>
      </c>
      <c r="D534" s="8" t="s">
        <v>17</v>
      </c>
      <c r="E534" s="3" t="n">
        <f aca="false">IF(Tabla2[[#This Row],[Frecuencia]]="Annual", Tabla2[[#This Row],[Cosecha/Tarea]]/12,Tabla2[[#This Row],[Cosecha/Tarea]])</f>
        <v>6443</v>
      </c>
      <c r="F534" s="3" t="n">
        <v>138348</v>
      </c>
      <c r="G534" s="2" t="s">
        <v>18</v>
      </c>
      <c r="H534" s="2" t="n">
        <f aca="false">F534/Tabla2[[#This Row],[Cosecha Mensual]]</f>
        <v>21.4726059289151</v>
      </c>
      <c r="I534" s="2" t="n">
        <f aca="false">H534*_xlfn.XLOOKUP(Tabla2[[#This Row],[Unidad de producción]],Tabla3[Medida],Tabla3[Equivalencia en Kg],"ELVIS",0)</f>
        <v>973.997404935589</v>
      </c>
      <c r="J534" s="2" t="n">
        <v>233.979166666667</v>
      </c>
      <c r="K534" s="2" t="s">
        <v>18</v>
      </c>
      <c r="L534" s="2" t="n">
        <f aca="false">J534/_xlfn.XLOOKUP(Tabla2[[#This Row],[Unidad de precio]],Tabla3[Medida],Tabla3[Equivalencia en Kg],"ELVIS",0)</f>
        <v>5.15827087007643</v>
      </c>
      <c r="M534" s="2" t="n">
        <v>9309.96</v>
      </c>
      <c r="N534" s="3" t="n">
        <f aca="false">(Tabla2[[#This Row],[Productividad (kg/TAS)]]*Tabla2[[#This Row],[Precio por kg]]-Tabla2[[#This Row],[Costos (En RD$/Tarea)]])</f>
        <v>-4285.81755859071</v>
      </c>
      <c r="O534" s="9" t="n">
        <f aca="false">IF(Tabla2[[#This Row],[Costos (En RD$/Tarea)]]=0,0,Tabla2[[#This Row],[Beneficio Neto  (En RD$/Tarea)]]/Tabla2[[#This Row],[Costos (En RD$/Tarea)]])</f>
        <v>-0.460347580289358</v>
      </c>
      <c r="P534" s="7" t="n">
        <f aca="false">Tabla2[[#This Row],[Rentabilidad (%)]]/12</f>
        <v>-0.0383622983574465</v>
      </c>
    </row>
    <row r="535" customFormat="false" ht="14.25" hidden="false" customHeight="false" outlineLevel="0" collapsed="false">
      <c r="A535" s="1" t="n">
        <v>37865</v>
      </c>
      <c r="B535" s="2" t="s">
        <v>24</v>
      </c>
      <c r="C535" s="3" t="n">
        <v>7307</v>
      </c>
      <c r="D535" s="8" t="s">
        <v>17</v>
      </c>
      <c r="E535" s="3" t="n">
        <f aca="false">IF(Tabla2[[#This Row],[Frecuencia]]="Annual", Tabla2[[#This Row],[Cosecha/Tarea]]/12,Tabla2[[#This Row],[Cosecha/Tarea]])</f>
        <v>7307</v>
      </c>
      <c r="F535" s="3" t="n">
        <v>156354</v>
      </c>
      <c r="G535" s="2" t="s">
        <v>18</v>
      </c>
      <c r="H535" s="2" t="n">
        <f aca="false">F535/Tabla2[[#This Row],[Cosecha Mensual]]</f>
        <v>21.3978376898864</v>
      </c>
      <c r="I535" s="2" t="n">
        <f aca="false">H535*_xlfn.XLOOKUP(Tabla2[[#This Row],[Unidad de producción]],Tabla3[Medida],Tabla3[Equivalencia en Kg],"ELVIS",0)</f>
        <v>970.605917613248</v>
      </c>
      <c r="J535" s="2" t="n">
        <v>450.233333333333</v>
      </c>
      <c r="K535" s="2" t="s">
        <v>18</v>
      </c>
      <c r="L535" s="2" t="n">
        <f aca="false">J535/_xlfn.XLOOKUP(Tabla2[[#This Row],[Unidad de precio]],Tabla3[Medida],Tabla3[Equivalencia en Kg],"ELVIS",0)</f>
        <v>9.92577895355672</v>
      </c>
      <c r="M535" s="2" t="n">
        <v>3188.34</v>
      </c>
      <c r="N535" s="3" t="n">
        <f aca="false">(Tabla2[[#This Row],[Productividad (kg/TAS)]]*Tabla2[[#This Row],[Precio por kg]]-Tabla2[[#This Row],[Costos (En RD$/Tarea)]])</f>
        <v>6445.67978924318</v>
      </c>
      <c r="O535" s="9" t="n">
        <f aca="false">IF(Tabla2[[#This Row],[Costos (En RD$/Tarea)]]=0,0,Tabla2[[#This Row],[Beneficio Neto  (En RD$/Tarea)]]/Tabla2[[#This Row],[Costos (En RD$/Tarea)]])</f>
        <v>2.02164128958743</v>
      </c>
      <c r="P535" s="7" t="n">
        <f aca="false">Tabla2[[#This Row],[Rentabilidad (%)]]/12</f>
        <v>0.168470107465619</v>
      </c>
    </row>
    <row r="536" customFormat="false" ht="14.25" hidden="false" customHeight="false" outlineLevel="0" collapsed="false">
      <c r="A536" s="1" t="n">
        <v>37865</v>
      </c>
      <c r="B536" s="2" t="s">
        <v>25</v>
      </c>
      <c r="C536" s="3" t="n">
        <v>19893</v>
      </c>
      <c r="D536" s="8" t="s">
        <v>17</v>
      </c>
      <c r="E536" s="3" t="n">
        <f aca="false">IF(Tabla2[[#This Row],[Frecuencia]]="Annual", Tabla2[[#This Row],[Cosecha/Tarea]]/12,Tabla2[[#This Row],[Cosecha/Tarea]])</f>
        <v>19893</v>
      </c>
      <c r="F536" s="3" t="n">
        <v>212059</v>
      </c>
      <c r="G536" s="2" t="s">
        <v>18</v>
      </c>
      <c r="H536" s="2" t="n">
        <f aca="false">F536/Tabla2[[#This Row],[Cosecha Mensual]]</f>
        <v>10.6599808978032</v>
      </c>
      <c r="I536" s="2" t="n">
        <f aca="false">H536*_xlfn.XLOOKUP(Tabla2[[#This Row],[Unidad de producción]],Tabla3[Medida],Tabla3[Equivalencia en Kg],"ELVIS",0)</f>
        <v>483.536733524355</v>
      </c>
      <c r="J536" s="2" t="n">
        <v>109.467285714286</v>
      </c>
      <c r="K536" s="2" t="s">
        <v>18</v>
      </c>
      <c r="L536" s="2" t="n">
        <f aca="false">J536/_xlfn.XLOOKUP(Tabla2[[#This Row],[Unidad de precio]],Tabla3[Medida],Tabla3[Equivalencia en Kg],"ELVIS",0)</f>
        <v>2.41329994960948</v>
      </c>
      <c r="M536" s="2" t="n">
        <v>1396.74</v>
      </c>
      <c r="N536" s="3" t="n">
        <f aca="false">(Tabla2[[#This Row],[Productividad (kg/TAS)]]*Tabla2[[#This Row],[Precio por kg]]-Tabla2[[#This Row],[Costos (En RD$/Tarea)]])</f>
        <v>-229.820825351341</v>
      </c>
      <c r="O536" s="9" t="n">
        <f aca="false">IF(Tabla2[[#This Row],[Costos (En RD$/Tarea)]]=0,0,Tabla2[[#This Row],[Beneficio Neto  (En RD$/Tarea)]]/Tabla2[[#This Row],[Costos (En RD$/Tarea)]])</f>
        <v>-0.16454087758018</v>
      </c>
      <c r="P536" s="7" t="n">
        <f aca="false">Tabla2[[#This Row],[Rentabilidad (%)]]/12</f>
        <v>-0.0137117397983483</v>
      </c>
    </row>
    <row r="537" customFormat="false" ht="14.25" hidden="false" customHeight="false" outlineLevel="0" collapsed="false">
      <c r="A537" s="1" t="n">
        <v>37865</v>
      </c>
      <c r="B537" s="2" t="s">
        <v>26</v>
      </c>
      <c r="C537" s="3" t="n">
        <v>11844</v>
      </c>
      <c r="D537" s="8" t="s">
        <v>17</v>
      </c>
      <c r="E537" s="3" t="n">
        <f aca="false">IF(Tabla2[[#This Row],[Frecuencia]]="Annual", Tabla2[[#This Row],[Cosecha/Tarea]]/12,Tabla2[[#This Row],[Cosecha/Tarea]])</f>
        <v>11844</v>
      </c>
      <c r="F537" s="3" t="n">
        <v>68953</v>
      </c>
      <c r="G537" s="2" t="s">
        <v>18</v>
      </c>
      <c r="H537" s="2" t="n">
        <f aca="false">F537/Tabla2[[#This Row],[Cosecha Mensual]]</f>
        <v>5.82176629517055</v>
      </c>
      <c r="I537" s="2" t="n">
        <f aca="false">H537*_xlfn.XLOOKUP(Tabla2[[#This Row],[Unidad de producción]],Tabla3[Medida],Tabla3[Equivalencia en Kg],"ELVIS",0)</f>
        <v>264.075319148936</v>
      </c>
      <c r="J537" s="2" t="n">
        <v>220.75</v>
      </c>
      <c r="K537" s="2" t="s">
        <v>18</v>
      </c>
      <c r="L537" s="2" t="n">
        <f aca="false">J537/_xlfn.XLOOKUP(Tabla2[[#This Row],[Unidad de precio]],Tabla3[Medida],Tabla3[Equivalencia en Kg],"ELVIS",0)</f>
        <v>4.86662257495591</v>
      </c>
      <c r="M537" s="2" t="n">
        <v>1217.11</v>
      </c>
      <c r="N537" s="3" t="n">
        <f aca="false">(Tabla2[[#This Row],[Productividad (kg/TAS)]]*Tabla2[[#This Row],[Precio por kg]]-Tabla2[[#This Row],[Costos (En RD$/Tarea)]])</f>
        <v>68.0449096588991</v>
      </c>
      <c r="O537" s="9" t="n">
        <f aca="false">IF(Tabla2[[#This Row],[Costos (En RD$/Tarea)]]=0,0,Tabla2[[#This Row],[Beneficio Neto  (En RD$/Tarea)]]/Tabla2[[#This Row],[Costos (En RD$/Tarea)]])</f>
        <v>0.0559069514332304</v>
      </c>
      <c r="P537" s="7" t="n">
        <f aca="false">Tabla2[[#This Row],[Rentabilidad (%)]]/12</f>
        <v>0.00465891261943587</v>
      </c>
    </row>
    <row r="538" customFormat="false" ht="14.25" hidden="false" customHeight="false" outlineLevel="0" collapsed="false">
      <c r="A538" s="1" t="n">
        <v>37865</v>
      </c>
      <c r="B538" s="2" t="s">
        <v>27</v>
      </c>
      <c r="C538" s="3" t="n">
        <v>4509</v>
      </c>
      <c r="D538" s="8" t="s">
        <v>17</v>
      </c>
      <c r="E538" s="3" t="n">
        <f aca="false">IF(Tabla2[[#This Row],[Frecuencia]]="Annual", Tabla2[[#This Row],[Cosecha/Tarea]]/12,Tabla2[[#This Row],[Cosecha/Tarea]])</f>
        <v>4509</v>
      </c>
      <c r="F538" s="3" t="n">
        <v>39987</v>
      </c>
      <c r="G538" s="2" t="s">
        <v>18</v>
      </c>
      <c r="H538" s="2" t="n">
        <f aca="false">F538/Tabla2[[#This Row],[Cosecha Mensual]]</f>
        <v>8.86826347305389</v>
      </c>
      <c r="I538" s="2" t="n">
        <f aca="false">H538*_xlfn.XLOOKUP(Tabla2[[#This Row],[Unidad de producción]],Tabla3[Medida],Tabla3[Equivalencia en Kg],"ELVIS",0)</f>
        <v>402.264431137725</v>
      </c>
      <c r="J538" s="2" t="n">
        <v>270.535714285714</v>
      </c>
      <c r="K538" s="2" t="s">
        <v>18</v>
      </c>
      <c r="L538" s="2" t="n">
        <f aca="false">J538/_xlfn.XLOOKUP(Tabla2[[#This Row],[Unidad de precio]],Tabla3[Medida],Tabla3[Equivalencia en Kg],"ELVIS",0)</f>
        <v>5.96419123204837</v>
      </c>
      <c r="M538" s="2" t="n">
        <v>3938.29</v>
      </c>
      <c r="N538" s="3" t="n">
        <f aca="false">(Tabla2[[#This Row],[Productividad (kg/TAS)]]*Tabla2[[#This Row],[Precio por kg]]-Tabla2[[#This Row],[Costos (En RD$/Tarea)]])</f>
        <v>-1539.10800684346</v>
      </c>
      <c r="O538" s="9" t="n">
        <f aca="false">IF(Tabla2[[#This Row],[Costos (En RD$/Tarea)]]=0,0,Tabla2[[#This Row],[Beneficio Neto  (En RD$/Tarea)]]/Tabla2[[#This Row],[Costos (En RD$/Tarea)]])</f>
        <v>-0.390806163802934</v>
      </c>
      <c r="P538" s="7" t="n">
        <f aca="false">Tabla2[[#This Row],[Rentabilidad (%)]]/12</f>
        <v>-0.0325671803169112</v>
      </c>
    </row>
    <row r="539" customFormat="false" ht="14.25" hidden="false" customHeight="false" outlineLevel="0" collapsed="false">
      <c r="A539" s="1" t="n">
        <v>37865</v>
      </c>
      <c r="B539" s="2" t="s">
        <v>28</v>
      </c>
      <c r="C539" s="3" t="n">
        <v>61929</v>
      </c>
      <c r="D539" s="8" t="s">
        <v>17</v>
      </c>
      <c r="E539" s="3" t="n">
        <f aca="false">IF(Tabla2[[#This Row],[Frecuencia]]="Annual", Tabla2[[#This Row],[Cosecha/Tarea]]/12,Tabla2[[#This Row],[Cosecha/Tarea]])</f>
        <v>61929</v>
      </c>
      <c r="F539" s="3" t="n">
        <v>131466</v>
      </c>
      <c r="G539" s="2" t="s">
        <v>29</v>
      </c>
      <c r="H539" s="2" t="n">
        <f aca="false">F539/Tabla2[[#This Row],[Cosecha Mensual]]</f>
        <v>2.12285036089716</v>
      </c>
      <c r="I539" s="2" t="n">
        <f aca="false">H539*_xlfn.XLOOKUP(Tabla2[[#This Row],[Unidad de producción]],Tabla3[Medida],Tabla3[Equivalencia en Kg],"ELVIS",0)</f>
        <v>1193.76367194691</v>
      </c>
      <c r="J539" s="2" t="n">
        <v>1353.34285714286</v>
      </c>
      <c r="K539" s="2" t="s">
        <v>29</v>
      </c>
      <c r="L539" s="2" t="n">
        <f aca="false">J539/_xlfn.XLOOKUP(Tabla2[[#This Row],[Unidad de precio]],Tabla3[Medida],Tabla3[Equivalencia en Kg],"ELVIS",0)</f>
        <v>2.40662740893918</v>
      </c>
      <c r="M539" s="2" t="n">
        <v>7517.1463872</v>
      </c>
      <c r="N539" s="3" t="n">
        <f aca="false">(Tabla2[[#This Row],[Productividad (kg/TAS)]]*Tabla2[[#This Row],[Precio por kg]]-Tabla2[[#This Row],[Costos (En RD$/Tarea)]])</f>
        <v>-4644.20201449669</v>
      </c>
      <c r="O539" s="9" t="n">
        <f aca="false">IF(Tabla2[[#This Row],[Costos (En RD$/Tarea)]]=0,0,Tabla2[[#This Row],[Beneficio Neto  (En RD$/Tarea)]]/Tabla2[[#This Row],[Costos (En RD$/Tarea)]])</f>
        <v>-0.617814497054988</v>
      </c>
      <c r="P539" s="7" t="n">
        <f aca="false">Tabla2[[#This Row],[Rentabilidad (%)]]/12</f>
        <v>-0.051484541421249</v>
      </c>
    </row>
    <row r="540" customFormat="false" ht="14.25" hidden="false" customHeight="false" outlineLevel="0" collapsed="false">
      <c r="A540" s="1" t="n">
        <v>37865</v>
      </c>
      <c r="B540" s="2" t="s">
        <v>30</v>
      </c>
      <c r="C540" s="3" t="n">
        <v>288417</v>
      </c>
      <c r="D540" s="3" t="s">
        <v>31</v>
      </c>
      <c r="E540" s="3" t="n">
        <f aca="false">IF(Tabla2[[#This Row],[Frecuencia]]="Annual", Tabla2[[#This Row],[Cosecha/Tarea]]/12,Tabla2[[#This Row],[Cosecha/Tarea]])</f>
        <v>24034.75</v>
      </c>
      <c r="F540" s="3" t="n">
        <v>2119865</v>
      </c>
      <c r="G540" s="2" t="s">
        <v>32</v>
      </c>
      <c r="H540" s="2" t="n">
        <f aca="false">F540/Tabla2[[#This Row],[Cosecha Mensual]]</f>
        <v>88.2000020803212</v>
      </c>
      <c r="I540" s="2" t="n">
        <f aca="false">H540*_xlfn.XLOOKUP(Tabla2[[#This Row],[Unidad de producción]],Tabla3[Medida],Tabla3[Equivalencia en Kg],"ELVIS",0)</f>
        <v>2399.92205660554</v>
      </c>
      <c r="J540" s="2" t="n">
        <v>32.3042857142857</v>
      </c>
      <c r="K540" s="2" t="s">
        <v>32</v>
      </c>
      <c r="L540" s="2" t="n">
        <f aca="false">J540/_xlfn.XLOOKUP(Tabla2[[#This Row],[Unidad de precio]],Tabla3[Medida],Tabla3[Equivalencia en Kg],"ELVIS",0)</f>
        <v>1.18722108468525</v>
      </c>
      <c r="M540" s="3" t="n">
        <v>6435.96</v>
      </c>
      <c r="N540" s="3" t="n">
        <f aca="false">(Tabla2[[#This Row],[Productividad (kg/TAS)]]*Tabla2[[#This Row],[Precio por kg]]-Tabla2[[#This Row],[Costos (En RD$/Tarea)]])</f>
        <v>-3586.72193279671</v>
      </c>
      <c r="O540" s="9" t="n">
        <f aca="false">IF(Tabla2[[#This Row],[Costos (En RD$/Tarea)]]=0,0,Tabla2[[#This Row],[Beneficio Neto  (En RD$/Tarea)]]/Tabla2[[#This Row],[Costos (En RD$/Tarea)]])</f>
        <v>-0.557294006301579</v>
      </c>
      <c r="P540" s="7" t="n">
        <f aca="false">Tabla2[[#This Row],[Rentabilidad (%)]]/12</f>
        <v>-0.0464411671917983</v>
      </c>
    </row>
    <row r="541" customFormat="false" ht="14.25" hidden="false" customHeight="false" outlineLevel="0" collapsed="false">
      <c r="A541" s="1" t="n">
        <v>37865</v>
      </c>
      <c r="B541" s="2" t="s">
        <v>33</v>
      </c>
      <c r="C541" s="3" t="n">
        <v>674696</v>
      </c>
      <c r="D541" s="3" t="s">
        <v>31</v>
      </c>
      <c r="E541" s="3" t="n">
        <f aca="false">IF(Tabla2[[#This Row],[Frecuencia]]="Annual", Tabla2[[#This Row],[Cosecha/Tarea]]/12,Tabla2[[#This Row],[Cosecha/Tarea]])</f>
        <v>56224.6666666667</v>
      </c>
      <c r="F541" s="3" t="n">
        <v>123647</v>
      </c>
      <c r="G541" s="2" t="s">
        <v>34</v>
      </c>
      <c r="H541" s="2" t="n">
        <f aca="false">F541/Tabla2[[#This Row],[Cosecha Mensual]]</f>
        <v>2.19915932508863</v>
      </c>
      <c r="I541" s="2" t="n">
        <f aca="false">H541*_xlfn.XLOOKUP(Tabla2[[#This Row],[Unidad de producción]],Tabla3[Medida],Tabla3[Equivalencia en Kg],"ELVIS",0)</f>
        <v>897.586878534925</v>
      </c>
      <c r="J541" s="2" t="n">
        <v>1497.92857142857</v>
      </c>
      <c r="K541" s="2" t="s">
        <v>34</v>
      </c>
      <c r="L541" s="2" t="n">
        <f aca="false">J541/_xlfn.XLOOKUP(Tabla2[[#This Row],[Unidad de precio]],Tabla3[Medida],Tabla3[Equivalencia en Kg],"ELVIS",0)</f>
        <v>3.67004427643898</v>
      </c>
      <c r="M541" s="3" t="n">
        <v>8666.64</v>
      </c>
      <c r="N541" s="3" t="n">
        <f aca="false">(Tabla2[[#This Row],[Productividad (kg/TAS)]]*Tabla2[[#This Row],[Precio por kg]]-Tabla2[[#This Row],[Costos (En RD$/Tarea)]])</f>
        <v>-5372.45641382617</v>
      </c>
      <c r="O541" s="9" t="n">
        <f aca="false">IF(Tabla2[[#This Row],[Costos (En RD$/Tarea)]]=0,0,Tabla2[[#This Row],[Beneficio Neto  (En RD$/Tarea)]]/Tabla2[[#This Row],[Costos (En RD$/Tarea)]])</f>
        <v>-0.619900724366786</v>
      </c>
      <c r="P541" s="7" t="n">
        <f aca="false">Tabla2[[#This Row],[Rentabilidad (%)]]/12</f>
        <v>-0.0516583936972322</v>
      </c>
    </row>
    <row r="542" customFormat="false" ht="14.25" hidden="false" customHeight="false" outlineLevel="0" collapsed="false">
      <c r="A542" s="1" t="n">
        <v>37895</v>
      </c>
      <c r="B542" s="2" t="s">
        <v>16</v>
      </c>
      <c r="C542" s="3" t="n">
        <v>272251</v>
      </c>
      <c r="D542" s="8" t="s">
        <v>17</v>
      </c>
      <c r="E542" s="3" t="n">
        <f aca="false">IF(Tabla2[[#This Row],[Frecuencia]]="Annual", Tabla2[[#This Row],[Cosecha/Tarea]]/12,Tabla2[[#This Row],[Cosecha/Tarea]])</f>
        <v>272251</v>
      </c>
      <c r="F542" s="3" t="n">
        <v>889845</v>
      </c>
      <c r="G542" s="2" t="s">
        <v>18</v>
      </c>
      <c r="H542" s="2" t="n">
        <f aca="false">F542/Tabla2[[#This Row],[Cosecha Mensual]]</f>
        <v>3.26847284307496</v>
      </c>
      <c r="I542" s="2" t="n">
        <f aca="false">H542*_xlfn.XLOOKUP(Tabla2[[#This Row],[Unidad de producción]],Tabla3[Medida],Tabla3[Equivalencia en Kg],"ELVIS",0)</f>
        <v>148.25792816188</v>
      </c>
      <c r="J542" s="2" t="n">
        <v>1266.58525852585</v>
      </c>
      <c r="K542" s="2" t="s">
        <v>19</v>
      </c>
      <c r="L542" s="2" t="n">
        <f aca="false">J542/_xlfn.XLOOKUP(Tabla2[[#This Row],[Unidad de precio]],Tabla3[Medida],Tabla3[Equivalencia en Kg],"ELVIS",0)</f>
        <v>11.5144114411441</v>
      </c>
      <c r="M542" s="2" t="n">
        <v>4275.41</v>
      </c>
      <c r="N542" s="3" t="n">
        <f aca="false">(Tabla2[[#This Row],[Productividad (kg/TAS)]]*Tabla2[[#This Row],[Precio por kg]]-Tabla2[[#This Row],[Costos (En RD$/Tarea)]])</f>
        <v>-2568.30721573253</v>
      </c>
      <c r="O542" s="9" t="n">
        <f aca="false">IF(Tabla2[[#This Row],[Costos (En RD$/Tarea)]]=0,0,Tabla2[[#This Row],[Beneficio Neto  (En RD$/Tarea)]]/Tabla2[[#This Row],[Costos (En RD$/Tarea)]])</f>
        <v>-0.600716005186059</v>
      </c>
      <c r="P542" s="7" t="n">
        <f aca="false">Tabla2[[#This Row],[Rentabilidad (%)]]/12</f>
        <v>-0.0500596670988383</v>
      </c>
    </row>
    <row r="543" customFormat="false" ht="14.25" hidden="false" customHeight="false" outlineLevel="0" collapsed="false">
      <c r="A543" s="1" t="n">
        <v>37895</v>
      </c>
      <c r="B543" s="2" t="s">
        <v>20</v>
      </c>
      <c r="C543" s="3" t="n">
        <v>52355</v>
      </c>
      <c r="D543" s="8" t="s">
        <v>17</v>
      </c>
      <c r="E543" s="3" t="n">
        <f aca="false">IF(Tabla2[[#This Row],[Frecuencia]]="Annual", Tabla2[[#This Row],[Cosecha/Tarea]]/12,Tabla2[[#This Row],[Cosecha/Tarea]])</f>
        <v>52355</v>
      </c>
      <c r="F543" s="3" t="n">
        <v>86503</v>
      </c>
      <c r="G543" s="2" t="s">
        <v>18</v>
      </c>
      <c r="H543" s="2" t="n">
        <f aca="false">F543/Tabla2[[#This Row],[Cosecha Mensual]]</f>
        <v>1.65223951867061</v>
      </c>
      <c r="I543" s="2" t="n">
        <f aca="false">H543*_xlfn.XLOOKUP(Tabla2[[#This Row],[Unidad de producción]],Tabla3[Medida],Tabla3[Equivalencia en Kg],"ELVIS",0)</f>
        <v>74.9455845668991</v>
      </c>
      <c r="J543" s="2" t="n">
        <v>174.071625</v>
      </c>
      <c r="K543" s="2" t="s">
        <v>18</v>
      </c>
      <c r="L543" s="2" t="n">
        <f aca="false">J543/_xlfn.XLOOKUP(Tabla2[[#This Row],[Unidad de precio]],Tabla3[Medida],Tabla3[Equivalencia en Kg],"ELVIS",0)</f>
        <v>3.83755787037037</v>
      </c>
      <c r="M543" s="2" t="n">
        <v>938.62</v>
      </c>
      <c r="N543" s="3" t="n">
        <f aca="false">(Tabla2[[#This Row],[Productividad (kg/TAS)]]*Tabla2[[#This Row],[Precio por kg]]-Tabla2[[#This Row],[Costos (En RD$/Tarea)]])</f>
        <v>-651.011982095788</v>
      </c>
      <c r="O543" s="9" t="n">
        <f aca="false">IF(Tabla2[[#This Row],[Costos (En RD$/Tarea)]]=0,0,Tabla2[[#This Row],[Beneficio Neto  (En RD$/Tarea)]]/Tabla2[[#This Row],[Costos (En RD$/Tarea)]])</f>
        <v>-0.693584179002992</v>
      </c>
      <c r="P543" s="7" t="n">
        <f aca="false">Tabla2[[#This Row],[Rentabilidad (%)]]/12</f>
        <v>-0.0577986815835827</v>
      </c>
    </row>
    <row r="544" customFormat="false" ht="14.25" hidden="false" customHeight="false" outlineLevel="0" collapsed="false">
      <c r="A544" s="1" t="n">
        <v>37895</v>
      </c>
      <c r="B544" s="2" t="s">
        <v>21</v>
      </c>
      <c r="C544" s="3" t="n">
        <v>5792</v>
      </c>
      <c r="D544" s="8" t="s">
        <v>17</v>
      </c>
      <c r="E544" s="3" t="n">
        <f aca="false">IF(Tabla2[[#This Row],[Frecuencia]]="Annual", Tabla2[[#This Row],[Cosecha/Tarea]]/12,Tabla2[[#This Row],[Cosecha/Tarea]])</f>
        <v>5792</v>
      </c>
      <c r="F544" s="3" t="n">
        <v>52071</v>
      </c>
      <c r="G544" s="2" t="s">
        <v>18</v>
      </c>
      <c r="H544" s="2" t="n">
        <f aca="false">F544/Tabla2[[#This Row],[Cosecha Mensual]]</f>
        <v>8.99015883977901</v>
      </c>
      <c r="I544" s="2" t="n">
        <f aca="false">H544*_xlfn.XLOOKUP(Tabla2[[#This Row],[Unidad de producción]],Tabla3[Medida],Tabla3[Equivalencia en Kg],"ELVIS",0)</f>
        <v>407.793604972376</v>
      </c>
      <c r="J544" s="2" t="n">
        <v>95.6294625</v>
      </c>
      <c r="K544" s="2" t="s">
        <v>18</v>
      </c>
      <c r="L544" s="2" t="n">
        <f aca="false">J544/_xlfn.XLOOKUP(Tabla2[[#This Row],[Unidad de precio]],Tabla3[Medida],Tabla3[Equivalencia en Kg],"ELVIS",0)</f>
        <v>2.10823330026455</v>
      </c>
      <c r="M544" s="2" t="n">
        <v>1545.78</v>
      </c>
      <c r="N544" s="3" t="n">
        <f aca="false">(Tabla2[[#This Row],[Productividad (kg/TAS)]]*Tabla2[[#This Row],[Precio por kg]]-Tabla2[[#This Row],[Costos (En RD$/Tarea)]])</f>
        <v>-686.05594236231</v>
      </c>
      <c r="O544" s="9" t="n">
        <f aca="false">IF(Tabla2[[#This Row],[Costos (En RD$/Tarea)]]=0,0,Tabla2[[#This Row],[Beneficio Neto  (En RD$/Tarea)]]/Tabla2[[#This Row],[Costos (En RD$/Tarea)]])</f>
        <v>-0.443825086598552</v>
      </c>
      <c r="P544" s="7" t="n">
        <f aca="false">Tabla2[[#This Row],[Rentabilidad (%)]]/12</f>
        <v>-0.0369854238832127</v>
      </c>
    </row>
    <row r="545" customFormat="false" ht="14.25" hidden="false" customHeight="false" outlineLevel="0" collapsed="false">
      <c r="A545" s="1" t="n">
        <v>37895</v>
      </c>
      <c r="B545" s="2" t="s">
        <v>22</v>
      </c>
      <c r="C545" s="3" t="n">
        <v>5170</v>
      </c>
      <c r="D545" s="8" t="s">
        <v>17</v>
      </c>
      <c r="E545" s="3" t="n">
        <f aca="false">IF(Tabla2[[#This Row],[Frecuencia]]="Annual", Tabla2[[#This Row],[Cosecha/Tarea]]/12,Tabla2[[#This Row],[Cosecha/Tarea]])</f>
        <v>5170</v>
      </c>
      <c r="F545" s="3" t="n">
        <v>56095</v>
      </c>
      <c r="G545" s="2" t="s">
        <v>18</v>
      </c>
      <c r="H545" s="2" t="n">
        <f aca="false">F545/Tabla2[[#This Row],[Cosecha Mensual]]</f>
        <v>10.8500967117988</v>
      </c>
      <c r="I545" s="2" t="n">
        <f aca="false">H545*_xlfn.XLOOKUP(Tabla2[[#This Row],[Unidad de producción]],Tabla3[Medida],Tabla3[Equivalencia en Kg],"ELVIS",0)</f>
        <v>492.160386847195</v>
      </c>
      <c r="J545" s="2" t="n">
        <v>296</v>
      </c>
      <c r="K545" s="2" t="s">
        <v>18</v>
      </c>
      <c r="L545" s="2" t="n">
        <f aca="false">J545/_xlfn.XLOOKUP(Tabla2[[#This Row],[Unidad de precio]],Tabla3[Medida],Tabla3[Equivalencia en Kg],"ELVIS",0)</f>
        <v>6.52557319223986</v>
      </c>
      <c r="M545" s="2" t="n">
        <v>3985.46</v>
      </c>
      <c r="N545" s="3" t="n">
        <f aca="false">(Tabla2[[#This Row],[Productividad (kg/TAS)]]*Tabla2[[#This Row],[Precio por kg]]-Tabla2[[#This Row],[Costos (En RD$/Tarea)]])</f>
        <v>-773.831373307543</v>
      </c>
      <c r="O545" s="9" t="n">
        <f aca="false">IF(Tabla2[[#This Row],[Costos (En RD$/Tarea)]]=0,0,Tabla2[[#This Row],[Beneficio Neto  (En RD$/Tarea)]]/Tabla2[[#This Row],[Costos (En RD$/Tarea)]])</f>
        <v>-0.194163628115084</v>
      </c>
      <c r="P545" s="7" t="n">
        <f aca="false">Tabla2[[#This Row],[Rentabilidad (%)]]/12</f>
        <v>-0.0161803023429237</v>
      </c>
    </row>
    <row r="546" customFormat="false" ht="14.25" hidden="false" customHeight="false" outlineLevel="0" collapsed="false">
      <c r="A546" s="1" t="n">
        <v>37895</v>
      </c>
      <c r="B546" s="2" t="s">
        <v>23</v>
      </c>
      <c r="C546" s="3" t="n">
        <v>4933</v>
      </c>
      <c r="D546" s="8" t="s">
        <v>17</v>
      </c>
      <c r="E546" s="3" t="n">
        <f aca="false">IF(Tabla2[[#This Row],[Frecuencia]]="Annual", Tabla2[[#This Row],[Cosecha/Tarea]]/12,Tabla2[[#This Row],[Cosecha/Tarea]])</f>
        <v>4933</v>
      </c>
      <c r="F546" s="3" t="n">
        <v>135158</v>
      </c>
      <c r="G546" s="2" t="s">
        <v>18</v>
      </c>
      <c r="H546" s="2" t="n">
        <f aca="false">F546/Tabla2[[#This Row],[Cosecha Mensual]]</f>
        <v>27.3987431583215</v>
      </c>
      <c r="I546" s="2" t="n">
        <f aca="false">H546*_xlfn.XLOOKUP(Tabla2[[#This Row],[Unidad de producción]],Tabla3[Medida],Tabla3[Equivalencia en Kg],"ELVIS",0)</f>
        <v>1242.80698966146</v>
      </c>
      <c r="J546" s="2" t="n">
        <v>196.875</v>
      </c>
      <c r="K546" s="2" t="s">
        <v>18</v>
      </c>
      <c r="L546" s="2" t="n">
        <f aca="false">J546/_xlfn.XLOOKUP(Tabla2[[#This Row],[Unidad de precio]],Tabla3[Medida],Tabla3[Equivalencia en Kg],"ELVIS",0)</f>
        <v>4.34027777777778</v>
      </c>
      <c r="M546" s="2" t="n">
        <v>9309.96</v>
      </c>
      <c r="N546" s="3" t="n">
        <f aca="false">(Tabla2[[#This Row],[Productividad (kg/TAS)]]*Tabla2[[#This Row],[Precio por kg]]-Tabla2[[#This Row],[Costos (En RD$/Tarea)]])</f>
        <v>-3915.83244070545</v>
      </c>
      <c r="O546" s="9" t="n">
        <f aca="false">IF(Tabla2[[#This Row],[Costos (En RD$/Tarea)]]=0,0,Tabla2[[#This Row],[Beneficio Neto  (En RD$/Tarea)]]/Tabla2[[#This Row],[Costos (En RD$/Tarea)]])</f>
        <v>-0.420606795378869</v>
      </c>
      <c r="P546" s="7" t="n">
        <f aca="false">Tabla2[[#This Row],[Rentabilidad (%)]]/12</f>
        <v>-0.0350505662815724</v>
      </c>
    </row>
    <row r="547" customFormat="false" ht="14.25" hidden="false" customHeight="false" outlineLevel="0" collapsed="false">
      <c r="A547" s="1" t="n">
        <v>37895</v>
      </c>
      <c r="B547" s="2" t="s">
        <v>24</v>
      </c>
      <c r="C547" s="3" t="n">
        <v>10832</v>
      </c>
      <c r="D547" s="8" t="s">
        <v>17</v>
      </c>
      <c r="E547" s="3" t="n">
        <f aca="false">IF(Tabla2[[#This Row],[Frecuencia]]="Annual", Tabla2[[#This Row],[Cosecha/Tarea]]/12,Tabla2[[#This Row],[Cosecha/Tarea]])</f>
        <v>10832</v>
      </c>
      <c r="F547" s="3" t="n">
        <v>263316</v>
      </c>
      <c r="G547" s="2" t="s">
        <v>18</v>
      </c>
      <c r="H547" s="2" t="n">
        <f aca="false">F547/Tabla2[[#This Row],[Cosecha Mensual]]</f>
        <v>24.3090841949778</v>
      </c>
      <c r="I547" s="2" t="n">
        <f aca="false">H547*_xlfn.XLOOKUP(Tabla2[[#This Row],[Unidad de producción]],Tabla3[Medida],Tabla3[Equivalencia en Kg],"ELVIS",0)</f>
        <v>1102.6600590842</v>
      </c>
      <c r="J547" s="2" t="n">
        <v>481.125</v>
      </c>
      <c r="K547" s="2" t="s">
        <v>18</v>
      </c>
      <c r="L547" s="2" t="n">
        <f aca="false">J547/_xlfn.XLOOKUP(Tabla2[[#This Row],[Unidad de precio]],Tabla3[Medida],Tabla3[Equivalencia en Kg],"ELVIS",0)</f>
        <v>10.6068121693122</v>
      </c>
      <c r="M547" s="2" t="n">
        <v>3188.34</v>
      </c>
      <c r="N547" s="3" t="n">
        <f aca="false">(Tabla2[[#This Row],[Productividad (kg/TAS)]]*Tabla2[[#This Row],[Precio por kg]]-Tabla2[[#This Row],[Costos (En RD$/Tarea)]])</f>
        <v>8507.36813330871</v>
      </c>
      <c r="O547" s="9" t="n">
        <f aca="false">IF(Tabla2[[#This Row],[Costos (En RD$/Tarea)]]=0,0,Tabla2[[#This Row],[Beneficio Neto  (En RD$/Tarea)]]/Tabla2[[#This Row],[Costos (En RD$/Tarea)]])</f>
        <v>2.66827506894143</v>
      </c>
      <c r="P547" s="7" t="n">
        <f aca="false">Tabla2[[#This Row],[Rentabilidad (%)]]/12</f>
        <v>0.222356255745119</v>
      </c>
    </row>
    <row r="548" customFormat="false" ht="14.25" hidden="false" customHeight="false" outlineLevel="0" collapsed="false">
      <c r="A548" s="1" t="n">
        <v>37895</v>
      </c>
      <c r="B548" s="2" t="s">
        <v>25</v>
      </c>
      <c r="C548" s="3" t="n">
        <v>18006</v>
      </c>
      <c r="D548" s="8" t="s">
        <v>17</v>
      </c>
      <c r="E548" s="3" t="n">
        <f aca="false">IF(Tabla2[[#This Row],[Frecuencia]]="Annual", Tabla2[[#This Row],[Cosecha/Tarea]]/12,Tabla2[[#This Row],[Cosecha/Tarea]])</f>
        <v>18006</v>
      </c>
      <c r="F548" s="3" t="n">
        <v>179526</v>
      </c>
      <c r="G548" s="2" t="s">
        <v>18</v>
      </c>
      <c r="H548" s="2" t="n">
        <f aca="false">F548/Tabla2[[#This Row],[Cosecha Mensual]]</f>
        <v>9.97034321892702</v>
      </c>
      <c r="I548" s="2" t="n">
        <f aca="false">H548*_xlfn.XLOOKUP(Tabla2[[#This Row],[Unidad de producción]],Tabla3[Medida],Tabla3[Equivalencia en Kg],"ELVIS",0)</f>
        <v>452.25476841053</v>
      </c>
      <c r="J548" s="2" t="n">
        <v>110.6105</v>
      </c>
      <c r="K548" s="2" t="s">
        <v>18</v>
      </c>
      <c r="L548" s="2" t="n">
        <f aca="false">J548/_xlfn.XLOOKUP(Tabla2[[#This Row],[Unidad de precio]],Tabla3[Medida],Tabla3[Equivalencia en Kg],"ELVIS",0)</f>
        <v>2.43850308641975</v>
      </c>
      <c r="M548" s="2" t="n">
        <v>1396.74</v>
      </c>
      <c r="N548" s="3" t="n">
        <f aca="false">(Tabla2[[#This Row],[Productividad (kg/TAS)]]*Tabla2[[#This Row],[Precio por kg]]-Tabla2[[#This Row],[Costos (En RD$/Tarea)]])</f>
        <v>-293.915351382873</v>
      </c>
      <c r="O548" s="9" t="n">
        <f aca="false">IF(Tabla2[[#This Row],[Costos (En RD$/Tarea)]]=0,0,Tabla2[[#This Row],[Beneficio Neto  (En RD$/Tarea)]]/Tabla2[[#This Row],[Costos (En RD$/Tarea)]])</f>
        <v>-0.210429536909427</v>
      </c>
      <c r="P548" s="7" t="n">
        <f aca="false">Tabla2[[#This Row],[Rentabilidad (%)]]/12</f>
        <v>-0.0175357947424522</v>
      </c>
    </row>
    <row r="549" customFormat="false" ht="14.25" hidden="false" customHeight="false" outlineLevel="0" collapsed="false">
      <c r="A549" s="1" t="n">
        <v>37895</v>
      </c>
      <c r="B549" s="2" t="s">
        <v>26</v>
      </c>
      <c r="C549" s="3" t="n">
        <v>11710</v>
      </c>
      <c r="D549" s="8" t="s">
        <v>17</v>
      </c>
      <c r="E549" s="3" t="n">
        <f aca="false">IF(Tabla2[[#This Row],[Frecuencia]]="Annual", Tabla2[[#This Row],[Cosecha/Tarea]]/12,Tabla2[[#This Row],[Cosecha/Tarea]])</f>
        <v>11710</v>
      </c>
      <c r="F549" s="3" t="n">
        <v>71554</v>
      </c>
      <c r="G549" s="2" t="s">
        <v>18</v>
      </c>
      <c r="H549" s="2" t="n">
        <f aca="false">F549/Tabla2[[#This Row],[Cosecha Mensual]]</f>
        <v>6.11050384286934</v>
      </c>
      <c r="I549" s="2" t="n">
        <f aca="false">H549*_xlfn.XLOOKUP(Tabla2[[#This Row],[Unidad de producción]],Tabla3[Medida],Tabla3[Equivalencia en Kg],"ELVIS",0)</f>
        <v>277.172454312553</v>
      </c>
      <c r="J549" s="2" t="n">
        <v>243.75</v>
      </c>
      <c r="K549" s="2" t="s">
        <v>18</v>
      </c>
      <c r="L549" s="2" t="n">
        <f aca="false">J549/_xlfn.XLOOKUP(Tabla2[[#This Row],[Unidad de precio]],Tabla3[Medida],Tabla3[Equivalencia en Kg],"ELVIS",0)</f>
        <v>5.37367724867725</v>
      </c>
      <c r="M549" s="2" t="n">
        <v>1217.11</v>
      </c>
      <c r="N549" s="3" t="n">
        <f aca="false">(Tabla2[[#This Row],[Productividad (kg/TAS)]]*Tabla2[[#This Row],[Precio por kg]]-Tabla2[[#This Row],[Costos (En RD$/Tarea)]])</f>
        <v>272.325311699402</v>
      </c>
      <c r="O549" s="9" t="n">
        <f aca="false">IF(Tabla2[[#This Row],[Costos (En RD$/Tarea)]]=0,0,Tabla2[[#This Row],[Beneficio Neto  (En RD$/Tarea)]]/Tabla2[[#This Row],[Costos (En RD$/Tarea)]])</f>
        <v>0.223747493406021</v>
      </c>
      <c r="P549" s="7" t="n">
        <f aca="false">Tabla2[[#This Row],[Rentabilidad (%)]]/12</f>
        <v>0.0186456244505018</v>
      </c>
    </row>
    <row r="550" customFormat="false" ht="14.25" hidden="false" customHeight="false" outlineLevel="0" collapsed="false">
      <c r="A550" s="1" t="n">
        <v>37895</v>
      </c>
      <c r="B550" s="2" t="s">
        <v>27</v>
      </c>
      <c r="C550" s="3" t="n">
        <v>3274</v>
      </c>
      <c r="D550" s="8" t="s">
        <v>17</v>
      </c>
      <c r="E550" s="3" t="n">
        <f aca="false">IF(Tabla2[[#This Row],[Frecuencia]]="Annual", Tabla2[[#This Row],[Cosecha/Tarea]]/12,Tabla2[[#This Row],[Cosecha/Tarea]])</f>
        <v>3274</v>
      </c>
      <c r="F550" s="3" t="n">
        <v>33297</v>
      </c>
      <c r="G550" s="2" t="s">
        <v>18</v>
      </c>
      <c r="H550" s="2" t="n">
        <f aca="false">F550/Tabla2[[#This Row],[Cosecha Mensual]]</f>
        <v>10.1701282834453</v>
      </c>
      <c r="I550" s="2" t="n">
        <f aca="false">H550*_xlfn.XLOOKUP(Tabla2[[#This Row],[Unidad de producción]],Tabla3[Medida],Tabla3[Equivalencia en Kg],"ELVIS",0)</f>
        <v>461.31701893708</v>
      </c>
      <c r="J550" s="2" t="n">
        <v>261.32</v>
      </c>
      <c r="K550" s="2" t="s">
        <v>18</v>
      </c>
      <c r="L550" s="2" t="n">
        <f aca="false">J550/_xlfn.XLOOKUP(Tabla2[[#This Row],[Unidad de precio]],Tabla3[Medida],Tabla3[Equivalencia en Kg],"ELVIS",0)</f>
        <v>5.76102292768959</v>
      </c>
      <c r="M550" s="2" t="n">
        <v>3938.29</v>
      </c>
      <c r="N550" s="3" t="n">
        <f aca="false">(Tabla2[[#This Row],[Productividad (kg/TAS)]]*Tabla2[[#This Row],[Precio por kg]]-Tabla2[[#This Row],[Costos (En RD$/Tarea)]])</f>
        <v>-1280.63207697007</v>
      </c>
      <c r="O550" s="9" t="n">
        <f aca="false">IF(Tabla2[[#This Row],[Costos (En RD$/Tarea)]]=0,0,Tabla2[[#This Row],[Beneficio Neto  (En RD$/Tarea)]]/Tabla2[[#This Row],[Costos (En RD$/Tarea)]])</f>
        <v>-0.325174651173496</v>
      </c>
      <c r="P550" s="7" t="n">
        <f aca="false">Tabla2[[#This Row],[Rentabilidad (%)]]/12</f>
        <v>-0.0270978875977913</v>
      </c>
    </row>
    <row r="551" customFormat="false" ht="14.25" hidden="false" customHeight="false" outlineLevel="0" collapsed="false">
      <c r="A551" s="1" t="n">
        <v>37895</v>
      </c>
      <c r="B551" s="2" t="s">
        <v>28</v>
      </c>
      <c r="C551" s="3" t="n">
        <v>62704</v>
      </c>
      <c r="D551" s="8" t="s">
        <v>17</v>
      </c>
      <c r="E551" s="3" t="n">
        <f aca="false">IF(Tabla2[[#This Row],[Frecuencia]]="Annual", Tabla2[[#This Row],[Cosecha/Tarea]]/12,Tabla2[[#This Row],[Cosecha/Tarea]])</f>
        <v>62704</v>
      </c>
      <c r="F551" s="3" t="n">
        <v>120326</v>
      </c>
      <c r="G551" s="2" t="s">
        <v>29</v>
      </c>
      <c r="H551" s="2" t="n">
        <f aca="false">F551/Tabla2[[#This Row],[Cosecha Mensual]]</f>
        <v>1.91895253891299</v>
      </c>
      <c r="I551" s="2" t="n">
        <f aca="false">H551*_xlfn.XLOOKUP(Tabla2[[#This Row],[Unidad de producción]],Tabla3[Medida],Tabla3[Equivalencia en Kg],"ELVIS",0)</f>
        <v>1079.10377073233</v>
      </c>
      <c r="J551" s="2" t="n">
        <v>1360.5625</v>
      </c>
      <c r="K551" s="2" t="s">
        <v>29</v>
      </c>
      <c r="L551" s="2" t="n">
        <f aca="false">J551/_xlfn.XLOOKUP(Tabla2[[#This Row],[Unidad de precio]],Tabla3[Medida],Tabla3[Equivalencia en Kg],"ELVIS",0)</f>
        <v>2.41946598143472</v>
      </c>
      <c r="M551" s="2" t="n">
        <v>7517.1463872</v>
      </c>
      <c r="N551" s="3" t="n">
        <f aca="false">(Tabla2[[#This Row],[Productividad (kg/TAS)]]*Tabla2[[#This Row],[Precio por kg]]-Tabla2[[#This Row],[Costos (En RD$/Tarea)]])</f>
        <v>-4906.2915234752</v>
      </c>
      <c r="O551" s="9" t="n">
        <f aca="false">IF(Tabla2[[#This Row],[Costos (En RD$/Tarea)]]=0,0,Tabla2[[#This Row],[Beneficio Neto  (En RD$/Tarea)]]/Tabla2[[#This Row],[Costos (En RD$/Tarea)]])</f>
        <v>-0.652680055802758</v>
      </c>
      <c r="P551" s="7" t="n">
        <f aca="false">Tabla2[[#This Row],[Rentabilidad (%)]]/12</f>
        <v>-0.0543900046502298</v>
      </c>
    </row>
    <row r="552" customFormat="false" ht="14.25" hidden="false" customHeight="false" outlineLevel="0" collapsed="false">
      <c r="A552" s="1" t="n">
        <v>37895</v>
      </c>
      <c r="B552" s="2" t="s">
        <v>30</v>
      </c>
      <c r="C552" s="3" t="n">
        <v>252320</v>
      </c>
      <c r="D552" s="3" t="s">
        <v>31</v>
      </c>
      <c r="E552" s="3" t="n">
        <f aca="false">IF(Tabla2[[#This Row],[Frecuencia]]="Annual", Tabla2[[#This Row],[Cosecha/Tarea]]/12,Tabla2[[#This Row],[Cosecha/Tarea]])</f>
        <v>21026.6666666667</v>
      </c>
      <c r="F552" s="3" t="n">
        <v>1886025</v>
      </c>
      <c r="G552" s="2" t="s">
        <v>32</v>
      </c>
      <c r="H552" s="2" t="n">
        <f aca="false">F552/Tabla2[[#This Row],[Cosecha Mensual]]</f>
        <v>89.6968135700698</v>
      </c>
      <c r="I552" s="2" t="n">
        <f aca="false">H552*_xlfn.XLOOKUP(Tabla2[[#This Row],[Unidad de producción]],Tabla3[Medida],Tabla3[Equivalencia en Kg],"ELVIS",0)</f>
        <v>2440.6502972416</v>
      </c>
      <c r="J552" s="2" t="n">
        <v>36.1725</v>
      </c>
      <c r="K552" s="2" t="s">
        <v>32</v>
      </c>
      <c r="L552" s="2" t="n">
        <f aca="false">J552/_xlfn.XLOOKUP(Tabla2[[#This Row],[Unidad de precio]],Tabla3[Medida],Tabla3[Equivalencia en Kg],"ELVIS",0)</f>
        <v>1.32938257993385</v>
      </c>
      <c r="M552" s="3" t="n">
        <v>6435.96</v>
      </c>
      <c r="N552" s="3" t="n">
        <f aca="false">(Tabla2[[#This Row],[Productividad (kg/TAS)]]*Tabla2[[#This Row],[Precio por kg]]-Tabla2[[#This Row],[Costos (En RD$/Tarea)]])</f>
        <v>-3191.40201113665</v>
      </c>
      <c r="O552" s="9" t="n">
        <f aca="false">IF(Tabla2[[#This Row],[Costos (En RD$/Tarea)]]=0,0,Tabla2[[#This Row],[Beneficio Neto  (En RD$/Tarea)]]/Tabla2[[#This Row],[Costos (En RD$/Tarea)]])</f>
        <v>-0.495870392472398</v>
      </c>
      <c r="P552" s="7" t="n">
        <f aca="false">Tabla2[[#This Row],[Rentabilidad (%)]]/12</f>
        <v>-0.0413225327060331</v>
      </c>
    </row>
    <row r="553" customFormat="false" ht="14.25" hidden="false" customHeight="false" outlineLevel="0" collapsed="false">
      <c r="A553" s="1" t="n">
        <v>37895</v>
      </c>
      <c r="B553" s="2" t="s">
        <v>33</v>
      </c>
      <c r="C553" s="3" t="n">
        <v>677206</v>
      </c>
      <c r="D553" s="3" t="s">
        <v>31</v>
      </c>
      <c r="E553" s="3" t="n">
        <f aca="false">IF(Tabla2[[#This Row],[Frecuencia]]="Annual", Tabla2[[#This Row],[Cosecha/Tarea]]/12,Tabla2[[#This Row],[Cosecha/Tarea]])</f>
        <v>56433.8333333333</v>
      </c>
      <c r="F553" s="3" t="n">
        <v>108405</v>
      </c>
      <c r="G553" s="2" t="s">
        <v>34</v>
      </c>
      <c r="H553" s="2" t="n">
        <f aca="false">F553/Tabla2[[#This Row],[Cosecha Mensual]]</f>
        <v>1.92092214185935</v>
      </c>
      <c r="I553" s="2" t="n">
        <f aca="false">H553*_xlfn.XLOOKUP(Tabla2[[#This Row],[Unidad de producción]],Tabla3[Medida],Tabla3[Equivalencia en Kg],"ELVIS",0)</f>
        <v>784.024372199892</v>
      </c>
      <c r="J553" s="2" t="n">
        <v>1388.615</v>
      </c>
      <c r="K553" s="2" t="s">
        <v>34</v>
      </c>
      <c r="L553" s="2" t="n">
        <f aca="false">J553/_xlfn.XLOOKUP(Tabla2[[#This Row],[Unidad de precio]],Tabla3[Medida],Tabla3[Equivalencia en Kg],"ELVIS",0)</f>
        <v>3.40221732206297</v>
      </c>
      <c r="M553" s="3" t="n">
        <v>8666.64</v>
      </c>
      <c r="N553" s="3" t="n">
        <f aca="false">(Tabla2[[#This Row],[Productividad (kg/TAS)]]*Tabla2[[#This Row],[Precio por kg]]-Tabla2[[#This Row],[Costos (En RD$/Tarea)]])</f>
        <v>-5999.21869998198</v>
      </c>
      <c r="O553" s="9" t="n">
        <f aca="false">IF(Tabla2[[#This Row],[Costos (En RD$/Tarea)]]=0,0,Tabla2[[#This Row],[Beneficio Neto  (En RD$/Tarea)]]/Tabla2[[#This Row],[Costos (En RD$/Tarea)]])</f>
        <v>-0.692219672212297</v>
      </c>
      <c r="P553" s="7" t="n">
        <f aca="false">Tabla2[[#This Row],[Rentabilidad (%)]]/12</f>
        <v>-0.0576849726843581</v>
      </c>
    </row>
    <row r="554" customFormat="false" ht="14.25" hidden="false" customHeight="false" outlineLevel="0" collapsed="false">
      <c r="A554" s="1" t="n">
        <v>37926</v>
      </c>
      <c r="B554" s="2" t="s">
        <v>16</v>
      </c>
      <c r="C554" s="3" t="n">
        <v>388668</v>
      </c>
      <c r="D554" s="8" t="s">
        <v>17</v>
      </c>
      <c r="E554" s="3" t="n">
        <f aca="false">IF(Tabla2[[#This Row],[Frecuencia]]="Annual", Tabla2[[#This Row],[Cosecha/Tarea]]/12,Tabla2[[#This Row],[Cosecha/Tarea]])</f>
        <v>388668</v>
      </c>
      <c r="F554" s="3" t="n">
        <v>1393856</v>
      </c>
      <c r="G554" s="2" t="s">
        <v>18</v>
      </c>
      <c r="H554" s="2" t="n">
        <f aca="false">F554/Tabla2[[#This Row],[Cosecha Mensual]]</f>
        <v>3.58623812611277</v>
      </c>
      <c r="I554" s="2" t="n">
        <f aca="false">H554*_xlfn.XLOOKUP(Tabla2[[#This Row],[Unidad de producción]],Tabla3[Medida],Tabla3[Equivalencia en Kg],"ELVIS",0)</f>
        <v>162.671761400475</v>
      </c>
      <c r="J554" s="2" t="n">
        <v>1487.02090209021</v>
      </c>
      <c r="K554" s="2" t="s">
        <v>19</v>
      </c>
      <c r="L554" s="2" t="n">
        <f aca="false">J554/_xlfn.XLOOKUP(Tabla2[[#This Row],[Unidad de precio]],Tabla3[Medida],Tabla3[Equivalencia en Kg],"ELVIS",0)</f>
        <v>13.5183718371837</v>
      </c>
      <c r="M554" s="2" t="n">
        <v>4275.41</v>
      </c>
      <c r="N554" s="3" t="n">
        <f aca="false">(Tabla2[[#This Row],[Productividad (kg/TAS)]]*Tabla2[[#This Row],[Precio por kg]]-Tabla2[[#This Row],[Costos (En RD$/Tarea)]])</f>
        <v>-2076.35264197874</v>
      </c>
      <c r="O554" s="9" t="n">
        <f aca="false">IF(Tabla2[[#This Row],[Costos (En RD$/Tarea)]]=0,0,Tabla2[[#This Row],[Beneficio Neto  (En RD$/Tarea)]]/Tabla2[[#This Row],[Costos (En RD$/Tarea)]])</f>
        <v>-0.485649947485444</v>
      </c>
      <c r="P554" s="7" t="n">
        <f aca="false">Tabla2[[#This Row],[Rentabilidad (%)]]/12</f>
        <v>-0.0404708289571203</v>
      </c>
    </row>
    <row r="555" customFormat="false" ht="14.25" hidden="false" customHeight="false" outlineLevel="0" collapsed="false">
      <c r="A555" s="1" t="n">
        <v>37926</v>
      </c>
      <c r="B555" s="2" t="s">
        <v>20</v>
      </c>
      <c r="C555" s="3" t="n">
        <v>35768</v>
      </c>
      <c r="D555" s="8" t="s">
        <v>17</v>
      </c>
      <c r="E555" s="3" t="n">
        <f aca="false">IF(Tabla2[[#This Row],[Frecuencia]]="Annual", Tabla2[[#This Row],[Cosecha/Tarea]]/12,Tabla2[[#This Row],[Cosecha/Tarea]])</f>
        <v>35768</v>
      </c>
      <c r="F555" s="3" t="n">
        <v>77574</v>
      </c>
      <c r="G555" s="2" t="s">
        <v>18</v>
      </c>
      <c r="H555" s="2" t="n">
        <f aca="false">F555/Tabla2[[#This Row],[Cosecha Mensual]]</f>
        <v>2.16881010959517</v>
      </c>
      <c r="I555" s="2" t="n">
        <f aca="false">H555*_xlfn.XLOOKUP(Tabla2[[#This Row],[Unidad de producción]],Tabla3[Medida],Tabla3[Equivalencia en Kg],"ELVIS",0)</f>
        <v>98.3772265712369</v>
      </c>
      <c r="J555" s="2" t="n">
        <v>203.38165</v>
      </c>
      <c r="K555" s="2" t="s">
        <v>18</v>
      </c>
      <c r="L555" s="2" t="n">
        <f aca="false">J555/_xlfn.XLOOKUP(Tabla2[[#This Row],[Unidad de precio]],Tabla3[Medida],Tabla3[Equivalencia en Kg],"ELVIS",0)</f>
        <v>4.48372244268078</v>
      </c>
      <c r="M555" s="2" t="n">
        <v>938.62</v>
      </c>
      <c r="N555" s="3" t="n">
        <f aca="false">(Tabla2[[#This Row],[Productividad (kg/TAS)]]*Tabla2[[#This Row],[Precio por kg]]-Tabla2[[#This Row],[Costos (En RD$/Tarea)]])</f>
        <v>-497.523821373854</v>
      </c>
      <c r="O555" s="9" t="n">
        <f aca="false">IF(Tabla2[[#This Row],[Costos (En RD$/Tarea)]]=0,0,Tabla2[[#This Row],[Beneficio Neto  (En RD$/Tarea)]]/Tabla2[[#This Row],[Costos (En RD$/Tarea)]])</f>
        <v>-0.530058832513535</v>
      </c>
      <c r="P555" s="7" t="n">
        <f aca="false">Tabla2[[#This Row],[Rentabilidad (%)]]/12</f>
        <v>-0.0441715693761279</v>
      </c>
    </row>
    <row r="556" customFormat="false" ht="14.25" hidden="false" customHeight="false" outlineLevel="0" collapsed="false">
      <c r="A556" s="1" t="n">
        <v>37926</v>
      </c>
      <c r="B556" s="2" t="s">
        <v>21</v>
      </c>
      <c r="C556" s="3" t="n">
        <v>7646</v>
      </c>
      <c r="D556" s="8" t="s">
        <v>17</v>
      </c>
      <c r="E556" s="3" t="n">
        <f aca="false">IF(Tabla2[[#This Row],[Frecuencia]]="Annual", Tabla2[[#This Row],[Cosecha/Tarea]]/12,Tabla2[[#This Row],[Cosecha/Tarea]])</f>
        <v>7646</v>
      </c>
      <c r="F556" s="3" t="n">
        <v>63638</v>
      </c>
      <c r="G556" s="2" t="s">
        <v>18</v>
      </c>
      <c r="H556" s="2" t="n">
        <f aca="false">F556/Tabla2[[#This Row],[Cosecha Mensual]]</f>
        <v>8.32304472927021</v>
      </c>
      <c r="I556" s="2" t="n">
        <f aca="false">H556*_xlfn.XLOOKUP(Tabla2[[#This Row],[Unidad de producción]],Tabla3[Medida],Tabla3[Equivalencia en Kg],"ELVIS",0)</f>
        <v>377.533308919697</v>
      </c>
      <c r="J556" s="2" t="n">
        <v>91.926395</v>
      </c>
      <c r="K556" s="2" t="s">
        <v>18</v>
      </c>
      <c r="L556" s="2" t="n">
        <f aca="false">J556/_xlfn.XLOOKUP(Tabla2[[#This Row],[Unidad de precio]],Tabla3[Medida],Tabla3[Equivalencia en Kg],"ELVIS",0)</f>
        <v>2.02659600970018</v>
      </c>
      <c r="M556" s="2" t="n">
        <v>1545.78</v>
      </c>
      <c r="N556" s="3" t="n">
        <f aca="false">(Tabla2[[#This Row],[Productividad (kg/TAS)]]*Tabla2[[#This Row],[Precio por kg]]-Tabla2[[#This Row],[Costos (En RD$/Tarea)]])</f>
        <v>-780.672502614439</v>
      </c>
      <c r="O556" s="9" t="n">
        <f aca="false">IF(Tabla2[[#This Row],[Costos (En RD$/Tarea)]]=0,0,Tabla2[[#This Row],[Beneficio Neto  (En RD$/Tarea)]]/Tabla2[[#This Row],[Costos (En RD$/Tarea)]])</f>
        <v>-0.505034676742123</v>
      </c>
      <c r="P556" s="7" t="n">
        <f aca="false">Tabla2[[#This Row],[Rentabilidad (%)]]/12</f>
        <v>-0.0420862230618436</v>
      </c>
    </row>
    <row r="557" customFormat="false" ht="14.25" hidden="false" customHeight="false" outlineLevel="0" collapsed="false">
      <c r="A557" s="1" t="n">
        <v>37926</v>
      </c>
      <c r="B557" s="2" t="s">
        <v>22</v>
      </c>
      <c r="C557" s="3" t="n">
        <v>5902</v>
      </c>
      <c r="D557" s="8" t="s">
        <v>17</v>
      </c>
      <c r="E557" s="3" t="n">
        <f aca="false">IF(Tabla2[[#This Row],[Frecuencia]]="Annual", Tabla2[[#This Row],[Cosecha/Tarea]]/12,Tabla2[[#This Row],[Cosecha/Tarea]])</f>
        <v>5902</v>
      </c>
      <c r="F557" s="3" t="n">
        <v>51052</v>
      </c>
      <c r="G557" s="2" t="s">
        <v>18</v>
      </c>
      <c r="H557" s="2" t="n">
        <f aca="false">F557/Tabla2[[#This Row],[Cosecha Mensual]]</f>
        <v>8.64994916977296</v>
      </c>
      <c r="I557" s="2" t="n">
        <f aca="false">H557*_xlfn.XLOOKUP(Tabla2[[#This Row],[Unidad de producción]],Tabla3[Medida],Tabla3[Equivalencia en Kg],"ELVIS",0)</f>
        <v>392.361694340901</v>
      </c>
      <c r="J557" s="2" t="n">
        <v>285.9</v>
      </c>
      <c r="K557" s="2" t="s">
        <v>18</v>
      </c>
      <c r="L557" s="2" t="n">
        <f aca="false">J557/_xlfn.XLOOKUP(Tabla2[[#This Row],[Unidad de precio]],Tabla3[Medida],Tabla3[Equivalencia en Kg],"ELVIS",0)</f>
        <v>6.30291005291005</v>
      </c>
      <c r="M557" s="2" t="n">
        <v>3985.46</v>
      </c>
      <c r="N557" s="3" t="n">
        <f aca="false">(Tabla2[[#This Row],[Productividad (kg/TAS)]]*Tabla2[[#This Row],[Precio por kg]]-Tabla2[[#This Row],[Costos (En RD$/Tarea)]])</f>
        <v>-1512.43953236191</v>
      </c>
      <c r="O557" s="9" t="n">
        <f aca="false">IF(Tabla2[[#This Row],[Costos (En RD$/Tarea)]]=0,0,Tabla2[[#This Row],[Beneficio Neto  (En RD$/Tarea)]]/Tabla2[[#This Row],[Costos (En RD$/Tarea)]])</f>
        <v>-0.379489326793372</v>
      </c>
      <c r="P557" s="7" t="n">
        <f aca="false">Tabla2[[#This Row],[Rentabilidad (%)]]/12</f>
        <v>-0.0316241105661143</v>
      </c>
    </row>
    <row r="558" customFormat="false" ht="14.25" hidden="false" customHeight="false" outlineLevel="0" collapsed="false">
      <c r="A558" s="1" t="n">
        <v>37926</v>
      </c>
      <c r="B558" s="2" t="s">
        <v>23</v>
      </c>
      <c r="C558" s="3" t="n">
        <v>2222</v>
      </c>
      <c r="D558" s="8" t="s">
        <v>17</v>
      </c>
      <c r="E558" s="3" t="n">
        <f aca="false">IF(Tabla2[[#This Row],[Frecuencia]]="Annual", Tabla2[[#This Row],[Cosecha/Tarea]]/12,Tabla2[[#This Row],[Cosecha/Tarea]])</f>
        <v>2222</v>
      </c>
      <c r="F558" s="3" t="n">
        <v>69930</v>
      </c>
      <c r="G558" s="2" t="s">
        <v>18</v>
      </c>
      <c r="H558" s="2" t="n">
        <f aca="false">F558/Tabla2[[#This Row],[Cosecha Mensual]]</f>
        <v>31.4716471647165</v>
      </c>
      <c r="I558" s="2" t="n">
        <f aca="false">H558*_xlfn.XLOOKUP(Tabla2[[#This Row],[Unidad de producción]],Tabla3[Medida],Tabla3[Equivalencia en Kg],"ELVIS",0)</f>
        <v>1427.55391539154</v>
      </c>
      <c r="J558" s="2" t="n">
        <v>377.333333333333</v>
      </c>
      <c r="K558" s="2" t="s">
        <v>18</v>
      </c>
      <c r="L558" s="2" t="n">
        <f aca="false">J558/_xlfn.XLOOKUP(Tabla2[[#This Row],[Unidad de precio]],Tabla3[Medida],Tabla3[Equivalencia en Kg],"ELVIS",0)</f>
        <v>8.31863609641387</v>
      </c>
      <c r="M558" s="2" t="n">
        <v>9309.96</v>
      </c>
      <c r="N558" s="3" t="n">
        <f aca="false">(Tabla2[[#This Row],[Productividad (kg/TAS)]]*Tabla2[[#This Row],[Precio por kg]]-Tabla2[[#This Row],[Costos (En RD$/Tarea)]])</f>
        <v>2565.34153015301</v>
      </c>
      <c r="O558" s="9" t="n">
        <f aca="false">IF(Tabla2[[#This Row],[Costos (En RD$/Tarea)]]=0,0,Tabla2[[#This Row],[Beneficio Neto  (En RD$/Tarea)]]/Tabla2[[#This Row],[Costos (En RD$/Tarea)]])</f>
        <v>0.275548072188603</v>
      </c>
      <c r="P558" s="7" t="n">
        <f aca="false">Tabla2[[#This Row],[Rentabilidad (%)]]/12</f>
        <v>0.0229623393490502</v>
      </c>
    </row>
    <row r="559" customFormat="false" ht="14.25" hidden="false" customHeight="false" outlineLevel="0" collapsed="false">
      <c r="A559" s="1" t="n">
        <v>37926</v>
      </c>
      <c r="B559" s="2" t="s">
        <v>24</v>
      </c>
      <c r="C559" s="3" t="n">
        <v>7210</v>
      </c>
      <c r="D559" s="8" t="s">
        <v>17</v>
      </c>
      <c r="E559" s="3" t="n">
        <f aca="false">IF(Tabla2[[#This Row],[Frecuencia]]="Annual", Tabla2[[#This Row],[Cosecha/Tarea]]/12,Tabla2[[#This Row],[Cosecha/Tarea]])</f>
        <v>7210</v>
      </c>
      <c r="F559" s="3" t="n">
        <v>109123</v>
      </c>
      <c r="G559" s="2" t="s">
        <v>18</v>
      </c>
      <c r="H559" s="2" t="n">
        <f aca="false">F559/Tabla2[[#This Row],[Cosecha Mensual]]</f>
        <v>15.1349514563107</v>
      </c>
      <c r="I559" s="2" t="n">
        <f aca="false">H559*_xlfn.XLOOKUP(Tabla2[[#This Row],[Unidad de producción]],Tabla3[Medida],Tabla3[Equivalencia en Kg],"ELVIS",0)</f>
        <v>686.521398058252</v>
      </c>
      <c r="J559" s="2" t="n">
        <v>436.95</v>
      </c>
      <c r="K559" s="2" t="s">
        <v>18</v>
      </c>
      <c r="L559" s="2" t="n">
        <f aca="false">J559/_xlfn.XLOOKUP(Tabla2[[#This Row],[Unidad de precio]],Tabla3[Medida],Tabla3[Equivalencia en Kg],"ELVIS",0)</f>
        <v>9.63293650793651</v>
      </c>
      <c r="M559" s="2" t="n">
        <v>3188.34</v>
      </c>
      <c r="N559" s="3" t="n">
        <f aca="false">(Tabla2[[#This Row],[Productividad (kg/TAS)]]*Tabla2[[#This Row],[Precio por kg]]-Tabla2[[#This Row],[Costos (En RD$/Tarea)]])</f>
        <v>3424.87703883495</v>
      </c>
      <c r="O559" s="9" t="n">
        <f aca="false">IF(Tabla2[[#This Row],[Costos (En RD$/Tarea)]]=0,0,Tabla2[[#This Row],[Beneficio Neto  (En RD$/Tarea)]]/Tabla2[[#This Row],[Costos (En RD$/Tarea)]])</f>
        <v>1.0741881476991</v>
      </c>
      <c r="P559" s="7" t="n">
        <f aca="false">Tabla2[[#This Row],[Rentabilidad (%)]]/12</f>
        <v>0.0895156789749251</v>
      </c>
    </row>
    <row r="560" customFormat="false" ht="14.25" hidden="false" customHeight="false" outlineLevel="0" collapsed="false">
      <c r="A560" s="1" t="n">
        <v>37926</v>
      </c>
      <c r="B560" s="2" t="s">
        <v>25</v>
      </c>
      <c r="C560" s="3" t="n">
        <v>22577</v>
      </c>
      <c r="D560" s="8" t="s">
        <v>17</v>
      </c>
      <c r="E560" s="3" t="n">
        <f aca="false">IF(Tabla2[[#This Row],[Frecuencia]]="Annual", Tabla2[[#This Row],[Cosecha/Tarea]]/12,Tabla2[[#This Row],[Cosecha/Tarea]])</f>
        <v>22577</v>
      </c>
      <c r="F560" s="3" t="n">
        <v>229952</v>
      </c>
      <c r="G560" s="2" t="s">
        <v>18</v>
      </c>
      <c r="H560" s="2" t="n">
        <f aca="false">F560/Tabla2[[#This Row],[Cosecha Mensual]]</f>
        <v>10.1852327590025</v>
      </c>
      <c r="I560" s="2" t="n">
        <f aca="false">H560*_xlfn.XLOOKUP(Tabla2[[#This Row],[Unidad de producción]],Tabla3[Medida],Tabla3[Equivalencia en Kg],"ELVIS",0)</f>
        <v>462.002157948354</v>
      </c>
      <c r="J560" s="2" t="n">
        <v>109.908066666667</v>
      </c>
      <c r="K560" s="2" t="s">
        <v>18</v>
      </c>
      <c r="L560" s="2" t="n">
        <f aca="false">J560/_xlfn.XLOOKUP(Tabla2[[#This Row],[Unidad de precio]],Tabla3[Medida],Tabla3[Equivalencia en Kg],"ELVIS",0)</f>
        <v>2.42301734273957</v>
      </c>
      <c r="M560" s="2" t="n">
        <v>1396.74</v>
      </c>
      <c r="N560" s="3" t="n">
        <f aca="false">(Tabla2[[#This Row],[Productividad (kg/TAS)]]*Tabla2[[#This Row],[Precio por kg]]-Tabla2[[#This Row],[Costos (En RD$/Tarea)]])</f>
        <v>-277.30075890803</v>
      </c>
      <c r="O560" s="9" t="n">
        <f aca="false">IF(Tabla2[[#This Row],[Costos (En RD$/Tarea)]]=0,0,Tabla2[[#This Row],[Beneficio Neto  (En RD$/Tarea)]]/Tabla2[[#This Row],[Costos (En RD$/Tarea)]])</f>
        <v>-0.198534271881689</v>
      </c>
      <c r="P560" s="7" t="n">
        <f aca="false">Tabla2[[#This Row],[Rentabilidad (%)]]/12</f>
        <v>-0.0165445226568074</v>
      </c>
    </row>
    <row r="561" customFormat="false" ht="14.25" hidden="false" customHeight="false" outlineLevel="0" collapsed="false">
      <c r="A561" s="1" t="n">
        <v>37926</v>
      </c>
      <c r="B561" s="2" t="s">
        <v>26</v>
      </c>
      <c r="C561" s="3" t="n">
        <v>10835</v>
      </c>
      <c r="D561" s="8" t="s">
        <v>17</v>
      </c>
      <c r="E561" s="3" t="n">
        <f aca="false">IF(Tabla2[[#This Row],[Frecuencia]]="Annual", Tabla2[[#This Row],[Cosecha/Tarea]]/12,Tabla2[[#This Row],[Cosecha/Tarea]])</f>
        <v>10835</v>
      </c>
      <c r="F561" s="3" t="n">
        <v>62797</v>
      </c>
      <c r="G561" s="2" t="s">
        <v>18</v>
      </c>
      <c r="H561" s="2" t="n">
        <f aca="false">F561/Tabla2[[#This Row],[Cosecha Mensual]]</f>
        <v>5.7957544993078</v>
      </c>
      <c r="I561" s="2" t="n">
        <f aca="false">H561*_xlfn.XLOOKUP(Tabla2[[#This Row],[Unidad de producción]],Tabla3[Medida],Tabla3[Equivalencia en Kg],"ELVIS",0)</f>
        <v>262.895424088602</v>
      </c>
      <c r="J561" s="2" t="n">
        <v>259.5625</v>
      </c>
      <c r="K561" s="2" t="s">
        <v>18</v>
      </c>
      <c r="L561" s="2" t="n">
        <f aca="false">J561/_xlfn.XLOOKUP(Tabla2[[#This Row],[Unidad de precio]],Tabla3[Medida],Tabla3[Equivalencia en Kg],"ELVIS",0)</f>
        <v>5.72227733686067</v>
      </c>
      <c r="M561" s="2" t="n">
        <v>1217.11</v>
      </c>
      <c r="N561" s="3" t="n">
        <f aca="false">(Tabla2[[#This Row],[Productividad (kg/TAS)]]*Tabla2[[#This Row],[Precio por kg]]-Tabla2[[#This Row],[Costos (En RD$/Tarea)]])</f>
        <v>287.250527226581</v>
      </c>
      <c r="O561" s="9" t="n">
        <f aca="false">IF(Tabla2[[#This Row],[Costos (En RD$/Tarea)]]=0,0,Tabla2[[#This Row],[Beneficio Neto  (En RD$/Tarea)]]/Tabla2[[#This Row],[Costos (En RD$/Tarea)]])</f>
        <v>0.236010325464897</v>
      </c>
      <c r="P561" s="7" t="n">
        <f aca="false">Tabla2[[#This Row],[Rentabilidad (%)]]/12</f>
        <v>0.0196675271220747</v>
      </c>
    </row>
    <row r="562" customFormat="false" ht="14.25" hidden="false" customHeight="false" outlineLevel="0" collapsed="false">
      <c r="A562" s="1" t="n">
        <v>37926</v>
      </c>
      <c r="B562" s="2" t="s">
        <v>27</v>
      </c>
      <c r="C562" s="3" t="n">
        <v>3171</v>
      </c>
      <c r="D562" s="8" t="s">
        <v>17</v>
      </c>
      <c r="E562" s="3" t="n">
        <f aca="false">IF(Tabla2[[#This Row],[Frecuencia]]="Annual", Tabla2[[#This Row],[Cosecha/Tarea]]/12,Tabla2[[#This Row],[Cosecha/Tarea]])</f>
        <v>3171</v>
      </c>
      <c r="F562" s="3" t="n">
        <v>26659</v>
      </c>
      <c r="G562" s="2" t="s">
        <v>18</v>
      </c>
      <c r="H562" s="2" t="n">
        <f aca="false">F562/Tabla2[[#This Row],[Cosecha Mensual]]</f>
        <v>8.4071270892463</v>
      </c>
      <c r="I562" s="2" t="n">
        <f aca="false">H562*_xlfn.XLOOKUP(Tabla2[[#This Row],[Unidad de producción]],Tabla3[Medida],Tabla3[Equivalencia en Kg],"ELVIS",0)</f>
        <v>381.347284768212</v>
      </c>
      <c r="J562" s="2" t="n">
        <v>346.055</v>
      </c>
      <c r="K562" s="2" t="s">
        <v>18</v>
      </c>
      <c r="L562" s="2" t="n">
        <f aca="false">J562/_xlfn.XLOOKUP(Tabla2[[#This Row],[Unidad de precio]],Tabla3[Medida],Tabla3[Equivalencia en Kg],"ELVIS",0)</f>
        <v>7.62907848324515</v>
      </c>
      <c r="M562" s="2" t="n">
        <v>3938.29</v>
      </c>
      <c r="N562" s="3" t="n">
        <f aca="false">(Tabla2[[#This Row],[Productividad (kg/TAS)]]*Tabla2[[#This Row],[Precio por kg]]-Tabla2[[#This Row],[Costos (En RD$/Tarea)]])</f>
        <v>-1028.96163513087</v>
      </c>
      <c r="O562" s="9" t="n">
        <f aca="false">IF(Tabla2[[#This Row],[Costos (En RD$/Tarea)]]=0,0,Tabla2[[#This Row],[Beneficio Neto  (En RD$/Tarea)]]/Tabla2[[#This Row],[Costos (En RD$/Tarea)]])</f>
        <v>-0.2612711697541</v>
      </c>
      <c r="P562" s="7" t="n">
        <f aca="false">Tabla2[[#This Row],[Rentabilidad (%)]]/12</f>
        <v>-0.0217725974795083</v>
      </c>
    </row>
    <row r="563" customFormat="false" ht="14.25" hidden="false" customHeight="false" outlineLevel="0" collapsed="false">
      <c r="A563" s="1" t="n">
        <v>37926</v>
      </c>
      <c r="B563" s="2" t="s">
        <v>28</v>
      </c>
      <c r="C563" s="3" t="n">
        <v>47771</v>
      </c>
      <c r="D563" s="8" t="s">
        <v>17</v>
      </c>
      <c r="E563" s="3" t="n">
        <f aca="false">IF(Tabla2[[#This Row],[Frecuencia]]="Annual", Tabla2[[#This Row],[Cosecha/Tarea]]/12,Tabla2[[#This Row],[Cosecha/Tarea]])</f>
        <v>47771</v>
      </c>
      <c r="F563" s="3" t="n">
        <v>73104</v>
      </c>
      <c r="G563" s="2" t="s">
        <v>29</v>
      </c>
      <c r="H563" s="2" t="n">
        <f aca="false">F563/Tabla2[[#This Row],[Cosecha Mensual]]</f>
        <v>1.53030081011492</v>
      </c>
      <c r="I563" s="2" t="n">
        <f aca="false">H563*_xlfn.XLOOKUP(Tabla2[[#This Row],[Unidad de producción]],Tabla3[Medida],Tabla3[Equivalencia en Kg],"ELVIS",0)</f>
        <v>860.549357560026</v>
      </c>
      <c r="J563" s="2" t="n">
        <v>2492.734</v>
      </c>
      <c r="K563" s="2" t="s">
        <v>29</v>
      </c>
      <c r="L563" s="2" t="n">
        <f aca="false">J563/_xlfn.XLOOKUP(Tabla2[[#This Row],[Unidad de precio]],Tabla3[Medida],Tabla3[Equivalencia en Kg],"ELVIS",0)</f>
        <v>4.43278799302913</v>
      </c>
      <c r="M563" s="2" t="n">
        <v>7517.1463872</v>
      </c>
      <c r="N563" s="3" t="n">
        <f aca="false">(Tabla2[[#This Row],[Productividad (kg/TAS)]]*Tabla2[[#This Row],[Precio por kg]]-Tabla2[[#This Row],[Costos (En RD$/Tarea)]])</f>
        <v>-3702.51352759899</v>
      </c>
      <c r="O563" s="9" t="n">
        <f aca="false">IF(Tabla2[[#This Row],[Costos (En RD$/Tarea)]]=0,0,Tabla2[[#This Row],[Beneficio Neto  (En RD$/Tarea)]]/Tabla2[[#This Row],[Costos (En RD$/Tarea)]])</f>
        <v>-0.492542427257174</v>
      </c>
      <c r="P563" s="7" t="n">
        <f aca="false">Tabla2[[#This Row],[Rentabilidad (%)]]/12</f>
        <v>-0.0410452022714312</v>
      </c>
    </row>
    <row r="564" customFormat="false" ht="14.25" hidden="false" customHeight="false" outlineLevel="0" collapsed="false">
      <c r="A564" s="1" t="n">
        <v>37926</v>
      </c>
      <c r="B564" s="2" t="s">
        <v>30</v>
      </c>
      <c r="C564" s="3" t="n">
        <v>243420</v>
      </c>
      <c r="D564" s="3" t="s">
        <v>31</v>
      </c>
      <c r="E564" s="3" t="n">
        <f aca="false">IF(Tabla2[[#This Row],[Frecuencia]]="Annual", Tabla2[[#This Row],[Cosecha/Tarea]]/12,Tabla2[[#This Row],[Cosecha/Tarea]])</f>
        <v>20285</v>
      </c>
      <c r="F564" s="3" t="n">
        <v>1645243</v>
      </c>
      <c r="G564" s="2" t="s">
        <v>32</v>
      </c>
      <c r="H564" s="2" t="n">
        <f aca="false">F564/Tabla2[[#This Row],[Cosecha Mensual]]</f>
        <v>81.1063840276066</v>
      </c>
      <c r="I564" s="2" t="n">
        <f aca="false">H564*_xlfn.XLOOKUP(Tabla2[[#This Row],[Unidad de producción]],Tabla3[Medida],Tabla3[Equivalencia en Kg],"ELVIS",0)</f>
        <v>2206.90470939118</v>
      </c>
      <c r="J564" s="2" t="n">
        <v>38.7883333333333</v>
      </c>
      <c r="K564" s="2" t="s">
        <v>32</v>
      </c>
      <c r="L564" s="2" t="n">
        <f aca="false">J564/_xlfn.XLOOKUP(Tabla2[[#This Row],[Unidad de precio]],Tabla3[Medida],Tabla3[Equivalencia en Kg],"ELVIS",0)</f>
        <v>1.42551757932133</v>
      </c>
      <c r="M564" s="3" t="n">
        <v>6435.96</v>
      </c>
      <c r="N564" s="3" t="n">
        <f aca="false">(Tabla2[[#This Row],[Productividad (kg/TAS)]]*Tabla2[[#This Row],[Precio por kg]]-Tabla2[[#This Row],[Costos (En RD$/Tarea)]])</f>
        <v>-3289.97854087586</v>
      </c>
      <c r="O564" s="9" t="n">
        <f aca="false">IF(Tabla2[[#This Row],[Costos (En RD$/Tarea)]]=0,0,Tabla2[[#This Row],[Beneficio Neto  (En RD$/Tarea)]]/Tabla2[[#This Row],[Costos (En RD$/Tarea)]])</f>
        <v>-0.511186915530217</v>
      </c>
      <c r="P564" s="7" t="n">
        <f aca="false">Tabla2[[#This Row],[Rentabilidad (%)]]/12</f>
        <v>-0.0425989096275181</v>
      </c>
    </row>
    <row r="565" customFormat="false" ht="14.25" hidden="false" customHeight="false" outlineLevel="0" collapsed="false">
      <c r="A565" s="1" t="n">
        <v>37926</v>
      </c>
      <c r="B565" s="2" t="s">
        <v>33</v>
      </c>
      <c r="C565" s="3" t="n">
        <v>648608</v>
      </c>
      <c r="D565" s="3" t="s">
        <v>31</v>
      </c>
      <c r="E565" s="3" t="n">
        <f aca="false">IF(Tabla2[[#This Row],[Frecuencia]]="Annual", Tabla2[[#This Row],[Cosecha/Tarea]]/12,Tabla2[[#This Row],[Cosecha/Tarea]])</f>
        <v>54050.6666666667</v>
      </c>
      <c r="F565" s="3" t="n">
        <v>100652</v>
      </c>
      <c r="G565" s="2" t="s">
        <v>34</v>
      </c>
      <c r="H565" s="2" t="n">
        <f aca="false">F565/Tabla2[[#This Row],[Cosecha Mensual]]</f>
        <v>1.86217869653165</v>
      </c>
      <c r="I565" s="2" t="n">
        <f aca="false">H565*_xlfn.XLOOKUP(Tabla2[[#This Row],[Unidad de producción]],Tabla3[Medida],Tabla3[Equivalencia en Kg],"ELVIS",0)</f>
        <v>760.048234989393</v>
      </c>
      <c r="J565" s="2" t="n">
        <v>1419.91666666667</v>
      </c>
      <c r="K565" s="2" t="s">
        <v>34</v>
      </c>
      <c r="L565" s="2" t="n">
        <f aca="false">J565/_xlfn.XLOOKUP(Tabla2[[#This Row],[Unidad de precio]],Tabla3[Medida],Tabla3[Equivalencia en Kg],"ELVIS",0)</f>
        <v>3.47890889787252</v>
      </c>
      <c r="M565" s="3" t="n">
        <v>8666.64</v>
      </c>
      <c r="N565" s="3" t="n">
        <f aca="false">(Tabla2[[#This Row],[Productividad (kg/TAS)]]*Tabla2[[#This Row],[Precio por kg]]-Tabla2[[#This Row],[Costos (En RD$/Tarea)]])</f>
        <v>-6022.5014324831</v>
      </c>
      <c r="O565" s="9" t="n">
        <f aca="false">IF(Tabla2[[#This Row],[Costos (En RD$/Tarea)]]=0,0,Tabla2[[#This Row],[Beneficio Neto  (En RD$/Tarea)]]/Tabla2[[#This Row],[Costos (En RD$/Tarea)]])</f>
        <v>-0.694906149613125</v>
      </c>
      <c r="P565" s="7" t="n">
        <f aca="false">Tabla2[[#This Row],[Rentabilidad (%)]]/12</f>
        <v>-0.0579088458010938</v>
      </c>
    </row>
    <row r="566" customFormat="false" ht="14.25" hidden="false" customHeight="false" outlineLevel="0" collapsed="false">
      <c r="A566" s="1" t="n">
        <v>37956</v>
      </c>
      <c r="B566" s="2" t="s">
        <v>16</v>
      </c>
      <c r="C566" s="3" t="n">
        <v>233636</v>
      </c>
      <c r="D566" s="8" t="s">
        <v>17</v>
      </c>
      <c r="E566" s="3" t="n">
        <f aca="false">IF(Tabla2[[#This Row],[Frecuencia]]="Annual", Tabla2[[#This Row],[Cosecha/Tarea]]/12,Tabla2[[#This Row],[Cosecha/Tarea]])</f>
        <v>233636</v>
      </c>
      <c r="F566" s="3" t="n">
        <v>836986</v>
      </c>
      <c r="G566" s="2" t="s">
        <v>18</v>
      </c>
      <c r="H566" s="2" t="n">
        <f aca="false">F566/Tabla2[[#This Row],[Cosecha Mensual]]</f>
        <v>3.58243592597031</v>
      </c>
      <c r="I566" s="2" t="n">
        <f aca="false">H566*_xlfn.XLOOKUP(Tabla2[[#This Row],[Unidad de producción]],Tabla3[Medida],Tabla3[Equivalencia en Kg],"ELVIS",0)</f>
        <v>162.499293602013</v>
      </c>
      <c r="J566" s="2" t="n">
        <v>1780.01540154015</v>
      </c>
      <c r="K566" s="2" t="s">
        <v>19</v>
      </c>
      <c r="L566" s="2" t="n">
        <f aca="false">J566/_xlfn.XLOOKUP(Tabla2[[#This Row],[Unidad de precio]],Tabla3[Medida],Tabla3[Equivalencia en Kg],"ELVIS",0)</f>
        <v>16.1819581958195</v>
      </c>
      <c r="M566" s="2" t="n">
        <v>4275.41</v>
      </c>
      <c r="N566" s="3" t="n">
        <f aca="false">(Tabla2[[#This Row],[Productividad (kg/TAS)]]*Tabla2[[#This Row],[Precio por kg]]-Tabla2[[#This Row],[Costos (En RD$/Tarea)]])</f>
        <v>-1645.85322408201</v>
      </c>
      <c r="O566" s="9" t="n">
        <f aca="false">IF(Tabla2[[#This Row],[Costos (En RD$/Tarea)]]=0,0,Tabla2[[#This Row],[Beneficio Neto  (En RD$/Tarea)]]/Tabla2[[#This Row],[Costos (En RD$/Tarea)]])</f>
        <v>-0.384957986270794</v>
      </c>
      <c r="P566" s="7" t="n">
        <f aca="false">Tabla2[[#This Row],[Rentabilidad (%)]]/12</f>
        <v>-0.0320798321892328</v>
      </c>
    </row>
    <row r="567" customFormat="false" ht="14.25" hidden="false" customHeight="false" outlineLevel="0" collapsed="false">
      <c r="A567" s="1" t="n">
        <v>37956</v>
      </c>
      <c r="B567" s="2" t="s">
        <v>20</v>
      </c>
      <c r="C567" s="3" t="n">
        <v>67455</v>
      </c>
      <c r="D567" s="8" t="s">
        <v>17</v>
      </c>
      <c r="E567" s="3" t="n">
        <f aca="false">IF(Tabla2[[#This Row],[Frecuencia]]="Annual", Tabla2[[#This Row],[Cosecha/Tarea]]/12,Tabla2[[#This Row],[Cosecha/Tarea]])</f>
        <v>67455</v>
      </c>
      <c r="F567" s="3" t="n">
        <v>107545</v>
      </c>
      <c r="G567" s="2" t="s">
        <v>18</v>
      </c>
      <c r="H567" s="2" t="n">
        <f aca="false">F567/Tabla2[[#This Row],[Cosecha Mensual]]</f>
        <v>1.59432214068638</v>
      </c>
      <c r="I567" s="2" t="n">
        <f aca="false">H567*_xlfn.XLOOKUP(Tabla2[[#This Row],[Unidad de producción]],Tabla3[Medida],Tabla3[Equivalencia en Kg],"ELVIS",0)</f>
        <v>72.3184523015344</v>
      </c>
      <c r="J567" s="2" t="n">
        <v>255.778333333333</v>
      </c>
      <c r="K567" s="2" t="s">
        <v>18</v>
      </c>
      <c r="L567" s="2" t="n">
        <f aca="false">J567/_xlfn.XLOOKUP(Tabla2[[#This Row],[Unidad de precio]],Tabla3[Medida],Tabla3[Equivalencia en Kg],"ELVIS",0)</f>
        <v>5.63885214579658</v>
      </c>
      <c r="M567" s="2" t="n">
        <v>938.62</v>
      </c>
      <c r="N567" s="3" t="n">
        <f aca="false">(Tabla2[[#This Row],[Productividad (kg/TAS)]]*Tabla2[[#This Row],[Precio por kg]]-Tabla2[[#This Row],[Costos (En RD$/Tarea)]])</f>
        <v>-530.826940058805</v>
      </c>
      <c r="O567" s="9" t="n">
        <f aca="false">IF(Tabla2[[#This Row],[Costos (En RD$/Tarea)]]=0,0,Tabla2[[#This Row],[Beneficio Neto  (En RD$/Tarea)]]/Tabla2[[#This Row],[Costos (En RD$/Tarea)]])</f>
        <v>-0.565539771216046</v>
      </c>
      <c r="P567" s="7" t="n">
        <f aca="false">Tabla2[[#This Row],[Rentabilidad (%)]]/12</f>
        <v>-0.0471283142680038</v>
      </c>
    </row>
    <row r="568" customFormat="false" ht="14.25" hidden="false" customHeight="false" outlineLevel="0" collapsed="false">
      <c r="A568" s="1" t="n">
        <v>37956</v>
      </c>
      <c r="B568" s="2" t="s">
        <v>21</v>
      </c>
      <c r="C568" s="3" t="n">
        <v>5719</v>
      </c>
      <c r="D568" s="8" t="s">
        <v>17</v>
      </c>
      <c r="E568" s="3" t="n">
        <f aca="false">IF(Tabla2[[#This Row],[Frecuencia]]="Annual", Tabla2[[#This Row],[Cosecha/Tarea]]/12,Tabla2[[#This Row],[Cosecha/Tarea]])</f>
        <v>5719</v>
      </c>
      <c r="F568" s="3" t="n">
        <v>46660</v>
      </c>
      <c r="G568" s="2" t="s">
        <v>18</v>
      </c>
      <c r="H568" s="2" t="n">
        <f aca="false">F568/Tabla2[[#This Row],[Cosecha Mensual]]</f>
        <v>8.15876901556216</v>
      </c>
      <c r="I568" s="2" t="n">
        <f aca="false">H568*_xlfn.XLOOKUP(Tabla2[[#This Row],[Unidad de producción]],Tabla3[Medida],Tabla3[Equivalencia en Kg],"ELVIS",0)</f>
        <v>370.0817625459</v>
      </c>
      <c r="J568" s="2" t="n">
        <v>131.1193</v>
      </c>
      <c r="K568" s="2" t="s">
        <v>18</v>
      </c>
      <c r="L568" s="2" t="n">
        <f aca="false">J568/_xlfn.XLOOKUP(Tabla2[[#This Row],[Unidad de precio]],Tabla3[Medida],Tabla3[Equivalencia en Kg],"ELVIS",0)</f>
        <v>2.89063712522046</v>
      </c>
      <c r="M568" s="2" t="n">
        <v>1545.78</v>
      </c>
      <c r="N568" s="3" t="n">
        <f aca="false">(Tabla2[[#This Row],[Productividad (kg/TAS)]]*Tabla2[[#This Row],[Precio por kg]]-Tabla2[[#This Row],[Costos (En RD$/Tarea)]])</f>
        <v>-476.0079178178</v>
      </c>
      <c r="O568" s="9" t="n">
        <f aca="false">IF(Tabla2[[#This Row],[Costos (En RD$/Tarea)]]=0,0,Tabla2[[#This Row],[Beneficio Neto  (En RD$/Tarea)]]/Tabla2[[#This Row],[Costos (En RD$/Tarea)]])</f>
        <v>-0.307940274694847</v>
      </c>
      <c r="P568" s="7" t="n">
        <f aca="false">Tabla2[[#This Row],[Rentabilidad (%)]]/12</f>
        <v>-0.0256616895579039</v>
      </c>
    </row>
    <row r="569" customFormat="false" ht="14.25" hidden="false" customHeight="false" outlineLevel="0" collapsed="false">
      <c r="A569" s="1" t="n">
        <v>37956</v>
      </c>
      <c r="B569" s="2" t="s">
        <v>22</v>
      </c>
      <c r="C569" s="3" t="n">
        <v>4997</v>
      </c>
      <c r="D569" s="8" t="s">
        <v>17</v>
      </c>
      <c r="E569" s="3" t="n">
        <f aca="false">IF(Tabla2[[#This Row],[Frecuencia]]="Annual", Tabla2[[#This Row],[Cosecha/Tarea]]/12,Tabla2[[#This Row],[Cosecha/Tarea]])</f>
        <v>4997</v>
      </c>
      <c r="F569" s="3" t="n">
        <v>45027</v>
      </c>
      <c r="G569" s="2" t="s">
        <v>18</v>
      </c>
      <c r="H569" s="2" t="n">
        <f aca="false">F569/Tabla2[[#This Row],[Cosecha Mensual]]</f>
        <v>9.01080648389034</v>
      </c>
      <c r="I569" s="2" t="n">
        <f aca="false">H569*_xlfn.XLOOKUP(Tabla2[[#This Row],[Unidad de producción]],Tabla3[Medida],Tabla3[Equivalencia en Kg],"ELVIS",0)</f>
        <v>408.730182109266</v>
      </c>
      <c r="J569" s="2" t="n">
        <v>241.5</v>
      </c>
      <c r="K569" s="2" t="s">
        <v>18</v>
      </c>
      <c r="L569" s="2" t="n">
        <f aca="false">J569/_xlfn.XLOOKUP(Tabla2[[#This Row],[Unidad de precio]],Tabla3[Medida],Tabla3[Equivalencia en Kg],"ELVIS",0)</f>
        <v>5.32407407407407</v>
      </c>
      <c r="M569" s="2" t="n">
        <v>3985.46</v>
      </c>
      <c r="N569" s="3" t="n">
        <f aca="false">(Tabla2[[#This Row],[Productividad (kg/TAS)]]*Tabla2[[#This Row],[Precio por kg]]-Tabla2[[#This Row],[Costos (En RD$/Tarea)]])</f>
        <v>-1809.35023414048</v>
      </c>
      <c r="O569" s="9" t="n">
        <f aca="false">IF(Tabla2[[#This Row],[Costos (En RD$/Tarea)]]=0,0,Tabla2[[#This Row],[Beneficio Neto  (En RD$/Tarea)]]/Tabla2[[#This Row],[Costos (En RD$/Tarea)]])</f>
        <v>-0.4539878042034</v>
      </c>
      <c r="P569" s="7" t="n">
        <f aca="false">Tabla2[[#This Row],[Rentabilidad (%)]]/12</f>
        <v>-0.03783231701695</v>
      </c>
    </row>
    <row r="570" customFormat="false" ht="14.25" hidden="false" customHeight="false" outlineLevel="0" collapsed="false">
      <c r="A570" s="1" t="n">
        <v>37956</v>
      </c>
      <c r="B570" s="2" t="s">
        <v>23</v>
      </c>
      <c r="C570" s="3" t="n">
        <v>2003</v>
      </c>
      <c r="D570" s="8" t="s">
        <v>17</v>
      </c>
      <c r="E570" s="3" t="n">
        <f aca="false">IF(Tabla2[[#This Row],[Frecuencia]]="Annual", Tabla2[[#This Row],[Cosecha/Tarea]]/12,Tabla2[[#This Row],[Cosecha/Tarea]])</f>
        <v>2003</v>
      </c>
      <c r="F570" s="3" t="n">
        <v>45200</v>
      </c>
      <c r="G570" s="2" t="s">
        <v>18</v>
      </c>
      <c r="H570" s="2" t="n">
        <f aca="false">F570/Tabla2[[#This Row],[Cosecha Mensual]]</f>
        <v>22.5661507738392</v>
      </c>
      <c r="I570" s="2" t="n">
        <f aca="false">H570*_xlfn.XLOOKUP(Tabla2[[#This Row],[Unidad de producción]],Tabla3[Medida],Tabla3[Equivalencia en Kg],"ELVIS",0)</f>
        <v>1023.60059910135</v>
      </c>
      <c r="J570" s="2" t="n">
        <v>554</v>
      </c>
      <c r="K570" s="2" t="s">
        <v>18</v>
      </c>
      <c r="L570" s="2" t="n">
        <f aca="false">J570/_xlfn.XLOOKUP(Tabla2[[#This Row],[Unidad de precio]],Tabla3[Medida],Tabla3[Equivalencia en Kg],"ELVIS",0)</f>
        <v>12.2134038800705</v>
      </c>
      <c r="M570" s="2" t="n">
        <v>9309.96</v>
      </c>
      <c r="N570" s="3" t="n">
        <f aca="false">(Tabla2[[#This Row],[Productividad (kg/TAS)]]*Tabla2[[#This Row],[Precio por kg]]-Tabla2[[#This Row],[Costos (En RD$/Tarea)]])</f>
        <v>3191.68752870694</v>
      </c>
      <c r="O570" s="9" t="n">
        <f aca="false">IF(Tabla2[[#This Row],[Costos (En RD$/Tarea)]]=0,0,Tabla2[[#This Row],[Beneficio Neto  (En RD$/Tarea)]]/Tabla2[[#This Row],[Costos (En RD$/Tarea)]])</f>
        <v>0.342825052815151</v>
      </c>
      <c r="P570" s="7" t="n">
        <f aca="false">Tabla2[[#This Row],[Rentabilidad (%)]]/12</f>
        <v>0.0285687544012626</v>
      </c>
    </row>
    <row r="571" customFormat="false" ht="14.25" hidden="false" customHeight="false" outlineLevel="0" collapsed="false">
      <c r="A571" s="1" t="n">
        <v>37956</v>
      </c>
      <c r="B571" s="2" t="s">
        <v>24</v>
      </c>
      <c r="C571" s="3" t="n">
        <v>10816</v>
      </c>
      <c r="D571" s="8" t="s">
        <v>17</v>
      </c>
      <c r="E571" s="3" t="n">
        <f aca="false">IF(Tabla2[[#This Row],[Frecuencia]]="Annual", Tabla2[[#This Row],[Cosecha/Tarea]]/12,Tabla2[[#This Row],[Cosecha/Tarea]])</f>
        <v>10816</v>
      </c>
      <c r="F571" s="3" t="n">
        <v>253015</v>
      </c>
      <c r="G571" s="2" t="s">
        <v>18</v>
      </c>
      <c r="H571" s="2" t="n">
        <f aca="false">F571/Tabla2[[#This Row],[Cosecha Mensual]]</f>
        <v>23.3926590236686</v>
      </c>
      <c r="I571" s="2" t="n">
        <f aca="false">H571*_xlfn.XLOOKUP(Tabla2[[#This Row],[Unidad de producción]],Tabla3[Medida],Tabla3[Equivalencia en Kg],"ELVIS",0)</f>
        <v>1061.09101331361</v>
      </c>
      <c r="J571" s="2" t="n">
        <v>572.166</v>
      </c>
      <c r="K571" s="2" t="s">
        <v>18</v>
      </c>
      <c r="L571" s="2" t="n">
        <f aca="false">J571/_xlfn.XLOOKUP(Tabla2[[#This Row],[Unidad de precio]],Tabla3[Medida],Tabla3[Equivalencia en Kg],"ELVIS",0)</f>
        <v>12.6138888888889</v>
      </c>
      <c r="M571" s="2" t="n">
        <v>3188.34</v>
      </c>
      <c r="N571" s="3" t="n">
        <f aca="false">(Tabla2[[#This Row],[Productividad (kg/TAS)]]*Tabla2[[#This Row],[Precio por kg]]-Tabla2[[#This Row],[Costos (En RD$/Tarea)]])</f>
        <v>10196.1441429364</v>
      </c>
      <c r="O571" s="9" t="n">
        <f aca="false">IF(Tabla2[[#This Row],[Costos (En RD$/Tarea)]]=0,0,Tabla2[[#This Row],[Beneficio Neto  (En RD$/Tarea)]]/Tabla2[[#This Row],[Costos (En RD$/Tarea)]])</f>
        <v>3.19794756611164</v>
      </c>
      <c r="P571" s="7" t="n">
        <f aca="false">Tabla2[[#This Row],[Rentabilidad (%)]]/12</f>
        <v>0.266495630509303</v>
      </c>
    </row>
    <row r="572" customFormat="false" ht="14.25" hidden="false" customHeight="false" outlineLevel="0" collapsed="false">
      <c r="A572" s="1" t="n">
        <v>37956</v>
      </c>
      <c r="B572" s="2" t="s">
        <v>25</v>
      </c>
      <c r="C572" s="3" t="n">
        <v>25893</v>
      </c>
      <c r="D572" s="8" t="s">
        <v>17</v>
      </c>
      <c r="E572" s="3" t="n">
        <f aca="false">IF(Tabla2[[#This Row],[Frecuencia]]="Annual", Tabla2[[#This Row],[Cosecha/Tarea]]/12,Tabla2[[#This Row],[Cosecha/Tarea]])</f>
        <v>25893</v>
      </c>
      <c r="F572" s="3" t="n">
        <v>220726</v>
      </c>
      <c r="G572" s="2" t="s">
        <v>18</v>
      </c>
      <c r="H572" s="2" t="n">
        <f aca="false">F572/Tabla2[[#This Row],[Cosecha Mensual]]</f>
        <v>8.52454331286448</v>
      </c>
      <c r="I572" s="2" t="n">
        <f aca="false">H572*_xlfn.XLOOKUP(Tabla2[[#This Row],[Unidad de producción]],Tabla3[Medida],Tabla3[Equivalencia en Kg],"ELVIS",0)</f>
        <v>386.673284671533</v>
      </c>
      <c r="J572" s="2" t="n">
        <v>103.946266666667</v>
      </c>
      <c r="K572" s="2" t="s">
        <v>18</v>
      </c>
      <c r="L572" s="2" t="n">
        <f aca="false">J572/_xlfn.XLOOKUP(Tabla2[[#This Row],[Unidad de precio]],Tabla3[Medida],Tabla3[Equivalencia en Kg],"ELVIS",0)</f>
        <v>2.29158436213993</v>
      </c>
      <c r="M572" s="2" t="n">
        <v>1396.74</v>
      </c>
      <c r="N572" s="3" t="n">
        <f aca="false">(Tabla2[[#This Row],[Productividad (kg/TAS)]]*Tabla2[[#This Row],[Precio por kg]]-Tabla2[[#This Row],[Costos (En RD$/Tarea)]])</f>
        <v>-510.645547589436</v>
      </c>
      <c r="O572" s="9" t="n">
        <f aca="false">IF(Tabla2[[#This Row],[Costos (En RD$/Tarea)]]=0,0,Tabla2[[#This Row],[Beneficio Neto  (En RD$/Tarea)]]/Tabla2[[#This Row],[Costos (En RD$/Tarea)]])</f>
        <v>-0.365598141092427</v>
      </c>
      <c r="P572" s="7" t="n">
        <f aca="false">Tabla2[[#This Row],[Rentabilidad (%)]]/12</f>
        <v>-0.0304665117577022</v>
      </c>
    </row>
    <row r="573" customFormat="false" ht="14.25" hidden="false" customHeight="false" outlineLevel="0" collapsed="false">
      <c r="A573" s="1" t="n">
        <v>37956</v>
      </c>
      <c r="B573" s="2" t="s">
        <v>26</v>
      </c>
      <c r="C573" s="3" t="n">
        <v>9246</v>
      </c>
      <c r="D573" s="8" t="s">
        <v>17</v>
      </c>
      <c r="E573" s="3" t="n">
        <f aca="false">IF(Tabla2[[#This Row],[Frecuencia]]="Annual", Tabla2[[#This Row],[Cosecha/Tarea]]/12,Tabla2[[#This Row],[Cosecha/Tarea]])</f>
        <v>9246</v>
      </c>
      <c r="F573" s="3" t="n">
        <v>49122</v>
      </c>
      <c r="G573" s="2" t="s">
        <v>18</v>
      </c>
      <c r="H573" s="2" t="n">
        <f aca="false">F573/Tabla2[[#This Row],[Cosecha Mensual]]</f>
        <v>5.31278390655419</v>
      </c>
      <c r="I573" s="2" t="n">
        <f aca="false">H573*_xlfn.XLOOKUP(Tabla2[[#This Row],[Unidad de producción]],Tabla3[Medida],Tabla3[Equivalencia en Kg],"ELVIS",0)</f>
        <v>240.987878001298</v>
      </c>
      <c r="J573" s="2" t="n">
        <v>339.166666666667</v>
      </c>
      <c r="K573" s="2" t="s">
        <v>18</v>
      </c>
      <c r="L573" s="2" t="n">
        <f aca="false">J573/_xlfn.XLOOKUP(Tabla2[[#This Row],[Unidad de precio]],Tabla3[Medida],Tabla3[Equivalencia en Kg],"ELVIS",0)</f>
        <v>7.47721928277485</v>
      </c>
      <c r="M573" s="2" t="n">
        <v>1217.11</v>
      </c>
      <c r="N573" s="3" t="n">
        <f aca="false">(Tabla2[[#This Row],[Productividad (kg/TAS)]]*Tabla2[[#This Row],[Precio por kg]]-Tabla2[[#This Row],[Costos (En RD$/Tarea)]])</f>
        <v>584.809208306297</v>
      </c>
      <c r="O573" s="9" t="n">
        <f aca="false">IF(Tabla2[[#This Row],[Costos (En RD$/Tarea)]]=0,0,Tabla2[[#This Row],[Beneficio Neto  (En RD$/Tarea)]]/Tabla2[[#This Row],[Costos (En RD$/Tarea)]])</f>
        <v>0.480490020052663</v>
      </c>
      <c r="P573" s="7" t="n">
        <f aca="false">Tabla2[[#This Row],[Rentabilidad (%)]]/12</f>
        <v>0.0400408350043886</v>
      </c>
    </row>
    <row r="574" customFormat="false" ht="14.25" hidden="false" customHeight="false" outlineLevel="0" collapsed="false">
      <c r="A574" s="1" t="n">
        <v>37956</v>
      </c>
      <c r="B574" s="2" t="s">
        <v>27</v>
      </c>
      <c r="C574" s="3" t="n">
        <v>3504</v>
      </c>
      <c r="D574" s="8" t="s">
        <v>17</v>
      </c>
      <c r="E574" s="3" t="n">
        <f aca="false">IF(Tabla2[[#This Row],[Frecuencia]]="Annual", Tabla2[[#This Row],[Cosecha/Tarea]]/12,Tabla2[[#This Row],[Cosecha/Tarea]])</f>
        <v>3504</v>
      </c>
      <c r="F574" s="3" t="n">
        <v>27303</v>
      </c>
      <c r="G574" s="2" t="s">
        <v>18</v>
      </c>
      <c r="H574" s="2" t="n">
        <f aca="false">F574/Tabla2[[#This Row],[Cosecha Mensual]]</f>
        <v>7.79195205479452</v>
      </c>
      <c r="I574" s="2" t="n">
        <f aca="false">H574*_xlfn.XLOOKUP(Tabla2[[#This Row],[Unidad de producción]],Tabla3[Medida],Tabla3[Equivalencia en Kg],"ELVIS",0)</f>
        <v>353.442945205479</v>
      </c>
      <c r="J574" s="2" t="n">
        <v>365.1</v>
      </c>
      <c r="K574" s="2" t="s">
        <v>18</v>
      </c>
      <c r="L574" s="2" t="n">
        <f aca="false">J574/_xlfn.XLOOKUP(Tabla2[[#This Row],[Unidad de precio]],Tabla3[Medida],Tabla3[Equivalencia en Kg],"ELVIS",0)</f>
        <v>8.0489417989418</v>
      </c>
      <c r="M574" s="2" t="n">
        <v>3938.29</v>
      </c>
      <c r="N574" s="3" t="n">
        <f aca="false">(Tabla2[[#This Row],[Productividad (kg/TAS)]]*Tabla2[[#This Row],[Precio por kg]]-Tabla2[[#This Row],[Costos (En RD$/Tarea)]])</f>
        <v>-1093.44830479452</v>
      </c>
      <c r="O574" s="9" t="n">
        <f aca="false">IF(Tabla2[[#This Row],[Costos (En RD$/Tarea)]]=0,0,Tabla2[[#This Row],[Beneficio Neto  (En RD$/Tarea)]]/Tabla2[[#This Row],[Costos (En RD$/Tarea)]])</f>
        <v>-0.277645451400105</v>
      </c>
      <c r="P574" s="7" t="n">
        <f aca="false">Tabla2[[#This Row],[Rentabilidad (%)]]/12</f>
        <v>-0.0231371209500088</v>
      </c>
    </row>
    <row r="575" customFormat="false" ht="14.25" hidden="false" customHeight="false" outlineLevel="0" collapsed="false">
      <c r="A575" s="1" t="n">
        <v>37956</v>
      </c>
      <c r="B575" s="2" t="s">
        <v>28</v>
      </c>
      <c r="C575" s="3" t="n">
        <v>40229</v>
      </c>
      <c r="D575" s="8" t="s">
        <v>17</v>
      </c>
      <c r="E575" s="3" t="n">
        <f aca="false">IF(Tabla2[[#This Row],[Frecuencia]]="Annual", Tabla2[[#This Row],[Cosecha/Tarea]]/12,Tabla2[[#This Row],[Cosecha/Tarea]])</f>
        <v>40229</v>
      </c>
      <c r="F575" s="3" t="n">
        <v>93693</v>
      </c>
      <c r="G575" s="2" t="s">
        <v>29</v>
      </c>
      <c r="H575" s="2" t="n">
        <f aca="false">F575/Tabla2[[#This Row],[Cosecha Mensual]]</f>
        <v>2.3289915235278</v>
      </c>
      <c r="I575" s="2" t="n">
        <f aca="false">H575*_xlfn.XLOOKUP(Tabla2[[#This Row],[Unidad de producción]],Tabla3[Medida],Tabla3[Equivalencia en Kg],"ELVIS",0)</f>
        <v>1309.68509334063</v>
      </c>
      <c r="J575" s="2" t="n">
        <v>3155</v>
      </c>
      <c r="K575" s="2" t="s">
        <v>29</v>
      </c>
      <c r="L575" s="2" t="n">
        <f aca="false">J575/_xlfn.XLOOKUP(Tabla2[[#This Row],[Unidad de precio]],Tabla3[Medida],Tabla3[Equivalencia en Kg],"ELVIS",0)</f>
        <v>5.61048476010954</v>
      </c>
      <c r="M575" s="2" t="n">
        <v>7517.1463872</v>
      </c>
      <c r="N575" s="3" t="n">
        <f aca="false">(Tabla2[[#This Row],[Productividad (kg/TAS)]]*Tabla2[[#This Row],[Precio por kg]]-Tabla2[[#This Row],[Costos (En RD$/Tarea)]])</f>
        <v>-169.178130469782</v>
      </c>
      <c r="O575" s="9" t="n">
        <f aca="false">IF(Tabla2[[#This Row],[Costos (En RD$/Tarea)]]=0,0,Tabla2[[#This Row],[Beneficio Neto  (En RD$/Tarea)]]/Tabla2[[#This Row],[Costos (En RD$/Tarea)]])</f>
        <v>-0.0225056320251863</v>
      </c>
      <c r="P575" s="7" t="n">
        <f aca="false">Tabla2[[#This Row],[Rentabilidad (%)]]/12</f>
        <v>-0.00187546933543219</v>
      </c>
    </row>
    <row r="576" customFormat="false" ht="14.25" hidden="false" customHeight="false" outlineLevel="0" collapsed="false">
      <c r="A576" s="1" t="n">
        <v>37956</v>
      </c>
      <c r="B576" s="2" t="s">
        <v>30</v>
      </c>
      <c r="C576" s="3" t="n">
        <v>261791</v>
      </c>
      <c r="D576" s="3" t="s">
        <v>31</v>
      </c>
      <c r="E576" s="3" t="n">
        <f aca="false">IF(Tabla2[[#This Row],[Frecuencia]]="Annual", Tabla2[[#This Row],[Cosecha/Tarea]]/12,Tabla2[[#This Row],[Cosecha/Tarea]])</f>
        <v>21815.9166666667</v>
      </c>
      <c r="F576" s="3" t="n">
        <v>1497282</v>
      </c>
      <c r="G576" s="2" t="s">
        <v>32</v>
      </c>
      <c r="H576" s="2" t="n">
        <f aca="false">F576/Tabla2[[#This Row],[Cosecha Mensual]]</f>
        <v>68.6325503932526</v>
      </c>
      <c r="I576" s="2" t="n">
        <f aca="false">H576*_xlfn.XLOOKUP(Tabla2[[#This Row],[Unidad de producción]],Tabla3[Medida],Tabla3[Equivalencia en Kg],"ELVIS",0)</f>
        <v>1867.4916962004</v>
      </c>
      <c r="J576" s="2" t="n">
        <v>34.5</v>
      </c>
      <c r="K576" s="2" t="s">
        <v>32</v>
      </c>
      <c r="L576" s="2" t="n">
        <f aca="false">J576/_xlfn.XLOOKUP(Tabla2[[#This Row],[Unidad de precio]],Tabla3[Medida],Tabla3[Equivalencia en Kg],"ELVIS",0)</f>
        <v>1.26791620727674</v>
      </c>
      <c r="M576" s="3" t="n">
        <v>6435.96</v>
      </c>
      <c r="N576" s="3" t="n">
        <f aca="false">(Tabla2[[#This Row],[Productividad (kg/TAS)]]*Tabla2[[#This Row],[Precio por kg]]-Tabla2[[#This Row],[Costos (En RD$/Tarea)]])</f>
        <v>-4068.13701143278</v>
      </c>
      <c r="O576" s="9" t="n">
        <f aca="false">IF(Tabla2[[#This Row],[Costos (En RD$/Tarea)]]=0,0,Tabla2[[#This Row],[Beneficio Neto  (En RD$/Tarea)]]/Tabla2[[#This Row],[Costos (En RD$/Tarea)]])</f>
        <v>-0.632094825237072</v>
      </c>
      <c r="P576" s="7" t="n">
        <f aca="false">Tabla2[[#This Row],[Rentabilidad (%)]]/12</f>
        <v>-0.052674568769756</v>
      </c>
    </row>
    <row r="577" customFormat="false" ht="14.25" hidden="false" customHeight="false" outlineLevel="0" collapsed="false">
      <c r="A577" s="1" t="n">
        <v>37956</v>
      </c>
      <c r="B577" s="2" t="s">
        <v>33</v>
      </c>
      <c r="C577" s="3" t="n">
        <v>686095</v>
      </c>
      <c r="D577" s="3" t="s">
        <v>31</v>
      </c>
      <c r="E577" s="3" t="n">
        <f aca="false">IF(Tabla2[[#This Row],[Frecuencia]]="Annual", Tabla2[[#This Row],[Cosecha/Tarea]]/12,Tabla2[[#This Row],[Cosecha/Tarea]])</f>
        <v>57174.5833333333</v>
      </c>
      <c r="F577" s="3" t="n">
        <v>94043</v>
      </c>
      <c r="G577" s="2" t="s">
        <v>34</v>
      </c>
      <c r="H577" s="2" t="n">
        <f aca="false">F577/Tabla2[[#This Row],[Cosecha Mensual]]</f>
        <v>1.64483927152945</v>
      </c>
      <c r="I577" s="2" t="n">
        <f aca="false">H577*_xlfn.XLOOKUP(Tabla2[[#This Row],[Unidad de producción]],Tabla3[Medida],Tabla3[Equivalencia en Kg],"ELVIS",0)</f>
        <v>671.341148674746</v>
      </c>
      <c r="J577" s="2" t="n">
        <v>1495.416</v>
      </c>
      <c r="K577" s="2" t="s">
        <v>34</v>
      </c>
      <c r="L577" s="2" t="n">
        <f aca="false">J577/_xlfn.XLOOKUP(Tabla2[[#This Row],[Unidad de precio]],Tabla3[Medida],Tabla3[Equivalencia en Kg],"ELVIS",0)</f>
        <v>3.66388827636898</v>
      </c>
      <c r="M577" s="3" t="n">
        <v>8666.64</v>
      </c>
      <c r="N577" s="3" t="n">
        <f aca="false">(Tabla2[[#This Row],[Productividad (kg/TAS)]]*Tabla2[[#This Row],[Precio por kg]]-Tabla2[[#This Row],[Costos (En RD$/Tarea)]])</f>
        <v>-6206.92103592651</v>
      </c>
      <c r="O577" s="9" t="n">
        <f aca="false">IF(Tabla2[[#This Row],[Costos (En RD$/Tarea)]]=0,0,Tabla2[[#This Row],[Beneficio Neto  (En RD$/Tarea)]]/Tabla2[[#This Row],[Costos (En RD$/Tarea)]])</f>
        <v>-0.716185400100444</v>
      </c>
      <c r="P577" s="7" t="n">
        <f aca="false">Tabla2[[#This Row],[Rentabilidad (%)]]/12</f>
        <v>-0.059682116675037</v>
      </c>
    </row>
    <row r="578" customFormat="false" ht="14.25" hidden="false" customHeight="false" outlineLevel="0" collapsed="false">
      <c r="A578" s="1" t="n">
        <v>37987</v>
      </c>
      <c r="B578" s="2" t="s">
        <v>16</v>
      </c>
      <c r="C578" s="3" t="n">
        <v>53587</v>
      </c>
      <c r="D578" s="8" t="s">
        <v>17</v>
      </c>
      <c r="E578" s="3" t="n">
        <f aca="false">IF(Tabla2[[#This Row],[Frecuencia]]="Annual", Tabla2[[#This Row],[Cosecha/Tarea]]/12,Tabla2[[#This Row],[Cosecha/Tarea]])</f>
        <v>53587</v>
      </c>
      <c r="F578" s="3" t="n">
        <v>148747</v>
      </c>
      <c r="G578" s="2" t="s">
        <v>18</v>
      </c>
      <c r="H578" s="2" t="n">
        <f aca="false">F578/Tabla2[[#This Row],[Cosecha Mensual]]</f>
        <v>2.7758038330192</v>
      </c>
      <c r="I578" s="2" t="n">
        <f aca="false">H578*_xlfn.XLOOKUP(Tabla2[[#This Row],[Unidad de producción]],Tabla3[Medida],Tabla3[Equivalencia en Kg],"ELVIS",0)</f>
        <v>125.910461865751</v>
      </c>
      <c r="J578" s="2" t="n">
        <v>1011.46</v>
      </c>
      <c r="K578" s="2" t="s">
        <v>19</v>
      </c>
      <c r="L578" s="2" t="n">
        <f aca="false">J578/_xlfn.XLOOKUP(Tabla2[[#This Row],[Unidad de precio]],Tabla3[Medida],Tabla3[Equivalencia en Kg],"ELVIS",0)</f>
        <v>9.19509090909091</v>
      </c>
      <c r="M578" s="2" t="n">
        <v>4376.41</v>
      </c>
      <c r="N578" s="3" t="n">
        <f aca="false">(Tabla2[[#This Row],[Productividad (kg/TAS)]]*Tabla2[[#This Row],[Precio por kg]]-Tabla2[[#This Row],[Costos (En RD$/Tarea)]])</f>
        <v>-3218.6518567388</v>
      </c>
      <c r="O578" s="9" t="n">
        <f aca="false">IF(Tabla2[[#This Row],[Costos (En RD$/Tarea)]]=0,0,Tabla2[[#This Row],[Beneficio Neto  (En RD$/Tarea)]]/Tabla2[[#This Row],[Costos (En RD$/Tarea)]])</f>
        <v>-0.735454826384821</v>
      </c>
      <c r="P578" s="7" t="n">
        <f aca="false">Tabla2[[#This Row],[Rentabilidad (%)]]/12</f>
        <v>-0.0612879021987351</v>
      </c>
    </row>
    <row r="579" customFormat="false" ht="14.25" hidden="false" customHeight="false" outlineLevel="0" collapsed="false">
      <c r="A579" s="1" t="n">
        <v>37987</v>
      </c>
      <c r="B579" s="2" t="s">
        <v>20</v>
      </c>
      <c r="C579" s="3" t="n">
        <v>36614</v>
      </c>
      <c r="D579" s="8" t="s">
        <v>17</v>
      </c>
      <c r="E579" s="3" t="n">
        <f aca="false">IF(Tabla2[[#This Row],[Frecuencia]]="Annual", Tabla2[[#This Row],[Cosecha/Tarea]]/12,Tabla2[[#This Row],[Cosecha/Tarea]])</f>
        <v>36614</v>
      </c>
      <c r="F579" s="3" t="n">
        <v>62901</v>
      </c>
      <c r="G579" s="2" t="s">
        <v>18</v>
      </c>
      <c r="H579" s="2" t="n">
        <f aca="false">F579/Tabla2[[#This Row],[Cosecha Mensual]]</f>
        <v>1.71794941825531</v>
      </c>
      <c r="I579" s="2" t="n">
        <f aca="false">H579*_xlfn.XLOOKUP(Tabla2[[#This Row],[Unidad de producción]],Tabla3[Medida],Tabla3[Equivalencia en Kg],"ELVIS",0)</f>
        <v>77.926185612061</v>
      </c>
      <c r="J579" s="2" t="n">
        <v>309.85</v>
      </c>
      <c r="K579" s="2" t="s">
        <v>18</v>
      </c>
      <c r="L579" s="2" t="n">
        <f aca="false">J579/_xlfn.XLOOKUP(Tabla2[[#This Row],[Unidad de precio]],Tabla3[Medida],Tabla3[Equivalencia en Kg],"ELVIS",0)</f>
        <v>6.83090828924162</v>
      </c>
      <c r="M579" s="2" t="n">
        <v>1100.66</v>
      </c>
      <c r="N579" s="3" t="n">
        <f aca="false">(Tabla2[[#This Row],[Productividad (kg/TAS)]]*Tabla2[[#This Row],[Precio por kg]]-Tabla2[[#This Row],[Costos (En RD$/Tarea)]])</f>
        <v>-568.353372753592</v>
      </c>
      <c r="O579" s="9" t="n">
        <f aca="false">IF(Tabla2[[#This Row],[Costos (En RD$/Tarea)]]=0,0,Tabla2[[#This Row],[Beneficio Neto  (En RD$/Tarea)]]/Tabla2[[#This Row],[Costos (En RD$/Tarea)]])</f>
        <v>-0.516375059285875</v>
      </c>
      <c r="P579" s="7" t="n">
        <f aca="false">Tabla2[[#This Row],[Rentabilidad (%)]]/12</f>
        <v>-0.0430312549404896</v>
      </c>
    </row>
    <row r="580" customFormat="false" ht="14.25" hidden="false" customHeight="false" outlineLevel="0" collapsed="false">
      <c r="A580" s="1" t="n">
        <v>37987</v>
      </c>
      <c r="B580" s="2" t="s">
        <v>21</v>
      </c>
      <c r="C580" s="3" t="n">
        <v>5505</v>
      </c>
      <c r="D580" s="8" t="s">
        <v>17</v>
      </c>
      <c r="E580" s="3" t="n">
        <f aca="false">IF(Tabla2[[#This Row],[Frecuencia]]="Annual", Tabla2[[#This Row],[Cosecha/Tarea]]/12,Tabla2[[#This Row],[Cosecha/Tarea]])</f>
        <v>5505</v>
      </c>
      <c r="F580" s="3" t="n">
        <v>53424</v>
      </c>
      <c r="G580" s="2" t="s">
        <v>18</v>
      </c>
      <c r="H580" s="2" t="n">
        <f aca="false">F580/Tabla2[[#This Row],[Cosecha Mensual]]</f>
        <v>9.70463215258856</v>
      </c>
      <c r="I580" s="2" t="n">
        <f aca="false">H580*_xlfn.XLOOKUP(Tabla2[[#This Row],[Unidad de producción]],Tabla3[Medida],Tabla3[Equivalencia en Kg],"ELVIS",0)</f>
        <v>440.202114441417</v>
      </c>
      <c r="J580" s="2" t="n">
        <v>127.83375</v>
      </c>
      <c r="K580" s="2" t="s">
        <v>18</v>
      </c>
      <c r="L580" s="2" t="n">
        <f aca="false">J580/_xlfn.XLOOKUP(Tabla2[[#This Row],[Unidad de precio]],Tabla3[Medida],Tabla3[Equivalencia en Kg],"ELVIS",0)</f>
        <v>2.81820436507937</v>
      </c>
      <c r="M580" s="2" t="n">
        <v>3591.85</v>
      </c>
      <c r="N580" s="3" t="n">
        <f aca="false">(Tabla2[[#This Row],[Productividad (kg/TAS)]]*Tabla2[[#This Row],[Precio por kg]]-Tabla2[[#This Row],[Costos (En RD$/Tarea)]])</f>
        <v>-2351.27047956403</v>
      </c>
      <c r="O580" s="9" t="n">
        <f aca="false">IF(Tabla2[[#This Row],[Costos (En RD$/Tarea)]]=0,0,Tabla2[[#This Row],[Beneficio Neto  (En RD$/Tarea)]]/Tabla2[[#This Row],[Costos (En RD$/Tarea)]])</f>
        <v>-0.654612659093234</v>
      </c>
      <c r="P580" s="7" t="n">
        <f aca="false">Tabla2[[#This Row],[Rentabilidad (%)]]/12</f>
        <v>-0.0545510549244362</v>
      </c>
    </row>
    <row r="581" customFormat="false" ht="14.25" hidden="false" customHeight="false" outlineLevel="0" collapsed="false">
      <c r="A581" s="1" t="n">
        <v>37987</v>
      </c>
      <c r="B581" s="2" t="s">
        <v>22</v>
      </c>
      <c r="C581" s="3" t="n">
        <v>5425</v>
      </c>
      <c r="D581" s="8" t="s">
        <v>17</v>
      </c>
      <c r="E581" s="3" t="n">
        <f aca="false">IF(Tabla2[[#This Row],[Frecuencia]]="Annual", Tabla2[[#This Row],[Cosecha/Tarea]]/12,Tabla2[[#This Row],[Cosecha/Tarea]])</f>
        <v>5425</v>
      </c>
      <c r="F581" s="3" t="n">
        <v>45581</v>
      </c>
      <c r="G581" s="2" t="s">
        <v>18</v>
      </c>
      <c r="H581" s="2" t="n">
        <f aca="false">F581/Tabla2[[#This Row],[Cosecha Mensual]]</f>
        <v>8.40202764976959</v>
      </c>
      <c r="I581" s="2" t="n">
        <f aca="false">H581*_xlfn.XLOOKUP(Tabla2[[#This Row],[Unidad de producción]],Tabla3[Medida],Tabla3[Equivalencia en Kg],"ELVIS",0)</f>
        <v>381.115974193548</v>
      </c>
      <c r="J581" s="2" t="n">
        <v>398.5</v>
      </c>
      <c r="K581" s="2" t="s">
        <v>18</v>
      </c>
      <c r="L581" s="2" t="n">
        <f aca="false">J581/_xlfn.XLOOKUP(Tabla2[[#This Row],[Unidad de precio]],Tabla3[Medida],Tabla3[Equivalencia en Kg],"ELVIS",0)</f>
        <v>8.7852733686067</v>
      </c>
      <c r="M581" s="2" t="n">
        <v>3985.16</v>
      </c>
      <c r="N581" s="3" t="n">
        <f aca="false">(Tabla2[[#This Row],[Productividad (kg/TAS)]]*Tabla2[[#This Row],[Precio por kg]]-Tabla2[[#This Row],[Costos (En RD$/Tarea)]])</f>
        <v>-636.95198156682</v>
      </c>
      <c r="O581" s="9" t="n">
        <f aca="false">IF(Tabla2[[#This Row],[Costos (En RD$/Tarea)]]=0,0,Tabla2[[#This Row],[Beneficio Neto  (En RD$/Tarea)]]/Tabla2[[#This Row],[Costos (En RD$/Tarea)]])</f>
        <v>-0.159830968284039</v>
      </c>
      <c r="P581" s="7" t="n">
        <f aca="false">Tabla2[[#This Row],[Rentabilidad (%)]]/12</f>
        <v>-0.0133192473570032</v>
      </c>
    </row>
    <row r="582" customFormat="false" ht="14.25" hidden="false" customHeight="false" outlineLevel="0" collapsed="false">
      <c r="A582" s="1" t="n">
        <v>37987</v>
      </c>
      <c r="B582" s="2" t="s">
        <v>23</v>
      </c>
      <c r="C582" s="3" t="n">
        <v>3228</v>
      </c>
      <c r="D582" s="8" t="s">
        <v>17</v>
      </c>
      <c r="E582" s="3" t="n">
        <f aca="false">IF(Tabla2[[#This Row],[Frecuencia]]="Annual", Tabla2[[#This Row],[Cosecha/Tarea]]/12,Tabla2[[#This Row],[Cosecha/Tarea]])</f>
        <v>3228</v>
      </c>
      <c r="F582" s="3" t="n">
        <v>64590</v>
      </c>
      <c r="G582" s="2" t="s">
        <v>18</v>
      </c>
      <c r="H582" s="2" t="n">
        <f aca="false">F582/Tabla2[[#This Row],[Cosecha Mensual]]</f>
        <v>20.0092936802974</v>
      </c>
      <c r="I582" s="2" t="n">
        <f aca="false">H582*_xlfn.XLOOKUP(Tabla2[[#This Row],[Unidad de producción]],Tabla3[Medida],Tabla3[Equivalencia en Kg],"ELVIS",0)</f>
        <v>907.62156133829</v>
      </c>
      <c r="J582" s="2" t="n">
        <v>595</v>
      </c>
      <c r="K582" s="2" t="s">
        <v>18</v>
      </c>
      <c r="L582" s="2" t="n">
        <f aca="false">J582/_xlfn.XLOOKUP(Tabla2[[#This Row],[Unidad de precio]],Tabla3[Medida],Tabla3[Equivalencia en Kg],"ELVIS",0)</f>
        <v>13.1172839506173</v>
      </c>
      <c r="M582" s="2" t="n">
        <v>9274.52</v>
      </c>
      <c r="N582" s="3" t="n">
        <f aca="false">(Tabla2[[#This Row],[Productividad (kg/TAS)]]*Tabla2[[#This Row],[Precio por kg]]-Tabla2[[#This Row],[Costos (En RD$/Tarea)]])</f>
        <v>2631.00973977695</v>
      </c>
      <c r="O582" s="9" t="n">
        <f aca="false">IF(Tabla2[[#This Row],[Costos (En RD$/Tarea)]]=0,0,Tabla2[[#This Row],[Beneficio Neto  (En RD$/Tarea)]]/Tabla2[[#This Row],[Costos (En RD$/Tarea)]])</f>
        <v>0.283681499395866</v>
      </c>
      <c r="P582" s="7" t="n">
        <f aca="false">Tabla2[[#This Row],[Rentabilidad (%)]]/12</f>
        <v>0.0236401249496555</v>
      </c>
    </row>
    <row r="583" customFormat="false" ht="14.25" hidden="false" customHeight="false" outlineLevel="0" collapsed="false">
      <c r="A583" s="1" t="n">
        <v>37987</v>
      </c>
      <c r="B583" s="2" t="s">
        <v>24</v>
      </c>
      <c r="C583" s="3" t="n">
        <v>9548</v>
      </c>
      <c r="D583" s="8" t="s">
        <v>17</v>
      </c>
      <c r="E583" s="3" t="n">
        <f aca="false">IF(Tabla2[[#This Row],[Frecuencia]]="Annual", Tabla2[[#This Row],[Cosecha/Tarea]]/12,Tabla2[[#This Row],[Cosecha/Tarea]])</f>
        <v>9548</v>
      </c>
      <c r="F583" s="3" t="n">
        <v>231001</v>
      </c>
      <c r="G583" s="2" t="s">
        <v>18</v>
      </c>
      <c r="H583" s="2" t="n">
        <f aca="false">F583/Tabla2[[#This Row],[Cosecha Mensual]]</f>
        <v>24.1936531210725</v>
      </c>
      <c r="I583" s="2" t="n">
        <f aca="false">H583*_xlfn.XLOOKUP(Tabla2[[#This Row],[Unidad de producción]],Tabla3[Medida],Tabla3[Equivalencia en Kg],"ELVIS",0)</f>
        <v>1097.42410557185</v>
      </c>
      <c r="J583" s="2" t="n">
        <v>666.666666666667</v>
      </c>
      <c r="K583" s="2" t="s">
        <v>18</v>
      </c>
      <c r="L583" s="2" t="n">
        <f aca="false">J583/_xlfn.XLOOKUP(Tabla2[[#This Row],[Unidad de precio]],Tabla3[Medida],Tabla3[Equivalencia en Kg],"ELVIS",0)</f>
        <v>14.6972369194591</v>
      </c>
      <c r="M583" s="2" t="n">
        <v>2563.46</v>
      </c>
      <c r="N583" s="3" t="n">
        <f aca="false">(Tabla2[[#This Row],[Productividad (kg/TAS)]]*Tabla2[[#This Row],[Precio por kg]]-Tabla2[[#This Row],[Costos (En RD$/Tarea)]])</f>
        <v>13565.642080715</v>
      </c>
      <c r="O583" s="9" t="n">
        <f aca="false">IF(Tabla2[[#This Row],[Costos (En RD$/Tarea)]]=0,0,Tabla2[[#This Row],[Beneficio Neto  (En RD$/Tarea)]]/Tabla2[[#This Row],[Costos (En RD$/Tarea)]])</f>
        <v>5.29192656827686</v>
      </c>
      <c r="P583" s="7" t="n">
        <f aca="false">Tabla2[[#This Row],[Rentabilidad (%)]]/12</f>
        <v>0.440993880689738</v>
      </c>
    </row>
    <row r="584" customFormat="false" ht="14.25" hidden="false" customHeight="false" outlineLevel="0" collapsed="false">
      <c r="A584" s="1" t="n">
        <v>37987</v>
      </c>
      <c r="B584" s="2" t="s">
        <v>25</v>
      </c>
      <c r="C584" s="3" t="n">
        <v>27689</v>
      </c>
      <c r="D584" s="8" t="s">
        <v>17</v>
      </c>
      <c r="E584" s="3" t="n">
        <f aca="false">IF(Tabla2[[#This Row],[Frecuencia]]="Annual", Tabla2[[#This Row],[Cosecha/Tarea]]/12,Tabla2[[#This Row],[Cosecha/Tarea]])</f>
        <v>27689</v>
      </c>
      <c r="F584" s="3" t="n">
        <v>271075</v>
      </c>
      <c r="G584" s="2" t="s">
        <v>18</v>
      </c>
      <c r="H584" s="2" t="n">
        <f aca="false">F584/Tabla2[[#This Row],[Cosecha Mensual]]</f>
        <v>9.78998880421828</v>
      </c>
      <c r="I584" s="2" t="n">
        <f aca="false">H584*_xlfn.XLOOKUP(Tabla2[[#This Row],[Unidad de producción]],Tabla3[Medida],Tabla3[Equivalencia en Kg],"ELVIS",0)</f>
        <v>444.073892159341</v>
      </c>
      <c r="J584" s="2" t="n">
        <v>123.15576</v>
      </c>
      <c r="K584" s="2" t="s">
        <v>18</v>
      </c>
      <c r="L584" s="2" t="n">
        <f aca="false">J584/_xlfn.XLOOKUP(Tabla2[[#This Row],[Unidad de precio]],Tabla3[Medida],Tabla3[Equivalencia en Kg],"ELVIS",0)</f>
        <v>2.71507407407407</v>
      </c>
      <c r="M584" s="2" t="n">
        <v>1852.92</v>
      </c>
      <c r="N584" s="3" t="n">
        <f aca="false">(Tabla2[[#This Row],[Productividad (kg/TAS)]]*Tabla2[[#This Row],[Precio por kg]]-Tabla2[[#This Row],[Costos (En RD$/Tarea)]])</f>
        <v>-647.226488425006</v>
      </c>
      <c r="O584" s="9" t="n">
        <f aca="false">IF(Tabla2[[#This Row],[Costos (En RD$/Tarea)]]=0,0,Tabla2[[#This Row],[Beneficio Neto  (En RD$/Tarea)]]/Tabla2[[#This Row],[Costos (En RD$/Tarea)]])</f>
        <v>-0.349300827032471</v>
      </c>
      <c r="P584" s="7" t="n">
        <f aca="false">Tabla2[[#This Row],[Rentabilidad (%)]]/12</f>
        <v>-0.0291084022527059</v>
      </c>
    </row>
    <row r="585" customFormat="false" ht="14.25" hidden="false" customHeight="false" outlineLevel="0" collapsed="false">
      <c r="A585" s="1" t="n">
        <v>37987</v>
      </c>
      <c r="B585" s="2" t="s">
        <v>26</v>
      </c>
      <c r="C585" s="3" t="n">
        <v>11337</v>
      </c>
      <c r="D585" s="8" t="s">
        <v>17</v>
      </c>
      <c r="E585" s="3" t="n">
        <f aca="false">IF(Tabla2[[#This Row],[Frecuencia]]="Annual", Tabla2[[#This Row],[Cosecha/Tarea]]/12,Tabla2[[#This Row],[Cosecha/Tarea]])</f>
        <v>11337</v>
      </c>
      <c r="F585" s="3" t="n">
        <v>67557</v>
      </c>
      <c r="G585" s="2" t="s">
        <v>18</v>
      </c>
      <c r="H585" s="2" t="n">
        <f aca="false">F585/Tabla2[[#This Row],[Cosecha Mensual]]</f>
        <v>5.95898385816354</v>
      </c>
      <c r="I585" s="2" t="n">
        <f aca="false">H585*_xlfn.XLOOKUP(Tabla2[[#This Row],[Unidad de producción]],Tabla3[Medida],Tabla3[Equivalencia en Kg],"ELVIS",0)</f>
        <v>270.299507806298</v>
      </c>
      <c r="J585" s="2" t="n">
        <v>325</v>
      </c>
      <c r="K585" s="2" t="s">
        <v>18</v>
      </c>
      <c r="L585" s="2" t="n">
        <f aca="false">J585/_xlfn.XLOOKUP(Tabla2[[#This Row],[Unidad de precio]],Tabla3[Medida],Tabla3[Equivalencia en Kg],"ELVIS",0)</f>
        <v>7.16490299823633</v>
      </c>
      <c r="M585" s="2" t="n">
        <v>1244.4</v>
      </c>
      <c r="N585" s="3" t="n">
        <f aca="false">(Tabla2[[#This Row],[Productividad (kg/TAS)]]*Tabla2[[#This Row],[Precio por kg]]-Tabla2[[#This Row],[Costos (En RD$/Tarea)]])</f>
        <v>692.269753903149</v>
      </c>
      <c r="O585" s="9" t="n">
        <f aca="false">IF(Tabla2[[#This Row],[Costos (En RD$/Tarea)]]=0,0,Tabla2[[#This Row],[Beneficio Neto  (En RD$/Tarea)]]/Tabla2[[#This Row],[Costos (En RD$/Tarea)]])</f>
        <v>0.556308063245861</v>
      </c>
      <c r="P585" s="7" t="n">
        <f aca="false">Tabla2[[#This Row],[Rentabilidad (%)]]/12</f>
        <v>0.0463590052704884</v>
      </c>
    </row>
    <row r="586" customFormat="false" ht="14.25" hidden="false" customHeight="false" outlineLevel="0" collapsed="false">
      <c r="A586" s="1" t="n">
        <v>37987</v>
      </c>
      <c r="B586" s="2" t="s">
        <v>27</v>
      </c>
      <c r="C586" s="3" t="n">
        <v>3945</v>
      </c>
      <c r="D586" s="8" t="s">
        <v>17</v>
      </c>
      <c r="E586" s="3" t="n">
        <f aca="false">IF(Tabla2[[#This Row],[Frecuencia]]="Annual", Tabla2[[#This Row],[Cosecha/Tarea]]/12,Tabla2[[#This Row],[Cosecha/Tarea]])</f>
        <v>3945</v>
      </c>
      <c r="F586" s="3" t="n">
        <v>28376</v>
      </c>
      <c r="G586" s="2" t="s">
        <v>18</v>
      </c>
      <c r="H586" s="2" t="n">
        <f aca="false">F586/Tabla2[[#This Row],[Cosecha Mensual]]</f>
        <v>7.19290240811153</v>
      </c>
      <c r="I586" s="2" t="n">
        <f aca="false">H586*_xlfn.XLOOKUP(Tabla2[[#This Row],[Unidad de producción]],Tabla3[Medida],Tabla3[Equivalencia en Kg],"ELVIS",0)</f>
        <v>326.270053231939</v>
      </c>
      <c r="J586" s="2" t="n">
        <v>321.244</v>
      </c>
      <c r="K586" s="2" t="s">
        <v>18</v>
      </c>
      <c r="L586" s="2" t="n">
        <f aca="false">J586/_xlfn.XLOOKUP(Tabla2[[#This Row],[Unidad de precio]],Tabla3[Medida],Tabla3[Equivalencia en Kg],"ELVIS",0)</f>
        <v>7.0820987654321</v>
      </c>
      <c r="M586" s="2" t="n">
        <v>4235.82</v>
      </c>
      <c r="N586" s="3" t="n">
        <f aca="false">(Tabla2[[#This Row],[Productividad (kg/TAS)]]*Tabla2[[#This Row],[Precio por kg]]-Tabla2[[#This Row],[Costos (En RD$/Tarea)]])</f>
        <v>-1925.14325880862</v>
      </c>
      <c r="O586" s="9" t="n">
        <f aca="false">IF(Tabla2[[#This Row],[Costos (En RD$/Tarea)]]=0,0,Tabla2[[#This Row],[Beneficio Neto  (En RD$/Tarea)]]/Tabla2[[#This Row],[Costos (En RD$/Tarea)]])</f>
        <v>-0.45449128121795</v>
      </c>
      <c r="P586" s="7" t="n">
        <f aca="false">Tabla2[[#This Row],[Rentabilidad (%)]]/12</f>
        <v>-0.0378742734348292</v>
      </c>
    </row>
    <row r="587" customFormat="false" ht="14.25" hidden="false" customHeight="false" outlineLevel="0" collapsed="false">
      <c r="A587" s="1" t="n">
        <v>37987</v>
      </c>
      <c r="B587" s="2" t="s">
        <v>28</v>
      </c>
      <c r="C587" s="3" t="n">
        <v>23445</v>
      </c>
      <c r="D587" s="8" t="s">
        <v>17</v>
      </c>
      <c r="E587" s="3" t="n">
        <f aca="false">IF(Tabla2[[#This Row],[Frecuencia]]="Annual", Tabla2[[#This Row],[Cosecha/Tarea]]/12,Tabla2[[#This Row],[Cosecha/Tarea]])</f>
        <v>23445</v>
      </c>
      <c r="F587" s="3" t="n">
        <v>44651</v>
      </c>
      <c r="G587" s="2" t="s">
        <v>29</v>
      </c>
      <c r="H587" s="2" t="n">
        <f aca="false">F587/Tabla2[[#This Row],[Cosecha Mensual]]</f>
        <v>1.90449989336746</v>
      </c>
      <c r="I587" s="2" t="n">
        <f aca="false">H587*_xlfn.XLOOKUP(Tabla2[[#This Row],[Unidad de producción]],Tabla3[Medida],Tabla3[Equivalencia en Kg],"ELVIS",0)</f>
        <v>1070.97647003626</v>
      </c>
      <c r="J587" s="2" t="n">
        <v>5137.5</v>
      </c>
      <c r="K587" s="2" t="s">
        <v>29</v>
      </c>
      <c r="L587" s="2" t="n">
        <f aca="false">J587/_xlfn.XLOOKUP(Tabla2[[#This Row],[Unidad de precio]],Tabla3[Medida],Tabla3[Equivalencia en Kg],"ELVIS",0)</f>
        <v>9.13593199843511</v>
      </c>
      <c r="M587" s="2" t="n">
        <v>7896.87291948</v>
      </c>
      <c r="N587" s="3" t="n">
        <f aca="false">(Tabla2[[#This Row],[Productividad (kg/TAS)]]*Tabla2[[#This Row],[Precio por kg]]-Tabla2[[#This Row],[Costos (En RD$/Tarea)]])</f>
        <v>1887.4952826953</v>
      </c>
      <c r="O587" s="9" t="n">
        <f aca="false">IF(Tabla2[[#This Row],[Costos (En RD$/Tarea)]]=0,0,Tabla2[[#This Row],[Beneficio Neto  (En RD$/Tarea)]]/Tabla2[[#This Row],[Costos (En RD$/Tarea)]])</f>
        <v>0.239018064737908</v>
      </c>
      <c r="P587" s="7" t="n">
        <f aca="false">Tabla2[[#This Row],[Rentabilidad (%)]]/12</f>
        <v>0.0199181720614923</v>
      </c>
    </row>
    <row r="588" customFormat="false" ht="14.25" hidden="false" customHeight="false" outlineLevel="0" collapsed="false">
      <c r="A588" s="1" t="n">
        <v>37987</v>
      </c>
      <c r="B588" s="2" t="s">
        <v>30</v>
      </c>
      <c r="C588" s="3" t="n">
        <v>207658</v>
      </c>
      <c r="D588" s="3" t="s">
        <v>31</v>
      </c>
      <c r="E588" s="3" t="n">
        <f aca="false">IF(Tabla2[[#This Row],[Frecuencia]]="Annual", Tabla2[[#This Row],[Cosecha/Tarea]]/12,Tabla2[[#This Row],[Cosecha/Tarea]])</f>
        <v>17304.8333333333</v>
      </c>
      <c r="F588" s="3" t="n">
        <v>1534996</v>
      </c>
      <c r="G588" s="2" t="s">
        <v>32</v>
      </c>
      <c r="H588" s="2" t="n">
        <f aca="false">F588/Tabla2[[#This Row],[Cosecha Mensual]]</f>
        <v>88.7033102505081</v>
      </c>
      <c r="I588" s="2" t="n">
        <f aca="false">H588*_xlfn.XLOOKUP(Tabla2[[#This Row],[Unidad de producción]],Tabla3[Medida],Tabla3[Equivalencia en Kg],"ELVIS",0)</f>
        <v>2413.61707191632</v>
      </c>
      <c r="J588" s="2" t="n">
        <v>53.52</v>
      </c>
      <c r="K588" s="2" t="s">
        <v>32</v>
      </c>
      <c r="L588" s="2" t="n">
        <f aca="false">J588/_xlfn.XLOOKUP(Tabla2[[#This Row],[Unidad de precio]],Tabla3[Medida],Tabla3[Equivalencia en Kg],"ELVIS",0)</f>
        <v>1.96692392502756</v>
      </c>
      <c r="M588" s="3" t="n">
        <v>6693.79</v>
      </c>
      <c r="N588" s="3" t="n">
        <f aca="false">(Tabla2[[#This Row],[Productividad (kg/TAS)]]*Tabla2[[#This Row],[Precio por kg]]-Tabla2[[#This Row],[Costos (En RD$/Tarea)]])</f>
        <v>-1946.38883539281</v>
      </c>
      <c r="O588" s="9" t="n">
        <f aca="false">IF(Tabla2[[#This Row],[Costos (En RD$/Tarea)]]=0,0,Tabla2[[#This Row],[Beneficio Neto  (En RD$/Tarea)]]/Tabla2[[#This Row],[Costos (En RD$/Tarea)]])</f>
        <v>-0.290775305976556</v>
      </c>
      <c r="P588" s="7" t="n">
        <f aca="false">Tabla2[[#This Row],[Rentabilidad (%)]]/12</f>
        <v>-0.0242312754980463</v>
      </c>
    </row>
    <row r="589" customFormat="false" ht="14.25" hidden="false" customHeight="false" outlineLevel="0" collapsed="false">
      <c r="A589" s="1" t="n">
        <v>37987</v>
      </c>
      <c r="B589" s="2" t="s">
        <v>33</v>
      </c>
      <c r="C589" s="3" t="n">
        <v>600520</v>
      </c>
      <c r="D589" s="3" t="s">
        <v>31</v>
      </c>
      <c r="E589" s="3" t="n">
        <f aca="false">IF(Tabla2[[#This Row],[Frecuencia]]="Annual", Tabla2[[#This Row],[Cosecha/Tarea]]/12,Tabla2[[#This Row],[Cosecha/Tarea]])</f>
        <v>50043.3333333333</v>
      </c>
      <c r="F589" s="3" t="n">
        <v>78070</v>
      </c>
      <c r="G589" s="2" t="s">
        <v>34</v>
      </c>
      <c r="H589" s="2" t="n">
        <f aca="false">F589/Tabla2[[#This Row],[Cosecha Mensual]]</f>
        <v>1.56004795843602</v>
      </c>
      <c r="I589" s="2" t="n">
        <f aca="false">H589*_xlfn.XLOOKUP(Tabla2[[#This Row],[Unidad de producción]],Tabla3[Medida],Tabla3[Equivalencia en Kg],"ELVIS",0)</f>
        <v>636.733574235662</v>
      </c>
      <c r="J589" s="2" t="n">
        <v>2192.645</v>
      </c>
      <c r="K589" s="2" t="s">
        <v>34</v>
      </c>
      <c r="L589" s="2" t="n">
        <f aca="false">J589/_xlfn.XLOOKUP(Tabla2[[#This Row],[Unidad de precio]],Tabla3[Medida],Tabla3[Equivalencia en Kg],"ELVIS",0)</f>
        <v>5.37215484503246</v>
      </c>
      <c r="M589" s="3" t="n">
        <v>8906.28</v>
      </c>
      <c r="N589" s="3" t="n">
        <f aca="false">(Tabla2[[#This Row],[Productividad (kg/TAS)]]*Tabla2[[#This Row],[Precio por kg]]-Tabla2[[#This Row],[Costos (En RD$/Tarea)]])</f>
        <v>-5485.64864417505</v>
      </c>
      <c r="O589" s="9" t="n">
        <f aca="false">IF(Tabla2[[#This Row],[Costos (En RD$/Tarea)]]=0,0,Tabla2[[#This Row],[Beneficio Neto  (En RD$/Tarea)]]/Tabla2[[#This Row],[Costos (En RD$/Tarea)]])</f>
        <v>-0.615930404633029</v>
      </c>
      <c r="P589" s="7" t="n">
        <f aca="false">Tabla2[[#This Row],[Rentabilidad (%)]]/12</f>
        <v>-0.051327533719419</v>
      </c>
    </row>
    <row r="590" customFormat="false" ht="14.25" hidden="false" customHeight="false" outlineLevel="0" collapsed="false">
      <c r="A590" s="1" t="n">
        <v>38018</v>
      </c>
      <c r="B590" s="2" t="s">
        <v>16</v>
      </c>
      <c r="C590" s="3" t="n">
        <v>17942</v>
      </c>
      <c r="D590" s="8" t="s">
        <v>17</v>
      </c>
      <c r="E590" s="3" t="n">
        <f aca="false">IF(Tabla2[[#This Row],[Frecuencia]]="Annual", Tabla2[[#This Row],[Cosecha/Tarea]]/12,Tabla2[[#This Row],[Cosecha/Tarea]])</f>
        <v>17942</v>
      </c>
      <c r="F590" s="3" t="n">
        <v>50996</v>
      </c>
      <c r="G590" s="2" t="s">
        <v>18</v>
      </c>
      <c r="H590" s="2" t="n">
        <f aca="false">F590/Tabla2[[#This Row],[Cosecha Mensual]]</f>
        <v>2.84226953516888</v>
      </c>
      <c r="I590" s="2" t="n">
        <f aca="false">H590*_xlfn.XLOOKUP(Tabla2[[#This Row],[Unidad de producción]],Tabla3[Medida],Tabla3[Equivalencia en Kg],"ELVIS",0)</f>
        <v>128.92534611526</v>
      </c>
      <c r="J590" s="2" t="n">
        <v>941.193333333333</v>
      </c>
      <c r="K590" s="2" t="s">
        <v>19</v>
      </c>
      <c r="L590" s="2" t="n">
        <f aca="false">J590/_xlfn.XLOOKUP(Tabla2[[#This Row],[Unidad de precio]],Tabla3[Medida],Tabla3[Equivalencia en Kg],"ELVIS",0)</f>
        <v>8.55630303030303</v>
      </c>
      <c r="M590" s="2" t="n">
        <v>4376.41</v>
      </c>
      <c r="N590" s="3" t="n">
        <f aca="false">(Tabla2[[#This Row],[Productividad (kg/TAS)]]*Tabla2[[#This Row],[Precio por kg]]-Tabla2[[#This Row],[Costos (En RD$/Tarea)]])</f>
        <v>-3273.28567035113</v>
      </c>
      <c r="O590" s="9" t="n">
        <f aca="false">IF(Tabla2[[#This Row],[Costos (En RD$/Tarea)]]=0,0,Tabla2[[#This Row],[Beneficio Neto  (En RD$/Tarea)]]/Tabla2[[#This Row],[Costos (En RD$/Tarea)]])</f>
        <v>-0.747938531890552</v>
      </c>
      <c r="P590" s="7" t="n">
        <f aca="false">Tabla2[[#This Row],[Rentabilidad (%)]]/12</f>
        <v>-0.0623282109908794</v>
      </c>
    </row>
    <row r="591" customFormat="false" ht="14.25" hidden="false" customHeight="false" outlineLevel="0" collapsed="false">
      <c r="A591" s="1" t="n">
        <v>38018</v>
      </c>
      <c r="B591" s="2" t="s">
        <v>20</v>
      </c>
      <c r="C591" s="3" t="n">
        <v>24847</v>
      </c>
      <c r="D591" s="8" t="s">
        <v>17</v>
      </c>
      <c r="E591" s="3" t="n">
        <f aca="false">IF(Tabla2[[#This Row],[Frecuencia]]="Annual", Tabla2[[#This Row],[Cosecha/Tarea]]/12,Tabla2[[#This Row],[Cosecha/Tarea]])</f>
        <v>24847</v>
      </c>
      <c r="F591" s="3" t="n">
        <v>37567</v>
      </c>
      <c r="G591" s="2" t="s">
        <v>18</v>
      </c>
      <c r="H591" s="2" t="n">
        <f aca="false">F591/Tabla2[[#This Row],[Cosecha Mensual]]</f>
        <v>1.51193303014448</v>
      </c>
      <c r="I591" s="2" t="n">
        <f aca="false">H591*_xlfn.XLOOKUP(Tabla2[[#This Row],[Unidad de producción]],Tabla3[Medida],Tabla3[Equivalencia en Kg],"ELVIS",0)</f>
        <v>68.5812822473538</v>
      </c>
      <c r="J591" s="2" t="n">
        <v>338.466</v>
      </c>
      <c r="K591" s="2" t="s">
        <v>18</v>
      </c>
      <c r="L591" s="2" t="n">
        <f aca="false">J591/_xlfn.XLOOKUP(Tabla2[[#This Row],[Unidad de precio]],Tabla3[Medida],Tabla3[Equivalencia en Kg],"ELVIS",0)</f>
        <v>7.46177248677249</v>
      </c>
      <c r="M591" s="2" t="n">
        <v>1100.66</v>
      </c>
      <c r="N591" s="3" t="n">
        <f aca="false">(Tabla2[[#This Row],[Productividad (kg/TAS)]]*Tabla2[[#This Row],[Precio por kg]]-Tabla2[[#This Row],[Costos (En RD$/Tarea)]])</f>
        <v>-588.922075019117</v>
      </c>
      <c r="O591" s="9" t="n">
        <f aca="false">IF(Tabla2[[#This Row],[Costos (En RD$/Tarea)]]=0,0,Tabla2[[#This Row],[Beneficio Neto  (En RD$/Tarea)]]/Tabla2[[#This Row],[Costos (En RD$/Tarea)]])</f>
        <v>-0.535062666962656</v>
      </c>
      <c r="P591" s="7" t="n">
        <f aca="false">Tabla2[[#This Row],[Rentabilidad (%)]]/12</f>
        <v>-0.0445885555802213</v>
      </c>
    </row>
    <row r="592" customFormat="false" ht="14.25" hidden="false" customHeight="false" outlineLevel="0" collapsed="false">
      <c r="A592" s="1" t="n">
        <v>38018</v>
      </c>
      <c r="B592" s="2" t="s">
        <v>21</v>
      </c>
      <c r="C592" s="3" t="n">
        <v>6311</v>
      </c>
      <c r="D592" s="8" t="s">
        <v>17</v>
      </c>
      <c r="E592" s="3" t="n">
        <f aca="false">IF(Tabla2[[#This Row],[Frecuencia]]="Annual", Tabla2[[#This Row],[Cosecha/Tarea]]/12,Tabla2[[#This Row],[Cosecha/Tarea]])</f>
        <v>6311</v>
      </c>
      <c r="F592" s="3" t="n">
        <v>62456</v>
      </c>
      <c r="G592" s="2" t="s">
        <v>18</v>
      </c>
      <c r="H592" s="2" t="n">
        <f aca="false">F592/Tabla2[[#This Row],[Cosecha Mensual]]</f>
        <v>9.8963714149897</v>
      </c>
      <c r="I592" s="2" t="n">
        <f aca="false">H592*_xlfn.XLOOKUP(Tabla2[[#This Row],[Unidad de producción]],Tabla3[Medida],Tabla3[Equivalencia en Kg],"ELVIS",0)</f>
        <v>448.899407383933</v>
      </c>
      <c r="J592" s="2" t="n">
        <v>199.96875</v>
      </c>
      <c r="K592" s="2" t="s">
        <v>18</v>
      </c>
      <c r="L592" s="2" t="n">
        <f aca="false">J592/_xlfn.XLOOKUP(Tabla2[[#This Row],[Unidad de precio]],Tabla3[Medida],Tabla3[Equivalencia en Kg],"ELVIS",0)</f>
        <v>4.40848214285714</v>
      </c>
      <c r="M592" s="2" t="n">
        <v>3591.85</v>
      </c>
      <c r="N592" s="3" t="n">
        <f aca="false">(Tabla2[[#This Row],[Productividad (kg/TAS)]]*Tabla2[[#This Row],[Precio por kg]]-Tabla2[[#This Row],[Costos (En RD$/Tarea)]])</f>
        <v>-1612.88497860878</v>
      </c>
      <c r="O592" s="9" t="n">
        <f aca="false">IF(Tabla2[[#This Row],[Costos (En RD$/Tarea)]]=0,0,Tabla2[[#This Row],[Beneficio Neto  (En RD$/Tarea)]]/Tabla2[[#This Row],[Costos (En RD$/Tarea)]])</f>
        <v>-0.449040182248362</v>
      </c>
      <c r="P592" s="7" t="n">
        <f aca="false">Tabla2[[#This Row],[Rentabilidad (%)]]/12</f>
        <v>-0.0374200151873635</v>
      </c>
    </row>
    <row r="593" customFormat="false" ht="14.25" hidden="false" customHeight="false" outlineLevel="0" collapsed="false">
      <c r="A593" s="1" t="n">
        <v>38018</v>
      </c>
      <c r="B593" s="2" t="s">
        <v>22</v>
      </c>
      <c r="C593" s="3" t="n">
        <v>4361</v>
      </c>
      <c r="D593" s="8" t="s">
        <v>17</v>
      </c>
      <c r="E593" s="3" t="n">
        <f aca="false">IF(Tabla2[[#This Row],[Frecuencia]]="Annual", Tabla2[[#This Row],[Cosecha/Tarea]]/12,Tabla2[[#This Row],[Cosecha/Tarea]])</f>
        <v>4361</v>
      </c>
      <c r="F593" s="3" t="n">
        <v>41382</v>
      </c>
      <c r="G593" s="2" t="s">
        <v>18</v>
      </c>
      <c r="H593" s="2" t="n">
        <f aca="false">F593/Tabla2[[#This Row],[Cosecha Mensual]]</f>
        <v>9.48910800275166</v>
      </c>
      <c r="I593" s="2" t="n">
        <f aca="false">H593*_xlfn.XLOOKUP(Tabla2[[#This Row],[Unidad de producción]],Tabla3[Medida],Tabla3[Equivalencia en Kg],"ELVIS",0)</f>
        <v>430.425939004815</v>
      </c>
      <c r="J593" s="2" t="n">
        <v>478.125</v>
      </c>
      <c r="K593" s="2" t="s">
        <v>18</v>
      </c>
      <c r="L593" s="2" t="n">
        <f aca="false">J593/_xlfn.XLOOKUP(Tabla2[[#This Row],[Unidad de precio]],Tabla3[Medida],Tabla3[Equivalencia en Kg],"ELVIS",0)</f>
        <v>10.5406746031746</v>
      </c>
      <c r="M593" s="2" t="n">
        <v>3985.16</v>
      </c>
      <c r="N593" s="3" t="n">
        <f aca="false">(Tabla2[[#This Row],[Productividad (kg/TAS)]]*Tabla2[[#This Row],[Precio por kg]]-Tabla2[[#This Row],[Costos (En RD$/Tarea)]])</f>
        <v>551.819763815639</v>
      </c>
      <c r="O593" s="9" t="n">
        <f aca="false">IF(Tabla2[[#This Row],[Costos (En RD$/Tarea)]]=0,0,Tabla2[[#This Row],[Beneficio Neto  (En RD$/Tarea)]]/Tabla2[[#This Row],[Costos (En RD$/Tarea)]])</f>
        <v>0.138468659681327</v>
      </c>
      <c r="P593" s="7" t="n">
        <f aca="false">Tabla2[[#This Row],[Rentabilidad (%)]]/12</f>
        <v>0.011539054973444</v>
      </c>
    </row>
    <row r="594" customFormat="false" ht="14.25" hidden="false" customHeight="false" outlineLevel="0" collapsed="false">
      <c r="A594" s="1" t="n">
        <v>38018</v>
      </c>
      <c r="B594" s="2" t="s">
        <v>23</v>
      </c>
      <c r="C594" s="3" t="n">
        <v>1710</v>
      </c>
      <c r="D594" s="8" t="s">
        <v>17</v>
      </c>
      <c r="E594" s="3" t="n">
        <f aca="false">IF(Tabla2[[#This Row],[Frecuencia]]="Annual", Tabla2[[#This Row],[Cosecha/Tarea]]/12,Tabla2[[#This Row],[Cosecha/Tarea]])</f>
        <v>1710</v>
      </c>
      <c r="F594" s="3" t="n">
        <v>41875</v>
      </c>
      <c r="G594" s="2" t="s">
        <v>18</v>
      </c>
      <c r="H594" s="2" t="n">
        <f aca="false">F594/Tabla2[[#This Row],[Cosecha Mensual]]</f>
        <v>24.4883040935673</v>
      </c>
      <c r="I594" s="2" t="n">
        <f aca="false">H594*_xlfn.XLOOKUP(Tabla2[[#This Row],[Unidad de producción]],Tabla3[Medida],Tabla3[Equivalencia en Kg],"ELVIS",0)</f>
        <v>1110.78947368421</v>
      </c>
      <c r="J594" s="2" t="n">
        <v>895.625</v>
      </c>
      <c r="K594" s="2" t="s">
        <v>18</v>
      </c>
      <c r="L594" s="2" t="n">
        <f aca="false">J594/_xlfn.XLOOKUP(Tabla2[[#This Row],[Unidad de precio]],Tabla3[Medida],Tabla3[Equivalencia en Kg],"ELVIS",0)</f>
        <v>19.7448192239859</v>
      </c>
      <c r="M594" s="2" t="n">
        <v>9274.52</v>
      </c>
      <c r="N594" s="3" t="n">
        <f aca="false">(Tabla2[[#This Row],[Productividad (kg/TAS)]]*Tabla2[[#This Row],[Precio por kg]]-Tabla2[[#This Row],[Costos (En RD$/Tarea)]])</f>
        <v>12657.8173538012</v>
      </c>
      <c r="O594" s="9" t="n">
        <f aca="false">IF(Tabla2[[#This Row],[Costos (En RD$/Tarea)]]=0,0,Tabla2[[#This Row],[Beneficio Neto  (En RD$/Tarea)]]/Tabla2[[#This Row],[Costos (En RD$/Tarea)]])</f>
        <v>1.36479487389117</v>
      </c>
      <c r="P594" s="7" t="n">
        <f aca="false">Tabla2[[#This Row],[Rentabilidad (%)]]/12</f>
        <v>0.113732906157598</v>
      </c>
    </row>
    <row r="595" customFormat="false" ht="14.25" hidden="false" customHeight="false" outlineLevel="0" collapsed="false">
      <c r="A595" s="1" t="n">
        <v>38018</v>
      </c>
      <c r="B595" s="2" t="s">
        <v>24</v>
      </c>
      <c r="C595" s="3" t="n">
        <v>8865</v>
      </c>
      <c r="D595" s="8" t="s">
        <v>17</v>
      </c>
      <c r="E595" s="3" t="n">
        <f aca="false">IF(Tabla2[[#This Row],[Frecuencia]]="Annual", Tabla2[[#This Row],[Cosecha/Tarea]]/12,Tabla2[[#This Row],[Cosecha/Tarea]])</f>
        <v>8865</v>
      </c>
      <c r="F595" s="3" t="n">
        <v>187609</v>
      </c>
      <c r="G595" s="2" t="s">
        <v>18</v>
      </c>
      <c r="H595" s="2" t="n">
        <f aca="false">F595/Tabla2[[#This Row],[Cosecha Mensual]]</f>
        <v>21.1628877608573</v>
      </c>
      <c r="I595" s="2" t="n">
        <f aca="false">H595*_xlfn.XLOOKUP(Tabla2[[#This Row],[Unidad de producción]],Tabla3[Medida],Tabla3[Equivalencia en Kg],"ELVIS",0)</f>
        <v>959.948588832487</v>
      </c>
      <c r="J595" s="2" t="n">
        <v>698.333333333333</v>
      </c>
      <c r="K595" s="2" t="s">
        <v>18</v>
      </c>
      <c r="L595" s="2" t="n">
        <f aca="false">J595/_xlfn.XLOOKUP(Tabla2[[#This Row],[Unidad de precio]],Tabla3[Medida],Tabla3[Equivalencia en Kg],"ELVIS",0)</f>
        <v>15.3953556731334</v>
      </c>
      <c r="M595" s="2" t="n">
        <v>2563.46</v>
      </c>
      <c r="N595" s="3" t="n">
        <f aca="false">(Tabla2[[#This Row],[Productividad (kg/TAS)]]*Tabla2[[#This Row],[Precio por kg]]-Tabla2[[#This Row],[Costos (En RD$/Tarea)]])</f>
        <v>12215.2899529987</v>
      </c>
      <c r="O595" s="9" t="n">
        <f aca="false">IF(Tabla2[[#This Row],[Costos (En RD$/Tarea)]]=0,0,Tabla2[[#This Row],[Beneficio Neto  (En RD$/Tarea)]]/Tabla2[[#This Row],[Costos (En RD$/Tarea)]])</f>
        <v>4.76515723007134</v>
      </c>
      <c r="P595" s="7" t="n">
        <f aca="false">Tabla2[[#This Row],[Rentabilidad (%)]]/12</f>
        <v>0.397096435839278</v>
      </c>
    </row>
    <row r="596" customFormat="false" ht="14.25" hidden="false" customHeight="false" outlineLevel="0" collapsed="false">
      <c r="A596" s="1" t="n">
        <v>38018</v>
      </c>
      <c r="B596" s="2" t="s">
        <v>25</v>
      </c>
      <c r="C596" s="3" t="n">
        <v>26658</v>
      </c>
      <c r="D596" s="8" t="s">
        <v>17</v>
      </c>
      <c r="E596" s="3" t="n">
        <f aca="false">IF(Tabla2[[#This Row],[Frecuencia]]="Annual", Tabla2[[#This Row],[Cosecha/Tarea]]/12,Tabla2[[#This Row],[Cosecha/Tarea]])</f>
        <v>26658</v>
      </c>
      <c r="F596" s="3" t="n">
        <v>226283</v>
      </c>
      <c r="G596" s="2" t="s">
        <v>18</v>
      </c>
      <c r="H596" s="2" t="n">
        <f aca="false">F596/Tabla2[[#This Row],[Cosecha Mensual]]</f>
        <v>8.48837122064671</v>
      </c>
      <c r="I596" s="2" t="n">
        <f aca="false">H596*_xlfn.XLOOKUP(Tabla2[[#This Row],[Unidad de producción]],Tabla3[Medida],Tabla3[Equivalencia en Kg],"ELVIS",0)</f>
        <v>385.032518568535</v>
      </c>
      <c r="J596" s="2" t="n">
        <v>163.130933333333</v>
      </c>
      <c r="K596" s="2" t="s">
        <v>18</v>
      </c>
      <c r="L596" s="2" t="n">
        <f aca="false">J596/_xlfn.XLOOKUP(Tabla2[[#This Row],[Unidad de precio]],Tabla3[Medida],Tabla3[Equivalencia en Kg],"ELVIS",0)</f>
        <v>3.59636096413873</v>
      </c>
      <c r="M596" s="2" t="n">
        <v>1852.92</v>
      </c>
      <c r="N596" s="3" t="n">
        <f aca="false">(Tabla2[[#This Row],[Productividad (kg/TAS)]]*Tabla2[[#This Row],[Precio por kg]]-Tabla2[[#This Row],[Costos (En RD$/Tarea)]])</f>
        <v>-468.204080296099</v>
      </c>
      <c r="O596" s="9" t="n">
        <f aca="false">IF(Tabla2[[#This Row],[Costos (En RD$/Tarea)]]=0,0,Tabla2[[#This Row],[Beneficio Neto  (En RD$/Tarea)]]/Tabla2[[#This Row],[Costos (En RD$/Tarea)]])</f>
        <v>-0.252684454966269</v>
      </c>
      <c r="P596" s="7" t="n">
        <f aca="false">Tabla2[[#This Row],[Rentabilidad (%)]]/12</f>
        <v>-0.0210570379138558</v>
      </c>
    </row>
    <row r="597" customFormat="false" ht="14.25" hidden="false" customHeight="false" outlineLevel="0" collapsed="false">
      <c r="A597" s="1" t="n">
        <v>38018</v>
      </c>
      <c r="B597" s="2" t="s">
        <v>26</v>
      </c>
      <c r="C597" s="3" t="n">
        <v>11045</v>
      </c>
      <c r="D597" s="8" t="s">
        <v>17</v>
      </c>
      <c r="E597" s="3" t="n">
        <f aca="false">IF(Tabla2[[#This Row],[Frecuencia]]="Annual", Tabla2[[#This Row],[Cosecha/Tarea]]/12,Tabla2[[#This Row],[Cosecha/Tarea]])</f>
        <v>11045</v>
      </c>
      <c r="F597" s="3" t="n">
        <v>69437</v>
      </c>
      <c r="G597" s="2" t="s">
        <v>18</v>
      </c>
      <c r="H597" s="2" t="n">
        <f aca="false">F597/Tabla2[[#This Row],[Cosecha Mensual]]</f>
        <v>6.28673607967406</v>
      </c>
      <c r="I597" s="2" t="n">
        <f aca="false">H597*_xlfn.XLOOKUP(Tabla2[[#This Row],[Unidad de producción]],Tabla3[Medida],Tabla3[Equivalencia en Kg],"ELVIS",0)</f>
        <v>285.166348574015</v>
      </c>
      <c r="J597" s="2" t="n">
        <v>417.75</v>
      </c>
      <c r="K597" s="2" t="s">
        <v>18</v>
      </c>
      <c r="L597" s="2" t="n">
        <f aca="false">J597/_xlfn.XLOOKUP(Tabla2[[#This Row],[Unidad de precio]],Tabla3[Medida],Tabla3[Equivalencia en Kg],"ELVIS",0)</f>
        <v>9.20965608465609</v>
      </c>
      <c r="M597" s="2" t="n">
        <v>1244.4</v>
      </c>
      <c r="N597" s="3" t="n">
        <f aca="false">(Tabla2[[#This Row],[Productividad (kg/TAS)]]*Tabla2[[#This Row],[Precio por kg]]-Tabla2[[#This Row],[Costos (En RD$/Tarea)]])</f>
        <v>1381.88399728384</v>
      </c>
      <c r="O597" s="9" t="n">
        <f aca="false">IF(Tabla2[[#This Row],[Costos (En RD$/Tarea)]]=0,0,Tabla2[[#This Row],[Beneficio Neto  (En RD$/Tarea)]]/Tabla2[[#This Row],[Costos (En RD$/Tarea)]])</f>
        <v>1.11048215789444</v>
      </c>
      <c r="P597" s="7" t="n">
        <f aca="false">Tabla2[[#This Row],[Rentabilidad (%)]]/12</f>
        <v>0.0925401798245365</v>
      </c>
    </row>
    <row r="598" customFormat="false" ht="14.25" hidden="false" customHeight="false" outlineLevel="0" collapsed="false">
      <c r="A598" s="1" t="n">
        <v>38018</v>
      </c>
      <c r="B598" s="2" t="s">
        <v>27</v>
      </c>
      <c r="C598" s="3" t="n">
        <v>4901</v>
      </c>
      <c r="D598" s="8" t="s">
        <v>17</v>
      </c>
      <c r="E598" s="3" t="n">
        <f aca="false">IF(Tabla2[[#This Row],[Frecuencia]]="Annual", Tabla2[[#This Row],[Cosecha/Tarea]]/12,Tabla2[[#This Row],[Cosecha/Tarea]])</f>
        <v>4901</v>
      </c>
      <c r="F598" s="3" t="n">
        <v>42350</v>
      </c>
      <c r="G598" s="2" t="s">
        <v>18</v>
      </c>
      <c r="H598" s="2" t="n">
        <f aca="false">F598/Tabla2[[#This Row],[Cosecha Mensual]]</f>
        <v>8.64109365435625</v>
      </c>
      <c r="I598" s="2" t="n">
        <f aca="false">H598*_xlfn.XLOOKUP(Tabla2[[#This Row],[Unidad de producción]],Tabla3[Medida],Tabla3[Equivalencia en Kg],"ELVIS",0)</f>
        <v>391.9600081616</v>
      </c>
      <c r="J598" s="2" t="n">
        <v>341.484</v>
      </c>
      <c r="K598" s="2" t="s">
        <v>18</v>
      </c>
      <c r="L598" s="2" t="n">
        <f aca="false">J598/_xlfn.XLOOKUP(Tabla2[[#This Row],[Unidad de precio]],Tabla3[Medida],Tabla3[Equivalencia en Kg],"ELVIS",0)</f>
        <v>7.52830687830688</v>
      </c>
      <c r="M598" s="2" t="n">
        <v>4235.82</v>
      </c>
      <c r="N598" s="3" t="n">
        <f aca="false">(Tabla2[[#This Row],[Productividad (kg/TAS)]]*Tabla2[[#This Row],[Precio por kg]]-Tabla2[[#This Row],[Costos (En RD$/Tarea)]])</f>
        <v>-1285.02477453581</v>
      </c>
      <c r="O598" s="9" t="n">
        <f aca="false">IF(Tabla2[[#This Row],[Costos (En RD$/Tarea)]]=0,0,Tabla2[[#This Row],[Beneficio Neto  (En RD$/Tarea)]]/Tabla2[[#This Row],[Costos (En RD$/Tarea)]])</f>
        <v>-0.303370958760242</v>
      </c>
      <c r="P598" s="7" t="n">
        <f aca="false">Tabla2[[#This Row],[Rentabilidad (%)]]/12</f>
        <v>-0.0252809132300202</v>
      </c>
    </row>
    <row r="599" customFormat="false" ht="14.25" hidden="false" customHeight="false" outlineLevel="0" collapsed="false">
      <c r="A599" s="1" t="n">
        <v>38018</v>
      </c>
      <c r="B599" s="2" t="s">
        <v>28</v>
      </c>
      <c r="C599" s="3" t="n">
        <v>17457</v>
      </c>
      <c r="D599" s="8" t="s">
        <v>17</v>
      </c>
      <c r="E599" s="3" t="n">
        <f aca="false">IF(Tabla2[[#This Row],[Frecuencia]]="Annual", Tabla2[[#This Row],[Cosecha/Tarea]]/12,Tabla2[[#This Row],[Cosecha/Tarea]])</f>
        <v>17457</v>
      </c>
      <c r="F599" s="3" t="n">
        <v>27844</v>
      </c>
      <c r="G599" s="2" t="s">
        <v>29</v>
      </c>
      <c r="H599" s="2" t="n">
        <f aca="false">F599/Tabla2[[#This Row],[Cosecha Mensual]]</f>
        <v>1.59500486910695</v>
      </c>
      <c r="I599" s="2" t="n">
        <f aca="false">H599*_xlfn.XLOOKUP(Tabla2[[#This Row],[Unidad de producción]],Tabla3[Medida],Tabla3[Equivalencia en Kg],"ELVIS",0)</f>
        <v>896.935038093602</v>
      </c>
      <c r="J599" s="2" t="n">
        <v>5750</v>
      </c>
      <c r="K599" s="2" t="s">
        <v>29</v>
      </c>
      <c r="L599" s="2" t="n">
        <f aca="false">J599/_xlfn.XLOOKUP(Tabla2[[#This Row],[Unidad de precio]],Tabla3[Medida],Tabla3[Equivalencia en Kg],"ELVIS",0)</f>
        <v>10.2251307038446</v>
      </c>
      <c r="M599" s="2" t="n">
        <v>7896.87291948</v>
      </c>
      <c r="N599" s="3" t="n">
        <f aca="false">(Tabla2[[#This Row],[Productividad (kg/TAS)]]*Tabla2[[#This Row],[Precio por kg]]-Tabla2[[#This Row],[Costos (En RD$/Tarea)]])</f>
        <v>1274.40507788495</v>
      </c>
      <c r="O599" s="9" t="n">
        <f aca="false">IF(Tabla2[[#This Row],[Costos (En RD$/Tarea)]]=0,0,Tabla2[[#This Row],[Beneficio Neto  (En RD$/Tarea)]]/Tabla2[[#This Row],[Costos (En RD$/Tarea)]])</f>
        <v>0.161380978379588</v>
      </c>
      <c r="P599" s="7" t="n">
        <f aca="false">Tabla2[[#This Row],[Rentabilidad (%)]]/12</f>
        <v>0.0134484148649656</v>
      </c>
    </row>
    <row r="600" customFormat="false" ht="14.25" hidden="false" customHeight="false" outlineLevel="0" collapsed="false">
      <c r="A600" s="1" t="n">
        <v>38018</v>
      </c>
      <c r="B600" s="2" t="s">
        <v>30</v>
      </c>
      <c r="C600" s="3" t="n">
        <v>213893</v>
      </c>
      <c r="D600" s="3" t="s">
        <v>31</v>
      </c>
      <c r="E600" s="3" t="n">
        <f aca="false">IF(Tabla2[[#This Row],[Frecuencia]]="Annual", Tabla2[[#This Row],[Cosecha/Tarea]]/12,Tabla2[[#This Row],[Cosecha/Tarea]])</f>
        <v>17824.4166666667</v>
      </c>
      <c r="F600" s="3" t="n">
        <v>1272417</v>
      </c>
      <c r="G600" s="2" t="s">
        <v>32</v>
      </c>
      <c r="H600" s="2" t="n">
        <f aca="false">F600/Tabla2[[#This Row],[Cosecha Mensual]]</f>
        <v>71.3861790708438</v>
      </c>
      <c r="I600" s="2" t="n">
        <f aca="false">H600*_xlfn.XLOOKUP(Tabla2[[#This Row],[Unidad de producción]],Tabla3[Medida],Tabla3[Equivalencia en Kg],"ELVIS",0)</f>
        <v>1942.41793251766</v>
      </c>
      <c r="J600" s="2" t="n">
        <v>43.4</v>
      </c>
      <c r="K600" s="2" t="s">
        <v>32</v>
      </c>
      <c r="L600" s="2" t="n">
        <f aca="false">J600/_xlfn.XLOOKUP(Tabla2[[#This Row],[Unidad de precio]],Tabla3[Medida],Tabla3[Equivalencia en Kg],"ELVIS",0)</f>
        <v>1.59500183755972</v>
      </c>
      <c r="M600" s="3" t="n">
        <v>6693.79</v>
      </c>
      <c r="N600" s="3" t="n">
        <f aca="false">(Tabla2[[#This Row],[Productividad (kg/TAS)]]*Tabla2[[#This Row],[Precio por kg]]-Tabla2[[#This Row],[Costos (En RD$/Tarea)]])</f>
        <v>-3595.62982832538</v>
      </c>
      <c r="O600" s="9" t="n">
        <f aca="false">IF(Tabla2[[#This Row],[Costos (En RD$/Tarea)]]=0,0,Tabla2[[#This Row],[Beneficio Neto  (En RD$/Tarea)]]/Tabla2[[#This Row],[Costos (En RD$/Tarea)]])</f>
        <v>-0.537159042683648</v>
      </c>
      <c r="P600" s="7" t="n">
        <f aca="false">Tabla2[[#This Row],[Rentabilidad (%)]]/12</f>
        <v>-0.0447632535569707</v>
      </c>
    </row>
    <row r="601" customFormat="false" ht="14.25" hidden="false" customHeight="false" outlineLevel="0" collapsed="false">
      <c r="A601" s="1" t="n">
        <v>38018</v>
      </c>
      <c r="B601" s="2" t="s">
        <v>33</v>
      </c>
      <c r="C601" s="3" t="n">
        <v>562809</v>
      </c>
      <c r="D601" s="3" t="s">
        <v>31</v>
      </c>
      <c r="E601" s="3" t="n">
        <f aca="false">IF(Tabla2[[#This Row],[Frecuencia]]="Annual", Tabla2[[#This Row],[Cosecha/Tarea]]/12,Tabla2[[#This Row],[Cosecha/Tarea]])</f>
        <v>46900.75</v>
      </c>
      <c r="F601" s="3" t="n">
        <v>90049</v>
      </c>
      <c r="G601" s="2" t="s">
        <v>34</v>
      </c>
      <c r="H601" s="2" t="n">
        <f aca="false">F601/Tabla2[[#This Row],[Cosecha Mensual]]</f>
        <v>1.91999061848691</v>
      </c>
      <c r="I601" s="2" t="n">
        <f aca="false">H601*_xlfn.XLOOKUP(Tabla2[[#This Row],[Unidad de producción]],Tabla3[Medida],Tabla3[Equivalencia en Kg],"ELVIS",0)</f>
        <v>783.644170935433</v>
      </c>
      <c r="J601" s="2" t="n">
        <v>1983.75</v>
      </c>
      <c r="K601" s="2" t="s">
        <v>34</v>
      </c>
      <c r="L601" s="2" t="n">
        <f aca="false">J601/_xlfn.XLOOKUP(Tabla2[[#This Row],[Unidad de precio]],Tabla3[Medida],Tabla3[Equivalencia en Kg],"ELVIS",0)</f>
        <v>4.86034546122749</v>
      </c>
      <c r="M601" s="3" t="n">
        <v>8906.28</v>
      </c>
      <c r="N601" s="3" t="n">
        <f aca="false">(Tabla2[[#This Row],[Productividad (kg/TAS)]]*Tabla2[[#This Row],[Precio por kg]]-Tabla2[[#This Row],[Costos (En RD$/Tarea)]])</f>
        <v>-5097.49861057659</v>
      </c>
      <c r="O601" s="9" t="n">
        <f aca="false">IF(Tabla2[[#This Row],[Costos (En RD$/Tarea)]]=0,0,Tabla2[[#This Row],[Beneficio Neto  (En RD$/Tarea)]]/Tabla2[[#This Row],[Costos (En RD$/Tarea)]])</f>
        <v>-0.572348793275822</v>
      </c>
      <c r="P601" s="7" t="n">
        <f aca="false">Tabla2[[#This Row],[Rentabilidad (%)]]/12</f>
        <v>-0.0476957327729852</v>
      </c>
    </row>
    <row r="602" customFormat="false" ht="14.25" hidden="false" customHeight="false" outlineLevel="0" collapsed="false">
      <c r="A602" s="1" t="n">
        <v>38047</v>
      </c>
      <c r="B602" s="2" t="s">
        <v>16</v>
      </c>
      <c r="C602" s="3" t="n">
        <v>17220</v>
      </c>
      <c r="D602" s="8" t="s">
        <v>17</v>
      </c>
      <c r="E602" s="3" t="n">
        <f aca="false">IF(Tabla2[[#This Row],[Frecuencia]]="Annual", Tabla2[[#This Row],[Cosecha/Tarea]]/12,Tabla2[[#This Row],[Cosecha/Tarea]])</f>
        <v>17220</v>
      </c>
      <c r="F602" s="3" t="n">
        <v>63923</v>
      </c>
      <c r="G602" s="2" t="s">
        <v>18</v>
      </c>
      <c r="H602" s="2" t="n">
        <f aca="false">F602/Tabla2[[#This Row],[Cosecha Mensual]]</f>
        <v>3.71213704994193</v>
      </c>
      <c r="I602" s="2" t="n">
        <f aca="false">H602*_xlfn.XLOOKUP(Tabla2[[#This Row],[Unidad de producción]],Tabla3[Medida],Tabla3[Equivalencia en Kg],"ELVIS",0)</f>
        <v>168.382536585366</v>
      </c>
      <c r="J602" s="2" t="n">
        <v>1550</v>
      </c>
      <c r="K602" s="2" t="s">
        <v>19</v>
      </c>
      <c r="L602" s="2" t="n">
        <f aca="false">J602/_xlfn.XLOOKUP(Tabla2[[#This Row],[Unidad de precio]],Tabla3[Medida],Tabla3[Equivalencia en Kg],"ELVIS",0)</f>
        <v>14.0909090909091</v>
      </c>
      <c r="M602" s="2" t="n">
        <v>4376.41</v>
      </c>
      <c r="N602" s="3" t="n">
        <f aca="false">(Tabla2[[#This Row],[Productividad (kg/TAS)]]*Tabla2[[#This Row],[Precio por kg]]-Tabla2[[#This Row],[Costos (En RD$/Tarea)]])</f>
        <v>-2003.74698447894</v>
      </c>
      <c r="O602" s="9" t="n">
        <f aca="false">IF(Tabla2[[#This Row],[Costos (En RD$/Tarea)]]=0,0,Tabla2[[#This Row],[Beneficio Neto  (En RD$/Tarea)]]/Tabla2[[#This Row],[Costos (En RD$/Tarea)]])</f>
        <v>-0.457851751659222</v>
      </c>
      <c r="P602" s="7" t="n">
        <f aca="false">Tabla2[[#This Row],[Rentabilidad (%)]]/12</f>
        <v>-0.0381543126382685</v>
      </c>
    </row>
    <row r="603" customFormat="false" ht="14.25" hidden="false" customHeight="false" outlineLevel="0" collapsed="false">
      <c r="A603" s="1" t="n">
        <v>38047</v>
      </c>
      <c r="B603" s="2" t="s">
        <v>20</v>
      </c>
      <c r="C603" s="3" t="n">
        <v>21025</v>
      </c>
      <c r="D603" s="8" t="s">
        <v>17</v>
      </c>
      <c r="E603" s="3" t="n">
        <f aca="false">IF(Tabla2[[#This Row],[Frecuencia]]="Annual", Tabla2[[#This Row],[Cosecha/Tarea]]/12,Tabla2[[#This Row],[Cosecha/Tarea]])</f>
        <v>21025</v>
      </c>
      <c r="F603" s="3" t="n">
        <v>39398</v>
      </c>
      <c r="G603" s="2" t="s">
        <v>18</v>
      </c>
      <c r="H603" s="2" t="n">
        <f aca="false">F603/Tabla2[[#This Row],[Cosecha Mensual]]</f>
        <v>1.8738644470868</v>
      </c>
      <c r="I603" s="2" t="n">
        <f aca="false">H603*_xlfn.XLOOKUP(Tabla2[[#This Row],[Unidad de producción]],Tabla3[Medida],Tabla3[Equivalencia en Kg],"ELVIS",0)</f>
        <v>84.9984913198573</v>
      </c>
      <c r="J603" s="2" t="n">
        <v>335.0775</v>
      </c>
      <c r="K603" s="2" t="s">
        <v>18</v>
      </c>
      <c r="L603" s="2" t="n">
        <f aca="false">J603/_xlfn.XLOOKUP(Tabla2[[#This Row],[Unidad de precio]],Tabla3[Medida],Tabla3[Equivalencia en Kg],"ELVIS",0)</f>
        <v>7.38707010582011</v>
      </c>
      <c r="M603" s="2" t="n">
        <v>1100.66</v>
      </c>
      <c r="N603" s="3" t="n">
        <f aca="false">(Tabla2[[#This Row],[Productividad (kg/TAS)]]*Tabla2[[#This Row],[Precio por kg]]-Tabla2[[#This Row],[Costos (En RD$/Tarea)]])</f>
        <v>-472.770185731272</v>
      </c>
      <c r="O603" s="9" t="n">
        <f aca="false">IF(Tabla2[[#This Row],[Costos (En RD$/Tarea)]]=0,0,Tabla2[[#This Row],[Beneficio Neto  (En RD$/Tarea)]]/Tabla2[[#This Row],[Costos (En RD$/Tarea)]])</f>
        <v>-0.429533357922767</v>
      </c>
      <c r="P603" s="7" t="n">
        <f aca="false">Tabla2[[#This Row],[Rentabilidad (%)]]/12</f>
        <v>-0.0357944464935639</v>
      </c>
    </row>
    <row r="604" customFormat="false" ht="14.25" hidden="false" customHeight="false" outlineLevel="0" collapsed="false">
      <c r="A604" s="1" t="n">
        <v>38047</v>
      </c>
      <c r="B604" s="2" t="s">
        <v>21</v>
      </c>
      <c r="C604" s="3" t="n">
        <v>8166</v>
      </c>
      <c r="D604" s="8" t="s">
        <v>17</v>
      </c>
      <c r="E604" s="3" t="n">
        <f aca="false">IF(Tabla2[[#This Row],[Frecuencia]]="Annual", Tabla2[[#This Row],[Cosecha/Tarea]]/12,Tabla2[[#This Row],[Cosecha/Tarea]])</f>
        <v>8166</v>
      </c>
      <c r="F604" s="3" t="n">
        <v>77740</v>
      </c>
      <c r="G604" s="2" t="s">
        <v>18</v>
      </c>
      <c r="H604" s="2" t="n">
        <f aca="false">F604/Tabla2[[#This Row],[Cosecha Mensual]]</f>
        <v>9.5199608131276</v>
      </c>
      <c r="I604" s="2" t="n">
        <f aca="false">H604*_xlfn.XLOOKUP(Tabla2[[#This Row],[Unidad de producción]],Tabla3[Medida],Tabla3[Equivalencia en Kg],"ELVIS",0)</f>
        <v>431.825422483468</v>
      </c>
      <c r="J604" s="2" t="n">
        <v>262.33125</v>
      </c>
      <c r="K604" s="2" t="s">
        <v>18</v>
      </c>
      <c r="L604" s="2" t="n">
        <f aca="false">J604/_xlfn.XLOOKUP(Tabla2[[#This Row],[Unidad de precio]],Tabla3[Medida],Tabla3[Equivalencia en Kg],"ELVIS",0)</f>
        <v>5.7833167989418</v>
      </c>
      <c r="M604" s="2" t="n">
        <v>3591.85</v>
      </c>
      <c r="N604" s="3" t="n">
        <f aca="false">(Tabla2[[#This Row],[Productividad (kg/TAS)]]*Tabla2[[#This Row],[Precio por kg]]-Tabla2[[#This Row],[Costos (En RD$/Tarea)]])</f>
        <v>-1094.46677994122</v>
      </c>
      <c r="O604" s="9" t="n">
        <f aca="false">IF(Tabla2[[#This Row],[Costos (En RD$/Tarea)]]=0,0,Tabla2[[#This Row],[Beneficio Neto  (En RD$/Tarea)]]/Tabla2[[#This Row],[Costos (En RD$/Tarea)]])</f>
        <v>-0.304708375890201</v>
      </c>
      <c r="P604" s="7" t="n">
        <f aca="false">Tabla2[[#This Row],[Rentabilidad (%)]]/12</f>
        <v>-0.0253923646575168</v>
      </c>
    </row>
    <row r="605" customFormat="false" ht="14.25" hidden="false" customHeight="false" outlineLevel="0" collapsed="false">
      <c r="A605" s="1" t="n">
        <v>38047</v>
      </c>
      <c r="B605" s="2" t="s">
        <v>22</v>
      </c>
      <c r="C605" s="3" t="n">
        <v>4076</v>
      </c>
      <c r="D605" s="8" t="s">
        <v>17</v>
      </c>
      <c r="E605" s="3" t="n">
        <f aca="false">IF(Tabla2[[#This Row],[Frecuencia]]="Annual", Tabla2[[#This Row],[Cosecha/Tarea]]/12,Tabla2[[#This Row],[Cosecha/Tarea]])</f>
        <v>4076</v>
      </c>
      <c r="F605" s="3" t="n">
        <v>37516</v>
      </c>
      <c r="G605" s="2" t="s">
        <v>18</v>
      </c>
      <c r="H605" s="2" t="n">
        <f aca="false">F605/Tabla2[[#This Row],[Cosecha Mensual]]</f>
        <v>9.20412168792934</v>
      </c>
      <c r="I605" s="2" t="n">
        <f aca="false">H605*_xlfn.XLOOKUP(Tabla2[[#This Row],[Unidad de producción]],Tabla3[Medida],Tabla3[Equivalencia en Kg],"ELVIS",0)</f>
        <v>417.498959764475</v>
      </c>
      <c r="J605" s="2" t="n">
        <v>510</v>
      </c>
      <c r="K605" s="2" t="s">
        <v>18</v>
      </c>
      <c r="L605" s="2" t="n">
        <f aca="false">J605/_xlfn.XLOOKUP(Tabla2[[#This Row],[Unidad de precio]],Tabla3[Medida],Tabla3[Equivalencia en Kg],"ELVIS",0)</f>
        <v>11.2433862433862</v>
      </c>
      <c r="M605" s="2" t="n">
        <v>3985.16</v>
      </c>
      <c r="N605" s="3" t="n">
        <f aca="false">(Tabla2[[#This Row],[Productividad (kg/TAS)]]*Tabla2[[#This Row],[Precio por kg]]-Tabla2[[#This Row],[Costos (En RD$/Tarea)]])</f>
        <v>708.942060843965</v>
      </c>
      <c r="O605" s="9" t="n">
        <f aca="false">IF(Tabla2[[#This Row],[Costos (En RD$/Tarea)]]=0,0,Tabla2[[#This Row],[Beneficio Neto  (En RD$/Tarea)]]/Tabla2[[#This Row],[Costos (En RD$/Tarea)]])</f>
        <v>0.177895507543979</v>
      </c>
      <c r="P605" s="7" t="n">
        <f aca="false">Tabla2[[#This Row],[Rentabilidad (%)]]/12</f>
        <v>0.014824625628665</v>
      </c>
    </row>
    <row r="606" customFormat="false" ht="14.25" hidden="false" customHeight="false" outlineLevel="0" collapsed="false">
      <c r="A606" s="1" t="n">
        <v>38047</v>
      </c>
      <c r="B606" s="2" t="s">
        <v>23</v>
      </c>
      <c r="C606" s="3" t="n">
        <v>2989</v>
      </c>
      <c r="D606" s="8" t="s">
        <v>17</v>
      </c>
      <c r="E606" s="3" t="n">
        <f aca="false">IF(Tabla2[[#This Row],[Frecuencia]]="Annual", Tabla2[[#This Row],[Cosecha/Tarea]]/12,Tabla2[[#This Row],[Cosecha/Tarea]])</f>
        <v>2989</v>
      </c>
      <c r="F606" s="3" t="n">
        <v>84589</v>
      </c>
      <c r="G606" s="2" t="s">
        <v>18</v>
      </c>
      <c r="H606" s="2" t="n">
        <f aca="false">F606/Tabla2[[#This Row],[Cosecha Mensual]]</f>
        <v>28.3001003680161</v>
      </c>
      <c r="I606" s="2" t="n">
        <f aca="false">H606*_xlfn.XLOOKUP(Tabla2[[#This Row],[Unidad de producción]],Tabla3[Medida],Tabla3[Equivalencia en Kg],"ELVIS",0)</f>
        <v>1283.69255269321</v>
      </c>
      <c r="J606" s="2" t="n">
        <v>471.25</v>
      </c>
      <c r="K606" s="2" t="s">
        <v>18</v>
      </c>
      <c r="L606" s="2" t="n">
        <f aca="false">J606/_xlfn.XLOOKUP(Tabla2[[#This Row],[Unidad de precio]],Tabla3[Medida],Tabla3[Equivalencia en Kg],"ELVIS",0)</f>
        <v>10.3891093474427</v>
      </c>
      <c r="M606" s="2" t="n">
        <v>9274.52</v>
      </c>
      <c r="N606" s="3" t="n">
        <f aca="false">(Tabla2[[#This Row],[Productividad (kg/TAS)]]*Tabla2[[#This Row],[Precio por kg]]-Tabla2[[#This Row],[Costos (En RD$/Tarea)]])</f>
        <v>4061.90229842757</v>
      </c>
      <c r="O606" s="9" t="n">
        <f aca="false">IF(Tabla2[[#This Row],[Costos (En RD$/Tarea)]]=0,0,Tabla2[[#This Row],[Beneficio Neto  (En RD$/Tarea)]]/Tabla2[[#This Row],[Costos (En RD$/Tarea)]])</f>
        <v>0.437963614119929</v>
      </c>
      <c r="P606" s="7" t="n">
        <f aca="false">Tabla2[[#This Row],[Rentabilidad (%)]]/12</f>
        <v>0.0364969678433275</v>
      </c>
    </row>
    <row r="607" customFormat="false" ht="14.25" hidden="false" customHeight="false" outlineLevel="0" collapsed="false">
      <c r="A607" s="1" t="n">
        <v>38047</v>
      </c>
      <c r="B607" s="2" t="s">
        <v>24</v>
      </c>
      <c r="C607" s="3" t="n">
        <v>8585</v>
      </c>
      <c r="D607" s="8" t="s">
        <v>17</v>
      </c>
      <c r="E607" s="3" t="n">
        <f aca="false">IF(Tabla2[[#This Row],[Frecuencia]]="Annual", Tabla2[[#This Row],[Cosecha/Tarea]]/12,Tabla2[[#This Row],[Cosecha/Tarea]])</f>
        <v>8585</v>
      </c>
      <c r="F607" s="3" t="n">
        <v>147841</v>
      </c>
      <c r="G607" s="2" t="s">
        <v>18</v>
      </c>
      <c r="H607" s="2" t="n">
        <f aca="false">F607/Tabla2[[#This Row],[Cosecha Mensual]]</f>
        <v>17.2208503203262</v>
      </c>
      <c r="I607" s="2" t="n">
        <f aca="false">H607*_xlfn.XLOOKUP(Tabla2[[#This Row],[Unidad de producción]],Tabla3[Medida],Tabla3[Equivalencia en Kg],"ELVIS",0)</f>
        <v>781.137770529994</v>
      </c>
      <c r="J607" s="2" t="n">
        <v>795</v>
      </c>
      <c r="K607" s="2" t="s">
        <v>18</v>
      </c>
      <c r="L607" s="2" t="n">
        <f aca="false">J607/_xlfn.XLOOKUP(Tabla2[[#This Row],[Unidad de precio]],Tabla3[Medida],Tabla3[Equivalencia en Kg],"ELVIS",0)</f>
        <v>17.526455026455</v>
      </c>
      <c r="M607" s="2" t="n">
        <v>2563.46</v>
      </c>
      <c r="N607" s="3" t="n">
        <f aca="false">(Tabla2[[#This Row],[Productividad (kg/TAS)]]*Tabla2[[#This Row],[Precio por kg]]-Tabla2[[#This Row],[Costos (En RD$/Tarea)]])</f>
        <v>11127.1160046593</v>
      </c>
      <c r="O607" s="9" t="n">
        <f aca="false">IF(Tabla2[[#This Row],[Costos (En RD$/Tarea)]]=0,0,Tabla2[[#This Row],[Beneficio Neto  (En RD$/Tarea)]]/Tabla2[[#This Row],[Costos (En RD$/Tarea)]])</f>
        <v>4.34066301196792</v>
      </c>
      <c r="P607" s="7" t="n">
        <f aca="false">Tabla2[[#This Row],[Rentabilidad (%)]]/12</f>
        <v>0.361721917663994</v>
      </c>
    </row>
    <row r="608" customFormat="false" ht="14.25" hidden="false" customHeight="false" outlineLevel="0" collapsed="false">
      <c r="A608" s="1" t="n">
        <v>38047</v>
      </c>
      <c r="B608" s="2" t="s">
        <v>25</v>
      </c>
      <c r="C608" s="3" t="n">
        <v>22456</v>
      </c>
      <c r="D608" s="8" t="s">
        <v>17</v>
      </c>
      <c r="E608" s="3" t="n">
        <f aca="false">IF(Tabla2[[#This Row],[Frecuencia]]="Annual", Tabla2[[#This Row],[Cosecha/Tarea]]/12,Tabla2[[#This Row],[Cosecha/Tarea]])</f>
        <v>22456</v>
      </c>
      <c r="F608" s="3" t="n">
        <v>205901</v>
      </c>
      <c r="G608" s="2" t="s">
        <v>18</v>
      </c>
      <c r="H608" s="2" t="n">
        <f aca="false">F608/Tabla2[[#This Row],[Cosecha Mensual]]</f>
        <v>9.16908621303883</v>
      </c>
      <c r="I608" s="2" t="n">
        <f aca="false">H608*_xlfn.XLOOKUP(Tabla2[[#This Row],[Unidad de producción]],Tabla3[Medida],Tabla3[Equivalencia en Kg],"ELVIS",0)</f>
        <v>415.909750623441</v>
      </c>
      <c r="J608" s="2" t="n">
        <v>258.61675</v>
      </c>
      <c r="K608" s="2" t="s">
        <v>18</v>
      </c>
      <c r="L608" s="2" t="n">
        <f aca="false">J608/_xlfn.XLOOKUP(Tabla2[[#This Row],[Unidad de precio]],Tabla3[Medida],Tabla3[Equivalencia en Kg],"ELVIS",0)</f>
        <v>5.7014274691358</v>
      </c>
      <c r="M608" s="2" t="n">
        <v>1852.92</v>
      </c>
      <c r="N608" s="3" t="n">
        <f aca="false">(Tabla2[[#This Row],[Productividad (kg/TAS)]]*Tabla2[[#This Row],[Precio por kg]]-Tabla2[[#This Row],[Costos (En RD$/Tarea)]])</f>
        <v>518.35927688591</v>
      </c>
      <c r="O608" s="9" t="n">
        <f aca="false">IF(Tabla2[[#This Row],[Costos (En RD$/Tarea)]]=0,0,Tabla2[[#This Row],[Beneficio Neto  (En RD$/Tarea)]]/Tabla2[[#This Row],[Costos (En RD$/Tarea)]])</f>
        <v>0.279752648190915</v>
      </c>
      <c r="P608" s="7" t="n">
        <f aca="false">Tabla2[[#This Row],[Rentabilidad (%)]]/12</f>
        <v>0.0233127206825763</v>
      </c>
    </row>
    <row r="609" customFormat="false" ht="14.25" hidden="false" customHeight="false" outlineLevel="0" collapsed="false">
      <c r="A609" s="1" t="n">
        <v>38047</v>
      </c>
      <c r="B609" s="2" t="s">
        <v>26</v>
      </c>
      <c r="C609" s="3" t="n">
        <v>8919</v>
      </c>
      <c r="D609" s="8" t="s">
        <v>17</v>
      </c>
      <c r="E609" s="3" t="n">
        <f aca="false">IF(Tabla2[[#This Row],[Frecuencia]]="Annual", Tabla2[[#This Row],[Cosecha/Tarea]]/12,Tabla2[[#This Row],[Cosecha/Tarea]])</f>
        <v>8919</v>
      </c>
      <c r="F609" s="3" t="n">
        <v>64808</v>
      </c>
      <c r="G609" s="2" t="s">
        <v>18</v>
      </c>
      <c r="H609" s="2" t="n">
        <f aca="false">F609/Tabla2[[#This Row],[Cosecha Mensual]]</f>
        <v>7.26628545801099</v>
      </c>
      <c r="I609" s="2" t="n">
        <f aca="false">H609*_xlfn.XLOOKUP(Tabla2[[#This Row],[Unidad de producción]],Tabla3[Medida],Tabla3[Equivalencia en Kg],"ELVIS",0)</f>
        <v>329.598708375378</v>
      </c>
      <c r="J609" s="2" t="n">
        <v>385</v>
      </c>
      <c r="K609" s="2" t="s">
        <v>18</v>
      </c>
      <c r="L609" s="2" t="n">
        <f aca="false">J609/_xlfn.XLOOKUP(Tabla2[[#This Row],[Unidad de precio]],Tabla3[Medida],Tabla3[Equivalencia en Kg],"ELVIS",0)</f>
        <v>8.48765432098766</v>
      </c>
      <c r="M609" s="2" t="n">
        <v>1244.4</v>
      </c>
      <c r="N609" s="3" t="n">
        <f aca="false">(Tabla2[[#This Row],[Productividad (kg/TAS)]]*Tabla2[[#This Row],[Precio por kg]]-Tabla2[[#This Row],[Costos (En RD$/Tarea)]])</f>
        <v>1553.11990133423</v>
      </c>
      <c r="O609" s="9" t="n">
        <f aca="false">IF(Tabla2[[#This Row],[Costos (En RD$/Tarea)]]=0,0,Tabla2[[#This Row],[Beneficio Neto  (En RD$/Tarea)]]/Tabla2[[#This Row],[Costos (En RD$/Tarea)]])</f>
        <v>1.24808735240616</v>
      </c>
      <c r="P609" s="7" t="n">
        <f aca="false">Tabla2[[#This Row],[Rentabilidad (%)]]/12</f>
        <v>0.10400727936718</v>
      </c>
    </row>
    <row r="610" customFormat="false" ht="14.25" hidden="false" customHeight="false" outlineLevel="0" collapsed="false">
      <c r="A610" s="1" t="n">
        <v>38047</v>
      </c>
      <c r="B610" s="2" t="s">
        <v>27</v>
      </c>
      <c r="C610" s="3" t="n">
        <v>4780</v>
      </c>
      <c r="D610" s="8" t="s">
        <v>17</v>
      </c>
      <c r="E610" s="3" t="n">
        <f aca="false">IF(Tabla2[[#This Row],[Frecuencia]]="Annual", Tabla2[[#This Row],[Cosecha/Tarea]]/12,Tabla2[[#This Row],[Cosecha/Tarea]])</f>
        <v>4780</v>
      </c>
      <c r="F610" s="3" t="n">
        <v>41016</v>
      </c>
      <c r="G610" s="2" t="s">
        <v>18</v>
      </c>
      <c r="H610" s="2" t="n">
        <f aca="false">F610/Tabla2[[#This Row],[Cosecha Mensual]]</f>
        <v>8.58075313807531</v>
      </c>
      <c r="I610" s="2" t="n">
        <f aca="false">H610*_xlfn.XLOOKUP(Tabla2[[#This Row],[Unidad de producción]],Tabla3[Medida],Tabla3[Equivalencia en Kg],"ELVIS",0)</f>
        <v>389.222962343096</v>
      </c>
      <c r="J610" s="2" t="n">
        <v>426.04</v>
      </c>
      <c r="K610" s="2" t="s">
        <v>18</v>
      </c>
      <c r="L610" s="2" t="n">
        <f aca="false">J610/_xlfn.XLOOKUP(Tabla2[[#This Row],[Unidad de precio]],Tabla3[Medida],Tabla3[Equivalencia en Kg],"ELVIS",0)</f>
        <v>9.39241622574956</v>
      </c>
      <c r="M610" s="2" t="n">
        <v>4235.82</v>
      </c>
      <c r="N610" s="3" t="n">
        <f aca="false">(Tabla2[[#This Row],[Productividad (kg/TAS)]]*Tabla2[[#This Row],[Precio por kg]]-Tabla2[[#This Row],[Costos (En RD$/Tarea)]])</f>
        <v>-580.075933054392</v>
      </c>
      <c r="O610" s="9" t="n">
        <f aca="false">IF(Tabla2[[#This Row],[Costos (En RD$/Tarea)]]=0,0,Tabla2[[#This Row],[Beneficio Neto  (En RD$/Tarea)]]/Tabla2[[#This Row],[Costos (En RD$/Tarea)]])</f>
        <v>-0.136945369032299</v>
      </c>
      <c r="P610" s="7" t="n">
        <f aca="false">Tabla2[[#This Row],[Rentabilidad (%)]]/12</f>
        <v>-0.0114121140860249</v>
      </c>
    </row>
    <row r="611" customFormat="false" ht="14.25" hidden="false" customHeight="false" outlineLevel="0" collapsed="false">
      <c r="A611" s="1" t="n">
        <v>38047</v>
      </c>
      <c r="B611" s="2" t="s">
        <v>28</v>
      </c>
      <c r="C611" s="3" t="n">
        <v>4606</v>
      </c>
      <c r="D611" s="8" t="s">
        <v>17</v>
      </c>
      <c r="E611" s="3" t="n">
        <f aca="false">IF(Tabla2[[#This Row],[Frecuencia]]="Annual", Tabla2[[#This Row],[Cosecha/Tarea]]/12,Tabla2[[#This Row],[Cosecha/Tarea]])</f>
        <v>4606</v>
      </c>
      <c r="F611" s="3" t="n">
        <v>6372</v>
      </c>
      <c r="G611" s="2" t="s">
        <v>29</v>
      </c>
      <c r="H611" s="2" t="n">
        <f aca="false">F611/Tabla2[[#This Row],[Cosecha Mensual]]</f>
        <v>1.38341293964394</v>
      </c>
      <c r="I611" s="2" t="n">
        <f aca="false">H611*_xlfn.XLOOKUP(Tabla2[[#This Row],[Unidad de producción]],Tabla3[Medida],Tabla3[Equivalencia en Kg],"ELVIS",0)</f>
        <v>777.948432479375</v>
      </c>
      <c r="J611" s="2" t="n">
        <v>1500</v>
      </c>
      <c r="K611" s="2" t="s">
        <v>29</v>
      </c>
      <c r="L611" s="2" t="n">
        <f aca="false">J611/_xlfn.XLOOKUP(Tabla2[[#This Row],[Unidad de precio]],Tabla3[Medida],Tabla3[Equivalencia en Kg],"ELVIS",0)</f>
        <v>2.66742540100295</v>
      </c>
      <c r="M611" s="2" t="n">
        <v>7896.87291948</v>
      </c>
      <c r="N611" s="3" t="n">
        <f aca="false">(Tabla2[[#This Row],[Productividad (kg/TAS)]]*Tabla2[[#This Row],[Precio por kg]]-Tabla2[[#This Row],[Costos (En RD$/Tarea)]])</f>
        <v>-5821.75351001409</v>
      </c>
      <c r="O611" s="9" t="n">
        <f aca="false">IF(Tabla2[[#This Row],[Costos (En RD$/Tarea)]]=0,0,Tabla2[[#This Row],[Beneficio Neto  (En RD$/Tarea)]]/Tabla2[[#This Row],[Costos (En RD$/Tarea)]])</f>
        <v>-0.737222641085307</v>
      </c>
      <c r="P611" s="7" t="n">
        <f aca="false">Tabla2[[#This Row],[Rentabilidad (%)]]/12</f>
        <v>-0.0614352200904423</v>
      </c>
    </row>
    <row r="612" customFormat="false" ht="14.25" hidden="false" customHeight="false" outlineLevel="0" collapsed="false">
      <c r="A612" s="1" t="n">
        <v>38047</v>
      </c>
      <c r="B612" s="2" t="s">
        <v>30</v>
      </c>
      <c r="C612" s="3" t="n">
        <v>240406</v>
      </c>
      <c r="D612" s="3" t="s">
        <v>31</v>
      </c>
      <c r="E612" s="3" t="n">
        <f aca="false">IF(Tabla2[[#This Row],[Frecuencia]]="Annual", Tabla2[[#This Row],[Cosecha/Tarea]]/12,Tabla2[[#This Row],[Cosecha/Tarea]])</f>
        <v>20033.8333333333</v>
      </c>
      <c r="F612" s="3" t="n">
        <v>1752055</v>
      </c>
      <c r="G612" s="2" t="s">
        <v>32</v>
      </c>
      <c r="H612" s="2" t="n">
        <f aca="false">F612/Tabla2[[#This Row],[Cosecha Mensual]]</f>
        <v>87.454805620492</v>
      </c>
      <c r="I612" s="2" t="n">
        <f aca="false">H612*_xlfn.XLOOKUP(Tabla2[[#This Row],[Unidad de producción]],Tabla3[Medida],Tabla3[Equivalencia en Kg],"ELVIS",0)</f>
        <v>2379.64526093359</v>
      </c>
      <c r="J612" s="2" t="n">
        <v>49.75</v>
      </c>
      <c r="K612" s="2" t="s">
        <v>32</v>
      </c>
      <c r="L612" s="2" t="n">
        <f aca="false">J612/_xlfn.XLOOKUP(Tabla2[[#This Row],[Unidad de precio]],Tabla3[Medida],Tabla3[Equivalencia en Kg],"ELVIS",0)</f>
        <v>1.82837192208747</v>
      </c>
      <c r="M612" s="3" t="n">
        <v>6693.79</v>
      </c>
      <c r="N612" s="3" t="n">
        <f aca="false">(Tabla2[[#This Row],[Productividad (kg/TAS)]]*Tabla2[[#This Row],[Precio por kg]]-Tabla2[[#This Row],[Costos (En RD$/Tarea)]])</f>
        <v>-2342.91342038052</v>
      </c>
      <c r="O612" s="9" t="n">
        <f aca="false">IF(Tabla2[[#This Row],[Costos (En RD$/Tarea)]]=0,0,Tabla2[[#This Row],[Beneficio Neto  (En RD$/Tarea)]]/Tabla2[[#This Row],[Costos (En RD$/Tarea)]])</f>
        <v>-0.350012985226684</v>
      </c>
      <c r="P612" s="7" t="n">
        <f aca="false">Tabla2[[#This Row],[Rentabilidad (%)]]/12</f>
        <v>-0.0291677487688903</v>
      </c>
    </row>
    <row r="613" customFormat="false" ht="14.25" hidden="false" customHeight="false" outlineLevel="0" collapsed="false">
      <c r="A613" s="1" t="n">
        <v>38047</v>
      </c>
      <c r="B613" s="2" t="s">
        <v>33</v>
      </c>
      <c r="C613" s="3" t="n">
        <v>559080</v>
      </c>
      <c r="D613" s="3" t="s">
        <v>31</v>
      </c>
      <c r="E613" s="3" t="n">
        <f aca="false">IF(Tabla2[[#This Row],[Frecuencia]]="Annual", Tabla2[[#This Row],[Cosecha/Tarea]]/12,Tabla2[[#This Row],[Cosecha/Tarea]])</f>
        <v>46590</v>
      </c>
      <c r="F613" s="3" t="n">
        <v>83759</v>
      </c>
      <c r="G613" s="2" t="s">
        <v>34</v>
      </c>
      <c r="H613" s="2" t="n">
        <f aca="false">F613/Tabla2[[#This Row],[Cosecha Mensual]]</f>
        <v>1.79778922515561</v>
      </c>
      <c r="I613" s="2" t="n">
        <f aca="false">H613*_xlfn.XLOOKUP(Tabla2[[#This Row],[Unidad de producción]],Tabla3[Medida],Tabla3[Equivalencia en Kg],"ELVIS",0)</f>
        <v>733.767672247263</v>
      </c>
      <c r="J613" s="2" t="n">
        <v>2209.375</v>
      </c>
      <c r="K613" s="2" t="s">
        <v>34</v>
      </c>
      <c r="L613" s="2" t="n">
        <f aca="false">J613/_xlfn.XLOOKUP(Tabla2[[#This Row],[Unidad de precio]],Tabla3[Medida],Tabla3[Equivalencia en Kg],"ELVIS",0)</f>
        <v>5.41314467720201</v>
      </c>
      <c r="M613" s="3" t="n">
        <v>8906.28</v>
      </c>
      <c r="N613" s="3" t="n">
        <f aca="false">(Tabla2[[#This Row],[Productividad (kg/TAS)]]*Tabla2[[#This Row],[Precio por kg]]-Tabla2[[#This Row],[Costos (En RD$/Tarea)]])</f>
        <v>-4934.28943067182</v>
      </c>
      <c r="O613" s="9" t="n">
        <f aca="false">IF(Tabla2[[#This Row],[Costos (En RD$/Tarea)]]=0,0,Tabla2[[#This Row],[Beneficio Neto  (En RD$/Tarea)]]/Tabla2[[#This Row],[Costos (En RD$/Tarea)]])</f>
        <v>-0.554023613750277</v>
      </c>
      <c r="P613" s="7" t="n">
        <f aca="false">Tabla2[[#This Row],[Rentabilidad (%)]]/12</f>
        <v>-0.0461686344791898</v>
      </c>
    </row>
    <row r="614" customFormat="false" ht="14.25" hidden="false" customHeight="false" outlineLevel="0" collapsed="false">
      <c r="A614" s="1" t="n">
        <v>38078</v>
      </c>
      <c r="B614" s="2" t="s">
        <v>16</v>
      </c>
      <c r="C614" s="3" t="n">
        <v>29970</v>
      </c>
      <c r="D614" s="8" t="s">
        <v>17</v>
      </c>
      <c r="E614" s="3" t="n">
        <f aca="false">IF(Tabla2[[#This Row],[Frecuencia]]="Annual", Tabla2[[#This Row],[Cosecha/Tarea]]/12,Tabla2[[#This Row],[Cosecha/Tarea]])</f>
        <v>29970</v>
      </c>
      <c r="F614" s="3" t="n">
        <v>123527</v>
      </c>
      <c r="G614" s="2" t="s">
        <v>18</v>
      </c>
      <c r="H614" s="2" t="n">
        <f aca="false">F614/Tabla2[[#This Row],[Cosecha Mensual]]</f>
        <v>4.12168835502169</v>
      </c>
      <c r="I614" s="2" t="n">
        <f aca="false">H614*_xlfn.XLOOKUP(Tabla2[[#This Row],[Unidad de producción]],Tabla3[Medida],Tabla3[Equivalencia en Kg],"ELVIS",0)</f>
        <v>186.959783783784</v>
      </c>
      <c r="J614" s="2" t="n">
        <v>1413.88666666667</v>
      </c>
      <c r="K614" s="2" t="s">
        <v>19</v>
      </c>
      <c r="L614" s="2" t="n">
        <f aca="false">J614/_xlfn.XLOOKUP(Tabla2[[#This Row],[Unidad de precio]],Tabla3[Medida],Tabla3[Equivalencia en Kg],"ELVIS",0)</f>
        <v>12.8535151515152</v>
      </c>
      <c r="M614" s="2" t="n">
        <v>4376.41</v>
      </c>
      <c r="N614" s="3" t="n">
        <f aca="false">(Tabla2[[#This Row],[Productividad (kg/TAS)]]*Tabla2[[#This Row],[Precio por kg]]-Tabla2[[#This Row],[Costos (En RD$/Tarea)]])</f>
        <v>-1973.31958641113</v>
      </c>
      <c r="O614" s="9" t="n">
        <f aca="false">IF(Tabla2[[#This Row],[Costos (En RD$/Tarea)]]=0,0,Tabla2[[#This Row],[Beneficio Neto  (En RD$/Tarea)]]/Tabla2[[#This Row],[Costos (En RD$/Tarea)]])</f>
        <v>-0.450899158536593</v>
      </c>
      <c r="P614" s="7" t="n">
        <f aca="false">Tabla2[[#This Row],[Rentabilidad (%)]]/12</f>
        <v>-0.0375749298780495</v>
      </c>
    </row>
    <row r="615" customFormat="false" ht="14.25" hidden="false" customHeight="false" outlineLevel="0" collapsed="false">
      <c r="A615" s="1" t="n">
        <v>38078</v>
      </c>
      <c r="B615" s="2" t="s">
        <v>20</v>
      </c>
      <c r="C615" s="3" t="n">
        <v>38864</v>
      </c>
      <c r="D615" s="8" t="s">
        <v>17</v>
      </c>
      <c r="E615" s="3" t="n">
        <f aca="false">IF(Tabla2[[#This Row],[Frecuencia]]="Annual", Tabla2[[#This Row],[Cosecha/Tarea]]/12,Tabla2[[#This Row],[Cosecha/Tarea]])</f>
        <v>38864</v>
      </c>
      <c r="F615" s="3" t="n">
        <v>85095</v>
      </c>
      <c r="G615" s="2" t="s">
        <v>18</v>
      </c>
      <c r="H615" s="2" t="n">
        <f aca="false">F615/Tabla2[[#This Row],[Cosecha Mensual]]</f>
        <v>2.18955846027172</v>
      </c>
      <c r="I615" s="2" t="n">
        <f aca="false">H615*_xlfn.XLOOKUP(Tabla2[[#This Row],[Unidad de producción]],Tabla3[Medida],Tabla3[Equivalencia en Kg],"ELVIS",0)</f>
        <v>99.3183717579251</v>
      </c>
      <c r="J615" s="2" t="n">
        <v>430.49</v>
      </c>
      <c r="K615" s="2" t="s">
        <v>18</v>
      </c>
      <c r="L615" s="2" t="n">
        <f aca="false">J615/_xlfn.XLOOKUP(Tabla2[[#This Row],[Unidad de precio]],Tabla3[Medida],Tabla3[Equivalencia en Kg],"ELVIS",0)</f>
        <v>9.49052028218695</v>
      </c>
      <c r="M615" s="2" t="n">
        <v>1100.66</v>
      </c>
      <c r="N615" s="3" t="n">
        <f aca="false">(Tabla2[[#This Row],[Productividad (kg/TAS)]]*Tabla2[[#This Row],[Precio por kg]]-Tabla2[[#This Row],[Costos (En RD$/Tarea)]])</f>
        <v>-158.076978437629</v>
      </c>
      <c r="O615" s="9" t="n">
        <f aca="false">IF(Tabla2[[#This Row],[Costos (En RD$/Tarea)]]=0,0,Tabla2[[#This Row],[Beneficio Neto  (En RD$/Tarea)]]/Tabla2[[#This Row],[Costos (En RD$/Tarea)]])</f>
        <v>-0.143620171931049</v>
      </c>
      <c r="P615" s="7" t="n">
        <f aca="false">Tabla2[[#This Row],[Rentabilidad (%)]]/12</f>
        <v>-0.0119683476609208</v>
      </c>
    </row>
    <row r="616" customFormat="false" ht="14.25" hidden="false" customHeight="false" outlineLevel="0" collapsed="false">
      <c r="A616" s="1" t="n">
        <v>38078</v>
      </c>
      <c r="B616" s="2" t="s">
        <v>21</v>
      </c>
      <c r="C616" s="3" t="n">
        <v>8320</v>
      </c>
      <c r="D616" s="8" t="s">
        <v>17</v>
      </c>
      <c r="E616" s="3" t="n">
        <f aca="false">IF(Tabla2[[#This Row],[Frecuencia]]="Annual", Tabla2[[#This Row],[Cosecha/Tarea]]/12,Tabla2[[#This Row],[Cosecha/Tarea]])</f>
        <v>8320</v>
      </c>
      <c r="F616" s="3" t="n">
        <v>76606</v>
      </c>
      <c r="G616" s="2" t="s">
        <v>18</v>
      </c>
      <c r="H616" s="2" t="n">
        <f aca="false">F616/Tabla2[[#This Row],[Cosecha Mensual]]</f>
        <v>9.20745192307692</v>
      </c>
      <c r="I616" s="2" t="n">
        <f aca="false">H616*_xlfn.XLOOKUP(Tabla2[[#This Row],[Unidad de producción]],Tabla3[Medida],Tabla3[Equivalencia en Kg],"ELVIS",0)</f>
        <v>417.650019230769</v>
      </c>
      <c r="J616" s="2" t="n">
        <v>474.766</v>
      </c>
      <c r="K616" s="2" t="s">
        <v>18</v>
      </c>
      <c r="L616" s="2" t="n">
        <f aca="false">J616/_xlfn.XLOOKUP(Tabla2[[#This Row],[Unidad de precio]],Tabla3[Medida],Tabla3[Equivalencia en Kg],"ELVIS",0)</f>
        <v>10.4666225749559</v>
      </c>
      <c r="M616" s="2" t="n">
        <v>3591.85</v>
      </c>
      <c r="N616" s="3" t="n">
        <f aca="false">(Tabla2[[#This Row],[Productividad (kg/TAS)]]*Tabla2[[#This Row],[Precio por kg]]-Tabla2[[#This Row],[Costos (En RD$/Tarea)]])</f>
        <v>779.535119711539</v>
      </c>
      <c r="O616" s="9" t="n">
        <f aca="false">IF(Tabla2[[#This Row],[Costos (En RD$/Tarea)]]=0,0,Tabla2[[#This Row],[Beneficio Neto  (En RD$/Tarea)]]/Tabla2[[#This Row],[Costos (En RD$/Tarea)]])</f>
        <v>0.21702886248355</v>
      </c>
      <c r="P616" s="7" t="n">
        <f aca="false">Tabla2[[#This Row],[Rentabilidad (%)]]/12</f>
        <v>0.0180857385402958</v>
      </c>
    </row>
    <row r="617" customFormat="false" ht="14.25" hidden="false" customHeight="false" outlineLevel="0" collapsed="false">
      <c r="A617" s="1" t="n">
        <v>38078</v>
      </c>
      <c r="B617" s="2" t="s">
        <v>22</v>
      </c>
      <c r="C617" s="3" t="n">
        <v>3614</v>
      </c>
      <c r="D617" s="8" t="s">
        <v>17</v>
      </c>
      <c r="E617" s="3" t="n">
        <f aca="false">IF(Tabla2[[#This Row],[Frecuencia]]="Annual", Tabla2[[#This Row],[Cosecha/Tarea]]/12,Tabla2[[#This Row],[Cosecha/Tarea]])</f>
        <v>3614</v>
      </c>
      <c r="F617" s="3" t="n">
        <v>31586</v>
      </c>
      <c r="G617" s="2" t="s">
        <v>18</v>
      </c>
      <c r="H617" s="2" t="n">
        <f aca="false">F617/Tabla2[[#This Row],[Cosecha Mensual]]</f>
        <v>8.7399003873824</v>
      </c>
      <c r="I617" s="2" t="n">
        <f aca="false">H617*_xlfn.XLOOKUP(Tabla2[[#This Row],[Unidad de producción]],Tabla3[Medida],Tabla3[Equivalencia en Kg],"ELVIS",0)</f>
        <v>396.441881571666</v>
      </c>
      <c r="J617" s="2" t="n">
        <v>593.5</v>
      </c>
      <c r="K617" s="2" t="s">
        <v>18</v>
      </c>
      <c r="L617" s="2" t="n">
        <f aca="false">J617/_xlfn.XLOOKUP(Tabla2[[#This Row],[Unidad de precio]],Tabla3[Medida],Tabla3[Equivalencia en Kg],"ELVIS",0)</f>
        <v>13.0842151675485</v>
      </c>
      <c r="M617" s="2" t="n">
        <v>3985.16</v>
      </c>
      <c r="N617" s="3" t="n">
        <f aca="false">(Tabla2[[#This Row],[Productividad (kg/TAS)]]*Tabla2[[#This Row],[Precio por kg]]-Tabla2[[#This Row],[Costos (En RD$/Tarea)]])</f>
        <v>1201.97087991146</v>
      </c>
      <c r="O617" s="9" t="n">
        <f aca="false">IF(Tabla2[[#This Row],[Costos (En RD$/Tarea)]]=0,0,Tabla2[[#This Row],[Beneficio Neto  (En RD$/Tarea)]]/Tabla2[[#This Row],[Costos (En RD$/Tarea)]])</f>
        <v>0.301611699382573</v>
      </c>
      <c r="P617" s="7" t="n">
        <f aca="false">Tabla2[[#This Row],[Rentabilidad (%)]]/12</f>
        <v>0.0251343082818811</v>
      </c>
    </row>
    <row r="618" customFormat="false" ht="14.25" hidden="false" customHeight="false" outlineLevel="0" collapsed="false">
      <c r="A618" s="1" t="n">
        <v>38078</v>
      </c>
      <c r="B618" s="2" t="s">
        <v>23</v>
      </c>
      <c r="C618" s="3" t="n">
        <v>3352</v>
      </c>
      <c r="D618" s="8" t="s">
        <v>17</v>
      </c>
      <c r="E618" s="3" t="n">
        <f aca="false">IF(Tabla2[[#This Row],[Frecuencia]]="Annual", Tabla2[[#This Row],[Cosecha/Tarea]]/12,Tabla2[[#This Row],[Cosecha/Tarea]])</f>
        <v>3352</v>
      </c>
      <c r="F618" s="3" t="n">
        <v>102236</v>
      </c>
      <c r="G618" s="2" t="s">
        <v>18</v>
      </c>
      <c r="H618" s="2" t="n">
        <f aca="false">F618/Tabla2[[#This Row],[Cosecha Mensual]]</f>
        <v>30.5</v>
      </c>
      <c r="I618" s="2" t="n">
        <f aca="false">H618*_xlfn.XLOOKUP(Tabla2[[#This Row],[Unidad de producción]],Tabla3[Medida],Tabla3[Equivalencia en Kg],"ELVIS",0)</f>
        <v>1383.48</v>
      </c>
      <c r="J618" s="2" t="n">
        <v>381.875</v>
      </c>
      <c r="K618" s="2" t="s">
        <v>18</v>
      </c>
      <c r="L618" s="2" t="n">
        <f aca="false">J618/_xlfn.XLOOKUP(Tabla2[[#This Row],[Unidad de precio]],Tabla3[Medida],Tabla3[Equivalencia en Kg],"ELVIS",0)</f>
        <v>8.41876102292769</v>
      </c>
      <c r="M618" s="2" t="n">
        <v>9274.52</v>
      </c>
      <c r="N618" s="3" t="n">
        <f aca="false">(Tabla2[[#This Row],[Productividad (kg/TAS)]]*Tabla2[[#This Row],[Precio por kg]]-Tabla2[[#This Row],[Costos (En RD$/Tarea)]])</f>
        <v>2372.6675</v>
      </c>
      <c r="O618" s="9" t="n">
        <f aca="false">IF(Tabla2[[#This Row],[Costos (En RD$/Tarea)]]=0,0,Tabla2[[#This Row],[Beneficio Neto  (En RD$/Tarea)]]/Tabla2[[#This Row],[Costos (En RD$/Tarea)]])</f>
        <v>0.255826447082976</v>
      </c>
      <c r="P618" s="7" t="n">
        <f aca="false">Tabla2[[#This Row],[Rentabilidad (%)]]/12</f>
        <v>0.021318870590248</v>
      </c>
    </row>
    <row r="619" customFormat="false" ht="14.25" hidden="false" customHeight="false" outlineLevel="0" collapsed="false">
      <c r="A619" s="1" t="n">
        <v>38078</v>
      </c>
      <c r="B619" s="2" t="s">
        <v>24</v>
      </c>
      <c r="C619" s="3" t="n">
        <v>8286</v>
      </c>
      <c r="D619" s="8" t="s">
        <v>17</v>
      </c>
      <c r="E619" s="3" t="n">
        <f aca="false">IF(Tabla2[[#This Row],[Frecuencia]]="Annual", Tabla2[[#This Row],[Cosecha/Tarea]]/12,Tabla2[[#This Row],[Cosecha/Tarea]])</f>
        <v>8286</v>
      </c>
      <c r="F619" s="3" t="n">
        <v>155360</v>
      </c>
      <c r="G619" s="2" t="s">
        <v>18</v>
      </c>
      <c r="H619" s="2" t="n">
        <f aca="false">F619/Tabla2[[#This Row],[Cosecha Mensual]]</f>
        <v>18.749698286266</v>
      </c>
      <c r="I619" s="2" t="n">
        <f aca="false">H619*_xlfn.XLOOKUP(Tabla2[[#This Row],[Unidad de producción]],Tabla3[Medida],Tabla3[Equivalencia en Kg],"ELVIS",0)</f>
        <v>850.486314265025</v>
      </c>
      <c r="J619" s="2" t="n">
        <v>880.833333333333</v>
      </c>
      <c r="K619" s="2" t="s">
        <v>18</v>
      </c>
      <c r="L619" s="2" t="n">
        <f aca="false">J619/_xlfn.XLOOKUP(Tabla2[[#This Row],[Unidad de precio]],Tabla3[Medida],Tabla3[Equivalencia en Kg],"ELVIS",0)</f>
        <v>19.4187242798354</v>
      </c>
      <c r="M619" s="2" t="n">
        <v>2563.46</v>
      </c>
      <c r="N619" s="3" t="n">
        <f aca="false">(Tabla2[[#This Row],[Productividad (kg/TAS)]]*Tabla2[[#This Row],[Precio por kg]]-Tabla2[[#This Row],[Costos (En RD$/Tarea)]])</f>
        <v>13951.899240486</v>
      </c>
      <c r="O619" s="9" t="n">
        <f aca="false">IF(Tabla2[[#This Row],[Costos (En RD$/Tarea)]]=0,0,Tabla2[[#This Row],[Beneficio Neto  (En RD$/Tarea)]]/Tabla2[[#This Row],[Costos (En RD$/Tarea)]])</f>
        <v>5.44260462050742</v>
      </c>
      <c r="P619" s="7" t="n">
        <f aca="false">Tabla2[[#This Row],[Rentabilidad (%)]]/12</f>
        <v>0.453550385042285</v>
      </c>
    </row>
    <row r="620" customFormat="false" ht="14.25" hidden="false" customHeight="false" outlineLevel="0" collapsed="false">
      <c r="A620" s="1" t="n">
        <v>38078</v>
      </c>
      <c r="B620" s="2" t="s">
        <v>25</v>
      </c>
      <c r="C620" s="3" t="n">
        <v>24197</v>
      </c>
      <c r="D620" s="8" t="s">
        <v>17</v>
      </c>
      <c r="E620" s="3" t="n">
        <f aca="false">IF(Tabla2[[#This Row],[Frecuencia]]="Annual", Tabla2[[#This Row],[Cosecha/Tarea]]/12,Tabla2[[#This Row],[Cosecha/Tarea]])</f>
        <v>24197</v>
      </c>
      <c r="F620" s="3" t="n">
        <v>232775</v>
      </c>
      <c r="G620" s="2" t="s">
        <v>18</v>
      </c>
      <c r="H620" s="2" t="n">
        <f aca="false">F620/Tabla2[[#This Row],[Cosecha Mensual]]</f>
        <v>9.61999421415878</v>
      </c>
      <c r="I620" s="2" t="n">
        <f aca="false">H620*_xlfn.XLOOKUP(Tabla2[[#This Row],[Unidad de producción]],Tabla3[Medida],Tabla3[Equivalencia en Kg],"ELVIS",0)</f>
        <v>436.362937554242</v>
      </c>
      <c r="J620" s="2" t="n">
        <v>505.756666666667</v>
      </c>
      <c r="K620" s="2" t="s">
        <v>18</v>
      </c>
      <c r="L620" s="2" t="n">
        <f aca="false">J620/_xlfn.XLOOKUP(Tabla2[[#This Row],[Unidad de precio]],Tabla3[Medida],Tabla3[Equivalencia en Kg],"ELVIS",0)</f>
        <v>11.1498383303939</v>
      </c>
      <c r="M620" s="2" t="n">
        <v>1852.92</v>
      </c>
      <c r="N620" s="3" t="n">
        <f aca="false">(Tabla2[[#This Row],[Productividad (kg/TAS)]]*Tabla2[[#This Row],[Precio por kg]]-Tabla2[[#This Row],[Costos (En RD$/Tarea)]])</f>
        <v>3012.45620710557</v>
      </c>
      <c r="O620" s="9" t="n">
        <f aca="false">IF(Tabla2[[#This Row],[Costos (En RD$/Tarea)]]=0,0,Tabla2[[#This Row],[Beneficio Neto  (En RD$/Tarea)]]/Tabla2[[#This Row],[Costos (En RD$/Tarea)]])</f>
        <v>1.62578859697427</v>
      </c>
      <c r="P620" s="7" t="n">
        <f aca="false">Tabla2[[#This Row],[Rentabilidad (%)]]/12</f>
        <v>0.135482383081189</v>
      </c>
    </row>
    <row r="621" customFormat="false" ht="14.25" hidden="false" customHeight="false" outlineLevel="0" collapsed="false">
      <c r="A621" s="1" t="n">
        <v>38078</v>
      </c>
      <c r="B621" s="2" t="s">
        <v>26</v>
      </c>
      <c r="C621" s="3" t="n">
        <v>9551</v>
      </c>
      <c r="D621" s="8" t="s">
        <v>17</v>
      </c>
      <c r="E621" s="3" t="n">
        <f aca="false">IF(Tabla2[[#This Row],[Frecuencia]]="Annual", Tabla2[[#This Row],[Cosecha/Tarea]]/12,Tabla2[[#This Row],[Cosecha/Tarea]])</f>
        <v>9551</v>
      </c>
      <c r="F621" s="3" t="n">
        <v>83379</v>
      </c>
      <c r="G621" s="2" t="s">
        <v>18</v>
      </c>
      <c r="H621" s="2" t="n">
        <f aca="false">F621/Tabla2[[#This Row],[Cosecha Mensual]]</f>
        <v>8.72987121767354</v>
      </c>
      <c r="I621" s="2" t="n">
        <f aca="false">H621*_xlfn.XLOOKUP(Tabla2[[#This Row],[Unidad de producción]],Tabla3[Medida],Tabla3[Equivalencia en Kg],"ELVIS",0)</f>
        <v>395.986958433672</v>
      </c>
      <c r="J621" s="2" t="n">
        <v>466.666666666667</v>
      </c>
      <c r="K621" s="2" t="s">
        <v>18</v>
      </c>
      <c r="L621" s="2" t="n">
        <f aca="false">J621/_xlfn.XLOOKUP(Tabla2[[#This Row],[Unidad de precio]],Tabla3[Medida],Tabla3[Equivalencia en Kg],"ELVIS",0)</f>
        <v>10.2880658436214</v>
      </c>
      <c r="M621" s="2" t="n">
        <v>1244.4</v>
      </c>
      <c r="N621" s="3" t="n">
        <f aca="false">(Tabla2[[#This Row],[Productividad (kg/TAS)]]*Tabla2[[#This Row],[Precio por kg]]-Tabla2[[#This Row],[Costos (En RD$/Tarea)]])</f>
        <v>2829.53990158099</v>
      </c>
      <c r="O621" s="9" t="n">
        <f aca="false">IF(Tabla2[[#This Row],[Costos (En RD$/Tarea)]]=0,0,Tabla2[[#This Row],[Beneficio Neto  (En RD$/Tarea)]]/Tabla2[[#This Row],[Costos (En RD$/Tarea)]])</f>
        <v>2.27381862872146</v>
      </c>
      <c r="P621" s="7" t="n">
        <f aca="false">Tabla2[[#This Row],[Rentabilidad (%)]]/12</f>
        <v>0.189484885726789</v>
      </c>
    </row>
    <row r="622" customFormat="false" ht="14.25" hidden="false" customHeight="false" outlineLevel="0" collapsed="false">
      <c r="A622" s="1" t="n">
        <v>38078</v>
      </c>
      <c r="B622" s="2" t="s">
        <v>27</v>
      </c>
      <c r="C622" s="3" t="n">
        <v>5415</v>
      </c>
      <c r="D622" s="8" t="s">
        <v>17</v>
      </c>
      <c r="E622" s="3" t="n">
        <f aca="false">IF(Tabla2[[#This Row],[Frecuencia]]="Annual", Tabla2[[#This Row],[Cosecha/Tarea]]/12,Tabla2[[#This Row],[Cosecha/Tarea]])</f>
        <v>5415</v>
      </c>
      <c r="F622" s="3" t="n">
        <v>47578</v>
      </c>
      <c r="G622" s="2" t="s">
        <v>18</v>
      </c>
      <c r="H622" s="2" t="n">
        <f aca="false">F622/Tabla2[[#This Row],[Cosecha Mensual]]</f>
        <v>8.78633425669437</v>
      </c>
      <c r="I622" s="2" t="n">
        <f aca="false">H622*_xlfn.XLOOKUP(Tabla2[[#This Row],[Unidad de producción]],Tabla3[Medida],Tabla3[Equivalencia en Kg],"ELVIS",0)</f>
        <v>398.548121883657</v>
      </c>
      <c r="J622" s="2" t="n">
        <v>381.8125</v>
      </c>
      <c r="K622" s="2" t="s">
        <v>18</v>
      </c>
      <c r="L622" s="2" t="n">
        <f aca="false">J622/_xlfn.XLOOKUP(Tabla2[[#This Row],[Unidad de precio]],Tabla3[Medida],Tabla3[Equivalencia en Kg],"ELVIS",0)</f>
        <v>8.41738315696649</v>
      </c>
      <c r="M622" s="2" t="n">
        <v>4235.82</v>
      </c>
      <c r="N622" s="3" t="n">
        <f aca="false">(Tabla2[[#This Row],[Productividad (kg/TAS)]]*Tabla2[[#This Row],[Precio por kg]]-Tabla2[[#This Row],[Costos (En RD$/Tarea)]])</f>
        <v>-881.087751615882</v>
      </c>
      <c r="O622" s="9" t="n">
        <f aca="false">IF(Tabla2[[#This Row],[Costos (En RD$/Tarea)]]=0,0,Tabla2[[#This Row],[Beneficio Neto  (En RD$/Tarea)]]/Tabla2[[#This Row],[Costos (En RD$/Tarea)]])</f>
        <v>-0.208008780263534</v>
      </c>
      <c r="P622" s="7" t="n">
        <f aca="false">Tabla2[[#This Row],[Rentabilidad (%)]]/12</f>
        <v>-0.0173340650219611</v>
      </c>
    </row>
    <row r="623" customFormat="false" ht="14.25" hidden="false" customHeight="false" outlineLevel="0" collapsed="false">
      <c r="A623" s="1" t="n">
        <v>38078</v>
      </c>
      <c r="B623" s="2" t="s">
        <v>28</v>
      </c>
      <c r="C623" s="3" t="n">
        <v>4014</v>
      </c>
      <c r="D623" s="8" t="s">
        <v>17</v>
      </c>
      <c r="E623" s="3" t="n">
        <f aca="false">IF(Tabla2[[#This Row],[Frecuencia]]="Annual", Tabla2[[#This Row],[Cosecha/Tarea]]/12,Tabla2[[#This Row],[Cosecha/Tarea]])</f>
        <v>4014</v>
      </c>
      <c r="F623" s="3" t="n">
        <v>5160</v>
      </c>
      <c r="G623" s="2" t="s">
        <v>29</v>
      </c>
      <c r="H623" s="2" t="n">
        <f aca="false">F623/Tabla2[[#This Row],[Cosecha Mensual]]</f>
        <v>1.28550074738416</v>
      </c>
      <c r="I623" s="2" t="n">
        <f aca="false">H623*_xlfn.XLOOKUP(Tabla2[[#This Row],[Unidad de producción]],Tabla3[Medida],Tabla3[Equivalencia en Kg],"ELVIS",0)</f>
        <v>722.888490284006</v>
      </c>
      <c r="J623" s="2" t="n">
        <v>3850</v>
      </c>
      <c r="K623" s="2" t="s">
        <v>29</v>
      </c>
      <c r="L623" s="2" t="n">
        <f aca="false">J623/_xlfn.XLOOKUP(Tabla2[[#This Row],[Unidad de precio]],Tabla3[Medida],Tabla3[Equivalencia en Kg],"ELVIS",0)</f>
        <v>6.84639186257424</v>
      </c>
      <c r="M623" s="2" t="n">
        <v>7896.87291948</v>
      </c>
      <c r="N623" s="3" t="n">
        <f aca="false">(Tabla2[[#This Row],[Productividad (kg/TAS)]]*Tabla2[[#This Row],[Precio por kg]]-Tabla2[[#This Row],[Costos (En RD$/Tarea)]])</f>
        <v>-2947.695042051</v>
      </c>
      <c r="O623" s="9" t="n">
        <f aca="false">IF(Tabla2[[#This Row],[Costos (En RD$/Tarea)]]=0,0,Tabla2[[#This Row],[Beneficio Neto  (En RD$/Tarea)]]/Tabla2[[#This Row],[Costos (En RD$/Tarea)]])</f>
        <v>-0.373273708733444</v>
      </c>
      <c r="P623" s="7" t="n">
        <f aca="false">Tabla2[[#This Row],[Rentabilidad (%)]]/12</f>
        <v>-0.0311061423944537</v>
      </c>
    </row>
    <row r="624" customFormat="false" ht="14.25" hidden="false" customHeight="false" outlineLevel="0" collapsed="false">
      <c r="A624" s="1" t="n">
        <v>38078</v>
      </c>
      <c r="B624" s="2" t="s">
        <v>30</v>
      </c>
      <c r="C624" s="3" t="n">
        <v>250732</v>
      </c>
      <c r="D624" s="3" t="s">
        <v>31</v>
      </c>
      <c r="E624" s="3" t="n">
        <f aca="false">IF(Tabla2[[#This Row],[Frecuencia]]="Annual", Tabla2[[#This Row],[Cosecha/Tarea]]/12,Tabla2[[#This Row],[Cosecha/Tarea]])</f>
        <v>20894.3333333333</v>
      </c>
      <c r="F624" s="3" t="n">
        <v>1572090</v>
      </c>
      <c r="G624" s="2" t="s">
        <v>32</v>
      </c>
      <c r="H624" s="2" t="n">
        <f aca="false">F624/Tabla2[[#This Row],[Cosecha Mensual]]</f>
        <v>75.2400172295519</v>
      </c>
      <c r="I624" s="2" t="n">
        <f aca="false">H624*_xlfn.XLOOKUP(Tabla2[[#This Row],[Unidad de producción]],Tabla3[Medida],Tabla3[Equivalencia en Kg],"ELVIS",0)</f>
        <v>2047.28086881611</v>
      </c>
      <c r="J624" s="2" t="n">
        <v>55</v>
      </c>
      <c r="K624" s="2" t="s">
        <v>32</v>
      </c>
      <c r="L624" s="2" t="n">
        <f aca="false">J624/_xlfn.XLOOKUP(Tabla2[[#This Row],[Unidad de precio]],Tabla3[Medida],Tabla3[Equivalencia en Kg],"ELVIS",0)</f>
        <v>2.02131569276001</v>
      </c>
      <c r="M624" s="3" t="n">
        <v>6693.79</v>
      </c>
      <c r="N624" s="3" t="n">
        <f aca="false">(Tabla2[[#This Row],[Productividad (kg/TAS)]]*Tabla2[[#This Row],[Precio por kg]]-Tabla2[[#This Row],[Costos (En RD$/Tarea)]])</f>
        <v>-2555.58905237465</v>
      </c>
      <c r="O624" s="9" t="n">
        <f aca="false">IF(Tabla2[[#This Row],[Costos (En RD$/Tarea)]]=0,0,Tabla2[[#This Row],[Beneficio Neto  (En RD$/Tarea)]]/Tabla2[[#This Row],[Costos (En RD$/Tarea)]])</f>
        <v>-0.381785065317951</v>
      </c>
      <c r="P624" s="7" t="n">
        <f aca="false">Tabla2[[#This Row],[Rentabilidad (%)]]/12</f>
        <v>-0.0318154221098292</v>
      </c>
    </row>
    <row r="625" customFormat="false" ht="14.25" hidden="false" customHeight="false" outlineLevel="0" collapsed="false">
      <c r="A625" s="1" t="n">
        <v>38078</v>
      </c>
      <c r="B625" s="2" t="s">
        <v>33</v>
      </c>
      <c r="C625" s="3" t="n">
        <v>591442</v>
      </c>
      <c r="D625" s="3" t="s">
        <v>31</v>
      </c>
      <c r="E625" s="3" t="n">
        <f aca="false">IF(Tabla2[[#This Row],[Frecuencia]]="Annual", Tabla2[[#This Row],[Cosecha/Tarea]]/12,Tabla2[[#This Row],[Cosecha/Tarea]])</f>
        <v>49286.8333333333</v>
      </c>
      <c r="F625" s="3" t="n">
        <v>80313</v>
      </c>
      <c r="G625" s="2" t="s">
        <v>34</v>
      </c>
      <c r="H625" s="2" t="n">
        <f aca="false">F625/Tabla2[[#This Row],[Cosecha Mensual]]</f>
        <v>1.62950213207719</v>
      </c>
      <c r="I625" s="2" t="n">
        <f aca="false">H625*_xlfn.XLOOKUP(Tabla2[[#This Row],[Unidad de producción]],Tabla3[Medida],Tabla3[Equivalencia en Kg],"ELVIS",0)</f>
        <v>665.081295207307</v>
      </c>
      <c r="J625" s="2" t="n">
        <v>2443.334</v>
      </c>
      <c r="K625" s="2" t="s">
        <v>34</v>
      </c>
      <c r="L625" s="2" t="n">
        <f aca="false">J625/_xlfn.XLOOKUP(Tabla2[[#This Row],[Unidad de precio]],Tabla3[Medida],Tabla3[Equivalencia en Kg],"ELVIS",0)</f>
        <v>5.98636285679285</v>
      </c>
      <c r="M625" s="3" t="n">
        <v>8906.28</v>
      </c>
      <c r="N625" s="3" t="n">
        <f aca="false">(Tabla2[[#This Row],[Productividad (kg/TAS)]]*Tabla2[[#This Row],[Precio por kg]]-Tabla2[[#This Row],[Costos (En RD$/Tarea)]])</f>
        <v>-4924.8620376233</v>
      </c>
      <c r="O625" s="9" t="n">
        <f aca="false">IF(Tabla2[[#This Row],[Costos (En RD$/Tarea)]]=0,0,Tabla2[[#This Row],[Beneficio Neto  (En RD$/Tarea)]]/Tabla2[[#This Row],[Costos (En RD$/Tarea)]])</f>
        <v>-0.552965103008585</v>
      </c>
      <c r="P625" s="7" t="n">
        <f aca="false">Tabla2[[#This Row],[Rentabilidad (%)]]/12</f>
        <v>-0.0460804252507154</v>
      </c>
    </row>
    <row r="626" customFormat="false" ht="14.25" hidden="false" customHeight="false" outlineLevel="0" collapsed="false">
      <c r="A626" s="1" t="n">
        <v>38108</v>
      </c>
      <c r="B626" s="2" t="s">
        <v>16</v>
      </c>
      <c r="C626" s="3" t="n">
        <v>179371</v>
      </c>
      <c r="D626" s="8" t="s">
        <v>17</v>
      </c>
      <c r="E626" s="3" t="n">
        <f aca="false">IF(Tabla2[[#This Row],[Frecuencia]]="Annual", Tabla2[[#This Row],[Cosecha/Tarea]]/12,Tabla2[[#This Row],[Cosecha/Tarea]])</f>
        <v>179371</v>
      </c>
      <c r="F626" s="3" t="n">
        <v>764176</v>
      </c>
      <c r="G626" s="2" t="s">
        <v>18</v>
      </c>
      <c r="H626" s="2" t="n">
        <f aca="false">F626/Tabla2[[#This Row],[Cosecha Mensual]]</f>
        <v>4.26030963756683</v>
      </c>
      <c r="I626" s="2" t="n">
        <f aca="false">H626*_xlfn.XLOOKUP(Tabla2[[#This Row],[Unidad de producción]],Tabla3[Medida],Tabla3[Equivalencia en Kg],"ELVIS",0)</f>
        <v>193.247645160031</v>
      </c>
      <c r="J626" s="2" t="n">
        <v>912.943333333333</v>
      </c>
      <c r="K626" s="2" t="s">
        <v>19</v>
      </c>
      <c r="L626" s="2" t="n">
        <f aca="false">J626/_xlfn.XLOOKUP(Tabla2[[#This Row],[Unidad de precio]],Tabla3[Medida],Tabla3[Equivalencia en Kg],"ELVIS",0)</f>
        <v>8.29948484848485</v>
      </c>
      <c r="M626" s="2" t="n">
        <v>4376.41</v>
      </c>
      <c r="N626" s="3" t="n">
        <f aca="false">(Tabla2[[#This Row],[Productividad (kg/TAS)]]*Tabla2[[#This Row],[Precio por kg]]-Tabla2[[#This Row],[Costos (En RD$/Tarea)]])</f>
        <v>-2772.55409698894</v>
      </c>
      <c r="O626" s="9" t="n">
        <f aca="false">IF(Tabla2[[#This Row],[Costos (En RD$/Tarea)]]=0,0,Tabla2[[#This Row],[Beneficio Neto  (En RD$/Tarea)]]/Tabla2[[#This Row],[Costos (En RD$/Tarea)]])</f>
        <v>-0.633522475496798</v>
      </c>
      <c r="P626" s="7" t="n">
        <f aca="false">Tabla2[[#This Row],[Rentabilidad (%)]]/12</f>
        <v>-0.0527935396247332</v>
      </c>
    </row>
    <row r="627" customFormat="false" ht="14.25" hidden="false" customHeight="false" outlineLevel="0" collapsed="false">
      <c r="A627" s="1" t="n">
        <v>38108</v>
      </c>
      <c r="B627" s="2" t="s">
        <v>20</v>
      </c>
      <c r="C627" s="3" t="n">
        <v>24969</v>
      </c>
      <c r="D627" s="8" t="s">
        <v>17</v>
      </c>
      <c r="E627" s="3" t="n">
        <f aca="false">IF(Tabla2[[#This Row],[Frecuencia]]="Annual", Tabla2[[#This Row],[Cosecha/Tarea]]/12,Tabla2[[#This Row],[Cosecha/Tarea]])</f>
        <v>24969</v>
      </c>
      <c r="F627" s="3" t="n">
        <v>81151</v>
      </c>
      <c r="G627" s="2" t="s">
        <v>18</v>
      </c>
      <c r="H627" s="2" t="n">
        <f aca="false">F627/Tabla2[[#This Row],[Cosecha Mensual]]</f>
        <v>3.25007008690777</v>
      </c>
      <c r="I627" s="2" t="n">
        <f aca="false">H627*_xlfn.XLOOKUP(Tabla2[[#This Row],[Unidad de producción]],Tabla3[Medida],Tabla3[Equivalencia en Kg],"ELVIS",0)</f>
        <v>147.423179142136</v>
      </c>
      <c r="J627" s="2" t="n">
        <v>442.350666666667</v>
      </c>
      <c r="K627" s="2" t="s">
        <v>18</v>
      </c>
      <c r="L627" s="2" t="n">
        <f aca="false">J627/_xlfn.XLOOKUP(Tabla2[[#This Row],[Unidad de precio]],Tabla3[Medida],Tabla3[Equivalencia en Kg],"ELVIS",0)</f>
        <v>9.75199882422105</v>
      </c>
      <c r="M627" s="2" t="n">
        <v>1100.66</v>
      </c>
      <c r="N627" s="3" t="n">
        <f aca="false">(Tabla2[[#This Row],[Productividad (kg/TAS)]]*Tabla2[[#This Row],[Precio por kg]]-Tabla2[[#This Row],[Costos (En RD$/Tarea)]])</f>
        <v>337.010669657042</v>
      </c>
      <c r="O627" s="9" t="n">
        <f aca="false">IF(Tabla2[[#This Row],[Costos (En RD$/Tarea)]]=0,0,Tabla2[[#This Row],[Beneficio Neto  (En RD$/Tarea)]]/Tabla2[[#This Row],[Costos (En RD$/Tarea)]])</f>
        <v>0.30618962227849</v>
      </c>
      <c r="P627" s="7" t="n">
        <f aca="false">Tabla2[[#This Row],[Rentabilidad (%)]]/12</f>
        <v>0.0255158018565408</v>
      </c>
    </row>
    <row r="628" customFormat="false" ht="14.25" hidden="false" customHeight="false" outlineLevel="0" collapsed="false">
      <c r="A628" s="1" t="n">
        <v>38108</v>
      </c>
      <c r="B628" s="2" t="s">
        <v>21</v>
      </c>
      <c r="C628" s="3" t="n">
        <v>4634</v>
      </c>
      <c r="D628" s="8" t="s">
        <v>17</v>
      </c>
      <c r="E628" s="3" t="n">
        <f aca="false">IF(Tabla2[[#This Row],[Frecuencia]]="Annual", Tabla2[[#This Row],[Cosecha/Tarea]]/12,Tabla2[[#This Row],[Cosecha/Tarea]])</f>
        <v>4634</v>
      </c>
      <c r="F628" s="3" t="n">
        <v>39894</v>
      </c>
      <c r="G628" s="2" t="s">
        <v>18</v>
      </c>
      <c r="H628" s="2" t="n">
        <f aca="false">F628/Tabla2[[#This Row],[Cosecha Mensual]]</f>
        <v>8.60897712559344</v>
      </c>
      <c r="I628" s="2" t="n">
        <f aca="false">H628*_xlfn.XLOOKUP(Tabla2[[#This Row],[Unidad de producción]],Tabla3[Medida],Tabla3[Equivalencia en Kg],"ELVIS",0)</f>
        <v>390.503202416918</v>
      </c>
      <c r="J628" s="2" t="n">
        <v>364.7</v>
      </c>
      <c r="K628" s="2" t="s">
        <v>18</v>
      </c>
      <c r="L628" s="2" t="n">
        <f aca="false">J628/_xlfn.XLOOKUP(Tabla2[[#This Row],[Unidad de precio]],Tabla3[Medida],Tabla3[Equivalencia en Kg],"ELVIS",0)</f>
        <v>8.04012345679012</v>
      </c>
      <c r="M628" s="2" t="n">
        <v>3591.85</v>
      </c>
      <c r="N628" s="3" t="n">
        <f aca="false">(Tabla2[[#This Row],[Productividad (kg/TAS)]]*Tabla2[[#This Row],[Precio por kg]]-Tabla2[[#This Row],[Costos (En RD$/Tarea)]])</f>
        <v>-452.156042296073</v>
      </c>
      <c r="O628" s="9" t="n">
        <f aca="false">IF(Tabla2[[#This Row],[Costos (En RD$/Tarea)]]=0,0,Tabla2[[#This Row],[Beneficio Neto  (En RD$/Tarea)]]/Tabla2[[#This Row],[Costos (En RD$/Tarea)]])</f>
        <v>-0.125883887772617</v>
      </c>
      <c r="P628" s="7" t="n">
        <f aca="false">Tabla2[[#This Row],[Rentabilidad (%)]]/12</f>
        <v>-0.0104903239810514</v>
      </c>
    </row>
    <row r="629" customFormat="false" ht="14.25" hidden="false" customHeight="false" outlineLevel="0" collapsed="false">
      <c r="A629" s="1" t="n">
        <v>38108</v>
      </c>
      <c r="B629" s="2" t="s">
        <v>22</v>
      </c>
      <c r="C629" s="3" t="n">
        <v>3983</v>
      </c>
      <c r="D629" s="8" t="s">
        <v>17</v>
      </c>
      <c r="E629" s="3" t="n">
        <f aca="false">IF(Tabla2[[#This Row],[Frecuencia]]="Annual", Tabla2[[#This Row],[Cosecha/Tarea]]/12,Tabla2[[#This Row],[Cosecha/Tarea]])</f>
        <v>3983</v>
      </c>
      <c r="F629" s="3" t="n">
        <v>37400</v>
      </c>
      <c r="G629" s="2" t="s">
        <v>18</v>
      </c>
      <c r="H629" s="2" t="n">
        <f aca="false">F629/Tabla2[[#This Row],[Cosecha Mensual]]</f>
        <v>9.38990710519709</v>
      </c>
      <c r="I629" s="2" t="n">
        <f aca="false">H629*_xlfn.XLOOKUP(Tabla2[[#This Row],[Unidad de producción]],Tabla3[Medida],Tabla3[Equivalencia en Kg],"ELVIS",0)</f>
        <v>425.92618629174</v>
      </c>
      <c r="J629" s="2" t="n">
        <v>631.25</v>
      </c>
      <c r="K629" s="2" t="s">
        <v>18</v>
      </c>
      <c r="L629" s="2" t="n">
        <f aca="false">J629/_xlfn.XLOOKUP(Tabla2[[#This Row],[Unidad de precio]],Tabla3[Medida],Tabla3[Equivalencia en Kg],"ELVIS",0)</f>
        <v>13.9164462081129</v>
      </c>
      <c r="M629" s="2" t="n">
        <v>3985.16</v>
      </c>
      <c r="N629" s="3" t="n">
        <f aca="false">(Tabla2[[#This Row],[Productividad (kg/TAS)]]*Tabla2[[#This Row],[Precio por kg]]-Tabla2[[#This Row],[Costos (En RD$/Tarea)]])</f>
        <v>1942.21886015566</v>
      </c>
      <c r="O629" s="9" t="n">
        <f aca="false">IF(Tabla2[[#This Row],[Costos (En RD$/Tarea)]]=0,0,Tabla2[[#This Row],[Beneficio Neto  (En RD$/Tarea)]]/Tabla2[[#This Row],[Costos (En RD$/Tarea)]])</f>
        <v>0.487362831142454</v>
      </c>
      <c r="P629" s="7" t="n">
        <f aca="false">Tabla2[[#This Row],[Rentabilidad (%)]]/12</f>
        <v>0.0406135692618712</v>
      </c>
    </row>
    <row r="630" customFormat="false" ht="14.25" hidden="false" customHeight="false" outlineLevel="0" collapsed="false">
      <c r="A630" s="1" t="n">
        <v>38108</v>
      </c>
      <c r="B630" s="2" t="s">
        <v>23</v>
      </c>
      <c r="C630" s="3" t="n">
        <v>2945</v>
      </c>
      <c r="D630" s="8" t="s">
        <v>17</v>
      </c>
      <c r="E630" s="3" t="n">
        <f aca="false">IF(Tabla2[[#This Row],[Frecuencia]]="Annual", Tabla2[[#This Row],[Cosecha/Tarea]]/12,Tabla2[[#This Row],[Cosecha/Tarea]])</f>
        <v>2945</v>
      </c>
      <c r="F630" s="3" t="n">
        <v>70739</v>
      </c>
      <c r="G630" s="2" t="s">
        <v>18</v>
      </c>
      <c r="H630" s="2" t="n">
        <f aca="false">F630/Tabla2[[#This Row],[Cosecha Mensual]]</f>
        <v>24.0200339558574</v>
      </c>
      <c r="I630" s="2" t="n">
        <f aca="false">H630*_xlfn.XLOOKUP(Tabla2[[#This Row],[Unidad de producción]],Tabla3[Medida],Tabla3[Equivalencia en Kg],"ELVIS",0)</f>
        <v>1089.54874023769</v>
      </c>
      <c r="J630" s="2" t="n">
        <v>332</v>
      </c>
      <c r="K630" s="2" t="s">
        <v>18</v>
      </c>
      <c r="L630" s="2" t="n">
        <f aca="false">J630/_xlfn.XLOOKUP(Tabla2[[#This Row],[Unidad de precio]],Tabla3[Medida],Tabla3[Equivalencia en Kg],"ELVIS",0)</f>
        <v>7.31922398589065</v>
      </c>
      <c r="M630" s="2" t="n">
        <v>9274.52</v>
      </c>
      <c r="N630" s="3" t="n">
        <f aca="false">(Tabla2[[#This Row],[Productividad (kg/TAS)]]*Tabla2[[#This Row],[Precio por kg]]-Tabla2[[#This Row],[Costos (En RD$/Tarea)]])</f>
        <v>-1299.86872665535</v>
      </c>
      <c r="O630" s="9" t="n">
        <f aca="false">IF(Tabla2[[#This Row],[Costos (En RD$/Tarea)]]=0,0,Tabla2[[#This Row],[Beneficio Neto  (En RD$/Tarea)]]/Tabla2[[#This Row],[Costos (En RD$/Tarea)]])</f>
        <v>-0.140154824902566</v>
      </c>
      <c r="P630" s="7" t="n">
        <f aca="false">Tabla2[[#This Row],[Rentabilidad (%)]]/12</f>
        <v>-0.0116795687418805</v>
      </c>
    </row>
    <row r="631" customFormat="false" ht="14.25" hidden="false" customHeight="false" outlineLevel="0" collapsed="false">
      <c r="A631" s="1" t="n">
        <v>38108</v>
      </c>
      <c r="B631" s="2" t="s">
        <v>24</v>
      </c>
      <c r="C631" s="3" t="n">
        <v>6758</v>
      </c>
      <c r="D631" s="8" t="s">
        <v>17</v>
      </c>
      <c r="E631" s="3" t="n">
        <f aca="false">IF(Tabla2[[#This Row],[Frecuencia]]="Annual", Tabla2[[#This Row],[Cosecha/Tarea]]/12,Tabla2[[#This Row],[Cosecha/Tarea]])</f>
        <v>6758</v>
      </c>
      <c r="F631" s="3" t="n">
        <v>120699</v>
      </c>
      <c r="G631" s="2" t="s">
        <v>18</v>
      </c>
      <c r="H631" s="2" t="n">
        <f aca="false">F631/Tabla2[[#This Row],[Cosecha Mensual]]</f>
        <v>17.8601657295058</v>
      </c>
      <c r="I631" s="2" t="n">
        <f aca="false">H631*_xlfn.XLOOKUP(Tabla2[[#This Row],[Unidad de producción]],Tabla3[Medida],Tabla3[Equivalencia en Kg],"ELVIS",0)</f>
        <v>810.137117490382</v>
      </c>
      <c r="J631" s="2" t="n">
        <v>825</v>
      </c>
      <c r="K631" s="2" t="s">
        <v>18</v>
      </c>
      <c r="L631" s="2" t="n">
        <f aca="false">J631/_xlfn.XLOOKUP(Tabla2[[#This Row],[Unidad de precio]],Tabla3[Medida],Tabla3[Equivalencia en Kg],"ELVIS",0)</f>
        <v>18.1878306878307</v>
      </c>
      <c r="M631" s="2" t="n">
        <v>2563.46</v>
      </c>
      <c r="N631" s="3" t="n">
        <f aca="false">(Tabla2[[#This Row],[Productividad (kg/TAS)]]*Tabla2[[#This Row],[Precio por kg]]-Tabla2[[#This Row],[Costos (En RD$/Tarea)]])</f>
        <v>12171.1767268423</v>
      </c>
      <c r="O631" s="9" t="n">
        <f aca="false">IF(Tabla2[[#This Row],[Costos (En RD$/Tarea)]]=0,0,Tabla2[[#This Row],[Beneficio Neto  (En RD$/Tarea)]]/Tabla2[[#This Row],[Costos (En RD$/Tarea)]])</f>
        <v>4.74794875942759</v>
      </c>
      <c r="P631" s="7" t="n">
        <f aca="false">Tabla2[[#This Row],[Rentabilidad (%)]]/12</f>
        <v>0.395662396618966</v>
      </c>
    </row>
    <row r="632" customFormat="false" ht="14.25" hidden="false" customHeight="false" outlineLevel="0" collapsed="false">
      <c r="A632" s="1" t="n">
        <v>38108</v>
      </c>
      <c r="B632" s="2" t="s">
        <v>25</v>
      </c>
      <c r="C632" s="3" t="n">
        <v>15931</v>
      </c>
      <c r="D632" s="8" t="s">
        <v>17</v>
      </c>
      <c r="E632" s="3" t="n">
        <f aca="false">IF(Tabla2[[#This Row],[Frecuencia]]="Annual", Tabla2[[#This Row],[Cosecha/Tarea]]/12,Tabla2[[#This Row],[Cosecha/Tarea]])</f>
        <v>15931</v>
      </c>
      <c r="F632" s="3" t="n">
        <v>152780</v>
      </c>
      <c r="G632" s="2" t="s">
        <v>18</v>
      </c>
      <c r="H632" s="2" t="n">
        <f aca="false">F632/Tabla2[[#This Row],[Cosecha Mensual]]</f>
        <v>9.59010733789467</v>
      </c>
      <c r="I632" s="2" t="n">
        <f aca="false">H632*_xlfn.XLOOKUP(Tabla2[[#This Row],[Unidad de producción]],Tabla3[Medida],Tabla3[Equivalencia en Kg],"ELVIS",0)</f>
        <v>435.007268846902</v>
      </c>
      <c r="J632" s="2" t="n">
        <v>539</v>
      </c>
      <c r="K632" s="2" t="s">
        <v>18</v>
      </c>
      <c r="L632" s="2" t="n">
        <f aca="false">J632/_xlfn.XLOOKUP(Tabla2[[#This Row],[Unidad de precio]],Tabla3[Medida],Tabla3[Equivalencia en Kg],"ELVIS",0)</f>
        <v>11.8827160493827</v>
      </c>
      <c r="M632" s="2" t="n">
        <v>1852.92</v>
      </c>
      <c r="N632" s="3" t="n">
        <f aca="false">(Tabla2[[#This Row],[Productividad (kg/TAS)]]*Tabla2[[#This Row],[Precio por kg]]-Tabla2[[#This Row],[Costos (En RD$/Tarea)]])</f>
        <v>3316.14785512523</v>
      </c>
      <c r="O632" s="9" t="n">
        <f aca="false">IF(Tabla2[[#This Row],[Costos (En RD$/Tarea)]]=0,0,Tabla2[[#This Row],[Beneficio Neto  (En RD$/Tarea)]]/Tabla2[[#This Row],[Costos (En RD$/Tarea)]])</f>
        <v>1.78968754998879</v>
      </c>
      <c r="P632" s="7" t="n">
        <f aca="false">Tabla2[[#This Row],[Rentabilidad (%)]]/12</f>
        <v>0.149140629165732</v>
      </c>
    </row>
    <row r="633" customFormat="false" ht="14.25" hidden="false" customHeight="false" outlineLevel="0" collapsed="false">
      <c r="A633" s="1" t="n">
        <v>38108</v>
      </c>
      <c r="B633" s="2" t="s">
        <v>26</v>
      </c>
      <c r="C633" s="3" t="n">
        <v>9264</v>
      </c>
      <c r="D633" s="8" t="s">
        <v>17</v>
      </c>
      <c r="E633" s="3" t="n">
        <f aca="false">IF(Tabla2[[#This Row],[Frecuencia]]="Annual", Tabla2[[#This Row],[Cosecha/Tarea]]/12,Tabla2[[#This Row],[Cosecha/Tarea]])</f>
        <v>9264</v>
      </c>
      <c r="F633" s="3" t="n">
        <v>70290</v>
      </c>
      <c r="G633" s="2" t="s">
        <v>18</v>
      </c>
      <c r="H633" s="2" t="n">
        <f aca="false">F633/Tabla2[[#This Row],[Cosecha Mensual]]</f>
        <v>7.58743523316062</v>
      </c>
      <c r="I633" s="2" t="n">
        <f aca="false">H633*_xlfn.XLOOKUP(Tabla2[[#This Row],[Unidad de producción]],Tabla3[Medida],Tabla3[Equivalencia en Kg],"ELVIS",0)</f>
        <v>344.166062176166</v>
      </c>
      <c r="J633" s="2" t="n">
        <v>500</v>
      </c>
      <c r="K633" s="2" t="s">
        <v>18</v>
      </c>
      <c r="L633" s="2" t="n">
        <f aca="false">J633/_xlfn.XLOOKUP(Tabla2[[#This Row],[Unidad de precio]],Tabla3[Medida],Tabla3[Equivalencia en Kg],"ELVIS",0)</f>
        <v>11.0229276895944</v>
      </c>
      <c r="M633" s="2" t="n">
        <v>1244.4</v>
      </c>
      <c r="N633" s="3" t="n">
        <f aca="false">(Tabla2[[#This Row],[Productividad (kg/TAS)]]*Tabla2[[#This Row],[Precio por kg]]-Tabla2[[#This Row],[Costos (En RD$/Tarea)]])</f>
        <v>2549.31761658031</v>
      </c>
      <c r="O633" s="9" t="n">
        <f aca="false">IF(Tabla2[[#This Row],[Costos (En RD$/Tarea)]]=0,0,Tabla2[[#This Row],[Beneficio Neto  (En RD$/Tarea)]]/Tabla2[[#This Row],[Costos (En RD$/Tarea)]])</f>
        <v>2.04863196446505</v>
      </c>
      <c r="P633" s="7" t="n">
        <f aca="false">Tabla2[[#This Row],[Rentabilidad (%)]]/12</f>
        <v>0.170719330372088</v>
      </c>
    </row>
    <row r="634" customFormat="false" ht="14.25" hidden="false" customHeight="false" outlineLevel="0" collapsed="false">
      <c r="A634" s="1" t="n">
        <v>38108</v>
      </c>
      <c r="B634" s="2" t="s">
        <v>27</v>
      </c>
      <c r="C634" s="3" t="n">
        <v>5443</v>
      </c>
      <c r="D634" s="8" t="s">
        <v>17</v>
      </c>
      <c r="E634" s="3" t="n">
        <f aca="false">IF(Tabla2[[#This Row],[Frecuencia]]="Annual", Tabla2[[#This Row],[Cosecha/Tarea]]/12,Tabla2[[#This Row],[Cosecha/Tarea]])</f>
        <v>5443</v>
      </c>
      <c r="F634" s="3" t="n">
        <v>45089</v>
      </c>
      <c r="G634" s="2" t="s">
        <v>18</v>
      </c>
      <c r="H634" s="2" t="n">
        <f aca="false">F634/Tabla2[[#This Row],[Cosecha Mensual]]</f>
        <v>8.28385081756384</v>
      </c>
      <c r="I634" s="2" t="n">
        <f aca="false">H634*_xlfn.XLOOKUP(Tabla2[[#This Row],[Unidad de producción]],Tabla3[Medida],Tabla3[Equivalencia en Kg],"ELVIS",0)</f>
        <v>375.755473084696</v>
      </c>
      <c r="J634" s="2" t="n">
        <v>298.556666666667</v>
      </c>
      <c r="K634" s="2" t="s">
        <v>18</v>
      </c>
      <c r="L634" s="2" t="n">
        <f aca="false">J634/_xlfn.XLOOKUP(Tabla2[[#This Row],[Unidad de precio]],Tabla3[Medida],Tabla3[Equivalencia en Kg],"ELVIS",0)</f>
        <v>6.58193709582599</v>
      </c>
      <c r="M634" s="2" t="n">
        <v>4235.82</v>
      </c>
      <c r="N634" s="3" t="n">
        <f aca="false">(Tabla2[[#This Row],[Productividad (kg/TAS)]]*Tabla2[[#This Row],[Precio por kg]]-Tabla2[[#This Row],[Costos (En RD$/Tarea)]])</f>
        <v>-1762.62111274419</v>
      </c>
      <c r="O634" s="9" t="n">
        <f aca="false">IF(Tabla2[[#This Row],[Costos (En RD$/Tarea)]]=0,0,Tabla2[[#This Row],[Beneficio Neto  (En RD$/Tarea)]]/Tabla2[[#This Row],[Costos (En RD$/Tarea)]])</f>
        <v>-0.416122760821799</v>
      </c>
      <c r="P634" s="7" t="n">
        <f aca="false">Tabla2[[#This Row],[Rentabilidad (%)]]/12</f>
        <v>-0.03467689673515</v>
      </c>
    </row>
    <row r="635" customFormat="false" ht="14.25" hidden="false" customHeight="false" outlineLevel="0" collapsed="false">
      <c r="A635" s="1" t="n">
        <v>38108</v>
      </c>
      <c r="B635" s="2" t="s">
        <v>28</v>
      </c>
      <c r="C635" s="3" t="n">
        <v>5106</v>
      </c>
      <c r="D635" s="8" t="s">
        <v>17</v>
      </c>
      <c r="E635" s="3" t="n">
        <f aca="false">IF(Tabla2[[#This Row],[Frecuencia]]="Annual", Tabla2[[#This Row],[Cosecha/Tarea]]/12,Tabla2[[#This Row],[Cosecha/Tarea]])</f>
        <v>5106</v>
      </c>
      <c r="F635" s="3" t="n">
        <v>6650</v>
      </c>
      <c r="G635" s="2" t="s">
        <v>29</v>
      </c>
      <c r="H635" s="2" t="n">
        <f aca="false">F635/Tabla2[[#This Row],[Cosecha Mensual]]</f>
        <v>1.30238934586761</v>
      </c>
      <c r="I635" s="2" t="n">
        <f aca="false">H635*_xlfn.XLOOKUP(Tabla2[[#This Row],[Unidad de producción]],Tabla3[Medida],Tabla3[Equivalencia en Kg],"ELVIS",0)</f>
        <v>732.38562475519</v>
      </c>
      <c r="J635" s="2" t="n">
        <v>1500</v>
      </c>
      <c r="K635" s="2" t="s">
        <v>29</v>
      </c>
      <c r="L635" s="2" t="n">
        <f aca="false">J635/_xlfn.XLOOKUP(Tabla2[[#This Row],[Unidad de precio]],Tabla3[Medida],Tabla3[Equivalencia en Kg],"ELVIS",0)</f>
        <v>2.66742540100295</v>
      </c>
      <c r="M635" s="2" t="n">
        <v>7896.87291948</v>
      </c>
      <c r="N635" s="3" t="n">
        <f aca="false">(Tabla2[[#This Row],[Productividad (kg/TAS)]]*Tabla2[[#This Row],[Precio por kg]]-Tabla2[[#This Row],[Costos (En RD$/Tarea)]])</f>
        <v>-5943.28890067859</v>
      </c>
      <c r="O635" s="9" t="n">
        <f aca="false">IF(Tabla2[[#This Row],[Costos (En RD$/Tarea)]]=0,0,Tabla2[[#This Row],[Beneficio Neto  (En RD$/Tarea)]]/Tabla2[[#This Row],[Costos (En RD$/Tarea)]])</f>
        <v>-0.752612959747356</v>
      </c>
      <c r="P635" s="7" t="n">
        <f aca="false">Tabla2[[#This Row],[Rentabilidad (%)]]/12</f>
        <v>-0.062717746645613</v>
      </c>
    </row>
    <row r="636" customFormat="false" ht="14.25" hidden="false" customHeight="false" outlineLevel="0" collapsed="false">
      <c r="A636" s="1" t="n">
        <v>38108</v>
      </c>
      <c r="B636" s="2" t="s">
        <v>30</v>
      </c>
      <c r="C636" s="3" t="n">
        <v>250436</v>
      </c>
      <c r="D636" s="3" t="s">
        <v>31</v>
      </c>
      <c r="E636" s="3" t="n">
        <f aca="false">IF(Tabla2[[#This Row],[Frecuencia]]="Annual", Tabla2[[#This Row],[Cosecha/Tarea]]/12,Tabla2[[#This Row],[Cosecha/Tarea]])</f>
        <v>20869.6666666667</v>
      </c>
      <c r="F636" s="3" t="n">
        <v>1844570</v>
      </c>
      <c r="G636" s="2" t="s">
        <v>32</v>
      </c>
      <c r="H636" s="2" t="n">
        <f aca="false">F636/Tabla2[[#This Row],[Cosecha Mensual]]</f>
        <v>88.3852161829769</v>
      </c>
      <c r="I636" s="2" t="n">
        <f aca="false">H636*_xlfn.XLOOKUP(Tabla2[[#This Row],[Unidad de producción]],Tabla3[Medida],Tabla3[Equivalencia en Kg],"ELVIS",0)</f>
        <v>2404.9617323388</v>
      </c>
      <c r="J636" s="2" t="n">
        <v>57.25</v>
      </c>
      <c r="K636" s="2" t="s">
        <v>32</v>
      </c>
      <c r="L636" s="2" t="n">
        <f aca="false">J636/_xlfn.XLOOKUP(Tabla2[[#This Row],[Unidad de precio]],Tabla3[Medida],Tabla3[Equivalencia en Kg],"ELVIS",0)</f>
        <v>2.10400588019111</v>
      </c>
      <c r="M636" s="3" t="n">
        <v>6693.79</v>
      </c>
      <c r="N636" s="3" t="n">
        <f aca="false">(Tabla2[[#This Row],[Productividad (kg/TAS)]]*Tabla2[[#This Row],[Precio por kg]]-Tabla2[[#This Row],[Costos (En RD$/Tarea)]])</f>
        <v>-1633.73637352457</v>
      </c>
      <c r="O636" s="9" t="n">
        <f aca="false">IF(Tabla2[[#This Row],[Costos (En RD$/Tarea)]]=0,0,Tabla2[[#This Row],[Beneficio Neto  (En RD$/Tarea)]]/Tabla2[[#This Row],[Costos (En RD$/Tarea)]])</f>
        <v>-0.244067467537012</v>
      </c>
      <c r="P636" s="7" t="n">
        <f aca="false">Tabla2[[#This Row],[Rentabilidad (%)]]/12</f>
        <v>-0.0203389556280843</v>
      </c>
    </row>
    <row r="637" customFormat="false" ht="14.25" hidden="false" customHeight="false" outlineLevel="0" collapsed="false">
      <c r="A637" s="1" t="n">
        <v>38108</v>
      </c>
      <c r="B637" s="2" t="s">
        <v>33</v>
      </c>
      <c r="C637" s="3" t="n">
        <v>561946</v>
      </c>
      <c r="D637" s="3" t="s">
        <v>31</v>
      </c>
      <c r="E637" s="3" t="n">
        <f aca="false">IF(Tabla2[[#This Row],[Frecuencia]]="Annual", Tabla2[[#This Row],[Cosecha/Tarea]]/12,Tabla2[[#This Row],[Cosecha/Tarea]])</f>
        <v>46828.8333333333</v>
      </c>
      <c r="F637" s="3" t="n">
        <v>107554</v>
      </c>
      <c r="G637" s="2" t="s">
        <v>34</v>
      </c>
      <c r="H637" s="2" t="n">
        <f aca="false">F637/Tabla2[[#This Row],[Cosecha Mensual]]</f>
        <v>2.29674737430287</v>
      </c>
      <c r="I637" s="2" t="n">
        <f aca="false">H637*_xlfn.XLOOKUP(Tabla2[[#This Row],[Unidad de producción]],Tabla3[Medida],Tabla3[Equivalencia en Kg],"ELVIS",0)</f>
        <v>937.417440821716</v>
      </c>
      <c r="J637" s="2" t="n">
        <v>2306.24933333333</v>
      </c>
      <c r="K637" s="2" t="s">
        <v>34</v>
      </c>
      <c r="L637" s="2" t="n">
        <f aca="false">J637/_xlfn.XLOOKUP(Tabla2[[#This Row],[Unidad de precio]],Tabla3[Medida],Tabla3[Equivalencia en Kg],"ELVIS",0)</f>
        <v>5.65049450773816</v>
      </c>
      <c r="M637" s="3" t="n">
        <v>8906.28</v>
      </c>
      <c r="N637" s="3" t="n">
        <f aca="false">(Tabla2[[#This Row],[Productividad (kg/TAS)]]*Tabla2[[#This Row],[Precio por kg]]-Tabla2[[#This Row],[Costos (En RD$/Tarea)]])</f>
        <v>-3609.40789917893</v>
      </c>
      <c r="O637" s="9" t="n">
        <f aca="false">IF(Tabla2[[#This Row],[Costos (En RD$/Tarea)]]=0,0,Tabla2[[#This Row],[Beneficio Neto  (En RD$/Tarea)]]/Tabla2[[#This Row],[Costos (En RD$/Tarea)]])</f>
        <v>-0.405265486732837</v>
      </c>
      <c r="P637" s="7" t="n">
        <f aca="false">Tabla2[[#This Row],[Rentabilidad (%)]]/12</f>
        <v>-0.0337721238944031</v>
      </c>
    </row>
    <row r="638" customFormat="false" ht="14.25" hidden="false" customHeight="false" outlineLevel="0" collapsed="false">
      <c r="A638" s="1" t="n">
        <v>38139</v>
      </c>
      <c r="B638" s="2" t="s">
        <v>16</v>
      </c>
      <c r="C638" s="3" t="n">
        <v>546108</v>
      </c>
      <c r="D638" s="8" t="s">
        <v>17</v>
      </c>
      <c r="E638" s="3" t="n">
        <f aca="false">IF(Tabla2[[#This Row],[Frecuencia]]="Annual", Tabla2[[#This Row],[Cosecha/Tarea]]/12,Tabla2[[#This Row],[Cosecha/Tarea]])</f>
        <v>546108</v>
      </c>
      <c r="F638" s="3" t="n">
        <v>2548304</v>
      </c>
      <c r="G638" s="2" t="s">
        <v>18</v>
      </c>
      <c r="H638" s="2" t="n">
        <f aca="false">F638/Tabla2[[#This Row],[Cosecha Mensual]]</f>
        <v>4.66630043874106</v>
      </c>
      <c r="I638" s="2" t="n">
        <f aca="false">H638*_xlfn.XLOOKUP(Tabla2[[#This Row],[Unidad de producción]],Tabla3[Medida],Tabla3[Equivalencia en Kg],"ELVIS",0)</f>
        <v>211.663387901294</v>
      </c>
      <c r="J638" s="2" t="n">
        <v>1008.78333333333</v>
      </c>
      <c r="K638" s="2" t="s">
        <v>19</v>
      </c>
      <c r="L638" s="2" t="n">
        <f aca="false">J638/_xlfn.XLOOKUP(Tabla2[[#This Row],[Unidad de precio]],Tabla3[Medida],Tabla3[Equivalencia en Kg],"ELVIS",0)</f>
        <v>9.17075757575755</v>
      </c>
      <c r="M638" s="2" t="n">
        <v>4376.41</v>
      </c>
      <c r="N638" s="3" t="n">
        <f aca="false">(Tabla2[[#This Row],[Productividad (kg/TAS)]]*Tabla2[[#This Row],[Precio por kg]]-Tabla2[[#This Row],[Costos (En RD$/Tarea)]])</f>
        <v>-2435.2963818937</v>
      </c>
      <c r="O638" s="9" t="n">
        <f aca="false">IF(Tabla2[[#This Row],[Costos (En RD$/Tarea)]]=0,0,Tabla2[[#This Row],[Beneficio Neto  (En RD$/Tarea)]]/Tabla2[[#This Row],[Costos (En RD$/Tarea)]])</f>
        <v>-0.556459833949218</v>
      </c>
      <c r="P638" s="7" t="n">
        <f aca="false">Tabla2[[#This Row],[Rentabilidad (%)]]/12</f>
        <v>-0.0463716528291015</v>
      </c>
    </row>
    <row r="639" customFormat="false" ht="14.25" hidden="false" customHeight="false" outlineLevel="0" collapsed="false">
      <c r="A639" s="1" t="n">
        <v>38139</v>
      </c>
      <c r="B639" s="2" t="s">
        <v>20</v>
      </c>
      <c r="C639" s="3" t="n">
        <v>28586</v>
      </c>
      <c r="D639" s="8" t="s">
        <v>17</v>
      </c>
      <c r="E639" s="3" t="n">
        <f aca="false">IF(Tabla2[[#This Row],[Frecuencia]]="Annual", Tabla2[[#This Row],[Cosecha/Tarea]]/12,Tabla2[[#This Row],[Cosecha/Tarea]])</f>
        <v>28586</v>
      </c>
      <c r="F639" s="3" t="n">
        <v>103222</v>
      </c>
      <c r="G639" s="2" t="s">
        <v>18</v>
      </c>
      <c r="H639" s="2" t="n">
        <f aca="false">F639/Tabla2[[#This Row],[Cosecha Mensual]]</f>
        <v>3.61092842650248</v>
      </c>
      <c r="I639" s="2" t="n">
        <f aca="false">H639*_xlfn.XLOOKUP(Tabla2[[#This Row],[Unidad de producción]],Tabla3[Medida],Tabla3[Equivalencia en Kg],"ELVIS",0)</f>
        <v>163.791713426153</v>
      </c>
      <c r="J639" s="2" t="n">
        <v>547.9175</v>
      </c>
      <c r="K639" s="2" t="s">
        <v>18</v>
      </c>
      <c r="L639" s="2" t="n">
        <f aca="false">J639/_xlfn.XLOOKUP(Tabla2[[#This Row],[Unidad de precio]],Tabla3[Medida],Tabla3[Equivalencia en Kg],"ELVIS",0)</f>
        <v>12.0793099647266</v>
      </c>
      <c r="M639" s="2" t="n">
        <v>1100.66</v>
      </c>
      <c r="N639" s="3" t="n">
        <f aca="false">(Tabla2[[#This Row],[Productividad (kg/TAS)]]*Tabla2[[#This Row],[Precio por kg]]-Tabla2[[#This Row],[Costos (En RD$/Tarea)]])</f>
        <v>877.830876128174</v>
      </c>
      <c r="O639" s="9" t="n">
        <f aca="false">IF(Tabla2[[#This Row],[Costos (En RD$/Tarea)]]=0,0,Tabla2[[#This Row],[Beneficio Neto  (En RD$/Tarea)]]/Tabla2[[#This Row],[Costos (En RD$/Tarea)]])</f>
        <v>0.797549539483741</v>
      </c>
      <c r="P639" s="7" t="n">
        <f aca="false">Tabla2[[#This Row],[Rentabilidad (%)]]/12</f>
        <v>0.0664624616236451</v>
      </c>
    </row>
    <row r="640" customFormat="false" ht="14.25" hidden="false" customHeight="false" outlineLevel="0" collapsed="false">
      <c r="A640" s="1" t="n">
        <v>38139</v>
      </c>
      <c r="B640" s="2" t="s">
        <v>21</v>
      </c>
      <c r="C640" s="3" t="n">
        <v>5581</v>
      </c>
      <c r="D640" s="8" t="s">
        <v>17</v>
      </c>
      <c r="E640" s="3" t="n">
        <f aca="false">IF(Tabla2[[#This Row],[Frecuencia]]="Annual", Tabla2[[#This Row],[Cosecha/Tarea]]/12,Tabla2[[#This Row],[Cosecha/Tarea]])</f>
        <v>5581</v>
      </c>
      <c r="F640" s="3" t="n">
        <v>45471</v>
      </c>
      <c r="G640" s="2" t="s">
        <v>18</v>
      </c>
      <c r="H640" s="2" t="n">
        <f aca="false">F640/Tabla2[[#This Row],[Cosecha Mensual]]</f>
        <v>8.14746461207669</v>
      </c>
      <c r="I640" s="2" t="n">
        <f aca="false">H640*_xlfn.XLOOKUP(Tabla2[[#This Row],[Unidad de producción]],Tabla3[Medida],Tabla3[Equivalencia en Kg],"ELVIS",0)</f>
        <v>369.568994803799</v>
      </c>
      <c r="J640" s="2" t="n">
        <v>291.6</v>
      </c>
      <c r="K640" s="2" t="s">
        <v>18</v>
      </c>
      <c r="L640" s="2" t="n">
        <f aca="false">J640/_xlfn.XLOOKUP(Tabla2[[#This Row],[Unidad de precio]],Tabla3[Medida],Tabla3[Equivalencia en Kg],"ELVIS",0)</f>
        <v>6.42857142857143</v>
      </c>
      <c r="M640" s="2" t="n">
        <v>3591.85</v>
      </c>
      <c r="N640" s="3" t="n">
        <f aca="false">(Tabla2[[#This Row],[Productividad (kg/TAS)]]*Tabla2[[#This Row],[Precio por kg]]-Tabla2[[#This Row],[Costos (En RD$/Tarea)]])</f>
        <v>-1216.04931911844</v>
      </c>
      <c r="O640" s="9" t="n">
        <f aca="false">IF(Tabla2[[#This Row],[Costos (En RD$/Tarea)]]=0,0,Tabla2[[#This Row],[Beneficio Neto  (En RD$/Tarea)]]/Tabla2[[#This Row],[Costos (En RD$/Tarea)]])</f>
        <v>-0.338557935080373</v>
      </c>
      <c r="P640" s="7" t="n">
        <f aca="false">Tabla2[[#This Row],[Rentabilidad (%)]]/12</f>
        <v>-0.0282131612566977</v>
      </c>
    </row>
    <row r="641" customFormat="false" ht="14.25" hidden="false" customHeight="false" outlineLevel="0" collapsed="false">
      <c r="A641" s="1" t="n">
        <v>38139</v>
      </c>
      <c r="B641" s="2" t="s">
        <v>22</v>
      </c>
      <c r="C641" s="3" t="n">
        <v>3019</v>
      </c>
      <c r="D641" s="8" t="s">
        <v>17</v>
      </c>
      <c r="E641" s="3" t="n">
        <f aca="false">IF(Tabla2[[#This Row],[Frecuencia]]="Annual", Tabla2[[#This Row],[Cosecha/Tarea]]/12,Tabla2[[#This Row],[Cosecha/Tarea]])</f>
        <v>3019</v>
      </c>
      <c r="F641" s="3" t="n">
        <v>27016</v>
      </c>
      <c r="G641" s="2" t="s">
        <v>18</v>
      </c>
      <c r="H641" s="2" t="n">
        <f aca="false">F641/Tabla2[[#This Row],[Cosecha Mensual]]</f>
        <v>8.94865849619079</v>
      </c>
      <c r="I641" s="2" t="n">
        <f aca="false">H641*_xlfn.XLOOKUP(Tabla2[[#This Row],[Unidad de producción]],Tabla3[Medida],Tabla3[Equivalencia en Kg],"ELVIS",0)</f>
        <v>405.911149387214</v>
      </c>
      <c r="J641" s="2" t="n">
        <v>862.5</v>
      </c>
      <c r="K641" s="2" t="s">
        <v>18</v>
      </c>
      <c r="L641" s="2" t="n">
        <f aca="false">J641/_xlfn.XLOOKUP(Tabla2[[#This Row],[Unidad de precio]],Tabla3[Medida],Tabla3[Equivalencia en Kg],"ELVIS",0)</f>
        <v>19.0145502645503</v>
      </c>
      <c r="M641" s="2" t="n">
        <v>3985.16</v>
      </c>
      <c r="N641" s="3" t="n">
        <f aca="false">(Tabla2[[#This Row],[Productividad (kg/TAS)]]*Tabla2[[#This Row],[Precio por kg]]-Tabla2[[#This Row],[Costos (En RD$/Tarea)]])</f>
        <v>3733.05795296456</v>
      </c>
      <c r="O641" s="9" t="n">
        <f aca="false">IF(Tabla2[[#This Row],[Costos (En RD$/Tarea)]]=0,0,Tabla2[[#This Row],[Beneficio Neto  (En RD$/Tarea)]]/Tabla2[[#This Row],[Costos (En RD$/Tarea)]])</f>
        <v>0.936739792872697</v>
      </c>
      <c r="P641" s="7" t="n">
        <f aca="false">Tabla2[[#This Row],[Rentabilidad (%)]]/12</f>
        <v>0.0780616494060581</v>
      </c>
    </row>
    <row r="642" customFormat="false" ht="14.25" hidden="false" customHeight="false" outlineLevel="0" collapsed="false">
      <c r="A642" s="1" t="n">
        <v>38139</v>
      </c>
      <c r="B642" s="2" t="s">
        <v>23</v>
      </c>
      <c r="C642" s="3" t="n">
        <v>4544</v>
      </c>
      <c r="D642" s="8" t="s">
        <v>17</v>
      </c>
      <c r="E642" s="3" t="n">
        <f aca="false">IF(Tabla2[[#This Row],[Frecuencia]]="Annual", Tabla2[[#This Row],[Cosecha/Tarea]]/12,Tabla2[[#This Row],[Cosecha/Tarea]])</f>
        <v>4544</v>
      </c>
      <c r="F642" s="3" t="n">
        <v>106118</v>
      </c>
      <c r="G642" s="2" t="s">
        <v>18</v>
      </c>
      <c r="H642" s="2" t="n">
        <f aca="false">F642/Tabla2[[#This Row],[Cosecha Mensual]]</f>
        <v>23.3534330985915</v>
      </c>
      <c r="I642" s="2" t="n">
        <f aca="false">H642*_xlfn.XLOOKUP(Tabla2[[#This Row],[Unidad de producción]],Tabla3[Medida],Tabla3[Equivalencia en Kg],"ELVIS",0)</f>
        <v>1059.31172535211</v>
      </c>
      <c r="J642" s="2" t="n">
        <v>337.5</v>
      </c>
      <c r="K642" s="2" t="s">
        <v>18</v>
      </c>
      <c r="L642" s="2" t="n">
        <f aca="false">J642/_xlfn.XLOOKUP(Tabla2[[#This Row],[Unidad de precio]],Tabla3[Medida],Tabla3[Equivalencia en Kg],"ELVIS",0)</f>
        <v>7.44047619047619</v>
      </c>
      <c r="M642" s="2" t="n">
        <v>9274.52</v>
      </c>
      <c r="N642" s="3" t="n">
        <f aca="false">(Tabla2[[#This Row],[Productividad (kg/TAS)]]*Tabla2[[#This Row],[Precio por kg]]-Tabla2[[#This Row],[Costos (En RD$/Tarea)]])</f>
        <v>-1392.73632922535</v>
      </c>
      <c r="O642" s="9" t="n">
        <f aca="false">IF(Tabla2[[#This Row],[Costos (En RD$/Tarea)]]=0,0,Tabla2[[#This Row],[Beneficio Neto  (En RD$/Tarea)]]/Tabla2[[#This Row],[Costos (En RD$/Tarea)]])</f>
        <v>-0.150168022628163</v>
      </c>
      <c r="P642" s="7" t="n">
        <f aca="false">Tabla2[[#This Row],[Rentabilidad (%)]]/12</f>
        <v>-0.0125140018856803</v>
      </c>
    </row>
    <row r="643" customFormat="false" ht="14.25" hidden="false" customHeight="false" outlineLevel="0" collapsed="false">
      <c r="A643" s="1" t="n">
        <v>38139</v>
      </c>
      <c r="B643" s="2" t="s">
        <v>24</v>
      </c>
      <c r="C643" s="3" t="n">
        <v>7795</v>
      </c>
      <c r="D643" s="8" t="s">
        <v>17</v>
      </c>
      <c r="E643" s="3" t="n">
        <f aca="false">IF(Tabla2[[#This Row],[Frecuencia]]="Annual", Tabla2[[#This Row],[Cosecha/Tarea]]/12,Tabla2[[#This Row],[Cosecha/Tarea]])</f>
        <v>7795</v>
      </c>
      <c r="F643" s="3" t="n">
        <v>101147</v>
      </c>
      <c r="G643" s="2" t="s">
        <v>18</v>
      </c>
      <c r="H643" s="2" t="n">
        <f aca="false">F643/Tabla2[[#This Row],[Cosecha Mensual]]</f>
        <v>12.9758819756254</v>
      </c>
      <c r="I643" s="2" t="n">
        <f aca="false">H643*_xlfn.XLOOKUP(Tabla2[[#This Row],[Unidad de producción]],Tabla3[Medida],Tabla3[Equivalencia en Kg],"ELVIS",0)</f>
        <v>588.586006414368</v>
      </c>
      <c r="J643" s="2" t="n">
        <v>938.41875</v>
      </c>
      <c r="K643" s="2" t="s">
        <v>18</v>
      </c>
      <c r="L643" s="2" t="n">
        <f aca="false">J643/_xlfn.XLOOKUP(Tabla2[[#This Row],[Unidad de precio]],Tabla3[Medida],Tabla3[Equivalencia en Kg],"ELVIS",0)</f>
        <v>20.688244047619</v>
      </c>
      <c r="M643" s="2" t="n">
        <v>2563.46</v>
      </c>
      <c r="N643" s="3" t="n">
        <f aca="false">(Tabla2[[#This Row],[Productividad (kg/TAS)]]*Tabla2[[#This Row],[Precio por kg]]-Tabla2[[#This Row],[Costos (En RD$/Tarea)]])</f>
        <v>9613.35094371392</v>
      </c>
      <c r="O643" s="9" t="n">
        <f aca="false">IF(Tabla2[[#This Row],[Costos (En RD$/Tarea)]]=0,0,Tabla2[[#This Row],[Beneficio Neto  (En RD$/Tarea)]]/Tabla2[[#This Row],[Costos (En RD$/Tarea)]])</f>
        <v>3.75014665480012</v>
      </c>
      <c r="P643" s="7" t="n">
        <f aca="false">Tabla2[[#This Row],[Rentabilidad (%)]]/12</f>
        <v>0.312512221233343</v>
      </c>
    </row>
    <row r="644" customFormat="false" ht="14.25" hidden="false" customHeight="false" outlineLevel="0" collapsed="false">
      <c r="A644" s="1" t="n">
        <v>38139</v>
      </c>
      <c r="B644" s="2" t="s">
        <v>25</v>
      </c>
      <c r="C644" s="3" t="n">
        <v>16957</v>
      </c>
      <c r="D644" s="8" t="s">
        <v>17</v>
      </c>
      <c r="E644" s="3" t="n">
        <f aca="false">IF(Tabla2[[#This Row],[Frecuencia]]="Annual", Tabla2[[#This Row],[Cosecha/Tarea]]/12,Tabla2[[#This Row],[Cosecha/Tarea]])</f>
        <v>16957</v>
      </c>
      <c r="F644" s="3" t="n">
        <v>134004</v>
      </c>
      <c r="G644" s="2" t="s">
        <v>18</v>
      </c>
      <c r="H644" s="2" t="n">
        <f aca="false">F644/Tabla2[[#This Row],[Cosecha Mensual]]</f>
        <v>7.90257710679955</v>
      </c>
      <c r="I644" s="2" t="n">
        <f aca="false">H644*_xlfn.XLOOKUP(Tabla2[[#This Row],[Unidad de producción]],Tabla3[Medida],Tabla3[Equivalencia en Kg],"ELVIS",0)</f>
        <v>358.460897564428</v>
      </c>
      <c r="J644" s="2" t="n">
        <v>497.8325</v>
      </c>
      <c r="K644" s="2" t="s">
        <v>18</v>
      </c>
      <c r="L644" s="2" t="n">
        <f aca="false">J644/_xlfn.XLOOKUP(Tabla2[[#This Row],[Unidad de precio]],Tabla3[Medida],Tabla3[Equivalencia en Kg],"ELVIS",0)</f>
        <v>10.97514329806</v>
      </c>
      <c r="M644" s="2" t="n">
        <v>1852.92</v>
      </c>
      <c r="N644" s="3" t="n">
        <f aca="false">(Tabla2[[#This Row],[Productividad (kg/TAS)]]*Tabla2[[#This Row],[Precio por kg]]-Tabla2[[#This Row],[Costos (En RD$/Tarea)]])</f>
        <v>2081.23971752079</v>
      </c>
      <c r="O644" s="9" t="n">
        <f aca="false">IF(Tabla2[[#This Row],[Costos (En RD$/Tarea)]]=0,0,Tabla2[[#This Row],[Beneficio Neto  (En RD$/Tarea)]]/Tabla2[[#This Row],[Costos (En RD$/Tarea)]])</f>
        <v>1.12322157325777</v>
      </c>
      <c r="P644" s="7" t="n">
        <f aca="false">Tabla2[[#This Row],[Rentabilidad (%)]]/12</f>
        <v>0.0936017977714809</v>
      </c>
    </row>
    <row r="645" customFormat="false" ht="14.25" hidden="false" customHeight="false" outlineLevel="0" collapsed="false">
      <c r="A645" s="1" t="n">
        <v>38139</v>
      </c>
      <c r="B645" s="2" t="s">
        <v>26</v>
      </c>
      <c r="C645" s="3" t="n">
        <v>10672</v>
      </c>
      <c r="D645" s="8" t="s">
        <v>17</v>
      </c>
      <c r="E645" s="3" t="n">
        <f aca="false">IF(Tabla2[[#This Row],[Frecuencia]]="Annual", Tabla2[[#This Row],[Cosecha/Tarea]]/12,Tabla2[[#This Row],[Cosecha/Tarea]])</f>
        <v>10672</v>
      </c>
      <c r="F645" s="3" t="n">
        <v>93137</v>
      </c>
      <c r="G645" s="2" t="s">
        <v>18</v>
      </c>
      <c r="H645" s="2" t="n">
        <f aca="false">F645/Tabla2[[#This Row],[Cosecha Mensual]]</f>
        <v>8.72723013493253</v>
      </c>
      <c r="I645" s="2" t="n">
        <f aca="false">H645*_xlfn.XLOOKUP(Tabla2[[#This Row],[Unidad de producción]],Tabla3[Medida],Tabla3[Equivalencia en Kg],"ELVIS",0)</f>
        <v>395.86715892054</v>
      </c>
      <c r="J645" s="2" t="n">
        <v>460</v>
      </c>
      <c r="K645" s="2" t="s">
        <v>18</v>
      </c>
      <c r="L645" s="2" t="n">
        <f aca="false">J645/_xlfn.XLOOKUP(Tabla2[[#This Row],[Unidad de precio]],Tabla3[Medida],Tabla3[Equivalencia en Kg],"ELVIS",0)</f>
        <v>10.1410934744268</v>
      </c>
      <c r="M645" s="2" t="n">
        <v>1244.4</v>
      </c>
      <c r="N645" s="3" t="n">
        <f aca="false">(Tabla2[[#This Row],[Productividad (kg/TAS)]]*Tabla2[[#This Row],[Precio por kg]]-Tabla2[[#This Row],[Costos (En RD$/Tarea)]])</f>
        <v>2770.12586206897</v>
      </c>
      <c r="O645" s="9" t="n">
        <f aca="false">IF(Tabla2[[#This Row],[Costos (En RD$/Tarea)]]=0,0,Tabla2[[#This Row],[Beneficio Neto  (En RD$/Tarea)]]/Tabla2[[#This Row],[Costos (En RD$/Tarea)]])</f>
        <v>2.22607349893038</v>
      </c>
      <c r="P645" s="7" t="n">
        <f aca="false">Tabla2[[#This Row],[Rentabilidad (%)]]/12</f>
        <v>0.185506124910865</v>
      </c>
    </row>
    <row r="646" customFormat="false" ht="14.25" hidden="false" customHeight="false" outlineLevel="0" collapsed="false">
      <c r="A646" s="1" t="n">
        <v>38139</v>
      </c>
      <c r="B646" s="2" t="s">
        <v>27</v>
      </c>
      <c r="C646" s="3" t="n">
        <v>5409</v>
      </c>
      <c r="D646" s="8" t="s">
        <v>17</v>
      </c>
      <c r="E646" s="3" t="n">
        <f aca="false">IF(Tabla2[[#This Row],[Frecuencia]]="Annual", Tabla2[[#This Row],[Cosecha/Tarea]]/12,Tabla2[[#This Row],[Cosecha/Tarea]])</f>
        <v>5409</v>
      </c>
      <c r="F646" s="3" t="n">
        <v>55868</v>
      </c>
      <c r="G646" s="2" t="s">
        <v>18</v>
      </c>
      <c r="H646" s="2" t="n">
        <f aca="false">F646/Tabla2[[#This Row],[Cosecha Mensual]]</f>
        <v>10.3287114069144</v>
      </c>
      <c r="I646" s="2" t="n">
        <f aca="false">H646*_xlfn.XLOOKUP(Tabla2[[#This Row],[Unidad de producción]],Tabla3[Medida],Tabla3[Equivalencia en Kg],"ELVIS",0)</f>
        <v>468.510349417637</v>
      </c>
      <c r="J646" s="2" t="n">
        <v>327</v>
      </c>
      <c r="K646" s="2" t="s">
        <v>18</v>
      </c>
      <c r="L646" s="2" t="n">
        <f aca="false">J646/_xlfn.XLOOKUP(Tabla2[[#This Row],[Unidad de precio]],Tabla3[Medida],Tabla3[Equivalencia en Kg],"ELVIS",0)</f>
        <v>7.20899470899471</v>
      </c>
      <c r="M646" s="2" t="n">
        <v>4235.82</v>
      </c>
      <c r="N646" s="3" t="n">
        <f aca="false">(Tabla2[[#This Row],[Productividad (kg/TAS)]]*Tabla2[[#This Row],[Precio por kg]]-Tabla2[[#This Row],[Costos (En RD$/Tarea)]])</f>
        <v>-858.331369938991</v>
      </c>
      <c r="O646" s="9" t="n">
        <f aca="false">IF(Tabla2[[#This Row],[Costos (En RD$/Tarea)]]=0,0,Tabla2[[#This Row],[Beneficio Neto  (En RD$/Tarea)]]/Tabla2[[#This Row],[Costos (En RD$/Tarea)]])</f>
        <v>-0.202636412769898</v>
      </c>
      <c r="P646" s="7" t="n">
        <f aca="false">Tabla2[[#This Row],[Rentabilidad (%)]]/12</f>
        <v>-0.0168863677308249</v>
      </c>
    </row>
    <row r="647" customFormat="false" ht="14.25" hidden="false" customHeight="false" outlineLevel="0" collapsed="false">
      <c r="A647" s="1" t="n">
        <v>38139</v>
      </c>
      <c r="B647" s="2" t="s">
        <v>28</v>
      </c>
      <c r="C647" s="3" t="n">
        <v>10150</v>
      </c>
      <c r="D647" s="8" t="s">
        <v>17</v>
      </c>
      <c r="E647" s="3" t="n">
        <f aca="false">IF(Tabla2[[#This Row],[Frecuencia]]="Annual", Tabla2[[#This Row],[Cosecha/Tarea]]/12,Tabla2[[#This Row],[Cosecha/Tarea]])</f>
        <v>10150</v>
      </c>
      <c r="F647" s="3" t="n">
        <v>17255</v>
      </c>
      <c r="G647" s="2" t="s">
        <v>29</v>
      </c>
      <c r="H647" s="2" t="n">
        <f aca="false">F647/Tabla2[[#This Row],[Cosecha Mensual]]</f>
        <v>1.7</v>
      </c>
      <c r="I647" s="2" t="n">
        <f aca="false">H647*_xlfn.XLOOKUP(Tabla2[[#This Row],[Unidad de producción]],Tabla3[Medida],Tabla3[Equivalencia en Kg],"ELVIS",0)</f>
        <v>955.978</v>
      </c>
      <c r="J647" s="2" t="n">
        <v>3000</v>
      </c>
      <c r="K647" s="2" t="s">
        <v>29</v>
      </c>
      <c r="L647" s="2" t="n">
        <f aca="false">J647/_xlfn.XLOOKUP(Tabla2[[#This Row],[Unidad de precio]],Tabla3[Medida],Tabla3[Equivalencia en Kg],"ELVIS",0)</f>
        <v>5.3348508020059</v>
      </c>
      <c r="M647" s="2" t="n">
        <v>7896.87291948</v>
      </c>
      <c r="N647" s="3" t="n">
        <f aca="false">(Tabla2[[#This Row],[Productividad (kg/TAS)]]*Tabla2[[#This Row],[Precio por kg]]-Tabla2[[#This Row],[Costos (En RD$/Tarea)]])</f>
        <v>-2796.87291948</v>
      </c>
      <c r="O647" s="9" t="n">
        <f aca="false">IF(Tabla2[[#This Row],[Costos (En RD$/Tarea)]]=0,0,Tabla2[[#This Row],[Beneficio Neto  (En RD$/Tarea)]]/Tabla2[[#This Row],[Costos (En RD$/Tarea)]])</f>
        <v>-0.35417474081173</v>
      </c>
      <c r="P647" s="7" t="n">
        <f aca="false">Tabla2[[#This Row],[Rentabilidad (%)]]/12</f>
        <v>-0.0295145617343108</v>
      </c>
    </row>
    <row r="648" customFormat="false" ht="14.25" hidden="false" customHeight="false" outlineLevel="0" collapsed="false">
      <c r="A648" s="1" t="n">
        <v>38139</v>
      </c>
      <c r="B648" s="2" t="s">
        <v>30</v>
      </c>
      <c r="C648" s="3" t="n">
        <v>261629</v>
      </c>
      <c r="D648" s="3" t="s">
        <v>31</v>
      </c>
      <c r="E648" s="3" t="n">
        <f aca="false">IF(Tabla2[[#This Row],[Frecuencia]]="Annual", Tabla2[[#This Row],[Cosecha/Tarea]]/12,Tabla2[[#This Row],[Cosecha/Tarea]])</f>
        <v>21802.4166666667</v>
      </c>
      <c r="F648" s="3" t="n">
        <v>1883858</v>
      </c>
      <c r="G648" s="2" t="s">
        <v>32</v>
      </c>
      <c r="H648" s="2" t="n">
        <f aca="false">F648/Tabla2[[#This Row],[Cosecha Mensual]]</f>
        <v>86.405925948576</v>
      </c>
      <c r="I648" s="2" t="n">
        <f aca="false">H648*_xlfn.XLOOKUP(Tabla2[[#This Row],[Unidad de producción]],Tabla3[Medida],Tabla3[Equivalencia en Kg],"ELVIS",0)</f>
        <v>2351.10524506075</v>
      </c>
      <c r="J648" s="2" t="n">
        <v>58.75</v>
      </c>
      <c r="K648" s="2" t="s">
        <v>32</v>
      </c>
      <c r="L648" s="2" t="n">
        <f aca="false">J648/_xlfn.XLOOKUP(Tabla2[[#This Row],[Unidad de precio]],Tabla3[Medida],Tabla3[Equivalencia en Kg],"ELVIS",0)</f>
        <v>2.15913267181183</v>
      </c>
      <c r="M648" s="3" t="n">
        <v>6693.79</v>
      </c>
      <c r="N648" s="3" t="n">
        <f aca="false">(Tabla2[[#This Row],[Productividad (kg/TAS)]]*Tabla2[[#This Row],[Precio por kg]]-Tabla2[[#This Row],[Costos (En RD$/Tarea)]])</f>
        <v>-1617.44185052116</v>
      </c>
      <c r="O648" s="9" t="n">
        <f aca="false">IF(Tabla2[[#This Row],[Costos (En RD$/Tarea)]]=0,0,Tabla2[[#This Row],[Beneficio Neto  (En RD$/Tarea)]]/Tabla2[[#This Row],[Costos (En RD$/Tarea)]])</f>
        <v>-0.241633192932727</v>
      </c>
      <c r="P648" s="7" t="n">
        <f aca="false">Tabla2[[#This Row],[Rentabilidad (%)]]/12</f>
        <v>-0.0201360994110606</v>
      </c>
    </row>
    <row r="649" customFormat="false" ht="14.25" hidden="false" customHeight="false" outlineLevel="0" collapsed="false">
      <c r="A649" s="1" t="n">
        <v>38139</v>
      </c>
      <c r="B649" s="2" t="s">
        <v>33</v>
      </c>
      <c r="C649" s="3" t="n">
        <v>556553</v>
      </c>
      <c r="D649" s="3" t="s">
        <v>31</v>
      </c>
      <c r="E649" s="3" t="n">
        <f aca="false">IF(Tabla2[[#This Row],[Frecuencia]]="Annual", Tabla2[[#This Row],[Cosecha/Tarea]]/12,Tabla2[[#This Row],[Cosecha/Tarea]])</f>
        <v>46379.4166666667</v>
      </c>
      <c r="F649" s="3" t="n">
        <v>94446</v>
      </c>
      <c r="G649" s="2" t="s">
        <v>34</v>
      </c>
      <c r="H649" s="2" t="n">
        <f aca="false">F649/Tabla2[[#This Row],[Cosecha Mensual]]</f>
        <v>2.0363774878583</v>
      </c>
      <c r="I649" s="2" t="n">
        <f aca="false">H649*_xlfn.XLOOKUP(Tabla2[[#This Row],[Unidad de producción]],Tabla3[Medida],Tabla3[Equivalencia en Kg],"ELVIS",0)</f>
        <v>831.147471669365</v>
      </c>
      <c r="J649" s="2" t="n">
        <v>2486.75</v>
      </c>
      <c r="K649" s="2" t="s">
        <v>34</v>
      </c>
      <c r="L649" s="2" t="n">
        <f aca="false">J649/_xlfn.XLOOKUP(Tabla2[[#This Row],[Unidad de precio]],Tabla3[Medida],Tabla3[Equivalencia en Kg],"ELVIS",0)</f>
        <v>6.0927355139042</v>
      </c>
      <c r="M649" s="3" t="n">
        <v>8906.28</v>
      </c>
      <c r="N649" s="3" t="n">
        <f aca="false">(Tabla2[[#This Row],[Productividad (kg/TAS)]]*Tabla2[[#This Row],[Precio por kg]]-Tabla2[[#This Row],[Costos (En RD$/Tarea)]])</f>
        <v>-3842.31828206837</v>
      </c>
      <c r="O649" s="9" t="n">
        <f aca="false">IF(Tabla2[[#This Row],[Costos (En RD$/Tarea)]]=0,0,Tabla2[[#This Row],[Beneficio Neto  (En RD$/Tarea)]]/Tabla2[[#This Row],[Costos (En RD$/Tarea)]])</f>
        <v>-0.431416739881115</v>
      </c>
      <c r="P649" s="7" t="n">
        <f aca="false">Tabla2[[#This Row],[Rentabilidad (%)]]/12</f>
        <v>-0.0359513949900929</v>
      </c>
    </row>
    <row r="650" customFormat="false" ht="14.25" hidden="false" customHeight="false" outlineLevel="0" collapsed="false">
      <c r="A650" s="1" t="n">
        <v>38169</v>
      </c>
      <c r="B650" s="2" t="s">
        <v>16</v>
      </c>
      <c r="C650" s="3" t="n">
        <v>259272</v>
      </c>
      <c r="D650" s="8" t="s">
        <v>17</v>
      </c>
      <c r="E650" s="3" t="n">
        <f aca="false">IF(Tabla2[[#This Row],[Frecuencia]]="Annual", Tabla2[[#This Row],[Cosecha/Tarea]]/12,Tabla2[[#This Row],[Cosecha/Tarea]])</f>
        <v>259272</v>
      </c>
      <c r="F650" s="3" t="n">
        <v>1275879</v>
      </c>
      <c r="G650" s="2" t="s">
        <v>18</v>
      </c>
      <c r="H650" s="2" t="n">
        <f aca="false">F650/Tabla2[[#This Row],[Cosecha Mensual]]</f>
        <v>4.92100573914653</v>
      </c>
      <c r="I650" s="2" t="n">
        <f aca="false">H650*_xlfn.XLOOKUP(Tabla2[[#This Row],[Unidad de producción]],Tabla3[Medida],Tabla3[Equivalencia en Kg],"ELVIS",0)</f>
        <v>223.216820327687</v>
      </c>
      <c r="J650" s="2" t="n">
        <v>1409.69</v>
      </c>
      <c r="K650" s="2" t="s">
        <v>19</v>
      </c>
      <c r="L650" s="2" t="n">
        <f aca="false">J650/_xlfn.XLOOKUP(Tabla2[[#This Row],[Unidad de precio]],Tabla3[Medida],Tabla3[Equivalencia en Kg],"ELVIS",0)</f>
        <v>12.8153636363636</v>
      </c>
      <c r="M650" s="2" t="n">
        <v>4376.41</v>
      </c>
      <c r="N650" s="3" t="n">
        <f aca="false">(Tabla2[[#This Row],[Productividad (kg/TAS)]]*Tabla2[[#This Row],[Precio por kg]]-Tabla2[[#This Row],[Costos (En RD$/Tarea)]])</f>
        <v>-1515.80527774785</v>
      </c>
      <c r="O650" s="9" t="n">
        <f aca="false">IF(Tabla2[[#This Row],[Costos (En RD$/Tarea)]]=0,0,Tabla2[[#This Row],[Beneficio Neto  (En RD$/Tarea)]]/Tabla2[[#This Row],[Costos (En RD$/Tarea)]])</f>
        <v>-0.346358151486686</v>
      </c>
      <c r="P650" s="7" t="n">
        <f aca="false">Tabla2[[#This Row],[Rentabilidad (%)]]/12</f>
        <v>-0.0288631792905572</v>
      </c>
    </row>
    <row r="651" customFormat="false" ht="14.25" hidden="false" customHeight="false" outlineLevel="0" collapsed="false">
      <c r="A651" s="1" t="n">
        <v>38169</v>
      </c>
      <c r="B651" s="2" t="s">
        <v>20</v>
      </c>
      <c r="C651" s="3" t="n">
        <v>39617</v>
      </c>
      <c r="D651" s="8" t="s">
        <v>17</v>
      </c>
      <c r="E651" s="3" t="n">
        <f aca="false">IF(Tabla2[[#This Row],[Frecuencia]]="Annual", Tabla2[[#This Row],[Cosecha/Tarea]]/12,Tabla2[[#This Row],[Cosecha/Tarea]])</f>
        <v>39617</v>
      </c>
      <c r="F651" s="3" t="n">
        <v>86092</v>
      </c>
      <c r="G651" s="2" t="s">
        <v>18</v>
      </c>
      <c r="H651" s="2" t="n">
        <f aca="false">F651/Tabla2[[#This Row],[Cosecha Mensual]]</f>
        <v>2.17310750435419</v>
      </c>
      <c r="I651" s="2" t="n">
        <f aca="false">H651*_xlfn.XLOOKUP(Tabla2[[#This Row],[Unidad de producción]],Tabla3[Medida],Tabla3[Equivalencia en Kg],"ELVIS",0)</f>
        <v>98.5721563975061</v>
      </c>
      <c r="J651" s="2" t="n">
        <v>462.64</v>
      </c>
      <c r="K651" s="2" t="s">
        <v>18</v>
      </c>
      <c r="L651" s="2" t="n">
        <f aca="false">J651/_xlfn.XLOOKUP(Tabla2[[#This Row],[Unidad de precio]],Tabla3[Medida],Tabla3[Equivalencia en Kg],"ELVIS",0)</f>
        <v>10.1992945326279</v>
      </c>
      <c r="M651" s="2" t="n">
        <v>1100.66</v>
      </c>
      <c r="N651" s="3" t="n">
        <f aca="false">(Tabla2[[#This Row],[Productividad (kg/TAS)]]*Tabla2[[#This Row],[Precio por kg]]-Tabla2[[#This Row],[Costos (En RD$/Tarea)]])</f>
        <v>-95.2935441855772</v>
      </c>
      <c r="O651" s="9" t="n">
        <f aca="false">IF(Tabla2[[#This Row],[Costos (En RD$/Tarea)]]=0,0,Tabla2[[#This Row],[Beneficio Neto  (En RD$/Tarea)]]/Tabla2[[#This Row],[Costos (En RD$/Tarea)]])</f>
        <v>-0.0865785475856097</v>
      </c>
      <c r="P651" s="7" t="n">
        <f aca="false">Tabla2[[#This Row],[Rentabilidad (%)]]/12</f>
        <v>-0.00721487896546747</v>
      </c>
    </row>
    <row r="652" customFormat="false" ht="14.25" hidden="false" customHeight="false" outlineLevel="0" collapsed="false">
      <c r="A652" s="1" t="n">
        <v>38169</v>
      </c>
      <c r="B652" s="2" t="s">
        <v>21</v>
      </c>
      <c r="C652" s="3" t="n">
        <v>4879</v>
      </c>
      <c r="D652" s="8" t="s">
        <v>17</v>
      </c>
      <c r="E652" s="3" t="n">
        <f aca="false">IF(Tabla2[[#This Row],[Frecuencia]]="Annual", Tabla2[[#This Row],[Cosecha/Tarea]]/12,Tabla2[[#This Row],[Cosecha/Tarea]])</f>
        <v>4879</v>
      </c>
      <c r="F652" s="3" t="n">
        <v>46711</v>
      </c>
      <c r="G652" s="2" t="s">
        <v>18</v>
      </c>
      <c r="H652" s="2" t="n">
        <f aca="false">F652/Tabla2[[#This Row],[Cosecha Mensual]]</f>
        <v>9.5738880918221</v>
      </c>
      <c r="I652" s="2" t="n">
        <f aca="false">H652*_xlfn.XLOOKUP(Tabla2[[#This Row],[Unidad de producción]],Tabla3[Medida],Tabla3[Equivalencia en Kg],"ELVIS",0)</f>
        <v>434.27156384505</v>
      </c>
      <c r="J652" s="2" t="n">
        <v>286.666</v>
      </c>
      <c r="K652" s="2" t="s">
        <v>18</v>
      </c>
      <c r="L652" s="2" t="n">
        <f aca="false">J652/_xlfn.XLOOKUP(Tabla2[[#This Row],[Unidad de precio]],Tabla3[Medida],Tabla3[Equivalencia en Kg],"ELVIS",0)</f>
        <v>6.31979717813051</v>
      </c>
      <c r="M652" s="2" t="n">
        <v>3591.85</v>
      </c>
      <c r="N652" s="3" t="n">
        <f aca="false">(Tabla2[[#This Row],[Productividad (kg/TAS)]]*Tabla2[[#This Row],[Precio por kg]]-Tabla2[[#This Row],[Costos (En RD$/Tarea)]])</f>
        <v>-847.341796269727</v>
      </c>
      <c r="O652" s="9" t="n">
        <f aca="false">IF(Tabla2[[#This Row],[Costos (En RD$/Tarea)]]=0,0,Tabla2[[#This Row],[Beneficio Neto  (En RD$/Tarea)]]/Tabla2[[#This Row],[Costos (En RD$/Tarea)]])</f>
        <v>-0.235906787942071</v>
      </c>
      <c r="P652" s="7" t="n">
        <f aca="false">Tabla2[[#This Row],[Rentabilidad (%)]]/12</f>
        <v>-0.0196588989951726</v>
      </c>
    </row>
    <row r="653" customFormat="false" ht="14.25" hidden="false" customHeight="false" outlineLevel="0" collapsed="false">
      <c r="A653" s="1" t="n">
        <v>38169</v>
      </c>
      <c r="B653" s="2" t="s">
        <v>22</v>
      </c>
      <c r="C653" s="3" t="n">
        <v>2183</v>
      </c>
      <c r="D653" s="8" t="s">
        <v>17</v>
      </c>
      <c r="E653" s="3" t="n">
        <f aca="false">IF(Tabla2[[#This Row],[Frecuencia]]="Annual", Tabla2[[#This Row],[Cosecha/Tarea]]/12,Tabla2[[#This Row],[Cosecha/Tarea]])</f>
        <v>2183</v>
      </c>
      <c r="F653" s="3" t="n">
        <v>23864</v>
      </c>
      <c r="G653" s="2" t="s">
        <v>18</v>
      </c>
      <c r="H653" s="2" t="n">
        <f aca="false">F653/Tabla2[[#This Row],[Cosecha Mensual]]</f>
        <v>10.9317453046267</v>
      </c>
      <c r="I653" s="2" t="n">
        <f aca="false">H653*_xlfn.XLOOKUP(Tabla2[[#This Row],[Unidad de producción]],Tabla3[Medida],Tabla3[Equivalencia en Kg],"ELVIS",0)</f>
        <v>495.863967017865</v>
      </c>
      <c r="J653" s="2" t="n">
        <v>775</v>
      </c>
      <c r="K653" s="2" t="s">
        <v>18</v>
      </c>
      <c r="L653" s="2" t="n">
        <f aca="false">J653/_xlfn.XLOOKUP(Tabla2[[#This Row],[Unidad de precio]],Tabla3[Medida],Tabla3[Equivalencia en Kg],"ELVIS",0)</f>
        <v>17.0855379188713</v>
      </c>
      <c r="M653" s="2" t="n">
        <v>3985.16</v>
      </c>
      <c r="N653" s="3" t="n">
        <f aca="false">(Tabla2[[#This Row],[Productividad (kg/TAS)]]*Tabla2[[#This Row],[Precio por kg]]-Tabla2[[#This Row],[Costos (En RD$/Tarea)]])</f>
        <v>4486.94261108566</v>
      </c>
      <c r="O653" s="9" t="n">
        <f aca="false">IF(Tabla2[[#This Row],[Costos (En RD$/Tarea)]]=0,0,Tabla2[[#This Row],[Beneficio Neto  (En RD$/Tarea)]]/Tabla2[[#This Row],[Costos (En RD$/Tarea)]])</f>
        <v>1.12591278921942</v>
      </c>
      <c r="P653" s="7" t="n">
        <f aca="false">Tabla2[[#This Row],[Rentabilidad (%)]]/12</f>
        <v>0.093826065768285</v>
      </c>
    </row>
    <row r="654" customFormat="false" ht="14.25" hidden="false" customHeight="false" outlineLevel="0" collapsed="false">
      <c r="A654" s="1" t="n">
        <v>38169</v>
      </c>
      <c r="B654" s="2" t="s">
        <v>23</v>
      </c>
      <c r="C654" s="3" t="n">
        <v>2084</v>
      </c>
      <c r="D654" s="8" t="s">
        <v>17</v>
      </c>
      <c r="E654" s="3" t="n">
        <f aca="false">IF(Tabla2[[#This Row],[Frecuencia]]="Annual", Tabla2[[#This Row],[Cosecha/Tarea]]/12,Tabla2[[#This Row],[Cosecha/Tarea]])</f>
        <v>2084</v>
      </c>
      <c r="F654" s="3" t="n">
        <v>47897</v>
      </c>
      <c r="G654" s="2" t="s">
        <v>18</v>
      </c>
      <c r="H654" s="2" t="n">
        <f aca="false">F654/Tabla2[[#This Row],[Cosecha Mensual]]</f>
        <v>22.9832053742802</v>
      </c>
      <c r="I654" s="2" t="n">
        <f aca="false">H654*_xlfn.XLOOKUP(Tabla2[[#This Row],[Unidad de producción]],Tabla3[Medida],Tabla3[Equivalencia en Kg],"ELVIS",0)</f>
        <v>1042.51819577735</v>
      </c>
      <c r="J654" s="2" t="n">
        <v>675</v>
      </c>
      <c r="K654" s="2" t="s">
        <v>18</v>
      </c>
      <c r="L654" s="2" t="n">
        <f aca="false">J654/_xlfn.XLOOKUP(Tabla2[[#This Row],[Unidad de precio]],Tabla3[Medida],Tabla3[Equivalencia en Kg],"ELVIS",0)</f>
        <v>14.8809523809524</v>
      </c>
      <c r="M654" s="2" t="n">
        <v>9274.52</v>
      </c>
      <c r="N654" s="3" t="n">
        <f aca="false">(Tabla2[[#This Row],[Productividad (kg/TAS)]]*Tabla2[[#This Row],[Precio por kg]]-Tabla2[[#This Row],[Costos (En RD$/Tarea)]])</f>
        <v>6239.14362763916</v>
      </c>
      <c r="O654" s="9" t="n">
        <f aca="false">IF(Tabla2[[#This Row],[Costos (En RD$/Tarea)]]=0,0,Tabla2[[#This Row],[Beneficio Neto  (En RD$/Tarea)]]/Tabla2[[#This Row],[Costos (En RD$/Tarea)]])</f>
        <v>0.672718763627569</v>
      </c>
      <c r="P654" s="7" t="n">
        <f aca="false">Tabla2[[#This Row],[Rentabilidad (%)]]/12</f>
        <v>0.056059896968964</v>
      </c>
    </row>
    <row r="655" customFormat="false" ht="14.25" hidden="false" customHeight="false" outlineLevel="0" collapsed="false">
      <c r="A655" s="1" t="n">
        <v>38169</v>
      </c>
      <c r="B655" s="2" t="s">
        <v>24</v>
      </c>
      <c r="C655" s="3" t="n">
        <v>4645</v>
      </c>
      <c r="D655" s="8" t="s">
        <v>17</v>
      </c>
      <c r="E655" s="3" t="n">
        <f aca="false">IF(Tabla2[[#This Row],[Frecuencia]]="Annual", Tabla2[[#This Row],[Cosecha/Tarea]]/12,Tabla2[[#This Row],[Cosecha/Tarea]])</f>
        <v>4645</v>
      </c>
      <c r="F655" s="3" t="n">
        <v>84203</v>
      </c>
      <c r="G655" s="2" t="s">
        <v>18</v>
      </c>
      <c r="H655" s="2" t="n">
        <f aca="false">F655/Tabla2[[#This Row],[Cosecha Mensual]]</f>
        <v>18.1276641550054</v>
      </c>
      <c r="I655" s="2" t="n">
        <f aca="false">H655*_xlfn.XLOOKUP(Tabla2[[#This Row],[Unidad de producción]],Tabla3[Medida],Tabla3[Equivalencia en Kg],"ELVIS",0)</f>
        <v>822.270846071044</v>
      </c>
      <c r="J655" s="2" t="n">
        <v>627.083333333333</v>
      </c>
      <c r="K655" s="2" t="s">
        <v>18</v>
      </c>
      <c r="L655" s="2" t="n">
        <f aca="false">J655/_xlfn.XLOOKUP(Tabla2[[#This Row],[Unidad de precio]],Tabla3[Medida],Tabla3[Equivalencia en Kg],"ELVIS",0)</f>
        <v>13.8245884773662</v>
      </c>
      <c r="M655" s="2" t="n">
        <v>2563.46</v>
      </c>
      <c r="N655" s="3" t="n">
        <f aca="false">(Tabla2[[#This Row],[Productividad (kg/TAS)]]*Tabla2[[#This Row],[Precio por kg]]-Tabla2[[#This Row],[Costos (En RD$/Tarea)]])</f>
        <v>8804.09606386795</v>
      </c>
      <c r="O655" s="9" t="n">
        <f aca="false">IF(Tabla2[[#This Row],[Costos (En RD$/Tarea)]]=0,0,Tabla2[[#This Row],[Beneficio Neto  (En RD$/Tarea)]]/Tabla2[[#This Row],[Costos (En RD$/Tarea)]])</f>
        <v>3.43445814011842</v>
      </c>
      <c r="P655" s="7" t="n">
        <f aca="false">Tabla2[[#This Row],[Rentabilidad (%)]]/12</f>
        <v>0.286204845009868</v>
      </c>
    </row>
    <row r="656" customFormat="false" ht="14.25" hidden="false" customHeight="false" outlineLevel="0" collapsed="false">
      <c r="A656" s="1" t="n">
        <v>38169</v>
      </c>
      <c r="B656" s="2" t="s">
        <v>25</v>
      </c>
      <c r="C656" s="3" t="n">
        <v>13238</v>
      </c>
      <c r="D656" s="8" t="s">
        <v>17</v>
      </c>
      <c r="E656" s="3" t="n">
        <f aca="false">IF(Tabla2[[#This Row],[Frecuencia]]="Annual", Tabla2[[#This Row],[Cosecha/Tarea]]/12,Tabla2[[#This Row],[Cosecha/Tarea]])</f>
        <v>13238</v>
      </c>
      <c r="F656" s="3" t="n">
        <v>119227</v>
      </c>
      <c r="G656" s="2" t="s">
        <v>18</v>
      </c>
      <c r="H656" s="2" t="n">
        <f aca="false">F656/Tabla2[[#This Row],[Cosecha Mensual]]</f>
        <v>9.00642090950295</v>
      </c>
      <c r="I656" s="2" t="n">
        <f aca="false">H656*_xlfn.XLOOKUP(Tabla2[[#This Row],[Unidad de producción]],Tabla3[Medida],Tabla3[Equivalencia en Kg],"ELVIS",0)</f>
        <v>408.531252455054</v>
      </c>
      <c r="J656" s="2" t="n">
        <v>653.056666666667</v>
      </c>
      <c r="K656" s="2" t="s">
        <v>18</v>
      </c>
      <c r="L656" s="2" t="n">
        <f aca="false">J656/_xlfn.XLOOKUP(Tabla2[[#This Row],[Unidad de precio]],Tabla3[Medida],Tabla3[Equivalencia en Kg],"ELVIS",0)</f>
        <v>14.3971928277484</v>
      </c>
      <c r="M656" s="2" t="n">
        <v>1852.92</v>
      </c>
      <c r="N656" s="3" t="n">
        <f aca="false">(Tabla2[[#This Row],[Productividad (kg/TAS)]]*Tabla2[[#This Row],[Precio por kg]]-Tabla2[[#This Row],[Costos (En RD$/Tarea)]])</f>
        <v>4028.78321775696</v>
      </c>
      <c r="O656" s="9" t="n">
        <f aca="false">IF(Tabla2[[#This Row],[Costos (En RD$/Tarea)]]=0,0,Tabla2[[#This Row],[Beneficio Neto  (En RD$/Tarea)]]/Tabla2[[#This Row],[Costos (En RD$/Tarea)]])</f>
        <v>2.17428880780442</v>
      </c>
      <c r="P656" s="7" t="n">
        <f aca="false">Tabla2[[#This Row],[Rentabilidad (%)]]/12</f>
        <v>0.181190733983702</v>
      </c>
    </row>
    <row r="657" customFormat="false" ht="14.25" hidden="false" customHeight="false" outlineLevel="0" collapsed="false">
      <c r="A657" s="1" t="n">
        <v>38169</v>
      </c>
      <c r="B657" s="2" t="s">
        <v>26</v>
      </c>
      <c r="C657" s="3" t="n">
        <v>7837</v>
      </c>
      <c r="D657" s="8" t="s">
        <v>17</v>
      </c>
      <c r="E657" s="3" t="n">
        <f aca="false">IF(Tabla2[[#This Row],[Frecuencia]]="Annual", Tabla2[[#This Row],[Cosecha/Tarea]]/12,Tabla2[[#This Row],[Cosecha/Tarea]])</f>
        <v>7837</v>
      </c>
      <c r="F657" s="3" t="n">
        <v>50574</v>
      </c>
      <c r="G657" s="2" t="s">
        <v>18</v>
      </c>
      <c r="H657" s="2" t="n">
        <f aca="false">F657/Tabla2[[#This Row],[Cosecha Mensual]]</f>
        <v>6.45323465611841</v>
      </c>
      <c r="I657" s="2" t="n">
        <f aca="false">H657*_xlfn.XLOOKUP(Tabla2[[#This Row],[Unidad de producción]],Tabla3[Medida],Tabla3[Equivalencia en Kg],"ELVIS",0)</f>
        <v>292.718724001531</v>
      </c>
      <c r="J657" s="2" t="n">
        <v>375</v>
      </c>
      <c r="K657" s="2" t="s">
        <v>18</v>
      </c>
      <c r="L657" s="2" t="n">
        <f aca="false">J657/_xlfn.XLOOKUP(Tabla2[[#This Row],[Unidad de precio]],Tabla3[Medida],Tabla3[Equivalencia en Kg],"ELVIS",0)</f>
        <v>8.26719576719577</v>
      </c>
      <c r="M657" s="2" t="n">
        <v>1244.4</v>
      </c>
      <c r="N657" s="3" t="n">
        <f aca="false">(Tabla2[[#This Row],[Productividad (kg/TAS)]]*Tabla2[[#This Row],[Precio por kg]]-Tabla2[[#This Row],[Costos (En RD$/Tarea)]])</f>
        <v>1175.5629960444</v>
      </c>
      <c r="O657" s="9" t="n">
        <f aca="false">IF(Tabla2[[#This Row],[Costos (En RD$/Tarea)]]=0,0,Tabla2[[#This Row],[Beneficio Neto  (En RD$/Tarea)]]/Tabla2[[#This Row],[Costos (En RD$/Tarea)]])</f>
        <v>0.944682574770496</v>
      </c>
      <c r="P657" s="7" t="n">
        <f aca="false">Tabla2[[#This Row],[Rentabilidad (%)]]/12</f>
        <v>0.0787235478975413</v>
      </c>
    </row>
    <row r="658" customFormat="false" ht="14.25" hidden="false" customHeight="false" outlineLevel="0" collapsed="false">
      <c r="A658" s="1" t="n">
        <v>38169</v>
      </c>
      <c r="B658" s="2" t="s">
        <v>27</v>
      </c>
      <c r="C658" s="3" t="n">
        <v>5184</v>
      </c>
      <c r="D658" s="8" t="s">
        <v>17</v>
      </c>
      <c r="E658" s="3" t="n">
        <f aca="false">IF(Tabla2[[#This Row],[Frecuencia]]="Annual", Tabla2[[#This Row],[Cosecha/Tarea]]/12,Tabla2[[#This Row],[Cosecha/Tarea]])</f>
        <v>5184</v>
      </c>
      <c r="F658" s="3" t="n">
        <v>47093</v>
      </c>
      <c r="G658" s="2" t="s">
        <v>18</v>
      </c>
      <c r="H658" s="2" t="n">
        <f aca="false">F658/Tabla2[[#This Row],[Cosecha Mensual]]</f>
        <v>9.08429783950617</v>
      </c>
      <c r="I658" s="2" t="n">
        <f aca="false">H658*_xlfn.XLOOKUP(Tabla2[[#This Row],[Unidad de producción]],Tabla3[Medida],Tabla3[Equivalencia en Kg],"ELVIS",0)</f>
        <v>412.06375</v>
      </c>
      <c r="J658" s="2" t="n">
        <v>355.556666666667</v>
      </c>
      <c r="K658" s="2" t="s">
        <v>18</v>
      </c>
      <c r="L658" s="2" t="n">
        <f aca="false">J658/_xlfn.XLOOKUP(Tabla2[[#This Row],[Unidad de precio]],Tabla3[Medida],Tabla3[Equivalencia en Kg],"ELVIS",0)</f>
        <v>7.83855085243975</v>
      </c>
      <c r="M658" s="2" t="n">
        <v>4235.82</v>
      </c>
      <c r="N658" s="3" t="n">
        <f aca="false">(Tabla2[[#This Row],[Productividad (kg/TAS)]]*Tabla2[[#This Row],[Precio por kg]]-Tabla2[[#This Row],[Costos (En RD$/Tarea)]])</f>
        <v>-1005.83734117798</v>
      </c>
      <c r="O658" s="9" t="n">
        <f aca="false">IF(Tabla2[[#This Row],[Costos (En RD$/Tarea)]]=0,0,Tabla2[[#This Row],[Beneficio Neto  (En RD$/Tarea)]]/Tabla2[[#This Row],[Costos (En RD$/Tarea)]])</f>
        <v>-0.237459887619866</v>
      </c>
      <c r="P658" s="7" t="n">
        <f aca="false">Tabla2[[#This Row],[Rentabilidad (%)]]/12</f>
        <v>-0.0197883239683222</v>
      </c>
    </row>
    <row r="659" customFormat="false" ht="14.25" hidden="false" customHeight="false" outlineLevel="0" collapsed="false">
      <c r="A659" s="1" t="n">
        <v>38169</v>
      </c>
      <c r="B659" s="2" t="s">
        <v>28</v>
      </c>
      <c r="C659" s="3" t="n">
        <v>26473</v>
      </c>
      <c r="D659" s="8" t="s">
        <v>17</v>
      </c>
      <c r="E659" s="3" t="n">
        <f aca="false">IF(Tabla2[[#This Row],[Frecuencia]]="Annual", Tabla2[[#This Row],[Cosecha/Tarea]]/12,Tabla2[[#This Row],[Cosecha/Tarea]])</f>
        <v>26473</v>
      </c>
      <c r="F659" s="3" t="n">
        <v>49412</v>
      </c>
      <c r="G659" s="2" t="s">
        <v>29</v>
      </c>
      <c r="H659" s="2" t="n">
        <f aca="false">F659/Tabla2[[#This Row],[Cosecha Mensual]]</f>
        <v>1.8665054961659</v>
      </c>
      <c r="I659" s="2" t="n">
        <f aca="false">H659*_xlfn.XLOOKUP(Tabla2[[#This Row],[Unidad de producción]],Tabla3[Medida],Tabla3[Equivalencia en Kg],"ELVIS",0)</f>
        <v>1049.61070071394</v>
      </c>
      <c r="J659" s="2" t="n">
        <v>4500</v>
      </c>
      <c r="K659" s="2" t="s">
        <v>29</v>
      </c>
      <c r="L659" s="2" t="n">
        <f aca="false">J659/_xlfn.XLOOKUP(Tabla2[[#This Row],[Unidad de precio]],Tabla3[Medida],Tabla3[Equivalencia en Kg],"ELVIS",0)</f>
        <v>8.00227620300886</v>
      </c>
      <c r="M659" s="2" t="n">
        <v>7896.87291948</v>
      </c>
      <c r="N659" s="3" t="n">
        <f aca="false">(Tabla2[[#This Row],[Productividad (kg/TAS)]]*Tabla2[[#This Row],[Precio por kg]]-Tabla2[[#This Row],[Costos (En RD$/Tarea)]])</f>
        <v>502.401813266573</v>
      </c>
      <c r="O659" s="9" t="n">
        <f aca="false">IF(Tabla2[[#This Row],[Costos (En RD$/Tarea)]]=0,0,Tabla2[[#This Row],[Beneficio Neto  (En RD$/Tarea)]]/Tabla2[[#This Row],[Costos (En RD$/Tarea)]])</f>
        <v>0.0636203492685375</v>
      </c>
      <c r="P659" s="7" t="n">
        <f aca="false">Tabla2[[#This Row],[Rentabilidad (%)]]/12</f>
        <v>0.00530169577237813</v>
      </c>
    </row>
    <row r="660" customFormat="false" ht="14.25" hidden="false" customHeight="false" outlineLevel="0" collapsed="false">
      <c r="A660" s="1" t="n">
        <v>38169</v>
      </c>
      <c r="B660" s="2" t="s">
        <v>30</v>
      </c>
      <c r="C660" s="3" t="n">
        <v>201549</v>
      </c>
      <c r="D660" s="3" t="s">
        <v>31</v>
      </c>
      <c r="E660" s="3" t="n">
        <f aca="false">IF(Tabla2[[#This Row],[Frecuencia]]="Annual", Tabla2[[#This Row],[Cosecha/Tarea]]/12,Tabla2[[#This Row],[Cosecha/Tarea]])</f>
        <v>16795.75</v>
      </c>
      <c r="F660" s="3" t="n">
        <v>1353025</v>
      </c>
      <c r="G660" s="2" t="s">
        <v>32</v>
      </c>
      <c r="H660" s="2" t="n">
        <f aca="false">F660/Tabla2[[#This Row],[Cosecha Mensual]]</f>
        <v>80.5575815310421</v>
      </c>
      <c r="I660" s="2" t="n">
        <f aca="false">H660*_xlfn.XLOOKUP(Tabla2[[#This Row],[Unidad de producción]],Tabla3[Medida],Tabla3[Equivalencia en Kg],"ELVIS",0)</f>
        <v>2191.97179345966</v>
      </c>
      <c r="J660" s="2" t="n">
        <v>57.2933333333333</v>
      </c>
      <c r="K660" s="2" t="s">
        <v>32</v>
      </c>
      <c r="L660" s="2" t="n">
        <f aca="false">J660/_xlfn.XLOOKUP(Tabla2[[#This Row],[Unidad de precio]],Tabla3[Medida],Tabla3[Equivalencia en Kg],"ELVIS",0)</f>
        <v>2.10559843194904</v>
      </c>
      <c r="M660" s="3" t="n">
        <v>6693.79</v>
      </c>
      <c r="N660" s="3" t="n">
        <f aca="false">(Tabla2[[#This Row],[Productividad (kg/TAS)]]*Tabla2[[#This Row],[Precio por kg]]-Tabla2[[#This Row],[Costos (En RD$/Tarea)]])</f>
        <v>-2078.37762881483</v>
      </c>
      <c r="O660" s="9" t="n">
        <f aca="false">IF(Tabla2[[#This Row],[Costos (En RD$/Tarea)]]=0,0,Tabla2[[#This Row],[Beneficio Neto  (En RD$/Tarea)]]/Tabla2[[#This Row],[Costos (En RD$/Tarea)]])</f>
        <v>-0.310493401916527</v>
      </c>
      <c r="P660" s="7" t="n">
        <f aca="false">Tabla2[[#This Row],[Rentabilidad (%)]]/12</f>
        <v>-0.0258744501597106</v>
      </c>
    </row>
    <row r="661" customFormat="false" ht="14.25" hidden="false" customHeight="false" outlineLevel="0" collapsed="false">
      <c r="A661" s="1" t="n">
        <v>38169</v>
      </c>
      <c r="B661" s="2" t="s">
        <v>33</v>
      </c>
      <c r="C661" s="3" t="n">
        <v>562819</v>
      </c>
      <c r="D661" s="3" t="s">
        <v>31</v>
      </c>
      <c r="E661" s="3" t="n">
        <f aca="false">IF(Tabla2[[#This Row],[Frecuencia]]="Annual", Tabla2[[#This Row],[Cosecha/Tarea]]/12,Tabla2[[#This Row],[Cosecha/Tarea]])</f>
        <v>46901.5833333333</v>
      </c>
      <c r="F661" s="3" t="n">
        <v>103125</v>
      </c>
      <c r="G661" s="2" t="s">
        <v>34</v>
      </c>
      <c r="H661" s="2" t="n">
        <f aca="false">F661/Tabla2[[#This Row],[Cosecha Mensual]]</f>
        <v>2.19875306270755</v>
      </c>
      <c r="I661" s="2" t="n">
        <f aca="false">H661*_xlfn.XLOOKUP(Tabla2[[#This Row],[Unidad de producción]],Tabla3[Medida],Tabla3[Equivalencia en Kg],"ELVIS",0)</f>
        <v>897.421062544086</v>
      </c>
      <c r="J661" s="2" t="n">
        <v>2666.66666666667</v>
      </c>
      <c r="K661" s="2" t="s">
        <v>34</v>
      </c>
      <c r="L661" s="2" t="n">
        <f aca="false">J661/_xlfn.XLOOKUP(Tabla2[[#This Row],[Unidad de precio]],Tabla3[Medida],Tabla3[Equivalencia en Kg],"ELVIS",0)</f>
        <v>6.53354567356773</v>
      </c>
      <c r="M661" s="3" t="n">
        <v>8906.28</v>
      </c>
      <c r="N661" s="3" t="n">
        <f aca="false">(Tabla2[[#This Row],[Productividad (kg/TAS)]]*Tabla2[[#This Row],[Precio por kg]]-Tabla2[[#This Row],[Costos (En RD$/Tarea)]])</f>
        <v>-3042.93849944653</v>
      </c>
      <c r="O661" s="9" t="n">
        <f aca="false">IF(Tabla2[[#This Row],[Costos (En RD$/Tarea)]]=0,0,Tabla2[[#This Row],[Beneficio Neto  (En RD$/Tarea)]]/Tabla2[[#This Row],[Costos (En RD$/Tarea)]])</f>
        <v>-0.341662119251419</v>
      </c>
      <c r="P661" s="7" t="n">
        <f aca="false">Tabla2[[#This Row],[Rentabilidad (%)]]/12</f>
        <v>-0.0284718432709516</v>
      </c>
    </row>
    <row r="662" customFormat="false" ht="14.25" hidden="false" customHeight="false" outlineLevel="0" collapsed="false">
      <c r="A662" s="1" t="n">
        <v>38200</v>
      </c>
      <c r="B662" s="2" t="s">
        <v>16</v>
      </c>
      <c r="C662" s="3" t="n">
        <v>85766</v>
      </c>
      <c r="D662" s="8" t="s">
        <v>17</v>
      </c>
      <c r="E662" s="3" t="n">
        <f aca="false">IF(Tabla2[[#This Row],[Frecuencia]]="Annual", Tabla2[[#This Row],[Cosecha/Tarea]]/12,Tabla2[[#This Row],[Cosecha/Tarea]])</f>
        <v>85766</v>
      </c>
      <c r="F662" s="3" t="n">
        <v>411041</v>
      </c>
      <c r="G662" s="2" t="s">
        <v>18</v>
      </c>
      <c r="H662" s="2" t="n">
        <f aca="false">F662/Tabla2[[#This Row],[Cosecha Mensual]]</f>
        <v>4.7925868059604</v>
      </c>
      <c r="I662" s="2" t="n">
        <f aca="false">H662*_xlfn.XLOOKUP(Tabla2[[#This Row],[Unidad de producción]],Tabla3[Medida],Tabla3[Equivalencia en Kg],"ELVIS",0)</f>
        <v>217.391737518364</v>
      </c>
      <c r="J662" s="2" t="n">
        <v>1060.415</v>
      </c>
      <c r="K662" s="2" t="s">
        <v>19</v>
      </c>
      <c r="L662" s="2" t="n">
        <f aca="false">J662/_xlfn.XLOOKUP(Tabla2[[#This Row],[Unidad de precio]],Tabla3[Medida],Tabla3[Equivalencia en Kg],"ELVIS",0)</f>
        <v>9.64013636363636</v>
      </c>
      <c r="M662" s="2" t="n">
        <v>4376.41</v>
      </c>
      <c r="N662" s="3" t="n">
        <f aca="false">(Tabla2[[#This Row],[Productividad (kg/TAS)]]*Tabla2[[#This Row],[Precio por kg]]-Tabla2[[#This Row],[Costos (En RD$/Tarea)]])</f>
        <v>-2280.72400599513</v>
      </c>
      <c r="O662" s="9" t="n">
        <f aca="false">IF(Tabla2[[#This Row],[Costos (En RD$/Tarea)]]=0,0,Tabla2[[#This Row],[Beneficio Neto  (En RD$/Tarea)]]/Tabla2[[#This Row],[Costos (En RD$/Tarea)]])</f>
        <v>-0.521140388125228</v>
      </c>
      <c r="P662" s="7" t="n">
        <f aca="false">Tabla2[[#This Row],[Rentabilidad (%)]]/12</f>
        <v>-0.0434283656771023</v>
      </c>
    </row>
    <row r="663" customFormat="false" ht="14.25" hidden="false" customHeight="false" outlineLevel="0" collapsed="false">
      <c r="A663" s="1" t="n">
        <v>38200</v>
      </c>
      <c r="B663" s="2" t="s">
        <v>20</v>
      </c>
      <c r="C663" s="3" t="n">
        <v>50956</v>
      </c>
      <c r="D663" s="8" t="s">
        <v>17</v>
      </c>
      <c r="E663" s="3" t="n">
        <f aca="false">IF(Tabla2[[#This Row],[Frecuencia]]="Annual", Tabla2[[#This Row],[Cosecha/Tarea]]/12,Tabla2[[#This Row],[Cosecha/Tarea]])</f>
        <v>50956</v>
      </c>
      <c r="F663" s="3" t="n">
        <v>103997</v>
      </c>
      <c r="G663" s="2" t="s">
        <v>18</v>
      </c>
      <c r="H663" s="2" t="n">
        <f aca="false">F663/Tabla2[[#This Row],[Cosecha Mensual]]</f>
        <v>2.04091765444697</v>
      </c>
      <c r="I663" s="2" t="n">
        <f aca="false">H663*_xlfn.XLOOKUP(Tabla2[[#This Row],[Unidad de producción]],Tabla3[Medida],Tabla3[Equivalencia en Kg],"ELVIS",0)</f>
        <v>92.5760248057147</v>
      </c>
      <c r="J663" s="2" t="n">
        <v>388.10805</v>
      </c>
      <c r="K663" s="2" t="s">
        <v>18</v>
      </c>
      <c r="L663" s="2" t="n">
        <f aca="false">J663/_xlfn.XLOOKUP(Tabla2[[#This Row],[Unidad de precio]],Tabla3[Medida],Tabla3[Equivalencia en Kg],"ELVIS",0)</f>
        <v>8.55617394179894</v>
      </c>
      <c r="M663" s="2" t="n">
        <v>1100.66</v>
      </c>
      <c r="N663" s="3" t="n">
        <f aca="false">(Tabla2[[#This Row],[Productividad (kg/TAS)]]*Tabla2[[#This Row],[Precio por kg]]-Tabla2[[#This Row],[Costos (En RD$/Tarea)]])</f>
        <v>-308.563428922011</v>
      </c>
      <c r="O663" s="9" t="n">
        <f aca="false">IF(Tabla2[[#This Row],[Costos (En RD$/Tarea)]]=0,0,Tabla2[[#This Row],[Beneficio Neto  (En RD$/Tarea)]]/Tabla2[[#This Row],[Costos (En RD$/Tarea)]])</f>
        <v>-0.280344001709893</v>
      </c>
      <c r="P663" s="7" t="n">
        <f aca="false">Tabla2[[#This Row],[Rentabilidad (%)]]/12</f>
        <v>-0.0233620001424911</v>
      </c>
    </row>
    <row r="664" customFormat="false" ht="14.25" hidden="false" customHeight="false" outlineLevel="0" collapsed="false">
      <c r="A664" s="1" t="n">
        <v>38200</v>
      </c>
      <c r="B664" s="2" t="s">
        <v>21</v>
      </c>
      <c r="C664" s="3" t="n">
        <v>2875</v>
      </c>
      <c r="D664" s="8" t="s">
        <v>17</v>
      </c>
      <c r="E664" s="3" t="n">
        <f aca="false">IF(Tabla2[[#This Row],[Frecuencia]]="Annual", Tabla2[[#This Row],[Cosecha/Tarea]]/12,Tabla2[[#This Row],[Cosecha/Tarea]])</f>
        <v>2875</v>
      </c>
      <c r="F664" s="3" t="n">
        <v>25155</v>
      </c>
      <c r="G664" s="2" t="s">
        <v>18</v>
      </c>
      <c r="H664" s="2" t="n">
        <f aca="false">F664/Tabla2[[#This Row],[Cosecha Mensual]]</f>
        <v>8.7495652173913</v>
      </c>
      <c r="I664" s="2" t="n">
        <f aca="false">H664*_xlfn.XLOOKUP(Tabla2[[#This Row],[Unidad de producción]],Tabla3[Medida],Tabla3[Equivalencia en Kg],"ELVIS",0)</f>
        <v>396.88027826087</v>
      </c>
      <c r="J664" s="2" t="n">
        <v>293.7</v>
      </c>
      <c r="K664" s="2" t="s">
        <v>18</v>
      </c>
      <c r="L664" s="2" t="n">
        <f aca="false">J664/_xlfn.XLOOKUP(Tabla2[[#This Row],[Unidad de precio]],Tabla3[Medida],Tabla3[Equivalencia en Kg],"ELVIS",0)</f>
        <v>6.47486772486773</v>
      </c>
      <c r="M664" s="2" t="n">
        <v>3591.85</v>
      </c>
      <c r="N664" s="3" t="n">
        <f aca="false">(Tabla2[[#This Row],[Productividad (kg/TAS)]]*Tabla2[[#This Row],[Precio por kg]]-Tabla2[[#This Row],[Costos (En RD$/Tarea)]])</f>
        <v>-1022.10269565217</v>
      </c>
      <c r="O664" s="9" t="n">
        <f aca="false">IF(Tabla2[[#This Row],[Costos (En RD$/Tarea)]]=0,0,Tabla2[[#This Row],[Beneficio Neto  (En RD$/Tarea)]]/Tabla2[[#This Row],[Costos (En RD$/Tarea)]])</f>
        <v>-0.28456163137441</v>
      </c>
      <c r="P664" s="7" t="n">
        <f aca="false">Tabla2[[#This Row],[Rentabilidad (%)]]/12</f>
        <v>-0.0237134692812008</v>
      </c>
    </row>
    <row r="665" customFormat="false" ht="14.25" hidden="false" customHeight="false" outlineLevel="0" collapsed="false">
      <c r="A665" s="1" t="n">
        <v>38200</v>
      </c>
      <c r="B665" s="2" t="s">
        <v>22</v>
      </c>
      <c r="C665" s="3" t="n">
        <v>2342</v>
      </c>
      <c r="D665" s="8" t="s">
        <v>17</v>
      </c>
      <c r="E665" s="3" t="n">
        <f aca="false">IF(Tabla2[[#This Row],[Frecuencia]]="Annual", Tabla2[[#This Row],[Cosecha/Tarea]]/12,Tabla2[[#This Row],[Cosecha/Tarea]])</f>
        <v>2342</v>
      </c>
      <c r="F665" s="3" t="n">
        <v>17371</v>
      </c>
      <c r="G665" s="2" t="s">
        <v>18</v>
      </c>
      <c r="H665" s="2" t="n">
        <f aca="false">F665/Tabla2[[#This Row],[Cosecha Mensual]]</f>
        <v>7.41716481639624</v>
      </c>
      <c r="I665" s="2" t="n">
        <f aca="false">H665*_xlfn.XLOOKUP(Tabla2[[#This Row],[Unidad de producción]],Tabla3[Medida],Tabla3[Equivalencia en Kg],"ELVIS",0)</f>
        <v>336.442596071734</v>
      </c>
      <c r="J665" s="2" t="n">
        <v>693.75</v>
      </c>
      <c r="K665" s="2" t="s">
        <v>18</v>
      </c>
      <c r="L665" s="2" t="n">
        <f aca="false">J665/_xlfn.XLOOKUP(Tabla2[[#This Row],[Unidad de precio]],Tabla3[Medida],Tabla3[Equivalencia en Kg],"ELVIS",0)</f>
        <v>15.2943121693122</v>
      </c>
      <c r="M665" s="2" t="n">
        <v>3985.16</v>
      </c>
      <c r="N665" s="3" t="n">
        <f aca="false">(Tabla2[[#This Row],[Productividad (kg/TAS)]]*Tabla2[[#This Row],[Precio por kg]]-Tabla2[[#This Row],[Costos (En RD$/Tarea)]])</f>
        <v>1160.49809137489</v>
      </c>
      <c r="O665" s="9" t="n">
        <f aca="false">IF(Tabla2[[#This Row],[Costos (En RD$/Tarea)]]=0,0,Tabla2[[#This Row],[Beneficio Neto  (En RD$/Tarea)]]/Tabla2[[#This Row],[Costos (En RD$/Tarea)]])</f>
        <v>0.291204892996741</v>
      </c>
      <c r="P665" s="7" t="n">
        <f aca="false">Tabla2[[#This Row],[Rentabilidad (%)]]/12</f>
        <v>0.0242670744163951</v>
      </c>
    </row>
    <row r="666" customFormat="false" ht="14.25" hidden="false" customHeight="false" outlineLevel="0" collapsed="false">
      <c r="A666" s="1" t="n">
        <v>38200</v>
      </c>
      <c r="B666" s="2" t="s">
        <v>23</v>
      </c>
      <c r="C666" s="3" t="n">
        <v>1821</v>
      </c>
      <c r="D666" s="8" t="s">
        <v>17</v>
      </c>
      <c r="E666" s="3" t="n">
        <f aca="false">IF(Tabla2[[#This Row],[Frecuencia]]="Annual", Tabla2[[#This Row],[Cosecha/Tarea]]/12,Tabla2[[#This Row],[Cosecha/Tarea]])</f>
        <v>1821</v>
      </c>
      <c r="F666" s="3" t="n">
        <v>34560</v>
      </c>
      <c r="G666" s="2" t="s">
        <v>18</v>
      </c>
      <c r="H666" s="2" t="n">
        <f aca="false">F666/Tabla2[[#This Row],[Cosecha Mensual]]</f>
        <v>18.9785831960461</v>
      </c>
      <c r="I666" s="2" t="n">
        <f aca="false">H666*_xlfn.XLOOKUP(Tabla2[[#This Row],[Unidad de producción]],Tabla3[Medida],Tabla3[Equivalencia en Kg],"ELVIS",0)</f>
        <v>860.868533772652</v>
      </c>
      <c r="J666" s="2" t="n">
        <v>597.916666666667</v>
      </c>
      <c r="K666" s="2" t="s">
        <v>18</v>
      </c>
      <c r="L666" s="2" t="n">
        <f aca="false">J666/_xlfn.XLOOKUP(Tabla2[[#This Row],[Unidad de precio]],Tabla3[Medida],Tabla3[Equivalencia en Kg],"ELVIS",0)</f>
        <v>13.1815843621399</v>
      </c>
      <c r="M666" s="2" t="n">
        <v>9274.52</v>
      </c>
      <c r="N666" s="3" t="n">
        <f aca="false">(Tabla2[[#This Row],[Productividad (kg/TAS)]]*Tabla2[[#This Row],[Precio por kg]]-Tabla2[[#This Row],[Costos (En RD$/Tarea)]])</f>
        <v>2073.09120263592</v>
      </c>
      <c r="O666" s="9" t="n">
        <f aca="false">IF(Tabla2[[#This Row],[Costos (En RD$/Tarea)]]=0,0,Tabla2[[#This Row],[Beneficio Neto  (En RD$/Tarea)]]/Tabla2[[#This Row],[Costos (En RD$/Tarea)]])</f>
        <v>0.223525444188585</v>
      </c>
      <c r="P666" s="7" t="n">
        <f aca="false">Tabla2[[#This Row],[Rentabilidad (%)]]/12</f>
        <v>0.0186271203490488</v>
      </c>
    </row>
    <row r="667" customFormat="false" ht="14.25" hidden="false" customHeight="false" outlineLevel="0" collapsed="false">
      <c r="A667" s="1" t="n">
        <v>38200</v>
      </c>
      <c r="B667" s="2" t="s">
        <v>24</v>
      </c>
      <c r="C667" s="3" t="n">
        <v>4256</v>
      </c>
      <c r="D667" s="8" t="s">
        <v>17</v>
      </c>
      <c r="E667" s="3" t="n">
        <f aca="false">IF(Tabla2[[#This Row],[Frecuencia]]="Annual", Tabla2[[#This Row],[Cosecha/Tarea]]/12,Tabla2[[#This Row],[Cosecha/Tarea]])</f>
        <v>4256</v>
      </c>
      <c r="F667" s="3" t="n">
        <v>92414</v>
      </c>
      <c r="G667" s="2" t="s">
        <v>18</v>
      </c>
      <c r="H667" s="2" t="n">
        <f aca="false">F667/Tabla2[[#This Row],[Cosecha Mensual]]</f>
        <v>21.7138157894737</v>
      </c>
      <c r="I667" s="2" t="n">
        <f aca="false">H667*_xlfn.XLOOKUP(Tabla2[[#This Row],[Unidad de producción]],Tabla3[Medida],Tabla3[Equivalencia en Kg],"ELVIS",0)</f>
        <v>984.938684210526</v>
      </c>
      <c r="J667" s="2" t="n">
        <v>940</v>
      </c>
      <c r="K667" s="2" t="s">
        <v>18</v>
      </c>
      <c r="L667" s="2" t="n">
        <f aca="false">J667/_xlfn.XLOOKUP(Tabla2[[#This Row],[Unidad de precio]],Tabla3[Medida],Tabla3[Equivalencia en Kg],"ELVIS",0)</f>
        <v>20.7231040564374</v>
      </c>
      <c r="M667" s="2" t="n">
        <v>2563.46</v>
      </c>
      <c r="N667" s="3" t="n">
        <f aca="false">(Tabla2[[#This Row],[Productividad (kg/TAS)]]*Tabla2[[#This Row],[Precio por kg]]-Tabla2[[#This Row],[Costos (En RD$/Tarea)]])</f>
        <v>17847.5268421053</v>
      </c>
      <c r="O667" s="9" t="n">
        <f aca="false">IF(Tabla2[[#This Row],[Costos (En RD$/Tarea)]]=0,0,Tabla2[[#This Row],[Beneficio Neto  (En RD$/Tarea)]]/Tabla2[[#This Row],[Costos (En RD$/Tarea)]])</f>
        <v>6.96228021584314</v>
      </c>
      <c r="P667" s="7" t="n">
        <f aca="false">Tabla2[[#This Row],[Rentabilidad (%)]]/12</f>
        <v>0.580190017986929</v>
      </c>
    </row>
    <row r="668" customFormat="false" ht="14.25" hidden="false" customHeight="false" outlineLevel="0" collapsed="false">
      <c r="A668" s="1" t="n">
        <v>38200</v>
      </c>
      <c r="B668" s="2" t="s">
        <v>25</v>
      </c>
      <c r="C668" s="3" t="n">
        <v>13732</v>
      </c>
      <c r="D668" s="8" t="s">
        <v>17</v>
      </c>
      <c r="E668" s="3" t="n">
        <f aca="false">IF(Tabla2[[#This Row],[Frecuencia]]="Annual", Tabla2[[#This Row],[Cosecha/Tarea]]/12,Tabla2[[#This Row],[Cosecha/Tarea]])</f>
        <v>13732</v>
      </c>
      <c r="F668" s="3" t="n">
        <v>111080</v>
      </c>
      <c r="G668" s="2" t="s">
        <v>18</v>
      </c>
      <c r="H668" s="2" t="n">
        <f aca="false">F668/Tabla2[[#This Row],[Cosecha Mensual]]</f>
        <v>8.08913486746286</v>
      </c>
      <c r="I668" s="2" t="n">
        <f aca="false">H668*_xlfn.XLOOKUP(Tabla2[[#This Row],[Unidad de producción]],Tabla3[Medida],Tabla3[Equivalencia en Kg],"ELVIS",0)</f>
        <v>366.923157588115</v>
      </c>
      <c r="J668" s="2" t="n">
        <v>779</v>
      </c>
      <c r="K668" s="2" t="s">
        <v>18</v>
      </c>
      <c r="L668" s="2" t="n">
        <f aca="false">J668/_xlfn.XLOOKUP(Tabla2[[#This Row],[Unidad de precio]],Tabla3[Medida],Tabla3[Equivalencia en Kg],"ELVIS",0)</f>
        <v>17.173721340388</v>
      </c>
      <c r="M668" s="2" t="n">
        <v>1852.92</v>
      </c>
      <c r="N668" s="3" t="n">
        <f aca="false">(Tabla2[[#This Row],[Productividad (kg/TAS)]]*Tabla2[[#This Row],[Precio por kg]]-Tabla2[[#This Row],[Costos (En RD$/Tarea)]])</f>
        <v>4448.51606175357</v>
      </c>
      <c r="O668" s="9" t="n">
        <f aca="false">IF(Tabla2[[#This Row],[Costos (En RD$/Tarea)]]=0,0,Tabla2[[#This Row],[Beneficio Neto  (En RD$/Tarea)]]/Tabla2[[#This Row],[Costos (En RD$/Tarea)]])</f>
        <v>2.40081388389869</v>
      </c>
      <c r="P668" s="7" t="n">
        <f aca="false">Tabla2[[#This Row],[Rentabilidad (%)]]/12</f>
        <v>0.200067823658224</v>
      </c>
    </row>
    <row r="669" customFormat="false" ht="14.25" hidden="false" customHeight="false" outlineLevel="0" collapsed="false">
      <c r="A669" s="1" t="n">
        <v>38200</v>
      </c>
      <c r="B669" s="2" t="s">
        <v>26</v>
      </c>
      <c r="C669" s="3" t="n">
        <v>8798</v>
      </c>
      <c r="D669" s="8" t="s">
        <v>17</v>
      </c>
      <c r="E669" s="3" t="n">
        <f aca="false">IF(Tabla2[[#This Row],[Frecuencia]]="Annual", Tabla2[[#This Row],[Cosecha/Tarea]]/12,Tabla2[[#This Row],[Cosecha/Tarea]])</f>
        <v>8798</v>
      </c>
      <c r="F669" s="3" t="n">
        <v>52777</v>
      </c>
      <c r="G669" s="2" t="s">
        <v>18</v>
      </c>
      <c r="H669" s="2" t="n">
        <f aca="false">F669/Tabla2[[#This Row],[Cosecha Mensual]]</f>
        <v>5.99874971584451</v>
      </c>
      <c r="I669" s="2" t="n">
        <f aca="false">H669*_xlfn.XLOOKUP(Tabla2[[#This Row],[Unidad de producción]],Tabla3[Medida],Tabla3[Equivalencia en Kg],"ELVIS",0)</f>
        <v>272.103287110707</v>
      </c>
      <c r="J669" s="2" t="n">
        <v>437.5</v>
      </c>
      <c r="K669" s="2" t="s">
        <v>18</v>
      </c>
      <c r="L669" s="2" t="n">
        <f aca="false">J669/_xlfn.XLOOKUP(Tabla2[[#This Row],[Unidad de precio]],Tabla3[Medida],Tabla3[Equivalencia en Kg],"ELVIS",0)</f>
        <v>9.64506172839506</v>
      </c>
      <c r="M669" s="2" t="n">
        <v>1244.4</v>
      </c>
      <c r="N669" s="3" t="n">
        <f aca="false">(Tabla2[[#This Row],[Productividad (kg/TAS)]]*Tabla2[[#This Row],[Precio por kg]]-Tabla2[[#This Row],[Costos (En RD$/Tarea)]])</f>
        <v>1380.05300068197</v>
      </c>
      <c r="O669" s="9" t="n">
        <f aca="false">IF(Tabla2[[#This Row],[Costos (En RD$/Tarea)]]=0,0,Tabla2[[#This Row],[Beneficio Neto  (En RD$/Tarea)]]/Tabla2[[#This Row],[Costos (En RD$/Tarea)]])</f>
        <v>1.10901076878976</v>
      </c>
      <c r="P669" s="7" t="n">
        <f aca="false">Tabla2[[#This Row],[Rentabilidad (%)]]/12</f>
        <v>0.092417564065813</v>
      </c>
    </row>
    <row r="670" customFormat="false" ht="14.25" hidden="false" customHeight="false" outlineLevel="0" collapsed="false">
      <c r="A670" s="1" t="n">
        <v>38200</v>
      </c>
      <c r="B670" s="2" t="s">
        <v>27</v>
      </c>
      <c r="C670" s="3" t="n">
        <v>3496</v>
      </c>
      <c r="D670" s="8" t="s">
        <v>17</v>
      </c>
      <c r="E670" s="3" t="n">
        <f aca="false">IF(Tabla2[[#This Row],[Frecuencia]]="Annual", Tabla2[[#This Row],[Cosecha/Tarea]]/12,Tabla2[[#This Row],[Cosecha/Tarea]])</f>
        <v>3496</v>
      </c>
      <c r="F670" s="3" t="n">
        <v>36034</v>
      </c>
      <c r="G670" s="2" t="s">
        <v>18</v>
      </c>
      <c r="H670" s="2" t="n">
        <f aca="false">F670/Tabla2[[#This Row],[Cosecha Mensual]]</f>
        <v>10.3072082379863</v>
      </c>
      <c r="I670" s="2" t="n">
        <f aca="false">H670*_xlfn.XLOOKUP(Tabla2[[#This Row],[Unidad de producción]],Tabla3[Medida],Tabla3[Equivalencia en Kg],"ELVIS",0)</f>
        <v>467.534965675057</v>
      </c>
      <c r="J670" s="2" t="n">
        <v>391.5</v>
      </c>
      <c r="K670" s="2" t="s">
        <v>18</v>
      </c>
      <c r="L670" s="2" t="n">
        <f aca="false">J670/_xlfn.XLOOKUP(Tabla2[[#This Row],[Unidad de precio]],Tabla3[Medida],Tabla3[Equivalencia en Kg],"ELVIS",0)</f>
        <v>8.63095238095238</v>
      </c>
      <c r="M670" s="2" t="n">
        <v>4235.82</v>
      </c>
      <c r="N670" s="3" t="n">
        <f aca="false">(Tabla2[[#This Row],[Productividad (kg/TAS)]]*Tabla2[[#This Row],[Precio por kg]]-Tabla2[[#This Row],[Costos (En RD$/Tarea)]])</f>
        <v>-200.547974828375</v>
      </c>
      <c r="O670" s="9" t="n">
        <f aca="false">IF(Tabla2[[#This Row],[Costos (En RD$/Tarea)]]=0,0,Tabla2[[#This Row],[Beneficio Neto  (En RD$/Tarea)]]/Tabla2[[#This Row],[Costos (En RD$/Tarea)]])</f>
        <v>-0.0473457264067819</v>
      </c>
      <c r="P670" s="7" t="n">
        <f aca="false">Tabla2[[#This Row],[Rentabilidad (%)]]/12</f>
        <v>-0.00394547720056515</v>
      </c>
    </row>
    <row r="671" customFormat="false" ht="14.25" hidden="false" customHeight="false" outlineLevel="0" collapsed="false">
      <c r="A671" s="1" t="n">
        <v>38200</v>
      </c>
      <c r="B671" s="2" t="s">
        <v>28</v>
      </c>
      <c r="C671" s="3" t="n">
        <v>47234</v>
      </c>
      <c r="D671" s="8" t="s">
        <v>17</v>
      </c>
      <c r="E671" s="3" t="n">
        <f aca="false">IF(Tabla2[[#This Row],[Frecuencia]]="Annual", Tabla2[[#This Row],[Cosecha/Tarea]]/12,Tabla2[[#This Row],[Cosecha/Tarea]])</f>
        <v>47234</v>
      </c>
      <c r="F671" s="3" t="n">
        <v>74975</v>
      </c>
      <c r="G671" s="2" t="s">
        <v>29</v>
      </c>
      <c r="H671" s="2" t="n">
        <f aca="false">F671/Tabla2[[#This Row],[Cosecha Mensual]]</f>
        <v>1.58730998856756</v>
      </c>
      <c r="I671" s="2" t="n">
        <f aca="false">H671*_xlfn.XLOOKUP(Tabla2[[#This Row],[Unidad de producción]],Tabla3[Medida],Tabla3[Equivalencia en Kg],"ELVIS",0)</f>
        <v>892.60789897108</v>
      </c>
      <c r="J671" s="2" t="n">
        <v>2366.66666666667</v>
      </c>
      <c r="K671" s="2" t="s">
        <v>29</v>
      </c>
      <c r="L671" s="2" t="n">
        <f aca="false">J671/_xlfn.XLOOKUP(Tabla2[[#This Row],[Unidad de precio]],Tabla3[Medida],Tabla3[Equivalencia en Kg],"ELVIS",0)</f>
        <v>4.20860452158244</v>
      </c>
      <c r="M671" s="2" t="n">
        <v>7896.87291948</v>
      </c>
      <c r="N671" s="3" t="n">
        <f aca="false">(Tabla2[[#This Row],[Productividad (kg/TAS)]]*Tabla2[[#This Row],[Precio por kg]]-Tabla2[[#This Row],[Costos (En RD$/Tarea)]])</f>
        <v>-4140.23927987011</v>
      </c>
      <c r="O671" s="9" t="n">
        <f aca="false">IF(Tabla2[[#This Row],[Costos (En RD$/Tarea)]]=0,0,Tabla2[[#This Row],[Beneficio Neto  (En RD$/Tarea)]]/Tabla2[[#This Row],[Costos (En RD$/Tarea)]])</f>
        <v>-0.524288452161484</v>
      </c>
      <c r="P671" s="7" t="n">
        <f aca="false">Tabla2[[#This Row],[Rentabilidad (%)]]/12</f>
        <v>-0.0436907043467903</v>
      </c>
    </row>
    <row r="672" customFormat="false" ht="14.25" hidden="false" customHeight="false" outlineLevel="0" collapsed="false">
      <c r="A672" s="1" t="n">
        <v>38200</v>
      </c>
      <c r="B672" s="2" t="s">
        <v>30</v>
      </c>
      <c r="C672" s="3" t="n">
        <v>238506</v>
      </c>
      <c r="D672" s="3" t="s">
        <v>31</v>
      </c>
      <c r="E672" s="3" t="n">
        <f aca="false">IF(Tabla2[[#This Row],[Frecuencia]]="Annual", Tabla2[[#This Row],[Cosecha/Tarea]]/12,Tabla2[[#This Row],[Cosecha/Tarea]])</f>
        <v>19875.5</v>
      </c>
      <c r="F672" s="3" t="n">
        <v>1642334</v>
      </c>
      <c r="G672" s="2" t="s">
        <v>32</v>
      </c>
      <c r="H672" s="2" t="n">
        <f aca="false">F672/Tabla2[[#This Row],[Cosecha Mensual]]</f>
        <v>82.6310784634349</v>
      </c>
      <c r="I672" s="2" t="n">
        <f aca="false">H672*_xlfn.XLOOKUP(Tabla2[[#This Row],[Unidad de producción]],Tabla3[Medida],Tabla3[Equivalencia en Kg],"ELVIS",0)</f>
        <v>2248.39164499006</v>
      </c>
      <c r="J672" s="2" t="n">
        <v>62</v>
      </c>
      <c r="K672" s="2" t="s">
        <v>32</v>
      </c>
      <c r="L672" s="2" t="n">
        <f aca="false">J672/_xlfn.XLOOKUP(Tabla2[[#This Row],[Unidad de precio]],Tabla3[Medida],Tabla3[Equivalencia en Kg],"ELVIS",0)</f>
        <v>2.27857405365674</v>
      </c>
      <c r="M672" s="3" t="n">
        <v>6693.79</v>
      </c>
      <c r="N672" s="3" t="n">
        <f aca="false">(Tabla2[[#This Row],[Productividad (kg/TAS)]]*Tabla2[[#This Row],[Precio por kg]]-Tabla2[[#This Row],[Costos (En RD$/Tarea)]])</f>
        <v>-1570.66313526704</v>
      </c>
      <c r="O672" s="9" t="n">
        <f aca="false">IF(Tabla2[[#This Row],[Costos (En RD$/Tarea)]]=0,0,Tabla2[[#This Row],[Beneficio Neto  (En RD$/Tarea)]]/Tabla2[[#This Row],[Costos (En RD$/Tarea)]])</f>
        <v>-0.234644817848638</v>
      </c>
      <c r="P672" s="7" t="n">
        <f aca="false">Tabla2[[#This Row],[Rentabilidad (%)]]/12</f>
        <v>-0.0195537348207199</v>
      </c>
    </row>
    <row r="673" customFormat="false" ht="14.25" hidden="false" customHeight="false" outlineLevel="0" collapsed="false">
      <c r="A673" s="1" t="n">
        <v>38200</v>
      </c>
      <c r="B673" s="2" t="s">
        <v>33</v>
      </c>
      <c r="C673" s="3" t="n">
        <v>579608</v>
      </c>
      <c r="D673" s="3" t="s">
        <v>31</v>
      </c>
      <c r="E673" s="3" t="n">
        <f aca="false">IF(Tabla2[[#This Row],[Frecuencia]]="Annual", Tabla2[[#This Row],[Cosecha/Tarea]]/12,Tabla2[[#This Row],[Cosecha/Tarea]])</f>
        <v>48300.6666666667</v>
      </c>
      <c r="F673" s="3" t="n">
        <v>107528</v>
      </c>
      <c r="G673" s="2" t="s">
        <v>34</v>
      </c>
      <c r="H673" s="2" t="n">
        <f aca="false">F673/Tabla2[[#This Row],[Cosecha Mensual]]</f>
        <v>2.22622186029178</v>
      </c>
      <c r="I673" s="2" t="n">
        <f aca="false">H673*_xlfn.XLOOKUP(Tabla2[[#This Row],[Unidad de producción]],Tabla3[Medida],Tabla3[Equivalencia en Kg],"ELVIS",0)</f>
        <v>908.632452278091</v>
      </c>
      <c r="J673" s="2" t="n">
        <v>2616.55666666667</v>
      </c>
      <c r="K673" s="2" t="s">
        <v>34</v>
      </c>
      <c r="L673" s="2" t="n">
        <f aca="false">J673/_xlfn.XLOOKUP(Tabla2[[#This Row],[Unidad de precio]],Tabla3[Medida],Tabla3[Equivalencia en Kg],"ELVIS",0)</f>
        <v>6.4107721834293</v>
      </c>
      <c r="M673" s="3" t="n">
        <v>8906.28</v>
      </c>
      <c r="N673" s="3" t="n">
        <f aca="false">(Tabla2[[#This Row],[Productividad (kg/TAS)]]*Tabla2[[#This Row],[Precio por kg]]-Tabla2[[#This Row],[Costos (En RD$/Tarea)]])</f>
        <v>-3081.24434997446</v>
      </c>
      <c r="O673" s="9" t="n">
        <f aca="false">IF(Tabla2[[#This Row],[Costos (En RD$/Tarea)]]=0,0,Tabla2[[#This Row],[Beneficio Neto  (En RD$/Tarea)]]/Tabla2[[#This Row],[Costos (En RD$/Tarea)]])</f>
        <v>-0.345963112542437</v>
      </c>
      <c r="P673" s="7" t="n">
        <f aca="false">Tabla2[[#This Row],[Rentabilidad (%)]]/12</f>
        <v>-0.0288302593785364</v>
      </c>
    </row>
    <row r="674" customFormat="false" ht="14.25" hidden="false" customHeight="false" outlineLevel="0" collapsed="false">
      <c r="A674" s="1" t="n">
        <v>38231</v>
      </c>
      <c r="B674" s="2" t="s">
        <v>16</v>
      </c>
      <c r="C674" s="3" t="n">
        <v>216110</v>
      </c>
      <c r="D674" s="8" t="s">
        <v>17</v>
      </c>
      <c r="E674" s="3" t="n">
        <f aca="false">IF(Tabla2[[#This Row],[Frecuencia]]="Annual", Tabla2[[#This Row],[Cosecha/Tarea]]/12,Tabla2[[#This Row],[Cosecha/Tarea]])</f>
        <v>216110</v>
      </c>
      <c r="F674" s="3" t="n">
        <v>685861</v>
      </c>
      <c r="G674" s="2" t="s">
        <v>18</v>
      </c>
      <c r="H674" s="2" t="n">
        <f aca="false">F674/Tabla2[[#This Row],[Cosecha Mensual]]</f>
        <v>3.17366618851511</v>
      </c>
      <c r="I674" s="2" t="n">
        <f aca="false">H674*_xlfn.XLOOKUP(Tabla2[[#This Row],[Unidad de producción]],Tabla3[Medida],Tabla3[Equivalencia en Kg],"ELVIS",0)</f>
        <v>143.957498311045</v>
      </c>
      <c r="J674" s="2" t="n">
        <v>996.83</v>
      </c>
      <c r="K674" s="2" t="s">
        <v>19</v>
      </c>
      <c r="L674" s="2" t="n">
        <f aca="false">J674/_xlfn.XLOOKUP(Tabla2[[#This Row],[Unidad de precio]],Tabla3[Medida],Tabla3[Equivalencia en Kg],"ELVIS",0)</f>
        <v>9.06209090909091</v>
      </c>
      <c r="M674" s="2" t="n">
        <v>4376.41</v>
      </c>
      <c r="N674" s="3" t="n">
        <f aca="false">(Tabla2[[#This Row],[Productividad (kg/TAS)]]*Tabla2[[#This Row],[Precio por kg]]-Tabla2[[#This Row],[Costos (En RD$/Tarea)]])</f>
        <v>-3071.85406326001</v>
      </c>
      <c r="O674" s="9" t="n">
        <f aca="false">IF(Tabla2[[#This Row],[Costos (En RD$/Tarea)]]=0,0,Tabla2[[#This Row],[Beneficio Neto  (En RD$/Tarea)]]/Tabla2[[#This Row],[Costos (En RD$/Tarea)]])</f>
        <v>-0.701911855438592</v>
      </c>
      <c r="P674" s="7" t="n">
        <f aca="false">Tabla2[[#This Row],[Rentabilidad (%)]]/12</f>
        <v>-0.0584926546198826</v>
      </c>
    </row>
    <row r="675" customFormat="false" ht="14.25" hidden="false" customHeight="false" outlineLevel="0" collapsed="false">
      <c r="A675" s="1" t="n">
        <v>38231</v>
      </c>
      <c r="B675" s="2" t="s">
        <v>20</v>
      </c>
      <c r="C675" s="3" t="n">
        <v>42798</v>
      </c>
      <c r="D675" s="8" t="s">
        <v>17</v>
      </c>
      <c r="E675" s="3" t="n">
        <f aca="false">IF(Tabla2[[#This Row],[Frecuencia]]="Annual", Tabla2[[#This Row],[Cosecha/Tarea]]/12,Tabla2[[#This Row],[Cosecha/Tarea]])</f>
        <v>42798</v>
      </c>
      <c r="F675" s="3" t="n">
        <v>86360</v>
      </c>
      <c r="G675" s="2" t="s">
        <v>18</v>
      </c>
      <c r="H675" s="2" t="n">
        <f aca="false">F675/Tabla2[[#This Row],[Cosecha Mensual]]</f>
        <v>2.01785130146269</v>
      </c>
      <c r="I675" s="2" t="n">
        <f aca="false">H675*_xlfn.XLOOKUP(Tabla2[[#This Row],[Unidad de producción]],Tabla3[Medida],Tabla3[Equivalencia en Kg],"ELVIS",0)</f>
        <v>91.5297350343474</v>
      </c>
      <c r="J675" s="2" t="n">
        <v>386.4</v>
      </c>
      <c r="K675" s="2" t="s">
        <v>18</v>
      </c>
      <c r="L675" s="2" t="n">
        <f aca="false">J675/_xlfn.XLOOKUP(Tabla2[[#This Row],[Unidad de precio]],Tabla3[Medida],Tabla3[Equivalencia en Kg],"ELVIS",0)</f>
        <v>8.51851851851852</v>
      </c>
      <c r="M675" s="2" t="n">
        <v>1100.66</v>
      </c>
      <c r="N675" s="3" t="n">
        <f aca="false">(Tabla2[[#This Row],[Productividad (kg/TAS)]]*Tabla2[[#This Row],[Precio por kg]]-Tabla2[[#This Row],[Costos (En RD$/Tarea)]])</f>
        <v>-320.962257114819</v>
      </c>
      <c r="O675" s="9" t="n">
        <f aca="false">IF(Tabla2[[#This Row],[Costos (En RD$/Tarea)]]=0,0,Tabla2[[#This Row],[Beneficio Neto  (En RD$/Tarea)]]/Tabla2[[#This Row],[Costos (En RD$/Tarea)]])</f>
        <v>-0.291608904761524</v>
      </c>
      <c r="P675" s="7" t="n">
        <f aca="false">Tabla2[[#This Row],[Rentabilidad (%)]]/12</f>
        <v>-0.0243007420634603</v>
      </c>
    </row>
    <row r="676" customFormat="false" ht="14.25" hidden="false" customHeight="false" outlineLevel="0" collapsed="false">
      <c r="A676" s="1" t="n">
        <v>38231</v>
      </c>
      <c r="B676" s="2" t="s">
        <v>21</v>
      </c>
      <c r="C676" s="3" t="n">
        <v>5858</v>
      </c>
      <c r="D676" s="8" t="s">
        <v>17</v>
      </c>
      <c r="E676" s="3" t="n">
        <f aca="false">IF(Tabla2[[#This Row],[Frecuencia]]="Annual", Tabla2[[#This Row],[Cosecha/Tarea]]/12,Tabla2[[#This Row],[Cosecha/Tarea]])</f>
        <v>5858</v>
      </c>
      <c r="F676" s="3" t="n">
        <v>49379</v>
      </c>
      <c r="G676" s="2" t="s">
        <v>18</v>
      </c>
      <c r="H676" s="2" t="n">
        <f aca="false">F676/Tabla2[[#This Row],[Cosecha Mensual]]</f>
        <v>8.42932741550017</v>
      </c>
      <c r="I676" s="2" t="n">
        <f aca="false">H676*_xlfn.XLOOKUP(Tabla2[[#This Row],[Unidad de producción]],Tabla3[Medida],Tabla3[Equivalencia en Kg],"ELVIS",0)</f>
        <v>382.354291567088</v>
      </c>
      <c r="J676" s="2" t="n">
        <v>270</v>
      </c>
      <c r="K676" s="2" t="s">
        <v>18</v>
      </c>
      <c r="L676" s="2" t="n">
        <f aca="false">J676/_xlfn.XLOOKUP(Tabla2[[#This Row],[Unidad de precio]],Tabla3[Medida],Tabla3[Equivalencia en Kg],"ELVIS",0)</f>
        <v>5.95238095238095</v>
      </c>
      <c r="M676" s="2" t="n">
        <v>3591.85</v>
      </c>
      <c r="N676" s="3" t="n">
        <f aca="false">(Tabla2[[#This Row],[Productividad (kg/TAS)]]*Tabla2[[#This Row],[Precio por kg]]-Tabla2[[#This Row],[Costos (En RD$/Tarea)]])</f>
        <v>-1315.93159781495</v>
      </c>
      <c r="O676" s="9" t="n">
        <f aca="false">IF(Tabla2[[#This Row],[Costos (En RD$/Tarea)]]=0,0,Tabla2[[#This Row],[Beneficio Neto  (En RD$/Tarea)]]/Tabla2[[#This Row],[Costos (En RD$/Tarea)]])</f>
        <v>-0.366365966790081</v>
      </c>
      <c r="P676" s="7" t="n">
        <f aca="false">Tabla2[[#This Row],[Rentabilidad (%)]]/12</f>
        <v>-0.0305304972325068</v>
      </c>
    </row>
    <row r="677" customFormat="false" ht="14.25" hidden="false" customHeight="false" outlineLevel="0" collapsed="false">
      <c r="A677" s="1" t="n">
        <v>38231</v>
      </c>
      <c r="B677" s="2" t="s">
        <v>22</v>
      </c>
      <c r="C677" s="3" t="n">
        <v>778</v>
      </c>
      <c r="D677" s="8" t="s">
        <v>17</v>
      </c>
      <c r="E677" s="3" t="n">
        <f aca="false">IF(Tabla2[[#This Row],[Frecuencia]]="Annual", Tabla2[[#This Row],[Cosecha/Tarea]]/12,Tabla2[[#This Row],[Cosecha/Tarea]])</f>
        <v>778</v>
      </c>
      <c r="F677" s="3" t="n">
        <v>6933</v>
      </c>
      <c r="G677" s="2" t="s">
        <v>18</v>
      </c>
      <c r="H677" s="2" t="n">
        <f aca="false">F677/Tabla2[[#This Row],[Cosecha Mensual]]</f>
        <v>8.91131105398458</v>
      </c>
      <c r="I677" s="2" t="n">
        <f aca="false">H677*_xlfn.XLOOKUP(Tabla2[[#This Row],[Unidad de producción]],Tabla3[Medida],Tabla3[Equivalencia en Kg],"ELVIS",0)</f>
        <v>404.21706940874</v>
      </c>
      <c r="J677" s="2" t="n">
        <v>455.45</v>
      </c>
      <c r="K677" s="2" t="s">
        <v>18</v>
      </c>
      <c r="L677" s="2" t="n">
        <f aca="false">J677/_xlfn.XLOOKUP(Tabla2[[#This Row],[Unidad de precio]],Tabla3[Medida],Tabla3[Equivalencia en Kg],"ELVIS",0)</f>
        <v>10.0407848324515</v>
      </c>
      <c r="M677" s="2" t="n">
        <v>3985.16</v>
      </c>
      <c r="N677" s="3" t="n">
        <f aca="false">(Tabla2[[#This Row],[Productividad (kg/TAS)]]*Tabla2[[#This Row],[Precio por kg]]-Tabla2[[#This Row],[Costos (En RD$/Tarea)]])</f>
        <v>73.4966195372749</v>
      </c>
      <c r="O677" s="9" t="n">
        <f aca="false">IF(Tabla2[[#This Row],[Costos (En RD$/Tarea)]]=0,0,Tabla2[[#This Row],[Beneficio Neto  (En RD$/Tarea)]]/Tabla2[[#This Row],[Costos (En RD$/Tarea)]])</f>
        <v>0.0184425768444115</v>
      </c>
      <c r="P677" s="7" t="n">
        <f aca="false">Tabla2[[#This Row],[Rentabilidad (%)]]/12</f>
        <v>0.00153688140370096</v>
      </c>
    </row>
    <row r="678" customFormat="false" ht="14.25" hidden="false" customHeight="false" outlineLevel="0" collapsed="false">
      <c r="A678" s="1" t="n">
        <v>38231</v>
      </c>
      <c r="B678" s="2" t="s">
        <v>23</v>
      </c>
      <c r="C678" s="3" t="n">
        <v>2061</v>
      </c>
      <c r="D678" s="8" t="s">
        <v>17</v>
      </c>
      <c r="E678" s="3" t="n">
        <f aca="false">IF(Tabla2[[#This Row],[Frecuencia]]="Annual", Tabla2[[#This Row],[Cosecha/Tarea]]/12,Tabla2[[#This Row],[Cosecha/Tarea]])</f>
        <v>2061</v>
      </c>
      <c r="F678" s="3" t="n">
        <v>66879</v>
      </c>
      <c r="G678" s="2" t="s">
        <v>18</v>
      </c>
      <c r="H678" s="2" t="n">
        <f aca="false">F678/Tabla2[[#This Row],[Cosecha Mensual]]</f>
        <v>32.4497816593887</v>
      </c>
      <c r="I678" s="2" t="n">
        <f aca="false">H678*_xlfn.XLOOKUP(Tabla2[[#This Row],[Unidad de producción]],Tabla3[Medida],Tabla3[Equivalencia en Kg],"ELVIS",0)</f>
        <v>1471.92209606987</v>
      </c>
      <c r="J678" s="2" t="n">
        <v>600</v>
      </c>
      <c r="K678" s="2" t="s">
        <v>18</v>
      </c>
      <c r="L678" s="2" t="n">
        <f aca="false">J678/_xlfn.XLOOKUP(Tabla2[[#This Row],[Unidad de precio]],Tabla3[Medida],Tabla3[Equivalencia en Kg],"ELVIS",0)</f>
        <v>13.2275132275132</v>
      </c>
      <c r="M678" s="2" t="n">
        <v>9274.52</v>
      </c>
      <c r="N678" s="3" t="n">
        <f aca="false">(Tabla2[[#This Row],[Productividad (kg/TAS)]]*Tabla2[[#This Row],[Precio por kg]]-Tabla2[[#This Row],[Costos (En RD$/Tarea)]])</f>
        <v>10195.3489956332</v>
      </c>
      <c r="O678" s="9" t="n">
        <f aca="false">IF(Tabla2[[#This Row],[Costos (En RD$/Tarea)]]=0,0,Tabla2[[#This Row],[Beneficio Neto  (En RD$/Tarea)]]/Tabla2[[#This Row],[Costos (En RD$/Tarea)]])</f>
        <v>1.09928589249181</v>
      </c>
      <c r="P678" s="7" t="n">
        <f aca="false">Tabla2[[#This Row],[Rentabilidad (%)]]/12</f>
        <v>0.0916071577076512</v>
      </c>
    </row>
    <row r="679" customFormat="false" ht="14.25" hidden="false" customHeight="false" outlineLevel="0" collapsed="false">
      <c r="A679" s="1" t="n">
        <v>38231</v>
      </c>
      <c r="B679" s="2" t="s">
        <v>24</v>
      </c>
      <c r="C679" s="3" t="n">
        <v>4894</v>
      </c>
      <c r="D679" s="8" t="s">
        <v>17</v>
      </c>
      <c r="E679" s="3" t="n">
        <f aca="false">IF(Tabla2[[#This Row],[Frecuencia]]="Annual", Tabla2[[#This Row],[Cosecha/Tarea]]/12,Tabla2[[#This Row],[Cosecha/Tarea]])</f>
        <v>4894</v>
      </c>
      <c r="F679" s="3" t="n">
        <v>99295</v>
      </c>
      <c r="G679" s="2" t="s">
        <v>18</v>
      </c>
      <c r="H679" s="2" t="n">
        <f aca="false">F679/Tabla2[[#This Row],[Cosecha Mensual]]</f>
        <v>20.2891295463833</v>
      </c>
      <c r="I679" s="2" t="n">
        <f aca="false">H679*_xlfn.XLOOKUP(Tabla2[[#This Row],[Unidad de producción]],Tabla3[Medida],Tabla3[Equivalencia en Kg],"ELVIS",0)</f>
        <v>920.314916223948</v>
      </c>
      <c r="J679" s="2" t="n">
        <v>957</v>
      </c>
      <c r="K679" s="2" t="s">
        <v>18</v>
      </c>
      <c r="L679" s="2" t="n">
        <f aca="false">J679/_xlfn.XLOOKUP(Tabla2[[#This Row],[Unidad de precio]],Tabla3[Medida],Tabla3[Equivalencia en Kg],"ELVIS",0)</f>
        <v>21.0978835978836</v>
      </c>
      <c r="M679" s="2" t="n">
        <v>2563.46</v>
      </c>
      <c r="N679" s="3" t="n">
        <f aca="false">(Tabla2[[#This Row],[Productividad (kg/TAS)]]*Tabla2[[#This Row],[Precio por kg]]-Tabla2[[#This Row],[Costos (En RD$/Tarea)]])</f>
        <v>16853.2369758888</v>
      </c>
      <c r="O679" s="9" t="n">
        <f aca="false">IF(Tabla2[[#This Row],[Costos (En RD$/Tarea)]]=0,0,Tabla2[[#This Row],[Beneficio Neto  (En RD$/Tarea)]]/Tabla2[[#This Row],[Costos (En RD$/Tarea)]])</f>
        <v>6.57440996773456</v>
      </c>
      <c r="P679" s="7" t="n">
        <f aca="false">Tabla2[[#This Row],[Rentabilidad (%)]]/12</f>
        <v>0.547867497311214</v>
      </c>
    </row>
    <row r="680" customFormat="false" ht="14.25" hidden="false" customHeight="false" outlineLevel="0" collapsed="false">
      <c r="A680" s="1" t="n">
        <v>38231</v>
      </c>
      <c r="B680" s="2" t="s">
        <v>25</v>
      </c>
      <c r="C680" s="3" t="n">
        <v>12891</v>
      </c>
      <c r="D680" s="8" t="s">
        <v>17</v>
      </c>
      <c r="E680" s="3" t="n">
        <f aca="false">IF(Tabla2[[#This Row],[Frecuencia]]="Annual", Tabla2[[#This Row],[Cosecha/Tarea]]/12,Tabla2[[#This Row],[Cosecha/Tarea]])</f>
        <v>12891</v>
      </c>
      <c r="F680" s="3" t="n">
        <v>127964</v>
      </c>
      <c r="G680" s="2" t="s">
        <v>18</v>
      </c>
      <c r="H680" s="2" t="n">
        <f aca="false">F680/Tabla2[[#This Row],[Cosecha Mensual]]</f>
        <v>9.92661546815608</v>
      </c>
      <c r="I680" s="2" t="n">
        <f aca="false">H680*_xlfn.XLOOKUP(Tabla2[[#This Row],[Unidad de producción]],Tabla3[Medida],Tabla3[Equivalencia en Kg],"ELVIS",0)</f>
        <v>450.27127763556</v>
      </c>
      <c r="J680" s="2" t="n">
        <v>488</v>
      </c>
      <c r="K680" s="2" t="s">
        <v>18</v>
      </c>
      <c r="L680" s="2" t="n">
        <f aca="false">J680/_xlfn.XLOOKUP(Tabla2[[#This Row],[Unidad de precio]],Tabla3[Medida],Tabla3[Equivalencia en Kg],"ELVIS",0)</f>
        <v>10.7583774250441</v>
      </c>
      <c r="M680" s="2" t="n">
        <v>1852.92</v>
      </c>
      <c r="N680" s="3" t="n">
        <f aca="false">(Tabla2[[#This Row],[Productividad (kg/TAS)]]*Tabla2[[#This Row],[Precio por kg]]-Tabla2[[#This Row],[Costos (En RD$/Tarea)]])</f>
        <v>2991.26834846017</v>
      </c>
      <c r="O680" s="9" t="n">
        <f aca="false">IF(Tabla2[[#This Row],[Costos (En RD$/Tarea)]]=0,0,Tabla2[[#This Row],[Beneficio Neto  (En RD$/Tarea)]]/Tabla2[[#This Row],[Costos (En RD$/Tarea)]])</f>
        <v>1.61435374892611</v>
      </c>
      <c r="P680" s="7" t="n">
        <f aca="false">Tabla2[[#This Row],[Rentabilidad (%)]]/12</f>
        <v>0.134529479077176</v>
      </c>
    </row>
    <row r="681" customFormat="false" ht="14.25" hidden="false" customHeight="false" outlineLevel="0" collapsed="false">
      <c r="A681" s="1" t="n">
        <v>38231</v>
      </c>
      <c r="B681" s="2" t="s">
        <v>26</v>
      </c>
      <c r="C681" s="3" t="n">
        <v>7399</v>
      </c>
      <c r="D681" s="8" t="s">
        <v>17</v>
      </c>
      <c r="E681" s="3" t="n">
        <f aca="false">IF(Tabla2[[#This Row],[Frecuencia]]="Annual", Tabla2[[#This Row],[Cosecha/Tarea]]/12,Tabla2[[#This Row],[Cosecha/Tarea]])</f>
        <v>7399</v>
      </c>
      <c r="F681" s="3" t="n">
        <v>41354</v>
      </c>
      <c r="G681" s="2" t="s">
        <v>18</v>
      </c>
      <c r="H681" s="2" t="n">
        <f aca="false">F681/Tabla2[[#This Row],[Cosecha Mensual]]</f>
        <v>5.58913366671172</v>
      </c>
      <c r="I681" s="2" t="n">
        <f aca="false">H681*_xlfn.XLOOKUP(Tabla2[[#This Row],[Unidad de producción]],Tabla3[Medida],Tabla3[Equivalencia en Kg],"ELVIS",0)</f>
        <v>253.523103122044</v>
      </c>
      <c r="J681" s="2" t="n">
        <v>440.768518518519</v>
      </c>
      <c r="K681" s="2" t="s">
        <v>18</v>
      </c>
      <c r="L681" s="2" t="n">
        <f aca="false">J681/_xlfn.XLOOKUP(Tabla2[[#This Row],[Unidad de precio]],Tabla3[Medida],Tabla3[Equivalencia en Kg],"ELVIS",0)</f>
        <v>9.71711901495853</v>
      </c>
      <c r="M681" s="2" t="n">
        <v>1244.4</v>
      </c>
      <c r="N681" s="3" t="n">
        <f aca="false">(Tabla2[[#This Row],[Productividad (kg/TAS)]]*Tabla2[[#This Row],[Precio por kg]]-Tabla2[[#This Row],[Costos (En RD$/Tarea)]])</f>
        <v>1219.1141660785</v>
      </c>
      <c r="O681" s="9" t="n">
        <f aca="false">IF(Tabla2[[#This Row],[Costos (En RD$/Tarea)]]=0,0,Tabla2[[#This Row],[Beneficio Neto  (En RD$/Tarea)]]/Tabla2[[#This Row],[Costos (En RD$/Tarea)]])</f>
        <v>0.979680300609532</v>
      </c>
      <c r="P681" s="7" t="n">
        <f aca="false">Tabla2[[#This Row],[Rentabilidad (%)]]/12</f>
        <v>0.0816400250507944</v>
      </c>
    </row>
    <row r="682" customFormat="false" ht="14.25" hidden="false" customHeight="false" outlineLevel="0" collapsed="false">
      <c r="A682" s="1" t="n">
        <v>38231</v>
      </c>
      <c r="B682" s="2" t="s">
        <v>27</v>
      </c>
      <c r="C682" s="3" t="n">
        <v>3262</v>
      </c>
      <c r="D682" s="8" t="s">
        <v>17</v>
      </c>
      <c r="E682" s="3" t="n">
        <f aca="false">IF(Tabla2[[#This Row],[Frecuencia]]="Annual", Tabla2[[#This Row],[Cosecha/Tarea]]/12,Tabla2[[#This Row],[Cosecha/Tarea]])</f>
        <v>3262</v>
      </c>
      <c r="F682" s="3" t="n">
        <v>32299</v>
      </c>
      <c r="G682" s="2" t="s">
        <v>18</v>
      </c>
      <c r="H682" s="2" t="n">
        <f aca="false">F682/Tabla2[[#This Row],[Cosecha Mensual]]</f>
        <v>9.90159411404047</v>
      </c>
      <c r="I682" s="2" t="n">
        <f aca="false">H682*_xlfn.XLOOKUP(Tabla2[[#This Row],[Unidad de producción]],Tabla3[Medida],Tabla3[Equivalencia en Kg],"ELVIS",0)</f>
        <v>449.136309012876</v>
      </c>
      <c r="J682" s="2" t="n">
        <v>375</v>
      </c>
      <c r="K682" s="2" t="s">
        <v>18</v>
      </c>
      <c r="L682" s="2" t="n">
        <f aca="false">J682/_xlfn.XLOOKUP(Tabla2[[#This Row],[Unidad de precio]],Tabla3[Medida],Tabla3[Equivalencia en Kg],"ELVIS",0)</f>
        <v>8.26719576719577</v>
      </c>
      <c r="M682" s="2" t="n">
        <v>4235.82</v>
      </c>
      <c r="N682" s="3" t="n">
        <f aca="false">(Tabla2[[#This Row],[Productividad (kg/TAS)]]*Tabla2[[#This Row],[Precio por kg]]-Tabla2[[#This Row],[Costos (En RD$/Tarea)]])</f>
        <v>-522.722207234825</v>
      </c>
      <c r="O682" s="9" t="n">
        <f aca="false">IF(Tabla2[[#This Row],[Costos (En RD$/Tarea)]]=0,0,Tabla2[[#This Row],[Beneficio Neto  (En RD$/Tarea)]]/Tabla2[[#This Row],[Costos (En RD$/Tarea)]])</f>
        <v>-0.12340519834054</v>
      </c>
      <c r="P682" s="7" t="n">
        <f aca="false">Tabla2[[#This Row],[Rentabilidad (%)]]/12</f>
        <v>-0.0102837665283783</v>
      </c>
    </row>
    <row r="683" customFormat="false" ht="14.25" hidden="false" customHeight="false" outlineLevel="0" collapsed="false">
      <c r="A683" s="1" t="n">
        <v>38231</v>
      </c>
      <c r="B683" s="2" t="s">
        <v>28</v>
      </c>
      <c r="C683" s="3" t="n">
        <v>55073</v>
      </c>
      <c r="D683" s="8" t="s">
        <v>17</v>
      </c>
      <c r="E683" s="3" t="n">
        <f aca="false">IF(Tabla2[[#This Row],[Frecuencia]]="Annual", Tabla2[[#This Row],[Cosecha/Tarea]]/12,Tabla2[[#This Row],[Cosecha/Tarea]])</f>
        <v>55073</v>
      </c>
      <c r="F683" s="3" t="n">
        <v>101870</v>
      </c>
      <c r="G683" s="2" t="s">
        <v>29</v>
      </c>
      <c r="H683" s="2" t="n">
        <f aca="false">F683/Tabla2[[#This Row],[Cosecha Mensual]]</f>
        <v>1.84972672634503</v>
      </c>
      <c r="I683" s="2" t="n">
        <f aca="false">H683*_xlfn.XLOOKUP(Tabla2[[#This Row],[Unidad de producción]],Tabla3[Medida],Tabla3[Equivalencia en Kg],"ELVIS",0)</f>
        <v>1040.17532729287</v>
      </c>
      <c r="J683" s="2" t="n">
        <v>2860</v>
      </c>
      <c r="K683" s="2" t="s">
        <v>29</v>
      </c>
      <c r="L683" s="2" t="n">
        <f aca="false">J683/_xlfn.XLOOKUP(Tabla2[[#This Row],[Unidad de precio]],Tabla3[Medida],Tabla3[Equivalencia en Kg],"ELVIS",0)</f>
        <v>5.08589109791229</v>
      </c>
      <c r="M683" s="2" t="n">
        <v>7896.87291948</v>
      </c>
      <c r="N683" s="3" t="n">
        <f aca="false">(Tabla2[[#This Row],[Productividad (kg/TAS)]]*Tabla2[[#This Row],[Precio por kg]]-Tabla2[[#This Row],[Costos (En RD$/Tarea)]])</f>
        <v>-2606.65448213321</v>
      </c>
      <c r="O683" s="9" t="n">
        <f aca="false">IF(Tabla2[[#This Row],[Costos (En RD$/Tarea)]]=0,0,Tabla2[[#This Row],[Beneficio Neto  (En RD$/Tarea)]]/Tabla2[[#This Row],[Costos (En RD$/Tarea)]])</f>
        <v>-0.330086922850577</v>
      </c>
      <c r="P683" s="7" t="n">
        <f aca="false">Tabla2[[#This Row],[Rentabilidad (%)]]/12</f>
        <v>-0.0275072435708814</v>
      </c>
    </row>
    <row r="684" customFormat="false" ht="14.25" hidden="false" customHeight="false" outlineLevel="0" collapsed="false">
      <c r="A684" s="1" t="n">
        <v>38231</v>
      </c>
      <c r="B684" s="2" t="s">
        <v>30</v>
      </c>
      <c r="C684" s="3" t="n">
        <v>212127</v>
      </c>
      <c r="D684" s="3" t="s">
        <v>31</v>
      </c>
      <c r="E684" s="3" t="n">
        <f aca="false">IF(Tabla2[[#This Row],[Frecuencia]]="Annual", Tabla2[[#This Row],[Cosecha/Tarea]]/12,Tabla2[[#This Row],[Cosecha/Tarea]])</f>
        <v>17677.25</v>
      </c>
      <c r="F684" s="3" t="n">
        <v>1286839</v>
      </c>
      <c r="G684" s="2" t="s">
        <v>32</v>
      </c>
      <c r="H684" s="2" t="n">
        <f aca="false">F684/Tabla2[[#This Row],[Cosecha Mensual]]</f>
        <v>72.7963342714506</v>
      </c>
      <c r="I684" s="2" t="n">
        <f aca="false">H684*_xlfn.XLOOKUP(Tabla2[[#This Row],[Unidad de producción]],Tabla3[Medida],Tabla3[Equivalencia en Kg],"ELVIS",0)</f>
        <v>1980.78825552617</v>
      </c>
      <c r="J684" s="2" t="n">
        <v>66.5</v>
      </c>
      <c r="K684" s="2" t="s">
        <v>32</v>
      </c>
      <c r="L684" s="2" t="n">
        <f aca="false">J684/_xlfn.XLOOKUP(Tabla2[[#This Row],[Unidad de precio]],Tabla3[Medida],Tabla3[Equivalencia en Kg],"ELVIS",0)</f>
        <v>2.44395442851893</v>
      </c>
      <c r="M684" s="3" t="n">
        <v>6693.79</v>
      </c>
      <c r="N684" s="3" t="n">
        <f aca="false">(Tabla2[[#This Row],[Productividad (kg/TAS)]]*Tabla2[[#This Row],[Precio por kg]]-Tabla2[[#This Row],[Costos (En RD$/Tarea)]])</f>
        <v>-1852.83377094854</v>
      </c>
      <c r="O684" s="9" t="n">
        <f aca="false">IF(Tabla2[[#This Row],[Costos (En RD$/Tarea)]]=0,0,Tabla2[[#This Row],[Beneficio Neto  (En RD$/Tarea)]]/Tabla2[[#This Row],[Costos (En RD$/Tarea)]])</f>
        <v>-0.276798909279875</v>
      </c>
      <c r="P684" s="7" t="n">
        <f aca="false">Tabla2[[#This Row],[Rentabilidad (%)]]/12</f>
        <v>-0.0230665757733229</v>
      </c>
    </row>
    <row r="685" customFormat="false" ht="14.25" hidden="false" customHeight="false" outlineLevel="0" collapsed="false">
      <c r="A685" s="1" t="n">
        <v>38231</v>
      </c>
      <c r="B685" s="2" t="s">
        <v>33</v>
      </c>
      <c r="C685" s="3" t="n">
        <v>600029</v>
      </c>
      <c r="D685" s="3" t="s">
        <v>31</v>
      </c>
      <c r="E685" s="3" t="n">
        <f aca="false">IF(Tabla2[[#This Row],[Frecuencia]]="Annual", Tabla2[[#This Row],[Cosecha/Tarea]]/12,Tabla2[[#This Row],[Cosecha/Tarea]])</f>
        <v>50002.4166666667</v>
      </c>
      <c r="F685" s="3" t="n">
        <v>142965</v>
      </c>
      <c r="G685" s="2" t="s">
        <v>34</v>
      </c>
      <c r="H685" s="2" t="n">
        <f aca="false">F685/Tabla2[[#This Row],[Cosecha Mensual]]</f>
        <v>2.85916180717932</v>
      </c>
      <c r="I685" s="2" t="n">
        <f aca="false">H685*_xlfn.XLOOKUP(Tabla2[[#This Row],[Unidad de producción]],Tabla3[Medida],Tabla3[Equivalencia en Kg],"ELVIS",0)</f>
        <v>1166.96689160024</v>
      </c>
      <c r="J685" s="2" t="n">
        <v>2966.665</v>
      </c>
      <c r="K685" s="2" t="s">
        <v>34</v>
      </c>
      <c r="L685" s="2" t="n">
        <f aca="false">J685/_xlfn.XLOOKUP(Tabla2[[#This Row],[Unidad de precio]],Tabla3[Medida],Tabla3[Equivalencia en Kg],"ELVIS",0)</f>
        <v>7.26856547837805</v>
      </c>
      <c r="M685" s="3" t="n">
        <v>8906.28</v>
      </c>
      <c r="N685" s="3" t="n">
        <f aca="false">(Tabla2[[#This Row],[Productividad (kg/TAS)]]*Tabla2[[#This Row],[Precio por kg]]-Tabla2[[#This Row],[Costos (En RD$/Tarea)]])</f>
        <v>-424.104737304364</v>
      </c>
      <c r="O685" s="9" t="n">
        <f aca="false">IF(Tabla2[[#This Row],[Costos (En RD$/Tarea)]]=0,0,Tabla2[[#This Row],[Beneficio Neto  (En RD$/Tarea)]]/Tabla2[[#This Row],[Costos (En RD$/Tarea)]])</f>
        <v>-0.0476186171223411</v>
      </c>
      <c r="P685" s="7" t="n">
        <f aca="false">Tabla2[[#This Row],[Rentabilidad (%)]]/12</f>
        <v>-0.00396821809352842</v>
      </c>
    </row>
    <row r="686" customFormat="false" ht="14.25" hidden="false" customHeight="false" outlineLevel="0" collapsed="false">
      <c r="A686" s="1" t="n">
        <v>38261</v>
      </c>
      <c r="B686" s="2" t="s">
        <v>16</v>
      </c>
      <c r="C686" s="3" t="n">
        <v>398268</v>
      </c>
      <c r="D686" s="8" t="s">
        <v>17</v>
      </c>
      <c r="E686" s="3" t="n">
        <f aca="false">IF(Tabla2[[#This Row],[Frecuencia]]="Annual", Tabla2[[#This Row],[Cosecha/Tarea]]/12,Tabla2[[#This Row],[Cosecha/Tarea]])</f>
        <v>398268</v>
      </c>
      <c r="F686" s="3" t="n">
        <v>1116520</v>
      </c>
      <c r="G686" s="2" t="s">
        <v>18</v>
      </c>
      <c r="H686" s="2" t="n">
        <f aca="false">F686/Tabla2[[#This Row],[Cosecha Mensual]]</f>
        <v>2.80343889039541</v>
      </c>
      <c r="I686" s="2" t="n">
        <f aca="false">H686*_xlfn.XLOOKUP(Tabla2[[#This Row],[Unidad de producción]],Tabla3[Medida],Tabla3[Equivalencia en Kg],"ELVIS",0)</f>
        <v>127.163988068336</v>
      </c>
      <c r="J686" s="2" t="n">
        <v>1011.86</v>
      </c>
      <c r="K686" s="2" t="s">
        <v>19</v>
      </c>
      <c r="L686" s="2" t="n">
        <f aca="false">J686/_xlfn.XLOOKUP(Tabla2[[#This Row],[Unidad de precio]],Tabla3[Medida],Tabla3[Equivalencia en Kg],"ELVIS",0)</f>
        <v>9.19872727272727</v>
      </c>
      <c r="M686" s="2" t="n">
        <v>4376.41</v>
      </c>
      <c r="N686" s="3" t="n">
        <f aca="false">(Tabla2[[#This Row],[Productividad (kg/TAS)]]*Tabla2[[#This Row],[Precio por kg]]-Tabla2[[#This Row],[Costos (En RD$/Tarea)]])</f>
        <v>-3206.66315484703</v>
      </c>
      <c r="O686" s="9" t="n">
        <f aca="false">IF(Tabla2[[#This Row],[Costos (En RD$/Tarea)]]=0,0,Tabla2[[#This Row],[Beneficio Neto  (En RD$/Tarea)]]/Tabla2[[#This Row],[Costos (En RD$/Tarea)]])</f>
        <v>-0.732715434533564</v>
      </c>
      <c r="P686" s="7" t="n">
        <f aca="false">Tabla2[[#This Row],[Rentabilidad (%)]]/12</f>
        <v>-0.0610596195444636</v>
      </c>
    </row>
    <row r="687" customFormat="false" ht="14.25" hidden="false" customHeight="false" outlineLevel="0" collapsed="false">
      <c r="A687" s="1" t="n">
        <v>38261</v>
      </c>
      <c r="B687" s="2" t="s">
        <v>20</v>
      </c>
      <c r="C687" s="3" t="n">
        <v>38749</v>
      </c>
      <c r="D687" s="8" t="s">
        <v>17</v>
      </c>
      <c r="E687" s="3" t="n">
        <f aca="false">IF(Tabla2[[#This Row],[Frecuencia]]="Annual", Tabla2[[#This Row],[Cosecha/Tarea]]/12,Tabla2[[#This Row],[Cosecha/Tarea]])</f>
        <v>38749</v>
      </c>
      <c r="F687" s="3" t="n">
        <v>55158</v>
      </c>
      <c r="G687" s="2" t="s">
        <v>18</v>
      </c>
      <c r="H687" s="2" t="n">
        <f aca="false">F687/Tabla2[[#This Row],[Cosecha Mensual]]</f>
        <v>1.4234689927482</v>
      </c>
      <c r="I687" s="2" t="n">
        <f aca="false">H687*_xlfn.XLOOKUP(Tabla2[[#This Row],[Unidad de producción]],Tabla3[Medida],Tabla3[Equivalencia en Kg],"ELVIS",0)</f>
        <v>64.5685535110584</v>
      </c>
      <c r="J687" s="2" t="n">
        <v>376.52875</v>
      </c>
      <c r="K687" s="2" t="s">
        <v>18</v>
      </c>
      <c r="L687" s="2" t="n">
        <f aca="false">J687/_xlfn.XLOOKUP(Tabla2[[#This Row],[Unidad de precio]],Tabla3[Medida],Tabla3[Equivalencia en Kg],"ELVIS",0)</f>
        <v>8.3008983686067</v>
      </c>
      <c r="M687" s="2" t="n">
        <v>1100.66</v>
      </c>
      <c r="N687" s="3" t="n">
        <f aca="false">(Tabla2[[#This Row],[Productividad (kg/TAS)]]*Tabla2[[#This Row],[Precio por kg]]-Tabla2[[#This Row],[Costos (En RD$/Tarea)]])</f>
        <v>-564.682999496761</v>
      </c>
      <c r="O687" s="9" t="n">
        <f aca="false">IF(Tabla2[[#This Row],[Costos (En RD$/Tarea)]]=0,0,Tabla2[[#This Row],[Beneficio Neto  (En RD$/Tarea)]]/Tabla2[[#This Row],[Costos (En RD$/Tarea)]])</f>
        <v>-0.513040357146404</v>
      </c>
      <c r="P687" s="7" t="n">
        <f aca="false">Tabla2[[#This Row],[Rentabilidad (%)]]/12</f>
        <v>-0.0427533630955337</v>
      </c>
    </row>
    <row r="688" customFormat="false" ht="14.25" hidden="false" customHeight="false" outlineLevel="0" collapsed="false">
      <c r="A688" s="1" t="n">
        <v>38261</v>
      </c>
      <c r="B688" s="2" t="s">
        <v>21</v>
      </c>
      <c r="C688" s="3" t="n">
        <v>6434</v>
      </c>
      <c r="D688" s="8" t="s">
        <v>17</v>
      </c>
      <c r="E688" s="3" t="n">
        <f aca="false">IF(Tabla2[[#This Row],[Frecuencia]]="Annual", Tabla2[[#This Row],[Cosecha/Tarea]]/12,Tabla2[[#This Row],[Cosecha/Tarea]])</f>
        <v>6434</v>
      </c>
      <c r="F688" s="3" t="n">
        <v>54129</v>
      </c>
      <c r="G688" s="2" t="s">
        <v>18</v>
      </c>
      <c r="H688" s="2" t="n">
        <f aca="false">F688/Tabla2[[#This Row],[Cosecha Mensual]]</f>
        <v>8.41296238731738</v>
      </c>
      <c r="I688" s="2" t="n">
        <f aca="false">H688*_xlfn.XLOOKUP(Tabla2[[#This Row],[Unidad de producción]],Tabla3[Medida],Tabla3[Equivalencia en Kg],"ELVIS",0)</f>
        <v>381.611973888716</v>
      </c>
      <c r="J688" s="2" t="n">
        <v>245.1</v>
      </c>
      <c r="K688" s="2" t="s">
        <v>18</v>
      </c>
      <c r="L688" s="2" t="n">
        <f aca="false">J688/_xlfn.XLOOKUP(Tabla2[[#This Row],[Unidad de precio]],Tabla3[Medida],Tabla3[Equivalencia en Kg],"ELVIS",0)</f>
        <v>5.40343915343915</v>
      </c>
      <c r="M688" s="2" t="n">
        <v>3591.85</v>
      </c>
      <c r="N688" s="3" t="n">
        <f aca="false">(Tabla2[[#This Row],[Productividad (kg/TAS)]]*Tabla2[[#This Row],[Precio por kg]]-Tabla2[[#This Row],[Costos (En RD$/Tarea)]])</f>
        <v>-1529.83291886851</v>
      </c>
      <c r="O688" s="9" t="n">
        <f aca="false">IF(Tabla2[[#This Row],[Costos (En RD$/Tarea)]]=0,0,Tabla2[[#This Row],[Beneficio Neto  (En RD$/Tarea)]]/Tabla2[[#This Row],[Costos (En RD$/Tarea)]])</f>
        <v>-0.425917819193037</v>
      </c>
      <c r="P688" s="7" t="n">
        <f aca="false">Tabla2[[#This Row],[Rentabilidad (%)]]/12</f>
        <v>-0.0354931515994198</v>
      </c>
    </row>
    <row r="689" customFormat="false" ht="14.25" hidden="false" customHeight="false" outlineLevel="0" collapsed="false">
      <c r="A689" s="1" t="n">
        <v>38261</v>
      </c>
      <c r="B689" s="2" t="s">
        <v>22</v>
      </c>
      <c r="C689" s="3" t="n">
        <v>2736</v>
      </c>
      <c r="D689" s="8" t="s">
        <v>17</v>
      </c>
      <c r="E689" s="3" t="n">
        <f aca="false">IF(Tabla2[[#This Row],[Frecuencia]]="Annual", Tabla2[[#This Row],[Cosecha/Tarea]]/12,Tabla2[[#This Row],[Cosecha/Tarea]])</f>
        <v>2736</v>
      </c>
      <c r="F689" s="3" t="n">
        <v>26789</v>
      </c>
      <c r="G689" s="2" t="s">
        <v>18</v>
      </c>
      <c r="H689" s="2" t="n">
        <f aca="false">F689/Tabla2[[#This Row],[Cosecha Mensual]]</f>
        <v>9.79130116959064</v>
      </c>
      <c r="I689" s="2" t="n">
        <f aca="false">H689*_xlfn.XLOOKUP(Tabla2[[#This Row],[Unidad de producción]],Tabla3[Medida],Tabla3[Equivalencia en Kg],"ELVIS",0)</f>
        <v>444.133421052632</v>
      </c>
      <c r="J689" s="2" t="n">
        <v>506.25</v>
      </c>
      <c r="K689" s="2" t="s">
        <v>18</v>
      </c>
      <c r="L689" s="2" t="n">
        <f aca="false">J689/_xlfn.XLOOKUP(Tabla2[[#This Row],[Unidad de precio]],Tabla3[Medida],Tabla3[Equivalencia en Kg],"ELVIS",0)</f>
        <v>11.1607142857143</v>
      </c>
      <c r="M689" s="2" t="n">
        <v>3985.16</v>
      </c>
      <c r="N689" s="3" t="n">
        <f aca="false">(Tabla2[[#This Row],[Productividad (kg/TAS)]]*Tabla2[[#This Row],[Precio por kg]]-Tabla2[[#This Row],[Costos (En RD$/Tarea)]])</f>
        <v>971.686217105264</v>
      </c>
      <c r="O689" s="9" t="n">
        <f aca="false">IF(Tabla2[[#This Row],[Costos (En RD$/Tarea)]]=0,0,Tabla2[[#This Row],[Beneficio Neto  (En RD$/Tarea)]]/Tabla2[[#This Row],[Costos (En RD$/Tarea)]])</f>
        <v>0.243826149290182</v>
      </c>
      <c r="P689" s="7" t="n">
        <f aca="false">Tabla2[[#This Row],[Rentabilidad (%)]]/12</f>
        <v>0.0203188457741819</v>
      </c>
    </row>
    <row r="690" customFormat="false" ht="14.25" hidden="false" customHeight="false" outlineLevel="0" collapsed="false">
      <c r="A690" s="1" t="n">
        <v>38261</v>
      </c>
      <c r="B690" s="2" t="s">
        <v>23</v>
      </c>
      <c r="C690" s="3" t="n">
        <v>3033</v>
      </c>
      <c r="D690" s="8" t="s">
        <v>17</v>
      </c>
      <c r="E690" s="3" t="n">
        <f aca="false">IF(Tabla2[[#This Row],[Frecuencia]]="Annual", Tabla2[[#This Row],[Cosecha/Tarea]]/12,Tabla2[[#This Row],[Cosecha/Tarea]])</f>
        <v>3033</v>
      </c>
      <c r="F690" s="3" t="n">
        <v>76311</v>
      </c>
      <c r="G690" s="2" t="s">
        <v>18</v>
      </c>
      <c r="H690" s="2" t="n">
        <f aca="false">F690/Tabla2[[#This Row],[Cosecha Mensual]]</f>
        <v>25.160237388724</v>
      </c>
      <c r="I690" s="2" t="n">
        <f aca="false">H690*_xlfn.XLOOKUP(Tabla2[[#This Row],[Unidad de producción]],Tabla3[Medida],Tabla3[Equivalencia en Kg],"ELVIS",0)</f>
        <v>1141.26836795252</v>
      </c>
      <c r="J690" s="2" t="n">
        <v>562.5</v>
      </c>
      <c r="K690" s="2" t="s">
        <v>18</v>
      </c>
      <c r="L690" s="2" t="n">
        <f aca="false">J690/_xlfn.XLOOKUP(Tabla2[[#This Row],[Unidad de precio]],Tabla3[Medida],Tabla3[Equivalencia en Kg],"ELVIS",0)</f>
        <v>12.4007936507937</v>
      </c>
      <c r="M690" s="2" t="n">
        <v>9274.52</v>
      </c>
      <c r="N690" s="3" t="n">
        <f aca="false">(Tabla2[[#This Row],[Productividad (kg/TAS)]]*Tabla2[[#This Row],[Precio por kg]]-Tabla2[[#This Row],[Costos (En RD$/Tarea)]])</f>
        <v>4878.11353115727</v>
      </c>
      <c r="O690" s="9" t="n">
        <f aca="false">IF(Tabla2[[#This Row],[Costos (En RD$/Tarea)]]=0,0,Tabla2[[#This Row],[Beneficio Neto  (En RD$/Tarea)]]/Tabla2[[#This Row],[Costos (En RD$/Tarea)]])</f>
        <v>0.525969379672184</v>
      </c>
      <c r="P690" s="7" t="n">
        <f aca="false">Tabla2[[#This Row],[Rentabilidad (%)]]/12</f>
        <v>0.0438307816393487</v>
      </c>
    </row>
    <row r="691" customFormat="false" ht="14.25" hidden="false" customHeight="false" outlineLevel="0" collapsed="false">
      <c r="A691" s="1" t="n">
        <v>38261</v>
      </c>
      <c r="B691" s="2" t="s">
        <v>24</v>
      </c>
      <c r="C691" s="3" t="n">
        <v>4342</v>
      </c>
      <c r="D691" s="8" t="s">
        <v>17</v>
      </c>
      <c r="E691" s="3" t="n">
        <f aca="false">IF(Tabla2[[#This Row],[Frecuencia]]="Annual", Tabla2[[#This Row],[Cosecha/Tarea]]/12,Tabla2[[#This Row],[Cosecha/Tarea]])</f>
        <v>4342</v>
      </c>
      <c r="F691" s="3" t="n">
        <v>69167</v>
      </c>
      <c r="G691" s="2" t="s">
        <v>18</v>
      </c>
      <c r="H691" s="2" t="n">
        <f aca="false">F691/Tabla2[[#This Row],[Cosecha Mensual]]</f>
        <v>15.9297558728696</v>
      </c>
      <c r="I691" s="2" t="n">
        <f aca="false">H691*_xlfn.XLOOKUP(Tabla2[[#This Row],[Unidad de producción]],Tabla3[Medida],Tabla3[Equivalencia en Kg],"ELVIS",0)</f>
        <v>722.573726393367</v>
      </c>
      <c r="J691" s="2" t="n">
        <v>1128.4</v>
      </c>
      <c r="K691" s="2" t="s">
        <v>18</v>
      </c>
      <c r="L691" s="2" t="n">
        <f aca="false">J691/_xlfn.XLOOKUP(Tabla2[[#This Row],[Unidad de precio]],Tabla3[Medida],Tabla3[Equivalencia en Kg],"ELVIS",0)</f>
        <v>24.8765432098765</v>
      </c>
      <c r="M691" s="2" t="n">
        <v>2563.46</v>
      </c>
      <c r="N691" s="3" t="n">
        <f aca="false">(Tabla2[[#This Row],[Productividad (kg/TAS)]]*Tabla2[[#This Row],[Precio por kg]]-Tabla2[[#This Row],[Costos (En RD$/Tarea)]])</f>
        <v>15411.6765269461</v>
      </c>
      <c r="O691" s="9" t="n">
        <f aca="false">IF(Tabla2[[#This Row],[Costos (En RD$/Tarea)]]=0,0,Tabla2[[#This Row],[Beneficio Neto  (En RD$/Tarea)]]/Tabla2[[#This Row],[Costos (En RD$/Tarea)]])</f>
        <v>6.01206046786223</v>
      </c>
      <c r="P691" s="7" t="n">
        <f aca="false">Tabla2[[#This Row],[Rentabilidad (%)]]/12</f>
        <v>0.501005038988519</v>
      </c>
    </row>
    <row r="692" customFormat="false" ht="14.25" hidden="false" customHeight="false" outlineLevel="0" collapsed="false">
      <c r="A692" s="1" t="n">
        <v>38261</v>
      </c>
      <c r="B692" s="2" t="s">
        <v>25</v>
      </c>
      <c r="C692" s="3" t="n">
        <v>12162</v>
      </c>
      <c r="D692" s="8" t="s">
        <v>17</v>
      </c>
      <c r="E692" s="3" t="n">
        <f aca="false">IF(Tabla2[[#This Row],[Frecuencia]]="Annual", Tabla2[[#This Row],[Cosecha/Tarea]]/12,Tabla2[[#This Row],[Cosecha/Tarea]])</f>
        <v>12162</v>
      </c>
      <c r="F692" s="3" t="n">
        <v>107042</v>
      </c>
      <c r="G692" s="2" t="s">
        <v>18</v>
      </c>
      <c r="H692" s="2" t="n">
        <f aca="false">F692/Tabla2[[#This Row],[Cosecha Mensual]]</f>
        <v>8.80134846242394</v>
      </c>
      <c r="I692" s="2" t="n">
        <f aca="false">H692*_xlfn.XLOOKUP(Tabla2[[#This Row],[Unidad de producción]],Tabla3[Medida],Tabla3[Equivalencia en Kg],"ELVIS",0)</f>
        <v>399.22916625555</v>
      </c>
      <c r="J692" s="2" t="n">
        <v>483.7075</v>
      </c>
      <c r="K692" s="2" t="s">
        <v>18</v>
      </c>
      <c r="L692" s="2" t="n">
        <f aca="false">J692/_xlfn.XLOOKUP(Tabla2[[#This Row],[Unidad de precio]],Tabla3[Medida],Tabla3[Equivalencia en Kg],"ELVIS",0)</f>
        <v>10.6637455908289</v>
      </c>
      <c r="M692" s="2" t="n">
        <v>1852.92</v>
      </c>
      <c r="N692" s="3" t="n">
        <f aca="false">(Tabla2[[#This Row],[Productividad (kg/TAS)]]*Tabla2[[#This Row],[Precio por kg]]-Tabla2[[#This Row],[Costos (En RD$/Tarea)]])</f>
        <v>2404.35826138793</v>
      </c>
      <c r="O692" s="9" t="n">
        <f aca="false">IF(Tabla2[[#This Row],[Costos (En RD$/Tarea)]]=0,0,Tabla2[[#This Row],[Beneficio Neto  (En RD$/Tarea)]]/Tabla2[[#This Row],[Costos (En RD$/Tarea)]])</f>
        <v>1.29760500258399</v>
      </c>
      <c r="P692" s="7" t="n">
        <f aca="false">Tabla2[[#This Row],[Rentabilidad (%)]]/12</f>
        <v>0.108133750215333</v>
      </c>
    </row>
    <row r="693" customFormat="false" ht="14.25" hidden="false" customHeight="false" outlineLevel="0" collapsed="false">
      <c r="A693" s="1" t="n">
        <v>38261</v>
      </c>
      <c r="B693" s="2" t="s">
        <v>26</v>
      </c>
      <c r="C693" s="3" t="n">
        <v>9671</v>
      </c>
      <c r="D693" s="8" t="s">
        <v>17</v>
      </c>
      <c r="E693" s="3" t="n">
        <f aca="false">IF(Tabla2[[#This Row],[Frecuencia]]="Annual", Tabla2[[#This Row],[Cosecha/Tarea]]/12,Tabla2[[#This Row],[Cosecha/Tarea]])</f>
        <v>9671</v>
      </c>
      <c r="F693" s="3" t="n">
        <v>61224</v>
      </c>
      <c r="G693" s="2" t="s">
        <v>18</v>
      </c>
      <c r="H693" s="2" t="n">
        <f aca="false">F693/Tabla2[[#This Row],[Cosecha Mensual]]</f>
        <v>6.33067935063592</v>
      </c>
      <c r="I693" s="2" t="n">
        <f aca="false">H693*_xlfn.XLOOKUP(Tabla2[[#This Row],[Unidad de producción]],Tabla3[Medida],Tabla3[Equivalencia en Kg],"ELVIS",0)</f>
        <v>287.159615344845</v>
      </c>
      <c r="J693" s="2" t="n">
        <v>440.768518518519</v>
      </c>
      <c r="K693" s="2" t="s">
        <v>18</v>
      </c>
      <c r="L693" s="2" t="n">
        <f aca="false">J693/_xlfn.XLOOKUP(Tabla2[[#This Row],[Unidad de precio]],Tabla3[Medida],Tabla3[Equivalencia en Kg],"ELVIS",0)</f>
        <v>9.71711901495853</v>
      </c>
      <c r="M693" s="2" t="n">
        <v>1244.4</v>
      </c>
      <c r="N693" s="3" t="n">
        <f aca="false">(Tabla2[[#This Row],[Productividad (kg/TAS)]]*Tabla2[[#This Row],[Precio por kg]]-Tabla2[[#This Row],[Costos (En RD$/Tarea)]])</f>
        <v>1545.96415859558</v>
      </c>
      <c r="O693" s="9" t="n">
        <f aca="false">IF(Tabla2[[#This Row],[Costos (En RD$/Tarea)]]=0,0,Tabla2[[#This Row],[Beneficio Neto  (En RD$/Tarea)]]/Tabla2[[#This Row],[Costos (En RD$/Tarea)]])</f>
        <v>1.24233699662132</v>
      </c>
      <c r="P693" s="7" t="n">
        <f aca="false">Tabla2[[#This Row],[Rentabilidad (%)]]/12</f>
        <v>0.103528083051777</v>
      </c>
    </row>
    <row r="694" customFormat="false" ht="14.25" hidden="false" customHeight="false" outlineLevel="0" collapsed="false">
      <c r="A694" s="1" t="n">
        <v>38261</v>
      </c>
      <c r="B694" s="2" t="s">
        <v>27</v>
      </c>
      <c r="C694" s="3" t="n">
        <v>3335</v>
      </c>
      <c r="D694" s="8" t="s">
        <v>17</v>
      </c>
      <c r="E694" s="3" t="n">
        <f aca="false">IF(Tabla2[[#This Row],[Frecuencia]]="Annual", Tabla2[[#This Row],[Cosecha/Tarea]]/12,Tabla2[[#This Row],[Cosecha/Tarea]])</f>
        <v>3335</v>
      </c>
      <c r="F694" s="3" t="n">
        <v>30415</v>
      </c>
      <c r="G694" s="2" t="s">
        <v>18</v>
      </c>
      <c r="H694" s="2" t="n">
        <f aca="false">F694/Tabla2[[#This Row],[Cosecha Mensual]]</f>
        <v>9.11994002998501</v>
      </c>
      <c r="I694" s="2" t="n">
        <f aca="false">H694*_xlfn.XLOOKUP(Tabla2[[#This Row],[Unidad de producción]],Tabla3[Medida],Tabla3[Equivalencia en Kg],"ELVIS",0)</f>
        <v>413.68047976012</v>
      </c>
      <c r="J694" s="2" t="n">
        <v>511.333333333333</v>
      </c>
      <c r="K694" s="2" t="s">
        <v>18</v>
      </c>
      <c r="L694" s="2" t="n">
        <f aca="false">J694/_xlfn.XLOOKUP(Tabla2[[#This Row],[Unidad de precio]],Tabla3[Medida],Tabla3[Equivalencia en Kg],"ELVIS",0)</f>
        <v>11.2727807172252</v>
      </c>
      <c r="M694" s="2" t="n">
        <v>4235.82</v>
      </c>
      <c r="N694" s="3" t="n">
        <f aca="false">(Tabla2[[#This Row],[Productividad (kg/TAS)]]*Tabla2[[#This Row],[Precio por kg]]-Tabla2[[#This Row],[Costos (En RD$/Tarea)]])</f>
        <v>427.509335332331</v>
      </c>
      <c r="O694" s="9" t="n">
        <f aca="false">IF(Tabla2[[#This Row],[Costos (En RD$/Tarea)]]=0,0,Tabla2[[#This Row],[Beneficio Neto  (En RD$/Tarea)]]/Tabla2[[#This Row],[Costos (En RD$/Tarea)]])</f>
        <v>0.100927172385118</v>
      </c>
      <c r="P694" s="7" t="n">
        <f aca="false">Tabla2[[#This Row],[Rentabilidad (%)]]/12</f>
        <v>0.00841059769875984</v>
      </c>
    </row>
    <row r="695" customFormat="false" ht="14.25" hidden="false" customHeight="false" outlineLevel="0" collapsed="false">
      <c r="A695" s="1" t="n">
        <v>38261</v>
      </c>
      <c r="B695" s="2" t="s">
        <v>28</v>
      </c>
      <c r="C695" s="3" t="n">
        <v>46541</v>
      </c>
      <c r="D695" s="8" t="s">
        <v>17</v>
      </c>
      <c r="E695" s="3" t="n">
        <f aca="false">IF(Tabla2[[#This Row],[Frecuencia]]="Annual", Tabla2[[#This Row],[Cosecha/Tarea]]/12,Tabla2[[#This Row],[Cosecha/Tarea]])</f>
        <v>46541</v>
      </c>
      <c r="F695" s="3" t="n">
        <v>63757</v>
      </c>
      <c r="G695" s="2" t="s">
        <v>29</v>
      </c>
      <c r="H695" s="2" t="n">
        <f aca="false">F695/Tabla2[[#This Row],[Cosecha Mensual]]</f>
        <v>1.3699104015814</v>
      </c>
      <c r="I695" s="2" t="n">
        <f aca="false">H695*_xlfn.XLOOKUP(Tabla2[[#This Row],[Unidad de producción]],Tabla3[Medida],Tabla3[Equivalencia en Kg],"ELVIS",0)</f>
        <v>770.355415225285</v>
      </c>
      <c r="J695" s="2" t="n">
        <v>2475.66666666667</v>
      </c>
      <c r="K695" s="2" t="s">
        <v>29</v>
      </c>
      <c r="L695" s="2" t="n">
        <f aca="false">J695/_xlfn.XLOOKUP(Tabla2[[#This Row],[Unidad de precio]],Tabla3[Medida],Tabla3[Equivalencia en Kg],"ELVIS",0)</f>
        <v>4.40243743405532</v>
      </c>
      <c r="M695" s="2" t="n">
        <v>7896.87291948</v>
      </c>
      <c r="N695" s="3" t="n">
        <f aca="false">(Tabla2[[#This Row],[Productividad (kg/TAS)]]*Tabla2[[#This Row],[Precio por kg]]-Tabla2[[#This Row],[Costos (En RD$/Tarea)]])</f>
        <v>-4505.43140196497</v>
      </c>
      <c r="O695" s="9" t="n">
        <f aca="false">IF(Tabla2[[#This Row],[Costos (En RD$/Tarea)]]=0,0,Tabla2[[#This Row],[Beneficio Neto  (En RD$/Tarea)]]/Tabla2[[#This Row],[Costos (En RD$/Tarea)]])</f>
        <v>-0.570533608417451</v>
      </c>
      <c r="P695" s="7" t="n">
        <f aca="false">Tabla2[[#This Row],[Rentabilidad (%)]]/12</f>
        <v>-0.0475444673681209</v>
      </c>
    </row>
    <row r="696" customFormat="false" ht="14.25" hidden="false" customHeight="false" outlineLevel="0" collapsed="false">
      <c r="A696" s="1" t="n">
        <v>38261</v>
      </c>
      <c r="B696" s="2" t="s">
        <v>30</v>
      </c>
      <c r="C696" s="3" t="n">
        <v>245953</v>
      </c>
      <c r="D696" s="3" t="s">
        <v>31</v>
      </c>
      <c r="E696" s="3" t="n">
        <f aca="false">IF(Tabla2[[#This Row],[Frecuencia]]="Annual", Tabla2[[#This Row],[Cosecha/Tarea]]/12,Tabla2[[#This Row],[Cosecha/Tarea]])</f>
        <v>20496.0833333333</v>
      </c>
      <c r="F696" s="3" t="n">
        <v>1695128</v>
      </c>
      <c r="G696" s="2" t="s">
        <v>32</v>
      </c>
      <c r="H696" s="2" t="n">
        <f aca="false">F696/Tabla2[[#This Row],[Cosecha Mensual]]</f>
        <v>82.7049720881632</v>
      </c>
      <c r="I696" s="2" t="n">
        <f aca="false">H696*_xlfn.XLOOKUP(Tabla2[[#This Row],[Unidad de producción]],Tabla3[Medida],Tabla3[Equivalencia en Kg],"ELVIS",0)</f>
        <v>2250.40229051892</v>
      </c>
      <c r="J696" s="2" t="n">
        <v>147.25</v>
      </c>
      <c r="K696" s="2" t="s">
        <v>32</v>
      </c>
      <c r="L696" s="2" t="n">
        <f aca="false">J696/_xlfn.XLOOKUP(Tabla2[[#This Row],[Unidad de precio]],Tabla3[Medida],Tabla3[Equivalencia en Kg],"ELVIS",0)</f>
        <v>5.41161337743477</v>
      </c>
      <c r="M696" s="3" t="n">
        <v>6693.79</v>
      </c>
      <c r="N696" s="3" t="n">
        <f aca="false">(Tabla2[[#This Row],[Productividad (kg/TAS)]]*Tabla2[[#This Row],[Precio por kg]]-Tabla2[[#This Row],[Costos (En RD$/Tarea)]])</f>
        <v>5484.51713998203</v>
      </c>
      <c r="O696" s="9" t="n">
        <f aca="false">IF(Tabla2[[#This Row],[Costos (En RD$/Tarea)]]=0,0,Tabla2[[#This Row],[Beneficio Neto  (En RD$/Tarea)]]/Tabla2[[#This Row],[Costos (En RD$/Tarea)]])</f>
        <v>0.819344069649934</v>
      </c>
      <c r="P696" s="7" t="n">
        <f aca="false">Tabla2[[#This Row],[Rentabilidad (%)]]/12</f>
        <v>0.0682786724708278</v>
      </c>
    </row>
    <row r="697" customFormat="false" ht="14.25" hidden="false" customHeight="false" outlineLevel="0" collapsed="false">
      <c r="A697" s="1" t="n">
        <v>38261</v>
      </c>
      <c r="B697" s="2" t="s">
        <v>33</v>
      </c>
      <c r="C697" s="3" t="n">
        <v>552490</v>
      </c>
      <c r="D697" s="3" t="s">
        <v>31</v>
      </c>
      <c r="E697" s="3" t="n">
        <f aca="false">IF(Tabla2[[#This Row],[Frecuencia]]="Annual", Tabla2[[#This Row],[Cosecha/Tarea]]/12,Tabla2[[#This Row],[Cosecha/Tarea]])</f>
        <v>46040.8333333333</v>
      </c>
      <c r="F697" s="3" t="n">
        <v>88261</v>
      </c>
      <c r="G697" s="2" t="s">
        <v>34</v>
      </c>
      <c r="H697" s="2" t="n">
        <f aca="false">F697/Tabla2[[#This Row],[Cosecha Mensual]]</f>
        <v>1.91701569259172</v>
      </c>
      <c r="I697" s="2" t="n">
        <f aca="false">H697*_xlfn.XLOOKUP(Tabla2[[#This Row],[Unidad de producción]],Tabla3[Medida],Tabla3[Equivalencia en Kg],"ELVIS",0)</f>
        <v>782.429954931311</v>
      </c>
      <c r="J697" s="2" t="n">
        <v>2359.375</v>
      </c>
      <c r="K697" s="2" t="s">
        <v>34</v>
      </c>
      <c r="L697" s="2" t="n">
        <f aca="false">J697/_xlfn.XLOOKUP(Tabla2[[#This Row],[Unidad de precio]],Tabla3[Medida],Tabla3[Equivalencia en Kg],"ELVIS",0)</f>
        <v>5.78065662134019</v>
      </c>
      <c r="M697" s="3" t="n">
        <v>8906.28</v>
      </c>
      <c r="N697" s="3" t="n">
        <f aca="false">(Tabla2[[#This Row],[Productividad (kg/TAS)]]*Tabla2[[#This Row],[Precio por kg]]-Tabla2[[#This Row],[Costos (En RD$/Tarea)]])</f>
        <v>-4383.32110029141</v>
      </c>
      <c r="O697" s="9" t="n">
        <f aca="false">IF(Tabla2[[#This Row],[Costos (En RD$/Tarea)]]=0,0,Tabla2[[#This Row],[Beneficio Neto  (En RD$/Tarea)]]/Tabla2[[#This Row],[Costos (En RD$/Tarea)]])</f>
        <v>-0.492160711351025</v>
      </c>
      <c r="P697" s="7" t="n">
        <f aca="false">Tabla2[[#This Row],[Rentabilidad (%)]]/12</f>
        <v>-0.0410133926125854</v>
      </c>
    </row>
    <row r="698" customFormat="false" ht="14.25" hidden="false" customHeight="false" outlineLevel="0" collapsed="false">
      <c r="A698" s="1" t="n">
        <v>38292</v>
      </c>
      <c r="B698" s="2" t="s">
        <v>16</v>
      </c>
      <c r="C698" s="3" t="n">
        <v>213919</v>
      </c>
      <c r="D698" s="8" t="s">
        <v>17</v>
      </c>
      <c r="E698" s="3" t="n">
        <f aca="false">IF(Tabla2[[#This Row],[Frecuencia]]="Annual", Tabla2[[#This Row],[Cosecha/Tarea]]/12,Tabla2[[#This Row],[Cosecha/Tarea]])</f>
        <v>213919</v>
      </c>
      <c r="F698" s="3" t="n">
        <v>724679</v>
      </c>
      <c r="G698" s="2" t="s">
        <v>18</v>
      </c>
      <c r="H698" s="2" t="n">
        <f aca="false">F698/Tabla2[[#This Row],[Cosecha Mensual]]</f>
        <v>3.38763270209752</v>
      </c>
      <c r="I698" s="2" t="n">
        <f aca="false">H698*_xlfn.XLOOKUP(Tabla2[[#This Row],[Unidad de producción]],Tabla3[Medida],Tabla3[Equivalencia en Kg],"ELVIS",0)</f>
        <v>153.663019367144</v>
      </c>
      <c r="J698" s="2" t="n">
        <v>883</v>
      </c>
      <c r="K698" s="2" t="s">
        <v>19</v>
      </c>
      <c r="L698" s="2" t="n">
        <f aca="false">J698/_xlfn.XLOOKUP(Tabla2[[#This Row],[Unidad de precio]],Tabla3[Medida],Tabla3[Equivalencia en Kg],"ELVIS",0)</f>
        <v>8.02727272727273</v>
      </c>
      <c r="M698" s="2" t="n">
        <v>4376.41</v>
      </c>
      <c r="N698" s="3" t="n">
        <f aca="false">(Tabla2[[#This Row],[Productividad (kg/TAS)]]*Tabla2[[#This Row],[Precio por kg]]-Tabla2[[#This Row],[Costos (En RD$/Tarea)]])</f>
        <v>-3142.91503544375</v>
      </c>
      <c r="O698" s="9" t="n">
        <f aca="false">IF(Tabla2[[#This Row],[Costos (En RD$/Tarea)]]=0,0,Tabla2[[#This Row],[Beneficio Neto  (En RD$/Tarea)]]/Tabla2[[#This Row],[Costos (En RD$/Tarea)]])</f>
        <v>-0.718149130324569</v>
      </c>
      <c r="P698" s="7" t="n">
        <f aca="false">Tabla2[[#This Row],[Rentabilidad (%)]]/12</f>
        <v>-0.0598457608603808</v>
      </c>
    </row>
    <row r="699" customFormat="false" ht="14.25" hidden="false" customHeight="false" outlineLevel="0" collapsed="false">
      <c r="A699" s="1" t="n">
        <v>38292</v>
      </c>
      <c r="B699" s="2" t="s">
        <v>20</v>
      </c>
      <c r="C699" s="3" t="n">
        <v>25112</v>
      </c>
      <c r="D699" s="8" t="s">
        <v>17</v>
      </c>
      <c r="E699" s="3" t="n">
        <f aca="false">IF(Tabla2[[#This Row],[Frecuencia]]="Annual", Tabla2[[#This Row],[Cosecha/Tarea]]/12,Tabla2[[#This Row],[Cosecha/Tarea]])</f>
        <v>25112</v>
      </c>
      <c r="F699" s="3" t="n">
        <v>42582</v>
      </c>
      <c r="G699" s="2" t="s">
        <v>18</v>
      </c>
      <c r="H699" s="2" t="n">
        <f aca="false">F699/Tabla2[[#This Row],[Cosecha Mensual]]</f>
        <v>1.69568333864288</v>
      </c>
      <c r="I699" s="2" t="n">
        <f aca="false">H699*_xlfn.XLOOKUP(Tabla2[[#This Row],[Unidad de producción]],Tabla3[Medida],Tabla3[Equivalencia en Kg],"ELVIS",0)</f>
        <v>76.916196240841</v>
      </c>
      <c r="J699" s="2" t="n">
        <v>358.72</v>
      </c>
      <c r="K699" s="2" t="s">
        <v>18</v>
      </c>
      <c r="L699" s="2" t="n">
        <f aca="false">J699/_xlfn.XLOOKUP(Tabla2[[#This Row],[Unidad de precio]],Tabla3[Medida],Tabla3[Equivalencia en Kg],"ELVIS",0)</f>
        <v>7.90828924162258</v>
      </c>
      <c r="M699" s="2" t="n">
        <v>1100.66</v>
      </c>
      <c r="N699" s="3" t="n">
        <f aca="false">(Tabla2[[#This Row],[Productividad (kg/TAS)]]*Tabla2[[#This Row],[Precio por kg]]-Tabla2[[#This Row],[Costos (En RD$/Tarea)]])</f>
        <v>-492.384472762026</v>
      </c>
      <c r="O699" s="9" t="n">
        <f aca="false">IF(Tabla2[[#This Row],[Costos (En RD$/Tarea)]]=0,0,Tabla2[[#This Row],[Beneficio Neto  (En RD$/Tarea)]]/Tabla2[[#This Row],[Costos (En RD$/Tarea)]])</f>
        <v>-0.44735383566408</v>
      </c>
      <c r="P699" s="7" t="n">
        <f aca="false">Tabla2[[#This Row],[Rentabilidad (%)]]/12</f>
        <v>-0.03727948630534</v>
      </c>
    </row>
    <row r="700" customFormat="false" ht="14.25" hidden="false" customHeight="false" outlineLevel="0" collapsed="false">
      <c r="A700" s="1" t="n">
        <v>38292</v>
      </c>
      <c r="B700" s="2" t="s">
        <v>21</v>
      </c>
      <c r="C700" s="3" t="n">
        <v>5171</v>
      </c>
      <c r="D700" s="8" t="s">
        <v>17</v>
      </c>
      <c r="E700" s="3" t="n">
        <f aca="false">IF(Tabla2[[#This Row],[Frecuencia]]="Annual", Tabla2[[#This Row],[Cosecha/Tarea]]/12,Tabla2[[#This Row],[Cosecha/Tarea]])</f>
        <v>5171</v>
      </c>
      <c r="F700" s="3" t="n">
        <v>33891</v>
      </c>
      <c r="G700" s="2" t="s">
        <v>18</v>
      </c>
      <c r="H700" s="2" t="n">
        <f aca="false">F700/Tabla2[[#This Row],[Cosecha Mensual]]</f>
        <v>6.55405144072713</v>
      </c>
      <c r="I700" s="2" t="n">
        <f aca="false">H700*_xlfn.XLOOKUP(Tabla2[[#This Row],[Unidad de producción]],Tabla3[Medida],Tabla3[Equivalencia en Kg],"ELVIS",0)</f>
        <v>297.291773351383</v>
      </c>
      <c r="J700" s="2" t="n">
        <v>427</v>
      </c>
      <c r="K700" s="2" t="s">
        <v>18</v>
      </c>
      <c r="L700" s="2" t="n">
        <f aca="false">J700/_xlfn.XLOOKUP(Tabla2[[#This Row],[Unidad de precio]],Tabla3[Medida],Tabla3[Equivalencia en Kg],"ELVIS",0)</f>
        <v>9.41358024691358</v>
      </c>
      <c r="M700" s="2" t="n">
        <v>3591.85</v>
      </c>
      <c r="N700" s="3" t="n">
        <f aca="false">(Tabla2[[#This Row],[Productividad (kg/TAS)]]*Tabla2[[#This Row],[Precio por kg]]-Tabla2[[#This Row],[Costos (En RD$/Tarea)]])</f>
        <v>-793.270034809514</v>
      </c>
      <c r="O700" s="9" t="n">
        <f aca="false">IF(Tabla2[[#This Row],[Costos (En RD$/Tarea)]]=0,0,Tabla2[[#This Row],[Beneficio Neto  (En RD$/Tarea)]]/Tabla2[[#This Row],[Costos (En RD$/Tarea)]])</f>
        <v>-0.220852773587292</v>
      </c>
      <c r="P700" s="7" t="n">
        <f aca="false">Tabla2[[#This Row],[Rentabilidad (%)]]/12</f>
        <v>-0.018404397798941</v>
      </c>
    </row>
    <row r="701" customFormat="false" ht="14.25" hidden="false" customHeight="false" outlineLevel="0" collapsed="false">
      <c r="A701" s="1" t="n">
        <v>38292</v>
      </c>
      <c r="B701" s="2" t="s">
        <v>22</v>
      </c>
      <c r="C701" s="3" t="n">
        <v>2126</v>
      </c>
      <c r="D701" s="8" t="s">
        <v>17</v>
      </c>
      <c r="E701" s="3" t="n">
        <f aca="false">IF(Tabla2[[#This Row],[Frecuencia]]="Annual", Tabla2[[#This Row],[Cosecha/Tarea]]/12,Tabla2[[#This Row],[Cosecha/Tarea]])</f>
        <v>2126</v>
      </c>
      <c r="F701" s="3" t="n">
        <v>17872</v>
      </c>
      <c r="G701" s="2" t="s">
        <v>18</v>
      </c>
      <c r="H701" s="2" t="n">
        <f aca="false">F701/Tabla2[[#This Row],[Cosecha Mensual]]</f>
        <v>8.40639698965193</v>
      </c>
      <c r="I701" s="2" t="n">
        <f aca="false">H701*_xlfn.XLOOKUP(Tabla2[[#This Row],[Unidad de producción]],Tabla3[Medida],Tabla3[Equivalencia en Kg],"ELVIS",0)</f>
        <v>381.314167450612</v>
      </c>
      <c r="J701" s="2" t="n">
        <v>633</v>
      </c>
      <c r="K701" s="2" t="s">
        <v>18</v>
      </c>
      <c r="L701" s="2" t="n">
        <f aca="false">J701/_xlfn.XLOOKUP(Tabla2[[#This Row],[Unidad de precio]],Tabla3[Medida],Tabla3[Equivalencia en Kg],"ELVIS",0)</f>
        <v>13.9550264550265</v>
      </c>
      <c r="M701" s="2" t="n">
        <v>3985.16</v>
      </c>
      <c r="N701" s="3" t="n">
        <f aca="false">(Tabla2[[#This Row],[Productividad (kg/TAS)]]*Tabla2[[#This Row],[Precio por kg]]-Tabla2[[#This Row],[Costos (En RD$/Tarea)]])</f>
        <v>1336.08929444967</v>
      </c>
      <c r="O701" s="9" t="n">
        <f aca="false">IF(Tabla2[[#This Row],[Costos (En RD$/Tarea)]]=0,0,Tabla2[[#This Row],[Beneficio Neto  (En RD$/Tarea)]]/Tabla2[[#This Row],[Costos (En RD$/Tarea)]])</f>
        <v>0.335266161069988</v>
      </c>
      <c r="P701" s="7" t="n">
        <f aca="false">Tabla2[[#This Row],[Rentabilidad (%)]]/12</f>
        <v>0.0279388467558323</v>
      </c>
    </row>
    <row r="702" customFormat="false" ht="14.25" hidden="false" customHeight="false" outlineLevel="0" collapsed="false">
      <c r="A702" s="1" t="n">
        <v>38292</v>
      </c>
      <c r="B702" s="2" t="s">
        <v>23</v>
      </c>
      <c r="C702" s="3" t="n">
        <v>2717</v>
      </c>
      <c r="D702" s="8" t="s">
        <v>17</v>
      </c>
      <c r="E702" s="3" t="n">
        <f aca="false">IF(Tabla2[[#This Row],[Frecuencia]]="Annual", Tabla2[[#This Row],[Cosecha/Tarea]]/12,Tabla2[[#This Row],[Cosecha/Tarea]])</f>
        <v>2717</v>
      </c>
      <c r="F702" s="3" t="n">
        <v>61490</v>
      </c>
      <c r="G702" s="2" t="s">
        <v>18</v>
      </c>
      <c r="H702" s="2" t="n">
        <f aca="false">F702/Tabla2[[#This Row],[Cosecha Mensual]]</f>
        <v>22.6315789473684</v>
      </c>
      <c r="I702" s="2" t="n">
        <f aca="false">H702*_xlfn.XLOOKUP(Tabla2[[#This Row],[Unidad de producción]],Tabla3[Medida],Tabla3[Equivalencia en Kg],"ELVIS",0)</f>
        <v>1026.56842105263</v>
      </c>
      <c r="J702" s="2" t="n">
        <v>750</v>
      </c>
      <c r="K702" s="2" t="s">
        <v>18</v>
      </c>
      <c r="L702" s="2" t="n">
        <f aca="false">J702/_xlfn.XLOOKUP(Tabla2[[#This Row],[Unidad de precio]],Tabla3[Medida],Tabla3[Equivalencia en Kg],"ELVIS",0)</f>
        <v>16.5343915343915</v>
      </c>
      <c r="M702" s="2" t="n">
        <v>9274.52</v>
      </c>
      <c r="N702" s="3" t="n">
        <f aca="false">(Tabla2[[#This Row],[Productividad (kg/TAS)]]*Tabla2[[#This Row],[Precio por kg]]-Tabla2[[#This Row],[Costos (En RD$/Tarea)]])</f>
        <v>7699.16421052631</v>
      </c>
      <c r="O702" s="9" t="n">
        <f aca="false">IF(Tabla2[[#This Row],[Costos (En RD$/Tarea)]]=0,0,Tabla2[[#This Row],[Beneficio Neto  (En RD$/Tarea)]]/Tabla2[[#This Row],[Costos (En RD$/Tarea)]])</f>
        <v>0.830141528674941</v>
      </c>
      <c r="P702" s="7" t="n">
        <f aca="false">Tabla2[[#This Row],[Rentabilidad (%)]]/12</f>
        <v>0.0691784607229117</v>
      </c>
    </row>
    <row r="703" customFormat="false" ht="14.25" hidden="false" customHeight="false" outlineLevel="0" collapsed="false">
      <c r="A703" s="1" t="n">
        <v>38292</v>
      </c>
      <c r="B703" s="2" t="s">
        <v>24</v>
      </c>
      <c r="C703" s="3" t="n">
        <v>3361</v>
      </c>
      <c r="D703" s="8" t="s">
        <v>17</v>
      </c>
      <c r="E703" s="3" t="n">
        <f aca="false">IF(Tabla2[[#This Row],[Frecuencia]]="Annual", Tabla2[[#This Row],[Cosecha/Tarea]]/12,Tabla2[[#This Row],[Cosecha/Tarea]])</f>
        <v>3361</v>
      </c>
      <c r="F703" s="3" t="n">
        <v>44037</v>
      </c>
      <c r="G703" s="2" t="s">
        <v>18</v>
      </c>
      <c r="H703" s="2" t="n">
        <f aca="false">F703/Tabla2[[#This Row],[Cosecha Mensual]]</f>
        <v>13.1023504909253</v>
      </c>
      <c r="I703" s="2" t="n">
        <f aca="false">H703*_xlfn.XLOOKUP(Tabla2[[#This Row],[Unidad de producción]],Tabla3[Medida],Tabla3[Equivalencia en Kg],"ELVIS",0)</f>
        <v>594.322618268373</v>
      </c>
      <c r="J703" s="2" t="n">
        <v>1145.9</v>
      </c>
      <c r="K703" s="2" t="s">
        <v>18</v>
      </c>
      <c r="L703" s="2" t="n">
        <f aca="false">J703/_xlfn.XLOOKUP(Tabla2[[#This Row],[Unidad de precio]],Tabla3[Medida],Tabla3[Equivalencia en Kg],"ELVIS",0)</f>
        <v>25.2623456790124</v>
      </c>
      <c r="M703" s="2" t="n">
        <v>2563.46</v>
      </c>
      <c r="N703" s="3" t="n">
        <f aca="false">(Tabla2[[#This Row],[Productividad (kg/TAS)]]*Tabla2[[#This Row],[Precio por kg]]-Tabla2[[#This Row],[Costos (En RD$/Tarea)]])</f>
        <v>12450.5234275513</v>
      </c>
      <c r="O703" s="9" t="n">
        <f aca="false">IF(Tabla2[[#This Row],[Costos (En RD$/Tarea)]]=0,0,Tabla2[[#This Row],[Beneficio Neto  (En RD$/Tarea)]]/Tabla2[[#This Row],[Costos (En RD$/Tarea)]])</f>
        <v>4.85692128121809</v>
      </c>
      <c r="P703" s="7" t="n">
        <f aca="false">Tabla2[[#This Row],[Rentabilidad (%)]]/12</f>
        <v>0.404743440101508</v>
      </c>
    </row>
    <row r="704" customFormat="false" ht="14.25" hidden="false" customHeight="false" outlineLevel="0" collapsed="false">
      <c r="A704" s="1" t="n">
        <v>38292</v>
      </c>
      <c r="B704" s="2" t="s">
        <v>25</v>
      </c>
      <c r="C704" s="3" t="n">
        <v>13990</v>
      </c>
      <c r="D704" s="8" t="s">
        <v>17</v>
      </c>
      <c r="E704" s="3" t="n">
        <f aca="false">IF(Tabla2[[#This Row],[Frecuencia]]="Annual", Tabla2[[#This Row],[Cosecha/Tarea]]/12,Tabla2[[#This Row],[Cosecha/Tarea]])</f>
        <v>13990</v>
      </c>
      <c r="F704" s="3" t="n">
        <v>123529</v>
      </c>
      <c r="G704" s="2" t="s">
        <v>18</v>
      </c>
      <c r="H704" s="2" t="n">
        <f aca="false">F704/Tabla2[[#This Row],[Cosecha Mensual]]</f>
        <v>8.82980700500357</v>
      </c>
      <c r="I704" s="2" t="n">
        <f aca="false">H704*_xlfn.XLOOKUP(Tabla2[[#This Row],[Unidad de producción]],Tabla3[Medida],Tabla3[Equivalencia en Kg],"ELVIS",0)</f>
        <v>400.520045746962</v>
      </c>
      <c r="J704" s="2" t="n">
        <v>457.5</v>
      </c>
      <c r="K704" s="2" t="s">
        <v>18</v>
      </c>
      <c r="L704" s="2" t="n">
        <f aca="false">J704/_xlfn.XLOOKUP(Tabla2[[#This Row],[Unidad de precio]],Tabla3[Medida],Tabla3[Equivalencia en Kg],"ELVIS",0)</f>
        <v>10.0859788359788</v>
      </c>
      <c r="M704" s="2" t="n">
        <v>1852.92</v>
      </c>
      <c r="N704" s="3" t="n">
        <f aca="false">(Tabla2[[#This Row],[Productividad (kg/TAS)]]*Tabla2[[#This Row],[Precio por kg]]-Tabla2[[#This Row],[Costos (En RD$/Tarea)]])</f>
        <v>2186.71670478913</v>
      </c>
      <c r="O704" s="9" t="n">
        <f aca="false">IF(Tabla2[[#This Row],[Costos (En RD$/Tarea)]]=0,0,Tabla2[[#This Row],[Beneficio Neto  (En RD$/Tarea)]]/Tabla2[[#This Row],[Costos (En RD$/Tarea)]])</f>
        <v>1.18014631219326</v>
      </c>
      <c r="P704" s="7" t="n">
        <f aca="false">Tabla2[[#This Row],[Rentabilidad (%)]]/12</f>
        <v>0.098345526016105</v>
      </c>
    </row>
    <row r="705" customFormat="false" ht="14.25" hidden="false" customHeight="false" outlineLevel="0" collapsed="false">
      <c r="A705" s="1" t="n">
        <v>38292</v>
      </c>
      <c r="B705" s="2" t="s">
        <v>26</v>
      </c>
      <c r="C705" s="3" t="n">
        <v>5253</v>
      </c>
      <c r="D705" s="8" t="s">
        <v>17</v>
      </c>
      <c r="E705" s="3" t="n">
        <f aca="false">IF(Tabla2[[#This Row],[Frecuencia]]="Annual", Tabla2[[#This Row],[Cosecha/Tarea]]/12,Tabla2[[#This Row],[Cosecha/Tarea]])</f>
        <v>5253</v>
      </c>
      <c r="F705" s="3" t="n">
        <v>29589</v>
      </c>
      <c r="G705" s="2" t="s">
        <v>18</v>
      </c>
      <c r="H705" s="2" t="n">
        <f aca="false">F705/Tabla2[[#This Row],[Cosecha Mensual]]</f>
        <v>5.63278126784694</v>
      </c>
      <c r="I705" s="2" t="n">
        <f aca="false">H705*_xlfn.XLOOKUP(Tabla2[[#This Row],[Unidad de producción]],Tabla3[Medida],Tabla3[Equivalencia en Kg],"ELVIS",0)</f>
        <v>255.502958309537</v>
      </c>
      <c r="J705" s="2" t="n">
        <v>440.768518518519</v>
      </c>
      <c r="K705" s="2" t="s">
        <v>18</v>
      </c>
      <c r="L705" s="2" t="n">
        <f aca="false">J705/_xlfn.XLOOKUP(Tabla2[[#This Row],[Unidad de precio]],Tabla3[Medida],Tabla3[Equivalencia en Kg],"ELVIS",0)</f>
        <v>9.71711901495853</v>
      </c>
      <c r="M705" s="2" t="n">
        <v>1244.4</v>
      </c>
      <c r="N705" s="3" t="n">
        <f aca="false">(Tabla2[[#This Row],[Productividad (kg/TAS)]]*Tabla2[[#This Row],[Precio por kg]]-Tabla2[[#This Row],[Costos (En RD$/Tarea)]])</f>
        <v>1238.35265456776</v>
      </c>
      <c r="O705" s="9" t="n">
        <f aca="false">IF(Tabla2[[#This Row],[Costos (En RD$/Tarea)]]=0,0,Tabla2[[#This Row],[Beneficio Neto  (En RD$/Tarea)]]/Tabla2[[#This Row],[Costos (En RD$/Tarea)]])</f>
        <v>0.995140352433111</v>
      </c>
      <c r="P705" s="7" t="n">
        <f aca="false">Tabla2[[#This Row],[Rentabilidad (%)]]/12</f>
        <v>0.0829283627027592</v>
      </c>
    </row>
    <row r="706" customFormat="false" ht="14.25" hidden="false" customHeight="false" outlineLevel="0" collapsed="false">
      <c r="A706" s="1" t="n">
        <v>38292</v>
      </c>
      <c r="B706" s="2" t="s">
        <v>27</v>
      </c>
      <c r="C706" s="3" t="n">
        <v>7519</v>
      </c>
      <c r="D706" s="8" t="s">
        <v>17</v>
      </c>
      <c r="E706" s="3" t="n">
        <f aca="false">IF(Tabla2[[#This Row],[Frecuencia]]="Annual", Tabla2[[#This Row],[Cosecha/Tarea]]/12,Tabla2[[#This Row],[Cosecha/Tarea]])</f>
        <v>7519</v>
      </c>
      <c r="F706" s="3" t="n">
        <v>38648</v>
      </c>
      <c r="G706" s="2" t="s">
        <v>18</v>
      </c>
      <c r="H706" s="2" t="n">
        <f aca="false">F706/Tabla2[[#This Row],[Cosecha Mensual]]</f>
        <v>5.14004521877909</v>
      </c>
      <c r="I706" s="2" t="n">
        <f aca="false">H706*_xlfn.XLOOKUP(Tabla2[[#This Row],[Unidad de producción]],Tabla3[Medida],Tabla3[Equivalencia en Kg],"ELVIS",0)</f>
        <v>233.15245112382</v>
      </c>
      <c r="J706" s="2" t="n">
        <v>489</v>
      </c>
      <c r="K706" s="2" t="s">
        <v>18</v>
      </c>
      <c r="L706" s="2" t="n">
        <f aca="false">J706/_xlfn.XLOOKUP(Tabla2[[#This Row],[Unidad de precio]],Tabla3[Medida],Tabla3[Equivalencia en Kg],"ELVIS",0)</f>
        <v>10.7804232804233</v>
      </c>
      <c r="M706" s="2" t="n">
        <v>4235.82</v>
      </c>
      <c r="N706" s="3" t="n">
        <f aca="false">(Tabla2[[#This Row],[Productividad (kg/TAS)]]*Tabla2[[#This Row],[Precio por kg]]-Tabla2[[#This Row],[Costos (En RD$/Tarea)]])</f>
        <v>-1722.33788801702</v>
      </c>
      <c r="O706" s="9" t="n">
        <f aca="false">IF(Tabla2[[#This Row],[Costos (En RD$/Tarea)]]=0,0,Tabla2[[#This Row],[Beneficio Neto  (En RD$/Tarea)]]/Tabla2[[#This Row],[Costos (En RD$/Tarea)]])</f>
        <v>-0.406612624714228</v>
      </c>
      <c r="P706" s="7" t="n">
        <f aca="false">Tabla2[[#This Row],[Rentabilidad (%)]]/12</f>
        <v>-0.0338843853928524</v>
      </c>
    </row>
    <row r="707" customFormat="false" ht="14.25" hidden="false" customHeight="false" outlineLevel="0" collapsed="false">
      <c r="A707" s="1" t="n">
        <v>38292</v>
      </c>
      <c r="B707" s="2" t="s">
        <v>28</v>
      </c>
      <c r="C707" s="3" t="n">
        <v>46105</v>
      </c>
      <c r="D707" s="8" t="s">
        <v>17</v>
      </c>
      <c r="E707" s="3" t="n">
        <f aca="false">IF(Tabla2[[#This Row],[Frecuencia]]="Annual", Tabla2[[#This Row],[Cosecha/Tarea]]/12,Tabla2[[#This Row],[Cosecha/Tarea]])</f>
        <v>46105</v>
      </c>
      <c r="F707" s="3" t="n">
        <v>43293</v>
      </c>
      <c r="G707" s="2" t="s">
        <v>29</v>
      </c>
      <c r="H707" s="2" t="n">
        <f aca="false">F707/Tabla2[[#This Row],[Cosecha Mensual]]</f>
        <v>0.939008784296714</v>
      </c>
      <c r="I707" s="2" t="n">
        <f aca="false">H707*_xlfn.XLOOKUP(Tabla2[[#This Row],[Unidad de producción]],Tabla3[Medida],Tabla3[Equivalencia en Kg],"ELVIS",0)</f>
        <v>528.042199761414</v>
      </c>
      <c r="J707" s="2" t="n">
        <v>2987</v>
      </c>
      <c r="K707" s="2" t="s">
        <v>29</v>
      </c>
      <c r="L707" s="2" t="n">
        <f aca="false">J707/_xlfn.XLOOKUP(Tabla2[[#This Row],[Unidad de precio]],Tabla3[Medida],Tabla3[Equivalencia en Kg],"ELVIS",0)</f>
        <v>5.31173311519721</v>
      </c>
      <c r="M707" s="2" t="n">
        <v>7896.87291948</v>
      </c>
      <c r="N707" s="3" t="n">
        <f aca="false">(Tabla2[[#This Row],[Productividad (kg/TAS)]]*Tabla2[[#This Row],[Precio por kg]]-Tabla2[[#This Row],[Costos (En RD$/Tarea)]])</f>
        <v>-5092.05368078572</v>
      </c>
      <c r="O707" s="9" t="n">
        <f aca="false">IF(Tabla2[[#This Row],[Costos (En RD$/Tarea)]]=0,0,Tabla2[[#This Row],[Beneficio Neto  (En RD$/Tarea)]]/Tabla2[[#This Row],[Costos (En RD$/Tarea)]])</f>
        <v>-0.644818997685102</v>
      </c>
      <c r="P707" s="7" t="n">
        <f aca="false">Tabla2[[#This Row],[Rentabilidad (%)]]/12</f>
        <v>-0.0537349164737585</v>
      </c>
    </row>
    <row r="708" customFormat="false" ht="14.25" hidden="false" customHeight="false" outlineLevel="0" collapsed="false">
      <c r="A708" s="1" t="n">
        <v>38292</v>
      </c>
      <c r="B708" s="2" t="s">
        <v>30</v>
      </c>
      <c r="C708" s="3" t="n">
        <v>264552</v>
      </c>
      <c r="D708" s="3" t="s">
        <v>31</v>
      </c>
      <c r="E708" s="3" t="n">
        <f aca="false">IF(Tabla2[[#This Row],[Frecuencia]]="Annual", Tabla2[[#This Row],[Cosecha/Tarea]]/12,Tabla2[[#This Row],[Cosecha/Tarea]])</f>
        <v>22046</v>
      </c>
      <c r="F708" s="3" t="n">
        <v>1635660</v>
      </c>
      <c r="G708" s="2" t="s">
        <v>32</v>
      </c>
      <c r="H708" s="2" t="n">
        <f aca="false">F708/Tabla2[[#This Row],[Cosecha Mensual]]</f>
        <v>74.1930508935861</v>
      </c>
      <c r="I708" s="2" t="n">
        <f aca="false">H708*_xlfn.XLOOKUP(Tabla2[[#This Row],[Unidad de producción]],Tabla3[Medida],Tabla3[Equivalencia en Kg],"ELVIS",0)</f>
        <v>2018.79291481448</v>
      </c>
      <c r="J708" s="2" t="n">
        <v>84</v>
      </c>
      <c r="K708" s="2" t="s">
        <v>32</v>
      </c>
      <c r="L708" s="2" t="n">
        <f aca="false">J708/_xlfn.XLOOKUP(Tabla2[[#This Row],[Unidad de precio]],Tabla3[Medida],Tabla3[Equivalencia en Kg],"ELVIS",0)</f>
        <v>3.08710033076075</v>
      </c>
      <c r="M708" s="3" t="n">
        <v>6693.79</v>
      </c>
      <c r="N708" s="3" t="n">
        <f aca="false">(Tabla2[[#This Row],[Productividad (kg/TAS)]]*Tabla2[[#This Row],[Precio por kg]]-Tabla2[[#This Row],[Costos (En RD$/Tarea)]])</f>
        <v>-461.573724938765</v>
      </c>
      <c r="O708" s="9" t="n">
        <f aca="false">IF(Tabla2[[#This Row],[Costos (En RD$/Tarea)]]=0,0,Tabla2[[#This Row],[Beneficio Neto  (En RD$/Tarea)]]/Tabla2[[#This Row],[Costos (En RD$/Tarea)]])</f>
        <v>-0.0689555132352172</v>
      </c>
      <c r="P708" s="7" t="n">
        <f aca="false">Tabla2[[#This Row],[Rentabilidad (%)]]/12</f>
        <v>-0.00574629276960144</v>
      </c>
    </row>
    <row r="709" customFormat="false" ht="14.25" hidden="false" customHeight="false" outlineLevel="0" collapsed="false">
      <c r="A709" s="1" t="n">
        <v>38292</v>
      </c>
      <c r="B709" s="2" t="s">
        <v>33</v>
      </c>
      <c r="C709" s="3" t="n">
        <v>575139</v>
      </c>
      <c r="D709" s="3" t="s">
        <v>31</v>
      </c>
      <c r="E709" s="3" t="n">
        <f aca="false">IF(Tabla2[[#This Row],[Frecuencia]]="Annual", Tabla2[[#This Row],[Cosecha/Tarea]]/12,Tabla2[[#This Row],[Cosecha/Tarea]])</f>
        <v>47928.25</v>
      </c>
      <c r="F709" s="3" t="n">
        <v>91899</v>
      </c>
      <c r="G709" s="2" t="s">
        <v>34</v>
      </c>
      <c r="H709" s="2" t="n">
        <f aca="false">F709/Tabla2[[#This Row],[Cosecha Mensual]]</f>
        <v>1.91742865637698</v>
      </c>
      <c r="I709" s="2" t="n">
        <f aca="false">H709*_xlfn.XLOOKUP(Tabla2[[#This Row],[Unidad de producción]],Tabla3[Medida],Tabla3[Equivalencia en Kg],"ELVIS",0)</f>
        <v>782.598506100264</v>
      </c>
      <c r="J709" s="2" t="n">
        <v>2917</v>
      </c>
      <c r="K709" s="2" t="s">
        <v>34</v>
      </c>
      <c r="L709" s="2" t="n">
        <f aca="false">J709/_xlfn.XLOOKUP(Tabla2[[#This Row],[Unidad de precio]],Tabla3[Medida],Tabla3[Equivalencia en Kg],"ELVIS",0)</f>
        <v>7.1468822736739</v>
      </c>
      <c r="M709" s="3" t="n">
        <v>8906.28</v>
      </c>
      <c r="N709" s="3" t="n">
        <f aca="false">(Tabla2[[#This Row],[Productividad (kg/TAS)]]*Tabla2[[#This Row],[Precio por kg]]-Tabla2[[#This Row],[Costos (En RD$/Tarea)]])</f>
        <v>-3313.14060934835</v>
      </c>
      <c r="O709" s="9" t="n">
        <f aca="false">IF(Tabla2[[#This Row],[Costos (En RD$/Tarea)]]=0,0,Tabla2[[#This Row],[Beneficio Neto  (En RD$/Tarea)]]/Tabla2[[#This Row],[Costos (En RD$/Tarea)]])</f>
        <v>-0.372000499574272</v>
      </c>
      <c r="P709" s="7" t="n">
        <f aca="false">Tabla2[[#This Row],[Rentabilidad (%)]]/12</f>
        <v>-0.0310000416311894</v>
      </c>
    </row>
    <row r="710" customFormat="false" ht="14.25" hidden="false" customHeight="false" outlineLevel="0" collapsed="false">
      <c r="A710" s="1" t="n">
        <v>38322</v>
      </c>
      <c r="B710" s="2" t="s">
        <v>16</v>
      </c>
      <c r="C710" s="3" t="n">
        <v>112439</v>
      </c>
      <c r="D710" s="8" t="s">
        <v>17</v>
      </c>
      <c r="E710" s="3" t="n">
        <f aca="false">IF(Tabla2[[#This Row],[Frecuencia]]="Annual", Tabla2[[#This Row],[Cosecha/Tarea]]/12,Tabla2[[#This Row],[Cosecha/Tarea]])</f>
        <v>112439</v>
      </c>
      <c r="F710" s="3" t="n">
        <v>349773</v>
      </c>
      <c r="G710" s="2" t="s">
        <v>18</v>
      </c>
      <c r="H710" s="2" t="n">
        <f aca="false">F710/Tabla2[[#This Row],[Cosecha Mensual]]</f>
        <v>3.11078006741433</v>
      </c>
      <c r="I710" s="2" t="n">
        <f aca="false">H710*_xlfn.XLOOKUP(Tabla2[[#This Row],[Unidad de producción]],Tabla3[Medida],Tabla3[Equivalencia en Kg],"ELVIS",0)</f>
        <v>141.104983857914</v>
      </c>
      <c r="J710" s="2" t="n">
        <v>969.056666666667</v>
      </c>
      <c r="K710" s="2" t="s">
        <v>19</v>
      </c>
      <c r="L710" s="2" t="n">
        <f aca="false">J710/_xlfn.XLOOKUP(Tabla2[[#This Row],[Unidad de precio]],Tabla3[Medida],Tabla3[Equivalencia en Kg],"ELVIS",0)</f>
        <v>8.80960606060606</v>
      </c>
      <c r="M710" s="2" t="n">
        <v>4376.41</v>
      </c>
      <c r="N710" s="3" t="n">
        <f aca="false">(Tabla2[[#This Row],[Productividad (kg/TAS)]]*Tabla2[[#This Row],[Precio por kg]]-Tabla2[[#This Row],[Costos (En RD$/Tarea)]])</f>
        <v>-3133.3306790236</v>
      </c>
      <c r="O710" s="9" t="n">
        <f aca="false">IF(Tabla2[[#This Row],[Costos (En RD$/Tarea)]]=0,0,Tabla2[[#This Row],[Beneficio Neto  (En RD$/Tarea)]]/Tabla2[[#This Row],[Costos (En RD$/Tarea)]])</f>
        <v>-0.715959126092756</v>
      </c>
      <c r="P710" s="7" t="n">
        <f aca="false">Tabla2[[#This Row],[Rentabilidad (%)]]/12</f>
        <v>-0.0596632605077297</v>
      </c>
    </row>
    <row r="711" customFormat="false" ht="14.25" hidden="false" customHeight="false" outlineLevel="0" collapsed="false">
      <c r="A711" s="1" t="n">
        <v>38322</v>
      </c>
      <c r="B711" s="2" t="s">
        <v>20</v>
      </c>
      <c r="C711" s="3" t="n">
        <v>29610</v>
      </c>
      <c r="D711" s="8" t="s">
        <v>17</v>
      </c>
      <c r="E711" s="3" t="n">
        <f aca="false">IF(Tabla2[[#This Row],[Frecuencia]]="Annual", Tabla2[[#This Row],[Cosecha/Tarea]]/12,Tabla2[[#This Row],[Cosecha/Tarea]])</f>
        <v>29610</v>
      </c>
      <c r="F711" s="3" t="n">
        <v>47781</v>
      </c>
      <c r="G711" s="2" t="s">
        <v>18</v>
      </c>
      <c r="H711" s="2" t="n">
        <f aca="false">F711/Tabla2[[#This Row],[Cosecha Mensual]]</f>
        <v>1.61367781155015</v>
      </c>
      <c r="I711" s="2" t="n">
        <f aca="false">H711*_xlfn.XLOOKUP(Tabla2[[#This Row],[Unidad de producción]],Tabla3[Medida],Tabla3[Equivalencia en Kg],"ELVIS",0)</f>
        <v>73.1964255319149</v>
      </c>
      <c r="J711" s="2" t="n">
        <v>355.583333333333</v>
      </c>
      <c r="K711" s="2" t="s">
        <v>18</v>
      </c>
      <c r="L711" s="2" t="n">
        <f aca="false">J711/_xlfn.XLOOKUP(Tabla2[[#This Row],[Unidad de precio]],Tabla3[Medida],Tabla3[Equivalencia en Kg],"ELVIS",0)</f>
        <v>7.83913874191651</v>
      </c>
      <c r="M711" s="2" t="n">
        <v>1100.66</v>
      </c>
      <c r="N711" s="3" t="n">
        <f aca="false">(Tabla2[[#This Row],[Productividad (kg/TAS)]]*Tabla2[[#This Row],[Precio por kg]]-Tabla2[[#This Row],[Costos (En RD$/Tarea)]])</f>
        <v>-526.863064842959</v>
      </c>
      <c r="O711" s="9" t="n">
        <f aca="false">IF(Tabla2[[#This Row],[Costos (En RD$/Tarea)]]=0,0,Tabla2[[#This Row],[Beneficio Neto  (En RD$/Tarea)]]/Tabla2[[#This Row],[Costos (En RD$/Tarea)]])</f>
        <v>-0.478679215055475</v>
      </c>
      <c r="P711" s="7" t="n">
        <f aca="false">Tabla2[[#This Row],[Rentabilidad (%)]]/12</f>
        <v>-0.0398899345879563</v>
      </c>
    </row>
    <row r="712" customFormat="false" ht="14.25" hidden="false" customHeight="false" outlineLevel="0" collapsed="false">
      <c r="A712" s="1" t="n">
        <v>38322</v>
      </c>
      <c r="B712" s="2" t="s">
        <v>21</v>
      </c>
      <c r="C712" s="3" t="n">
        <v>4708</v>
      </c>
      <c r="D712" s="8" t="s">
        <v>17</v>
      </c>
      <c r="E712" s="3" t="n">
        <f aca="false">IF(Tabla2[[#This Row],[Frecuencia]]="Annual", Tabla2[[#This Row],[Cosecha/Tarea]]/12,Tabla2[[#This Row],[Cosecha/Tarea]])</f>
        <v>4708</v>
      </c>
      <c r="F712" s="3" t="n">
        <v>43858</v>
      </c>
      <c r="G712" s="2" t="s">
        <v>18</v>
      </c>
      <c r="H712" s="2" t="n">
        <f aca="false">F712/Tabla2[[#This Row],[Cosecha Mensual]]</f>
        <v>9.31563296516568</v>
      </c>
      <c r="I712" s="2" t="n">
        <f aca="false">H712*_xlfn.XLOOKUP(Tabla2[[#This Row],[Unidad de producción]],Tabla3[Medida],Tabla3[Equivalencia en Kg],"ELVIS",0)</f>
        <v>422.557111299915</v>
      </c>
      <c r="J712" s="2" t="n">
        <v>425.973333333333</v>
      </c>
      <c r="K712" s="2" t="s">
        <v>18</v>
      </c>
      <c r="L712" s="2" t="n">
        <f aca="false">J712/_xlfn.XLOOKUP(Tabla2[[#This Row],[Unidad de precio]],Tabla3[Medida],Tabla3[Equivalencia en Kg],"ELVIS",0)</f>
        <v>9.39094650205761</v>
      </c>
      <c r="M712" s="2" t="n">
        <v>3591.85</v>
      </c>
      <c r="N712" s="3" t="n">
        <f aca="false">(Tabla2[[#This Row],[Productividad (kg/TAS)]]*Tabla2[[#This Row],[Precio por kg]]-Tabla2[[#This Row],[Costos (En RD$/Tarea)]])</f>
        <v>376.361226281504</v>
      </c>
      <c r="O712" s="9" t="n">
        <f aca="false">IF(Tabla2[[#This Row],[Costos (En RD$/Tarea)]]=0,0,Tabla2[[#This Row],[Beneficio Neto  (En RD$/Tarea)]]/Tabla2[[#This Row],[Costos (En RD$/Tarea)]])</f>
        <v>0.104781999883487</v>
      </c>
      <c r="P712" s="7" t="n">
        <f aca="false">Tabla2[[#This Row],[Rentabilidad (%)]]/12</f>
        <v>0.00873183332362394</v>
      </c>
    </row>
    <row r="713" customFormat="false" ht="14.25" hidden="false" customHeight="false" outlineLevel="0" collapsed="false">
      <c r="A713" s="1" t="n">
        <v>38322</v>
      </c>
      <c r="B713" s="2" t="s">
        <v>22</v>
      </c>
      <c r="C713" s="3" t="n">
        <v>5610</v>
      </c>
      <c r="D713" s="8" t="s">
        <v>17</v>
      </c>
      <c r="E713" s="3" t="n">
        <f aca="false">IF(Tabla2[[#This Row],[Frecuencia]]="Annual", Tabla2[[#This Row],[Cosecha/Tarea]]/12,Tabla2[[#This Row],[Cosecha/Tarea]])</f>
        <v>5610</v>
      </c>
      <c r="F713" s="3" t="n">
        <v>47180</v>
      </c>
      <c r="G713" s="2" t="s">
        <v>18</v>
      </c>
      <c r="H713" s="2" t="n">
        <f aca="false">F713/Tabla2[[#This Row],[Cosecha Mensual]]</f>
        <v>8.40998217468806</v>
      </c>
      <c r="I713" s="2" t="n">
        <f aca="false">H713*_xlfn.XLOOKUP(Tabla2[[#This Row],[Unidad de producción]],Tabla3[Medida],Tabla3[Equivalencia en Kg],"ELVIS",0)</f>
        <v>381.47679144385</v>
      </c>
      <c r="J713" s="2" t="n">
        <v>537.5</v>
      </c>
      <c r="K713" s="2" t="s">
        <v>18</v>
      </c>
      <c r="L713" s="2" t="n">
        <f aca="false">J713/_xlfn.XLOOKUP(Tabla2[[#This Row],[Unidad de precio]],Tabla3[Medida],Tabla3[Equivalencia en Kg],"ELVIS",0)</f>
        <v>11.8496472663139</v>
      </c>
      <c r="M713" s="2" t="n">
        <v>3985.16</v>
      </c>
      <c r="N713" s="3" t="n">
        <f aca="false">(Tabla2[[#This Row],[Productividad (kg/TAS)]]*Tabla2[[#This Row],[Precio por kg]]-Tabla2[[#This Row],[Costos (En RD$/Tarea)]])</f>
        <v>535.205418894831</v>
      </c>
      <c r="O713" s="9" t="n">
        <f aca="false">IF(Tabla2[[#This Row],[Costos (En RD$/Tarea)]]=0,0,Tabla2[[#This Row],[Beneficio Neto  (En RD$/Tarea)]]/Tabla2[[#This Row],[Costos (En RD$/Tarea)]])</f>
        <v>0.134299606262943</v>
      </c>
      <c r="P713" s="7" t="n">
        <f aca="false">Tabla2[[#This Row],[Rentabilidad (%)]]/12</f>
        <v>0.0111916338552453</v>
      </c>
    </row>
    <row r="714" customFormat="false" ht="14.25" hidden="false" customHeight="false" outlineLevel="0" collapsed="false">
      <c r="A714" s="1" t="n">
        <v>38322</v>
      </c>
      <c r="B714" s="2" t="s">
        <v>23</v>
      </c>
      <c r="C714" s="3" t="n">
        <v>2092</v>
      </c>
      <c r="D714" s="8" t="s">
        <v>17</v>
      </c>
      <c r="E714" s="3" t="n">
        <f aca="false">IF(Tabla2[[#This Row],[Frecuencia]]="Annual", Tabla2[[#This Row],[Cosecha/Tarea]]/12,Tabla2[[#This Row],[Cosecha/Tarea]])</f>
        <v>2092</v>
      </c>
      <c r="F714" s="3" t="n">
        <v>54010</v>
      </c>
      <c r="G714" s="2" t="s">
        <v>18</v>
      </c>
      <c r="H714" s="2" t="n">
        <f aca="false">F714/Tabla2[[#This Row],[Cosecha Mensual]]</f>
        <v>25.8173996175908</v>
      </c>
      <c r="I714" s="2" t="n">
        <f aca="false">H714*_xlfn.XLOOKUP(Tabla2[[#This Row],[Unidad de producción]],Tabla3[Medida],Tabla3[Equivalencia en Kg],"ELVIS",0)</f>
        <v>1171.07724665392</v>
      </c>
      <c r="J714" s="2" t="n">
        <v>715</v>
      </c>
      <c r="K714" s="2" t="s">
        <v>18</v>
      </c>
      <c r="L714" s="2" t="n">
        <f aca="false">J714/_xlfn.XLOOKUP(Tabla2[[#This Row],[Unidad de precio]],Tabla3[Medida],Tabla3[Equivalencia en Kg],"ELVIS",0)</f>
        <v>15.7627865961199</v>
      </c>
      <c r="M714" s="2" t="n">
        <v>9274.52</v>
      </c>
      <c r="N714" s="3" t="n">
        <f aca="false">(Tabla2[[#This Row],[Productividad (kg/TAS)]]*Tabla2[[#This Row],[Precio por kg]]-Tabla2[[#This Row],[Costos (En RD$/Tarea)]])</f>
        <v>9184.92072657744</v>
      </c>
      <c r="O714" s="9" t="n">
        <f aca="false">IF(Tabla2[[#This Row],[Costos (En RD$/Tarea)]]=0,0,Tabla2[[#This Row],[Beneficio Neto  (En RD$/Tarea)]]/Tabla2[[#This Row],[Costos (En RD$/Tarea)]])</f>
        <v>0.990339201012822</v>
      </c>
      <c r="P714" s="7" t="n">
        <f aca="false">Tabla2[[#This Row],[Rentabilidad (%)]]/12</f>
        <v>0.0825282667510685</v>
      </c>
    </row>
    <row r="715" customFormat="false" ht="14.25" hidden="false" customHeight="false" outlineLevel="0" collapsed="false">
      <c r="A715" s="1" t="n">
        <v>38322</v>
      </c>
      <c r="B715" s="2" t="s">
        <v>24</v>
      </c>
      <c r="C715" s="3" t="n">
        <v>12875</v>
      </c>
      <c r="D715" s="8" t="s">
        <v>17</v>
      </c>
      <c r="E715" s="3" t="n">
        <f aca="false">IF(Tabla2[[#This Row],[Frecuencia]]="Annual", Tabla2[[#This Row],[Cosecha/Tarea]]/12,Tabla2[[#This Row],[Cosecha/Tarea]])</f>
        <v>12875</v>
      </c>
      <c r="F715" s="3" t="n">
        <v>195115</v>
      </c>
      <c r="G715" s="2" t="s">
        <v>18</v>
      </c>
      <c r="H715" s="2" t="n">
        <f aca="false">F715/Tabla2[[#This Row],[Cosecha Mensual]]</f>
        <v>15.1545631067961</v>
      </c>
      <c r="I715" s="2" t="n">
        <f aca="false">H715*_xlfn.XLOOKUP(Tabla2[[#This Row],[Unidad de producción]],Tabla3[Medida],Tabla3[Equivalencia en Kg],"ELVIS",0)</f>
        <v>687.410982524272</v>
      </c>
      <c r="J715" s="2" t="n">
        <v>699.375</v>
      </c>
      <c r="K715" s="2" t="s">
        <v>18</v>
      </c>
      <c r="L715" s="2" t="n">
        <f aca="false">J715/_xlfn.XLOOKUP(Tabla2[[#This Row],[Unidad de precio]],Tabla3[Medida],Tabla3[Equivalencia en Kg],"ELVIS",0)</f>
        <v>15.4183201058201</v>
      </c>
      <c r="M715" s="2" t="n">
        <v>2563.46</v>
      </c>
      <c r="N715" s="3" t="n">
        <f aca="false">(Tabla2[[#This Row],[Productividad (kg/TAS)]]*Tabla2[[#This Row],[Precio por kg]]-Tabla2[[#This Row],[Costos (En RD$/Tarea)]])</f>
        <v>8035.26257281553</v>
      </c>
      <c r="O715" s="9" t="n">
        <f aca="false">IF(Tabla2[[#This Row],[Costos (En RD$/Tarea)]]=0,0,Tabla2[[#This Row],[Beneficio Neto  (En RD$/Tarea)]]/Tabla2[[#This Row],[Costos (En RD$/Tarea)]])</f>
        <v>3.13453791860046</v>
      </c>
      <c r="P715" s="7" t="n">
        <f aca="false">Tabla2[[#This Row],[Rentabilidad (%)]]/12</f>
        <v>0.261211493216705</v>
      </c>
    </row>
    <row r="716" customFormat="false" ht="14.25" hidden="false" customHeight="false" outlineLevel="0" collapsed="false">
      <c r="A716" s="1" t="n">
        <v>38322</v>
      </c>
      <c r="B716" s="2" t="s">
        <v>25</v>
      </c>
      <c r="C716" s="3" t="n">
        <v>19803</v>
      </c>
      <c r="D716" s="8" t="s">
        <v>17</v>
      </c>
      <c r="E716" s="3" t="n">
        <f aca="false">IF(Tabla2[[#This Row],[Frecuencia]]="Annual", Tabla2[[#This Row],[Cosecha/Tarea]]/12,Tabla2[[#This Row],[Cosecha/Tarea]])</f>
        <v>19803</v>
      </c>
      <c r="F716" s="3" t="n">
        <v>183816</v>
      </c>
      <c r="G716" s="2" t="s">
        <v>18</v>
      </c>
      <c r="H716" s="2" t="n">
        <f aca="false">F716/Tabla2[[#This Row],[Cosecha Mensual]]</f>
        <v>9.2822299651568</v>
      </c>
      <c r="I716" s="2" t="n">
        <f aca="false">H716*_xlfn.XLOOKUP(Tabla2[[#This Row],[Unidad de producción]],Tabla3[Medida],Tabla3[Equivalencia en Kg],"ELVIS",0)</f>
        <v>421.041951219512</v>
      </c>
      <c r="J716" s="2" t="n">
        <v>433.582222222222</v>
      </c>
      <c r="K716" s="2" t="s">
        <v>18</v>
      </c>
      <c r="L716" s="2" t="n">
        <f aca="false">J716/_xlfn.XLOOKUP(Tabla2[[#This Row],[Unidad de precio]],Tabla3[Medida],Tabla3[Equivalencia en Kg],"ELVIS",0)</f>
        <v>9.55869096609837</v>
      </c>
      <c r="M716" s="2" t="n">
        <v>1852.92</v>
      </c>
      <c r="N716" s="3" t="n">
        <f aca="false">(Tabla2[[#This Row],[Productividad (kg/TAS)]]*Tabla2[[#This Row],[Precio por kg]]-Tabla2[[#This Row],[Costos (En RD$/Tarea)]])</f>
        <v>2171.68989547038</v>
      </c>
      <c r="O716" s="9" t="n">
        <f aca="false">IF(Tabla2[[#This Row],[Costos (En RD$/Tarea)]]=0,0,Tabla2[[#This Row],[Beneficio Neto  (En RD$/Tarea)]]/Tabla2[[#This Row],[Costos (En RD$/Tarea)]])</f>
        <v>1.17203651289337</v>
      </c>
      <c r="P716" s="7" t="n">
        <f aca="false">Tabla2[[#This Row],[Rentabilidad (%)]]/12</f>
        <v>0.0976697094077808</v>
      </c>
    </row>
    <row r="717" customFormat="false" ht="14.25" hidden="false" customHeight="false" outlineLevel="0" collapsed="false">
      <c r="A717" s="1" t="n">
        <v>38322</v>
      </c>
      <c r="B717" s="2" t="s">
        <v>26</v>
      </c>
      <c r="C717" s="3" t="n">
        <v>6190</v>
      </c>
      <c r="D717" s="8" t="s">
        <v>17</v>
      </c>
      <c r="E717" s="3" t="n">
        <f aca="false">IF(Tabla2[[#This Row],[Frecuencia]]="Annual", Tabla2[[#This Row],[Cosecha/Tarea]]/12,Tabla2[[#This Row],[Cosecha/Tarea]])</f>
        <v>6190</v>
      </c>
      <c r="F717" s="3" t="n">
        <v>36692</v>
      </c>
      <c r="G717" s="2" t="s">
        <v>18</v>
      </c>
      <c r="H717" s="2" t="n">
        <f aca="false">F717/Tabla2[[#This Row],[Cosecha Mensual]]</f>
        <v>5.92762520193861</v>
      </c>
      <c r="I717" s="2" t="n">
        <f aca="false">H717*_xlfn.XLOOKUP(Tabla2[[#This Row],[Unidad de producción]],Tabla3[Medida],Tabla3[Equivalencia en Kg],"ELVIS",0)</f>
        <v>268.877079159935</v>
      </c>
      <c r="J717" s="2" t="n">
        <v>600</v>
      </c>
      <c r="K717" s="2" t="s">
        <v>18</v>
      </c>
      <c r="L717" s="2" t="n">
        <f aca="false">J717/_xlfn.XLOOKUP(Tabla2[[#This Row],[Unidad de precio]],Tabla3[Medida],Tabla3[Equivalencia en Kg],"ELVIS",0)</f>
        <v>13.2275132275132</v>
      </c>
      <c r="M717" s="2" t="n">
        <v>1244.4</v>
      </c>
      <c r="N717" s="3" t="n">
        <f aca="false">(Tabla2[[#This Row],[Productividad (kg/TAS)]]*Tabla2[[#This Row],[Precio por kg]]-Tabla2[[#This Row],[Costos (En RD$/Tarea)]])</f>
        <v>2312.17512116317</v>
      </c>
      <c r="O717" s="9" t="n">
        <f aca="false">IF(Tabla2[[#This Row],[Costos (En RD$/Tarea)]]=0,0,Tabla2[[#This Row],[Beneficio Neto  (En RD$/Tarea)]]/Tabla2[[#This Row],[Costos (En RD$/Tarea)]])</f>
        <v>1.858064224657</v>
      </c>
      <c r="P717" s="7" t="n">
        <f aca="false">Tabla2[[#This Row],[Rentabilidad (%)]]/12</f>
        <v>0.154838685388083</v>
      </c>
    </row>
    <row r="718" customFormat="false" ht="14.25" hidden="false" customHeight="false" outlineLevel="0" collapsed="false">
      <c r="A718" s="1" t="n">
        <v>38322</v>
      </c>
      <c r="B718" s="2" t="s">
        <v>27</v>
      </c>
      <c r="C718" s="3" t="n">
        <v>5554</v>
      </c>
      <c r="D718" s="8" t="s">
        <v>17</v>
      </c>
      <c r="E718" s="3" t="n">
        <f aca="false">IF(Tabla2[[#This Row],[Frecuencia]]="Annual", Tabla2[[#This Row],[Cosecha/Tarea]]/12,Tabla2[[#This Row],[Cosecha/Tarea]])</f>
        <v>5554</v>
      </c>
      <c r="F718" s="3" t="n">
        <v>45627</v>
      </c>
      <c r="G718" s="2" t="s">
        <v>18</v>
      </c>
      <c r="H718" s="2" t="n">
        <f aca="false">F718/Tabla2[[#This Row],[Cosecha Mensual]]</f>
        <v>8.21516024486856</v>
      </c>
      <c r="I718" s="2" t="n">
        <f aca="false">H718*_xlfn.XLOOKUP(Tabla2[[#This Row],[Unidad de producción]],Tabla3[Medida],Tabla3[Equivalencia en Kg],"ELVIS",0)</f>
        <v>372.639668707238</v>
      </c>
      <c r="J718" s="2" t="n">
        <v>357.916666666667</v>
      </c>
      <c r="K718" s="2" t="s">
        <v>18</v>
      </c>
      <c r="L718" s="2" t="n">
        <f aca="false">J718/_xlfn.XLOOKUP(Tabla2[[#This Row],[Unidad de precio]],Tabla3[Medida],Tabla3[Equivalencia en Kg],"ELVIS",0)</f>
        <v>7.89057907113464</v>
      </c>
      <c r="M718" s="2" t="n">
        <v>4235.82</v>
      </c>
      <c r="N718" s="3" t="n">
        <f aca="false">(Tabla2[[#This Row],[Productividad (kg/TAS)]]*Tabla2[[#This Row],[Precio por kg]]-Tabla2[[#This Row],[Costos (En RD$/Tarea)]])</f>
        <v>-1295.47722902412</v>
      </c>
      <c r="O718" s="9" t="n">
        <f aca="false">IF(Tabla2[[#This Row],[Costos (En RD$/Tarea)]]=0,0,Tabla2[[#This Row],[Beneficio Neto  (En RD$/Tarea)]]/Tabla2[[#This Row],[Costos (En RD$/Tarea)]])</f>
        <v>-0.305838593005398</v>
      </c>
      <c r="P718" s="7" t="n">
        <f aca="false">Tabla2[[#This Row],[Rentabilidad (%)]]/12</f>
        <v>-0.0254865494171165</v>
      </c>
    </row>
    <row r="719" customFormat="false" ht="14.25" hidden="false" customHeight="false" outlineLevel="0" collapsed="false">
      <c r="A719" s="1" t="n">
        <v>38322</v>
      </c>
      <c r="B719" s="2" t="s">
        <v>28</v>
      </c>
      <c r="C719" s="3" t="n">
        <v>40965</v>
      </c>
      <c r="D719" s="8" t="s">
        <v>17</v>
      </c>
      <c r="E719" s="3" t="n">
        <f aca="false">IF(Tabla2[[#This Row],[Frecuencia]]="Annual", Tabla2[[#This Row],[Cosecha/Tarea]]/12,Tabla2[[#This Row],[Cosecha/Tarea]])</f>
        <v>40965</v>
      </c>
      <c r="F719" s="3" t="n">
        <v>44095</v>
      </c>
      <c r="G719" s="2" t="s">
        <v>29</v>
      </c>
      <c r="H719" s="2" t="n">
        <f aca="false">F719/Tabla2[[#This Row],[Cosecha Mensual]]</f>
        <v>1.07640668863664</v>
      </c>
      <c r="I719" s="2" t="n">
        <f aca="false">H719*_xlfn.XLOOKUP(Tabla2[[#This Row],[Unidad de producción]],Tabla3[Medida],Tabla3[Equivalencia en Kg],"ELVIS",0)</f>
        <v>605.306537287929</v>
      </c>
      <c r="J719" s="2" t="n">
        <v>4404.75</v>
      </c>
      <c r="K719" s="2" t="s">
        <v>29</v>
      </c>
      <c r="L719" s="2" t="n">
        <f aca="false">J719/_xlfn.XLOOKUP(Tabla2[[#This Row],[Unidad de precio]],Tabla3[Medida],Tabla3[Equivalencia en Kg],"ELVIS",0)</f>
        <v>7.83289469004517</v>
      </c>
      <c r="M719" s="2" t="n">
        <v>7896.87291948</v>
      </c>
      <c r="N719" s="3" t="n">
        <f aca="false">(Tabla2[[#This Row],[Productividad (kg/TAS)]]*Tabla2[[#This Row],[Precio por kg]]-Tabla2[[#This Row],[Costos (En RD$/Tarea)]])</f>
        <v>-3155.57055770776</v>
      </c>
      <c r="O719" s="9" t="n">
        <f aca="false">IF(Tabla2[[#This Row],[Costos (En RD$/Tarea)]]=0,0,Tabla2[[#This Row],[Beneficio Neto  (En RD$/Tarea)]]/Tabla2[[#This Row],[Costos (En RD$/Tarea)]])</f>
        <v>-0.399597484964409</v>
      </c>
      <c r="P719" s="7" t="n">
        <f aca="false">Tabla2[[#This Row],[Rentabilidad (%)]]/12</f>
        <v>-0.0332997904137007</v>
      </c>
    </row>
    <row r="720" customFormat="false" ht="14.25" hidden="false" customHeight="false" outlineLevel="0" collapsed="false">
      <c r="A720" s="1" t="n">
        <v>38322</v>
      </c>
      <c r="B720" s="2" t="s">
        <v>30</v>
      </c>
      <c r="C720" s="3" t="n">
        <v>271301</v>
      </c>
      <c r="D720" s="3" t="s">
        <v>31</v>
      </c>
      <c r="E720" s="3" t="n">
        <f aca="false">IF(Tabla2[[#This Row],[Frecuencia]]="Annual", Tabla2[[#This Row],[Cosecha/Tarea]]/12,Tabla2[[#This Row],[Cosecha/Tarea]])</f>
        <v>22608.4166666667</v>
      </c>
      <c r="F720" s="3" t="n">
        <v>1646725</v>
      </c>
      <c r="G720" s="2" t="s">
        <v>32</v>
      </c>
      <c r="H720" s="2" t="n">
        <f aca="false">F720/Tabla2[[#This Row],[Cosecha Mensual]]</f>
        <v>72.8368122491255</v>
      </c>
      <c r="I720" s="2" t="n">
        <f aca="false">H720*_xlfn.XLOOKUP(Tabla2[[#This Row],[Unidad de producción]],Tabla3[Medida],Tabla3[Equivalencia en Kg],"ELVIS",0)</f>
        <v>1981.88966129871</v>
      </c>
      <c r="J720" s="2" t="n">
        <v>204.166666666667</v>
      </c>
      <c r="K720" s="2" t="s">
        <v>32</v>
      </c>
      <c r="L720" s="2" t="n">
        <f aca="false">J720/_xlfn.XLOOKUP(Tabla2[[#This Row],[Unidad de precio]],Tabla3[Medida],Tabla3[Equivalencia en Kg],"ELVIS",0)</f>
        <v>7.50336885948795</v>
      </c>
      <c r="M720" s="3" t="n">
        <v>6693.79</v>
      </c>
      <c r="N720" s="3" t="n">
        <f aca="false">(Tabla2[[#This Row],[Productividad (kg/TAS)]]*Tabla2[[#This Row],[Precio por kg]]-Tabla2[[#This Row],[Costos (En RD$/Tarea)]])</f>
        <v>8177.05916752982</v>
      </c>
      <c r="O720" s="9" t="n">
        <f aca="false">IF(Tabla2[[#This Row],[Costos (En RD$/Tarea)]]=0,0,Tabla2[[#This Row],[Beneficio Neto  (En RD$/Tarea)]]/Tabla2[[#This Row],[Costos (En RD$/Tarea)]])</f>
        <v>1.22158884093015</v>
      </c>
      <c r="P720" s="7" t="n">
        <f aca="false">Tabla2[[#This Row],[Rentabilidad (%)]]/12</f>
        <v>0.101799070077512</v>
      </c>
    </row>
    <row r="721" customFormat="false" ht="14.25" hidden="false" customHeight="false" outlineLevel="0" collapsed="false">
      <c r="A721" s="1" t="n">
        <v>38322</v>
      </c>
      <c r="B721" s="2" t="s">
        <v>33</v>
      </c>
      <c r="C721" s="3" t="n">
        <v>601361</v>
      </c>
      <c r="D721" s="3" t="s">
        <v>31</v>
      </c>
      <c r="E721" s="3" t="n">
        <f aca="false">IF(Tabla2[[#This Row],[Frecuencia]]="Annual", Tabla2[[#This Row],[Cosecha/Tarea]]/12,Tabla2[[#This Row],[Cosecha/Tarea]])</f>
        <v>50113.4166666667</v>
      </c>
      <c r="F721" s="3" t="n">
        <v>93735</v>
      </c>
      <c r="G721" s="2" t="s">
        <v>34</v>
      </c>
      <c r="H721" s="2" t="n">
        <f aca="false">F721/Tabla2[[#This Row],[Cosecha Mensual]]</f>
        <v>1.87045717963087</v>
      </c>
      <c r="I721" s="2" t="n">
        <f aca="false">H721*_xlfn.XLOOKUP(Tabla2[[#This Row],[Unidad de producción]],Tabla3[Medida],Tabla3[Equivalencia en Kg],"ELVIS",0)</f>
        <v>763.42709786634</v>
      </c>
      <c r="J721" s="2" t="n">
        <v>3080.18666666667</v>
      </c>
      <c r="K721" s="2" t="s">
        <v>34</v>
      </c>
      <c r="L721" s="2" t="n">
        <f aca="false">J721/_xlfn.XLOOKUP(Tabla2[[#This Row],[Unidad de precio]],Tabla3[Medida],Tabla3[Equivalencia en Kg],"ELVIS",0)</f>
        <v>7.54670260116788</v>
      </c>
      <c r="M721" s="3" t="n">
        <v>8906.28</v>
      </c>
      <c r="N721" s="3" t="n">
        <f aca="false">(Tabla2[[#This Row],[Productividad (kg/TAS)]]*Tabla2[[#This Row],[Precio por kg]]-Tabla2[[#This Row],[Costos (En RD$/Tarea)]])</f>
        <v>-3144.92273473005</v>
      </c>
      <c r="O721" s="9" t="n">
        <f aca="false">IF(Tabla2[[#This Row],[Costos (En RD$/Tarea)]]=0,0,Tabla2[[#This Row],[Beneficio Neto  (En RD$/Tarea)]]/Tabla2[[#This Row],[Costos (En RD$/Tarea)]])</f>
        <v>-0.353112942185744</v>
      </c>
      <c r="P721" s="7" t="n">
        <f aca="false">Tabla2[[#This Row],[Rentabilidad (%)]]/12</f>
        <v>-0.0294260785154787</v>
      </c>
    </row>
    <row r="722" customFormat="false" ht="14.25" hidden="false" customHeight="false" outlineLevel="0" collapsed="false">
      <c r="A722" s="1" t="n">
        <v>38353</v>
      </c>
      <c r="B722" s="2" t="s">
        <v>16</v>
      </c>
      <c r="C722" s="3" t="n">
        <v>112108</v>
      </c>
      <c r="D722" s="8" t="s">
        <v>17</v>
      </c>
      <c r="E722" s="3" t="n">
        <f aca="false">IF(Tabla2[[#This Row],[Frecuencia]]="Annual", Tabla2[[#This Row],[Cosecha/Tarea]]/12,Tabla2[[#This Row],[Cosecha/Tarea]])</f>
        <v>112108</v>
      </c>
      <c r="F722" s="3" t="n">
        <v>203086</v>
      </c>
      <c r="G722" s="2" t="s">
        <v>18</v>
      </c>
      <c r="H722" s="2" t="n">
        <f aca="false">F722/Tabla2[[#This Row],[Cosecha Mensual]]</f>
        <v>1.81152103328933</v>
      </c>
      <c r="I722" s="2" t="n">
        <f aca="false">H722*_xlfn.XLOOKUP(Tabla2[[#This Row],[Unidad de producción]],Tabla3[Medida],Tabla3[Equivalencia en Kg],"ELVIS",0)</f>
        <v>82.1705940700039</v>
      </c>
      <c r="J722" s="2" t="n">
        <v>950.1875</v>
      </c>
      <c r="K722" s="2" t="s">
        <v>19</v>
      </c>
      <c r="L722" s="2" t="n">
        <f aca="false">J722/_xlfn.XLOOKUP(Tabla2[[#This Row],[Unidad de precio]],Tabla3[Medida],Tabla3[Equivalencia en Kg],"ELVIS",0)</f>
        <v>8.63806818181818</v>
      </c>
      <c r="M722" s="2" t="n">
        <v>4807.32</v>
      </c>
      <c r="N722" s="3" t="n">
        <f aca="false">(Tabla2[[#This Row],[Productividad (kg/TAS)]]*Tabla2[[#This Row],[Precio por kg]]-Tabla2[[#This Row],[Costos (En RD$/Tarea)]])</f>
        <v>-4097.5248058828</v>
      </c>
      <c r="O722" s="9" t="n">
        <f aca="false">IF(Tabla2[[#This Row],[Costos (En RD$/Tarea)]]=0,0,Tabla2[[#This Row],[Beneficio Neto  (En RD$/Tarea)]]/Tabla2[[#This Row],[Costos (En RD$/Tarea)]])</f>
        <v>-0.852351165697894</v>
      </c>
      <c r="P722" s="7" t="n">
        <f aca="false">Tabla2[[#This Row],[Rentabilidad (%)]]/12</f>
        <v>-0.0710292638081579</v>
      </c>
    </row>
    <row r="723" customFormat="false" ht="14.25" hidden="false" customHeight="false" outlineLevel="0" collapsed="false">
      <c r="A723" s="1" t="n">
        <v>38353</v>
      </c>
      <c r="B723" s="2" t="s">
        <v>20</v>
      </c>
      <c r="C723" s="3" t="n">
        <v>20931</v>
      </c>
      <c r="D723" s="8" t="s">
        <v>17</v>
      </c>
      <c r="E723" s="3" t="n">
        <f aca="false">IF(Tabla2[[#This Row],[Frecuencia]]="Annual", Tabla2[[#This Row],[Cosecha/Tarea]]/12,Tabla2[[#This Row],[Cosecha/Tarea]])</f>
        <v>20931</v>
      </c>
      <c r="F723" s="3" t="n">
        <v>34401</v>
      </c>
      <c r="G723" s="2" t="s">
        <v>18</v>
      </c>
      <c r="H723" s="2" t="n">
        <f aca="false">F723/Tabla2[[#This Row],[Cosecha Mensual]]</f>
        <v>1.64354307008743</v>
      </c>
      <c r="I723" s="2" t="n">
        <f aca="false">H723*_xlfn.XLOOKUP(Tabla2[[#This Row],[Unidad de producción]],Tabla3[Medida],Tabla3[Equivalencia en Kg],"ELVIS",0)</f>
        <v>74.5511136591658</v>
      </c>
      <c r="J723" s="2" t="n">
        <v>361.093333333333</v>
      </c>
      <c r="K723" s="2" t="s">
        <v>18</v>
      </c>
      <c r="L723" s="2" t="n">
        <f aca="false">J723/_xlfn.XLOOKUP(Tabla2[[#This Row],[Unidad de precio]],Tabla3[Medida],Tabla3[Equivalencia en Kg],"ELVIS",0)</f>
        <v>7.96061140505584</v>
      </c>
      <c r="M723" s="2" t="n">
        <v>1327.7</v>
      </c>
      <c r="N723" s="3" t="n">
        <f aca="false">(Tabla2[[#This Row],[Productividad (kg/TAS)]]*Tabla2[[#This Row],[Precio por kg]]-Tabla2[[#This Row],[Costos (En RD$/Tarea)]])</f>
        <v>-734.22755434523</v>
      </c>
      <c r="O723" s="9" t="n">
        <f aca="false">IF(Tabla2[[#This Row],[Costos (En RD$/Tarea)]]=0,0,Tabla2[[#This Row],[Beneficio Neto  (En RD$/Tarea)]]/Tabla2[[#This Row],[Costos (En RD$/Tarea)]])</f>
        <v>-0.553007120844491</v>
      </c>
      <c r="P723" s="7" t="n">
        <f aca="false">Tabla2[[#This Row],[Rentabilidad (%)]]/12</f>
        <v>-0.0460839267370409</v>
      </c>
    </row>
    <row r="724" customFormat="false" ht="14.25" hidden="false" customHeight="false" outlineLevel="0" collapsed="false">
      <c r="A724" s="1" t="n">
        <v>38353</v>
      </c>
      <c r="B724" s="2" t="s">
        <v>21</v>
      </c>
      <c r="C724" s="3" t="n">
        <v>6462</v>
      </c>
      <c r="D724" s="8" t="s">
        <v>17</v>
      </c>
      <c r="E724" s="3" t="n">
        <f aca="false">IF(Tabla2[[#This Row],[Frecuencia]]="Annual", Tabla2[[#This Row],[Cosecha/Tarea]]/12,Tabla2[[#This Row],[Cosecha/Tarea]])</f>
        <v>6462</v>
      </c>
      <c r="F724" s="3" t="n">
        <v>50376</v>
      </c>
      <c r="G724" s="2" t="s">
        <v>18</v>
      </c>
      <c r="H724" s="2" t="n">
        <f aca="false">F724/Tabla2[[#This Row],[Cosecha Mensual]]</f>
        <v>7.79572887650882</v>
      </c>
      <c r="I724" s="2" t="n">
        <f aca="false">H724*_xlfn.XLOOKUP(Tabla2[[#This Row],[Unidad de producción]],Tabla3[Medida],Tabla3[Equivalencia en Kg],"ELVIS",0)</f>
        <v>353.61426183844</v>
      </c>
      <c r="J724" s="2" t="n">
        <v>528.83</v>
      </c>
      <c r="K724" s="2" t="s">
        <v>18</v>
      </c>
      <c r="L724" s="2" t="n">
        <f aca="false">J724/_xlfn.XLOOKUP(Tabla2[[#This Row],[Unidad de precio]],Tabla3[Medida],Tabla3[Equivalencia en Kg],"ELVIS",0)</f>
        <v>11.6585097001764</v>
      </c>
      <c r="M724" s="2" t="n">
        <v>2092.86</v>
      </c>
      <c r="N724" s="3" t="n">
        <f aca="false">(Tabla2[[#This Row],[Productividad (kg/TAS)]]*Tabla2[[#This Row],[Precio por kg]]-Tabla2[[#This Row],[Costos (En RD$/Tarea)]])</f>
        <v>2029.75530176416</v>
      </c>
      <c r="O724" s="9" t="n">
        <f aca="false">IF(Tabla2[[#This Row],[Costos (En RD$/Tarea)]]=0,0,Tabla2[[#This Row],[Beneficio Neto  (En RD$/Tarea)]]/Tabla2[[#This Row],[Costos (En RD$/Tarea)]])</f>
        <v>0.969847625624341</v>
      </c>
      <c r="P724" s="7" t="n">
        <f aca="false">Tabla2[[#This Row],[Rentabilidad (%)]]/12</f>
        <v>0.0808206354686951</v>
      </c>
    </row>
    <row r="725" customFormat="false" ht="14.25" hidden="false" customHeight="false" outlineLevel="0" collapsed="false">
      <c r="A725" s="1" t="n">
        <v>38353</v>
      </c>
      <c r="B725" s="2" t="s">
        <v>22</v>
      </c>
      <c r="C725" s="3" t="n">
        <v>2959</v>
      </c>
      <c r="D725" s="8" t="s">
        <v>17</v>
      </c>
      <c r="E725" s="3" t="n">
        <f aca="false">IF(Tabla2[[#This Row],[Frecuencia]]="Annual", Tabla2[[#This Row],[Cosecha/Tarea]]/12,Tabla2[[#This Row],[Cosecha/Tarea]])</f>
        <v>2959</v>
      </c>
      <c r="F725" s="3" t="n">
        <v>24534</v>
      </c>
      <c r="G725" s="2" t="s">
        <v>18</v>
      </c>
      <c r="H725" s="2" t="n">
        <f aca="false">F725/Tabla2[[#This Row],[Cosecha Mensual]]</f>
        <v>8.29131463332207</v>
      </c>
      <c r="I725" s="2" t="n">
        <f aca="false">H725*_xlfn.XLOOKUP(Tabla2[[#This Row],[Unidad de producción]],Tabla3[Medida],Tabla3[Equivalencia en Kg],"ELVIS",0)</f>
        <v>376.094031767489</v>
      </c>
      <c r="J725" s="2" t="n">
        <v>563.75</v>
      </c>
      <c r="K725" s="2" t="s">
        <v>18</v>
      </c>
      <c r="L725" s="2" t="n">
        <f aca="false">J725/_xlfn.XLOOKUP(Tabla2[[#This Row],[Unidad de precio]],Tabla3[Medida],Tabla3[Equivalencia en Kg],"ELVIS",0)</f>
        <v>12.4283509700176</v>
      </c>
      <c r="M725" s="2" t="n">
        <v>5853.83</v>
      </c>
      <c r="N725" s="3" t="n">
        <f aca="false">(Tabla2[[#This Row],[Productividad (kg/TAS)]]*Tabla2[[#This Row],[Precio por kg]]-Tabla2[[#This Row],[Costos (En RD$/Tarea)]])</f>
        <v>-1179.60137546468</v>
      </c>
      <c r="O725" s="9" t="n">
        <f aca="false">IF(Tabla2[[#This Row],[Costos (En RD$/Tarea)]]=0,0,Tabla2[[#This Row],[Beneficio Neto  (En RD$/Tarea)]]/Tabla2[[#This Row],[Costos (En RD$/Tarea)]])</f>
        <v>-0.201509332431021</v>
      </c>
      <c r="P725" s="7" t="n">
        <f aca="false">Tabla2[[#This Row],[Rentabilidad (%)]]/12</f>
        <v>-0.0167924443692518</v>
      </c>
    </row>
    <row r="726" customFormat="false" ht="14.25" hidden="false" customHeight="false" outlineLevel="0" collapsed="false">
      <c r="A726" s="1" t="n">
        <v>38353</v>
      </c>
      <c r="B726" s="2" t="s">
        <v>23</v>
      </c>
      <c r="C726" s="3" t="n">
        <v>2450</v>
      </c>
      <c r="D726" s="8" t="s">
        <v>17</v>
      </c>
      <c r="E726" s="3" t="n">
        <f aca="false">IF(Tabla2[[#This Row],[Frecuencia]]="Annual", Tabla2[[#This Row],[Cosecha/Tarea]]/12,Tabla2[[#This Row],[Cosecha/Tarea]])</f>
        <v>2450</v>
      </c>
      <c r="F726" s="3" t="n">
        <v>66489</v>
      </c>
      <c r="G726" s="2" t="s">
        <v>18</v>
      </c>
      <c r="H726" s="2" t="n">
        <f aca="false">F726/Tabla2[[#This Row],[Cosecha Mensual]]</f>
        <v>27.1383673469388</v>
      </c>
      <c r="I726" s="2" t="n">
        <f aca="false">H726*_xlfn.XLOOKUP(Tabla2[[#This Row],[Unidad de producción]],Tabla3[Medida],Tabla3[Equivalencia en Kg],"ELVIS",0)</f>
        <v>1230.99634285714</v>
      </c>
      <c r="J726" s="2" t="n">
        <v>533.333333333333</v>
      </c>
      <c r="K726" s="2" t="s">
        <v>18</v>
      </c>
      <c r="L726" s="2" t="n">
        <f aca="false">J726/_xlfn.XLOOKUP(Tabla2[[#This Row],[Unidad de precio]],Tabla3[Medida],Tabla3[Equivalencia en Kg],"ELVIS",0)</f>
        <v>11.7577895355673</v>
      </c>
      <c r="M726" s="2" t="n">
        <v>10163.53</v>
      </c>
      <c r="N726" s="3" t="n">
        <f aca="false">(Tabla2[[#This Row],[Productividad (kg/TAS)]]*Tabla2[[#This Row],[Precio por kg]]-Tabla2[[#This Row],[Costos (En RD$/Tarea)]])</f>
        <v>4310.26591836734</v>
      </c>
      <c r="O726" s="9" t="n">
        <f aca="false">IF(Tabla2[[#This Row],[Costos (En RD$/Tarea)]]=0,0,Tabla2[[#This Row],[Beneficio Neto  (En RD$/Tarea)]]/Tabla2[[#This Row],[Costos (En RD$/Tarea)]])</f>
        <v>0.424091424767511</v>
      </c>
      <c r="P726" s="7" t="n">
        <f aca="false">Tabla2[[#This Row],[Rentabilidad (%)]]/12</f>
        <v>0.0353409520639592</v>
      </c>
    </row>
    <row r="727" customFormat="false" ht="14.25" hidden="false" customHeight="false" outlineLevel="0" collapsed="false">
      <c r="A727" s="1" t="n">
        <v>38353</v>
      </c>
      <c r="B727" s="2" t="s">
        <v>24</v>
      </c>
      <c r="C727" s="3" t="n">
        <v>6499</v>
      </c>
      <c r="D727" s="8" t="s">
        <v>17</v>
      </c>
      <c r="E727" s="3" t="n">
        <f aca="false">IF(Tabla2[[#This Row],[Frecuencia]]="Annual", Tabla2[[#This Row],[Cosecha/Tarea]]/12,Tabla2[[#This Row],[Cosecha/Tarea]])</f>
        <v>6499</v>
      </c>
      <c r="F727" s="3" t="n">
        <v>55325</v>
      </c>
      <c r="G727" s="2" t="s">
        <v>18</v>
      </c>
      <c r="H727" s="2" t="n">
        <f aca="false">F727/Tabla2[[#This Row],[Cosecha Mensual]]</f>
        <v>8.51284813048161</v>
      </c>
      <c r="I727" s="2" t="n">
        <f aca="false">H727*_xlfn.XLOOKUP(Tabla2[[#This Row],[Unidad de producción]],Tabla3[Medida],Tabla3[Equivalencia en Kg],"ELVIS",0)</f>
        <v>386.142791198646</v>
      </c>
      <c r="J727" s="2" t="n">
        <v>879.166666666667</v>
      </c>
      <c r="K727" s="2" t="s">
        <v>18</v>
      </c>
      <c r="L727" s="2" t="n">
        <f aca="false">J727/_xlfn.XLOOKUP(Tabla2[[#This Row],[Unidad de precio]],Tabla3[Medida],Tabla3[Equivalencia en Kg],"ELVIS",0)</f>
        <v>19.3819811875368</v>
      </c>
      <c r="M727" s="2" t="n">
        <v>4680.83</v>
      </c>
      <c r="N727" s="3" t="n">
        <f aca="false">(Tabla2[[#This Row],[Productividad (kg/TAS)]]*Tabla2[[#This Row],[Precio por kg]]-Tabla2[[#This Row],[Costos (En RD$/Tarea)]])</f>
        <v>2803.38231471509</v>
      </c>
      <c r="O727" s="9" t="n">
        <f aca="false">IF(Tabla2[[#This Row],[Costos (En RD$/Tarea)]]=0,0,Tabla2[[#This Row],[Beneficio Neto  (En RD$/Tarea)]]/Tabla2[[#This Row],[Costos (En RD$/Tarea)]])</f>
        <v>0.598907098680167</v>
      </c>
      <c r="P727" s="7" t="n">
        <f aca="false">Tabla2[[#This Row],[Rentabilidad (%)]]/12</f>
        <v>0.0499089248900139</v>
      </c>
    </row>
    <row r="728" customFormat="false" ht="14.25" hidden="false" customHeight="false" outlineLevel="0" collapsed="false">
      <c r="A728" s="1" t="n">
        <v>38353</v>
      </c>
      <c r="B728" s="2" t="s">
        <v>25</v>
      </c>
      <c r="C728" s="3" t="n">
        <v>22678</v>
      </c>
      <c r="D728" s="8" t="s">
        <v>17</v>
      </c>
      <c r="E728" s="3" t="n">
        <f aca="false">IF(Tabla2[[#This Row],[Frecuencia]]="Annual", Tabla2[[#This Row],[Cosecha/Tarea]]/12,Tabla2[[#This Row],[Cosecha/Tarea]])</f>
        <v>22678</v>
      </c>
      <c r="F728" s="3" t="n">
        <v>215085</v>
      </c>
      <c r="G728" s="2" t="s">
        <v>18</v>
      </c>
      <c r="H728" s="2" t="n">
        <f aca="false">F728/Tabla2[[#This Row],[Cosecha Mensual]]</f>
        <v>9.48430196666373</v>
      </c>
      <c r="I728" s="2" t="n">
        <f aca="false">H728*_xlfn.XLOOKUP(Tabla2[[#This Row],[Unidad de producción]],Tabla3[Medida],Tabla3[Equivalencia en Kg],"ELVIS",0)</f>
        <v>430.207937207867</v>
      </c>
      <c r="J728" s="2" t="n">
        <v>482.51</v>
      </c>
      <c r="K728" s="2" t="s">
        <v>18</v>
      </c>
      <c r="L728" s="2" t="n">
        <f aca="false">J728/_xlfn.XLOOKUP(Tabla2[[#This Row],[Unidad de precio]],Tabla3[Medida],Tabla3[Equivalencia en Kg],"ELVIS",0)</f>
        <v>10.6373456790123</v>
      </c>
      <c r="M728" s="2" t="n">
        <v>2314.215</v>
      </c>
      <c r="N728" s="3" t="n">
        <f aca="false">(Tabla2[[#This Row],[Productividad (kg/TAS)]]*Tabla2[[#This Row],[Precio por kg]]-Tabla2[[#This Row],[Costos (En RD$/Tarea)]])</f>
        <v>2262.05554193492</v>
      </c>
      <c r="O728" s="9" t="n">
        <f aca="false">IF(Tabla2[[#This Row],[Costos (En RD$/Tarea)]]=0,0,Tabla2[[#This Row],[Beneficio Neto  (En RD$/Tarea)]]/Tabla2[[#This Row],[Costos (En RD$/Tarea)]])</f>
        <v>0.977461273881171</v>
      </c>
      <c r="P728" s="7" t="n">
        <f aca="false">Tabla2[[#This Row],[Rentabilidad (%)]]/12</f>
        <v>0.0814551061567643</v>
      </c>
    </row>
    <row r="729" customFormat="false" ht="14.25" hidden="false" customHeight="false" outlineLevel="0" collapsed="false">
      <c r="A729" s="1" t="n">
        <v>38353</v>
      </c>
      <c r="B729" s="2" t="s">
        <v>26</v>
      </c>
      <c r="C729" s="3" t="n">
        <v>8992</v>
      </c>
      <c r="D729" s="8" t="s">
        <v>17</v>
      </c>
      <c r="E729" s="3" t="n">
        <f aca="false">IF(Tabla2[[#This Row],[Frecuencia]]="Annual", Tabla2[[#This Row],[Cosecha/Tarea]]/12,Tabla2[[#This Row],[Cosecha/Tarea]])</f>
        <v>8992</v>
      </c>
      <c r="F729" s="3" t="n">
        <v>56660</v>
      </c>
      <c r="G729" s="2" t="s">
        <v>18</v>
      </c>
      <c r="H729" s="2" t="n">
        <f aca="false">F729/Tabla2[[#This Row],[Cosecha Mensual]]</f>
        <v>6.30115658362989</v>
      </c>
      <c r="I729" s="2" t="n">
        <f aca="false">H729*_xlfn.XLOOKUP(Tabla2[[#This Row],[Unidad de producción]],Tabla3[Medida],Tabla3[Equivalencia en Kg],"ELVIS",0)</f>
        <v>285.820462633452</v>
      </c>
      <c r="J729" s="2" t="n">
        <v>928.915</v>
      </c>
      <c r="K729" s="2" t="s">
        <v>18</v>
      </c>
      <c r="L729" s="2" t="n">
        <f aca="false">J729/_xlfn.XLOOKUP(Tabla2[[#This Row],[Unidad de precio]],Tabla3[Medida],Tabla3[Equivalencia en Kg],"ELVIS",0)</f>
        <v>20.4787257495591</v>
      </c>
      <c r="M729" s="2" t="n">
        <v>906.4</v>
      </c>
      <c r="N729" s="3" t="n">
        <f aca="false">(Tabla2[[#This Row],[Productividad (kg/TAS)]]*Tabla2[[#This Row],[Precio por kg]]-Tabla2[[#This Row],[Costos (En RD$/Tarea)]])</f>
        <v>4946.83886788256</v>
      </c>
      <c r="O729" s="9" t="n">
        <f aca="false">IF(Tabla2[[#This Row],[Costos (En RD$/Tarea)]]=0,0,Tabla2[[#This Row],[Beneficio Neto  (En RD$/Tarea)]]/Tabla2[[#This Row],[Costos (En RD$/Tarea)]])</f>
        <v>5.45767748001165</v>
      </c>
      <c r="P729" s="7" t="n">
        <f aca="false">Tabla2[[#This Row],[Rentabilidad (%)]]/12</f>
        <v>0.454806456667638</v>
      </c>
    </row>
    <row r="730" customFormat="false" ht="14.25" hidden="false" customHeight="false" outlineLevel="0" collapsed="false">
      <c r="A730" s="1" t="n">
        <v>38353</v>
      </c>
      <c r="B730" s="2" t="s">
        <v>27</v>
      </c>
      <c r="C730" s="3" t="n">
        <v>4748</v>
      </c>
      <c r="D730" s="8" t="s">
        <v>17</v>
      </c>
      <c r="E730" s="3" t="n">
        <f aca="false">IF(Tabla2[[#This Row],[Frecuencia]]="Annual", Tabla2[[#This Row],[Cosecha/Tarea]]/12,Tabla2[[#This Row],[Cosecha/Tarea]])</f>
        <v>4748</v>
      </c>
      <c r="F730" s="3" t="n">
        <v>41136</v>
      </c>
      <c r="G730" s="2" t="s">
        <v>18</v>
      </c>
      <c r="H730" s="2" t="n">
        <f aca="false">F730/Tabla2[[#This Row],[Cosecha Mensual]]</f>
        <v>8.66385846672283</v>
      </c>
      <c r="I730" s="2" t="n">
        <f aca="false">H730*_xlfn.XLOOKUP(Tabla2[[#This Row],[Unidad de producción]],Tabla3[Medida],Tabla3[Equivalencia en Kg],"ELVIS",0)</f>
        <v>392.992620050548</v>
      </c>
      <c r="J730" s="2" t="n">
        <v>250.4398</v>
      </c>
      <c r="K730" s="2" t="s">
        <v>18</v>
      </c>
      <c r="L730" s="2" t="n">
        <f aca="false">J730/_xlfn.XLOOKUP(Tabla2[[#This Row],[Unidad de precio]],Tabla3[Medida],Tabla3[Equivalencia en Kg],"ELVIS",0)</f>
        <v>5.52115961199295</v>
      </c>
      <c r="M730" s="2" t="n">
        <v>5157.39</v>
      </c>
      <c r="N730" s="3" t="n">
        <f aca="false">(Tabla2[[#This Row],[Productividad (kg/TAS)]]*Tabla2[[#This Row],[Precio por kg]]-Tabla2[[#This Row],[Costos (En RD$/Tarea)]])</f>
        <v>-2987.61501836563</v>
      </c>
      <c r="O730" s="9" t="n">
        <f aca="false">IF(Tabla2[[#This Row],[Costos (En RD$/Tarea)]]=0,0,Tabla2[[#This Row],[Beneficio Neto  (En RD$/Tarea)]]/Tabla2[[#This Row],[Costos (En RD$/Tarea)]])</f>
        <v>-0.579288170637789</v>
      </c>
      <c r="P730" s="7" t="n">
        <f aca="false">Tabla2[[#This Row],[Rentabilidad (%)]]/12</f>
        <v>-0.0482740142198158</v>
      </c>
    </row>
    <row r="731" customFormat="false" ht="14.25" hidden="false" customHeight="false" outlineLevel="0" collapsed="false">
      <c r="A731" s="1" t="n">
        <v>38353</v>
      </c>
      <c r="B731" s="2" t="s">
        <v>28</v>
      </c>
      <c r="C731" s="3" t="n">
        <v>17825</v>
      </c>
      <c r="D731" s="8" t="s">
        <v>17</v>
      </c>
      <c r="E731" s="3" t="n">
        <f aca="false">IF(Tabla2[[#This Row],[Frecuencia]]="Annual", Tabla2[[#This Row],[Cosecha/Tarea]]/12,Tabla2[[#This Row],[Cosecha/Tarea]])</f>
        <v>17825</v>
      </c>
      <c r="F731" s="3" t="n">
        <v>25676</v>
      </c>
      <c r="G731" s="2" t="s">
        <v>29</v>
      </c>
      <c r="H731" s="2" t="n">
        <f aca="false">F731/Tabla2[[#This Row],[Cosecha Mensual]]</f>
        <v>1.44044880785414</v>
      </c>
      <c r="I731" s="2" t="n">
        <f aca="false">H731*_xlfn.XLOOKUP(Tabla2[[#This Row],[Unidad de producción]],Tabla3[Medida],Tabla3[Equivalencia en Kg],"ELVIS",0)</f>
        <v>810.021982608696</v>
      </c>
      <c r="J731" s="2" t="n">
        <v>4000</v>
      </c>
      <c r="K731" s="2" t="s">
        <v>29</v>
      </c>
      <c r="L731" s="2" t="n">
        <f aca="false">J731/_xlfn.XLOOKUP(Tabla2[[#This Row],[Unidad de precio]],Tabla3[Medida],Tabla3[Equivalencia en Kg],"ELVIS",0)</f>
        <v>7.11313440267454</v>
      </c>
      <c r="M731" s="2" t="n">
        <v>9027.66</v>
      </c>
      <c r="N731" s="3" t="n">
        <f aca="false">(Tabla2[[#This Row],[Productividad (kg/TAS)]]*Tabla2[[#This Row],[Precio por kg]]-Tabla2[[#This Row],[Costos (En RD$/Tarea)]])</f>
        <v>-3265.86476858345</v>
      </c>
      <c r="O731" s="9" t="n">
        <f aca="false">IF(Tabla2[[#This Row],[Costos (En RD$/Tarea)]]=0,0,Tabla2[[#This Row],[Beneficio Neto  (En RD$/Tarea)]]/Tabla2[[#This Row],[Costos (En RD$/Tarea)]])</f>
        <v>-0.361762047815652</v>
      </c>
      <c r="P731" s="7" t="n">
        <f aca="false">Tabla2[[#This Row],[Rentabilidad (%)]]/12</f>
        <v>-0.030146837317971</v>
      </c>
    </row>
    <row r="732" customFormat="false" ht="14.25" hidden="false" customHeight="false" outlineLevel="0" collapsed="false">
      <c r="A732" s="1" t="n">
        <v>38353</v>
      </c>
      <c r="B732" s="2" t="s">
        <v>30</v>
      </c>
      <c r="C732" s="3" t="n">
        <v>271356</v>
      </c>
      <c r="D732" s="3" t="s">
        <v>31</v>
      </c>
      <c r="E732" s="3" t="n">
        <f aca="false">IF(Tabla2[[#This Row],[Frecuencia]]="Annual", Tabla2[[#This Row],[Cosecha/Tarea]]/12,Tabla2[[#This Row],[Cosecha/Tarea]])</f>
        <v>22613</v>
      </c>
      <c r="F732" s="3" t="n">
        <v>1805117</v>
      </c>
      <c r="G732" s="2" t="s">
        <v>32</v>
      </c>
      <c r="H732" s="2" t="n">
        <f aca="false">F732/Tabla2[[#This Row],[Cosecha Mensual]]</f>
        <v>79.8265157210454</v>
      </c>
      <c r="I732" s="2" t="n">
        <f aca="false">H732*_xlfn.XLOOKUP(Tabla2[[#This Row],[Unidad de producción]],Tabla3[Medida],Tabla3[Equivalencia en Kg],"ELVIS",0)</f>
        <v>2172.07949276965</v>
      </c>
      <c r="J732" s="2" t="n">
        <v>63.4966666666667</v>
      </c>
      <c r="K732" s="2" t="s">
        <v>32</v>
      </c>
      <c r="L732" s="2" t="n">
        <f aca="false">J732/_xlfn.XLOOKUP(Tabla2[[#This Row],[Unidad de precio]],Tabla3[Medida],Tabla3[Equivalencia en Kg],"ELVIS",0)</f>
        <v>2.33357834129609</v>
      </c>
      <c r="M732" s="3" t="n">
        <v>7918.62</v>
      </c>
      <c r="N732" s="3" t="n">
        <f aca="false">(Tabla2[[#This Row],[Productividad (kg/TAS)]]*Tabla2[[#This Row],[Precio por kg]]-Tabla2[[#This Row],[Costos (En RD$/Tarea)]])</f>
        <v>-2849.90234009935</v>
      </c>
      <c r="O732" s="9" t="n">
        <f aca="false">IF(Tabla2[[#This Row],[Costos (En RD$/Tarea)]]=0,0,Tabla2[[#This Row],[Beneficio Neto  (En RD$/Tarea)]]/Tabla2[[#This Row],[Costos (En RD$/Tarea)]])</f>
        <v>-0.359898863703442</v>
      </c>
      <c r="P732" s="7" t="n">
        <f aca="false">Tabla2[[#This Row],[Rentabilidad (%)]]/12</f>
        <v>-0.0299915719752868</v>
      </c>
    </row>
    <row r="733" customFormat="false" ht="14.25" hidden="false" customHeight="false" outlineLevel="0" collapsed="false">
      <c r="A733" s="1" t="n">
        <v>38353</v>
      </c>
      <c r="B733" s="2" t="s">
        <v>33</v>
      </c>
      <c r="C733" s="3" t="n">
        <v>525730</v>
      </c>
      <c r="D733" s="3" t="s">
        <v>31</v>
      </c>
      <c r="E733" s="3" t="n">
        <f aca="false">IF(Tabla2[[#This Row],[Frecuencia]]="Annual", Tabla2[[#This Row],[Cosecha/Tarea]]/12,Tabla2[[#This Row],[Cosecha/Tarea]])</f>
        <v>43810.8333333333</v>
      </c>
      <c r="F733" s="3" t="n">
        <v>105676</v>
      </c>
      <c r="G733" s="2" t="s">
        <v>34</v>
      </c>
      <c r="H733" s="2" t="n">
        <f aca="false">F733/Tabla2[[#This Row],[Cosecha Mensual]]</f>
        <v>2.41209746447796</v>
      </c>
      <c r="I733" s="2" t="n">
        <f aca="false">H733*_xlfn.XLOOKUP(Tabla2[[#This Row],[Unidad de producción]],Tabla3[Medida],Tabla3[Equivalencia en Kg],"ELVIS",0)</f>
        <v>984.497580126681</v>
      </c>
      <c r="J733" s="2" t="n">
        <v>3448.84333333333</v>
      </c>
      <c r="K733" s="2" t="s">
        <v>34</v>
      </c>
      <c r="L733" s="2" t="n">
        <f aca="false">J733/_xlfn.XLOOKUP(Tabla2[[#This Row],[Unidad de precio]],Tabla3[Medida],Tabla3[Equivalencia en Kg],"ELVIS",0)</f>
        <v>8.44994078974233</v>
      </c>
      <c r="M733" s="3" t="n">
        <v>9928.24</v>
      </c>
      <c r="N733" s="3" t="n">
        <f aca="false">(Tabla2[[#This Row],[Productividad (kg/TAS)]]*Tabla2[[#This Row],[Precio por kg]]-Tabla2[[#This Row],[Costos (En RD$/Tarea)]])</f>
        <v>-1609.29374028494</v>
      </c>
      <c r="O733" s="9" t="n">
        <f aca="false">IF(Tabla2[[#This Row],[Costos (En RD$/Tarea)]]=0,0,Tabla2[[#This Row],[Beneficio Neto  (En RD$/Tarea)]]/Tabla2[[#This Row],[Costos (En RD$/Tarea)]])</f>
        <v>-0.162092550168504</v>
      </c>
      <c r="P733" s="7" t="n">
        <f aca="false">Tabla2[[#This Row],[Rentabilidad (%)]]/12</f>
        <v>-0.013507712514042</v>
      </c>
    </row>
    <row r="734" customFormat="false" ht="14.25" hidden="false" customHeight="false" outlineLevel="0" collapsed="false">
      <c r="A734" s="1" t="n">
        <v>38384</v>
      </c>
      <c r="B734" s="2" t="s">
        <v>16</v>
      </c>
      <c r="C734" s="3" t="n">
        <v>8749</v>
      </c>
      <c r="D734" s="8" t="s">
        <v>17</v>
      </c>
      <c r="E734" s="3" t="n">
        <f aca="false">IF(Tabla2[[#This Row],[Frecuencia]]="Annual", Tabla2[[#This Row],[Cosecha/Tarea]]/12,Tabla2[[#This Row],[Cosecha/Tarea]])</f>
        <v>8749</v>
      </c>
      <c r="F734" s="3" t="n">
        <v>21416</v>
      </c>
      <c r="G734" s="2" t="s">
        <v>18</v>
      </c>
      <c r="H734" s="2" t="n">
        <f aca="false">F734/Tabla2[[#This Row],[Cosecha Mensual]]</f>
        <v>2.44782260829809</v>
      </c>
      <c r="I734" s="2" t="n">
        <f aca="false">H734*_xlfn.XLOOKUP(Tabla2[[#This Row],[Unidad de producción]],Tabla3[Medida],Tabla3[Equivalencia en Kg],"ELVIS",0)</f>
        <v>111.033233512401</v>
      </c>
      <c r="J734" s="2" t="n">
        <v>666.25</v>
      </c>
      <c r="K734" s="2" t="s">
        <v>19</v>
      </c>
      <c r="L734" s="2" t="n">
        <f aca="false">J734/_xlfn.XLOOKUP(Tabla2[[#This Row],[Unidad de precio]],Tabla3[Medida],Tabla3[Equivalencia en Kg],"ELVIS",0)</f>
        <v>6.05681818181818</v>
      </c>
      <c r="M734" s="2" t="n">
        <v>4807.32</v>
      </c>
      <c r="N734" s="3" t="n">
        <f aca="false">(Tabla2[[#This Row],[Productividad (kg/TAS)]]*Tabla2[[#This Row],[Precio por kg]]-Tabla2[[#This Row],[Costos (En RD$/Tarea)]])</f>
        <v>-4134.81189247602</v>
      </c>
      <c r="O734" s="9" t="n">
        <f aca="false">IF(Tabla2[[#This Row],[Costos (En RD$/Tarea)]]=0,0,Tabla2[[#This Row],[Beneficio Neto  (En RD$/Tarea)]]/Tabla2[[#This Row],[Costos (En RD$/Tarea)]])</f>
        <v>-0.860107480358292</v>
      </c>
      <c r="P734" s="7" t="n">
        <f aca="false">Tabla2[[#This Row],[Rentabilidad (%)]]/12</f>
        <v>-0.071675623363191</v>
      </c>
    </row>
    <row r="735" customFormat="false" ht="14.25" hidden="false" customHeight="false" outlineLevel="0" collapsed="false">
      <c r="A735" s="1" t="n">
        <v>38384</v>
      </c>
      <c r="B735" s="2" t="s">
        <v>20</v>
      </c>
      <c r="C735" s="3" t="n">
        <v>23607</v>
      </c>
      <c r="D735" s="8" t="s">
        <v>17</v>
      </c>
      <c r="E735" s="3" t="n">
        <f aca="false">IF(Tabla2[[#This Row],[Frecuencia]]="Annual", Tabla2[[#This Row],[Cosecha/Tarea]]/12,Tabla2[[#This Row],[Cosecha/Tarea]])</f>
        <v>23607</v>
      </c>
      <c r="F735" s="3" t="n">
        <v>42539</v>
      </c>
      <c r="G735" s="2" t="s">
        <v>18</v>
      </c>
      <c r="H735" s="2" t="n">
        <f aca="false">F735/Tabla2[[#This Row],[Cosecha Mensual]]</f>
        <v>1.80196551870208</v>
      </c>
      <c r="I735" s="2" t="n">
        <f aca="false">H735*_xlfn.XLOOKUP(Tabla2[[#This Row],[Unidad de producción]],Tabla3[Medida],Tabla3[Equivalencia en Kg],"ELVIS",0)</f>
        <v>81.7371559283264</v>
      </c>
      <c r="J735" s="2" t="n">
        <v>364.488</v>
      </c>
      <c r="K735" s="2" t="s">
        <v>18</v>
      </c>
      <c r="L735" s="2" t="n">
        <f aca="false">J735/_xlfn.XLOOKUP(Tabla2[[#This Row],[Unidad de precio]],Tabla3[Medida],Tabla3[Equivalencia en Kg],"ELVIS",0)</f>
        <v>8.03544973544974</v>
      </c>
      <c r="M735" s="2" t="n">
        <v>1327.7</v>
      </c>
      <c r="N735" s="3" t="n">
        <f aca="false">(Tabla2[[#This Row],[Productividad (kg/TAS)]]*Tabla2[[#This Row],[Precio por kg]]-Tabla2[[#This Row],[Costos (En RD$/Tarea)]])</f>
        <v>-670.905192019316</v>
      </c>
      <c r="O735" s="9" t="n">
        <f aca="false">IF(Tabla2[[#This Row],[Costos (En RD$/Tarea)]]=0,0,Tabla2[[#This Row],[Beneficio Neto  (En RD$/Tarea)]]/Tabla2[[#This Row],[Costos (En RD$/Tarea)]])</f>
        <v>-0.505313845009653</v>
      </c>
      <c r="P735" s="7" t="n">
        <f aca="false">Tabla2[[#This Row],[Rentabilidad (%)]]/12</f>
        <v>-0.0421094870841378</v>
      </c>
    </row>
    <row r="736" customFormat="false" ht="14.25" hidden="false" customHeight="false" outlineLevel="0" collapsed="false">
      <c r="A736" s="1" t="n">
        <v>38384</v>
      </c>
      <c r="B736" s="2" t="s">
        <v>21</v>
      </c>
      <c r="C736" s="3" t="n">
        <v>6255</v>
      </c>
      <c r="D736" s="8" t="s">
        <v>17</v>
      </c>
      <c r="E736" s="3" t="n">
        <f aca="false">IF(Tabla2[[#This Row],[Frecuencia]]="Annual", Tabla2[[#This Row],[Cosecha/Tarea]]/12,Tabla2[[#This Row],[Cosecha/Tarea]])</f>
        <v>6255</v>
      </c>
      <c r="F736" s="3" t="n">
        <v>53118</v>
      </c>
      <c r="G736" s="2" t="s">
        <v>18</v>
      </c>
      <c r="H736" s="2" t="n">
        <f aca="false">F736/Tabla2[[#This Row],[Cosecha Mensual]]</f>
        <v>8.49208633093525</v>
      </c>
      <c r="I736" s="2" t="n">
        <f aca="false">H736*_xlfn.XLOOKUP(Tabla2[[#This Row],[Unidad de producción]],Tabla3[Medida],Tabla3[Equivalencia en Kg],"ELVIS",0)</f>
        <v>385.201035971223</v>
      </c>
      <c r="J736" s="2" t="n">
        <v>378.566</v>
      </c>
      <c r="K736" s="2" t="s">
        <v>18</v>
      </c>
      <c r="L736" s="2" t="n">
        <f aca="false">J736/_xlfn.XLOOKUP(Tabla2[[#This Row],[Unidad de precio]],Tabla3[Medida],Tabla3[Equivalencia en Kg],"ELVIS",0)</f>
        <v>8.34581128747795</v>
      </c>
      <c r="M736" s="2" t="n">
        <v>2092.86</v>
      </c>
      <c r="N736" s="3" t="n">
        <f aca="false">(Tabla2[[#This Row],[Productividad (kg/TAS)]]*Tabla2[[#This Row],[Precio por kg]]-Tabla2[[#This Row],[Costos (En RD$/Tarea)]])</f>
        <v>1121.95515395683</v>
      </c>
      <c r="O736" s="9" t="n">
        <f aca="false">IF(Tabla2[[#This Row],[Costos (En RD$/Tarea)]]=0,0,Tabla2[[#This Row],[Beneficio Neto  (En RD$/Tarea)]]/Tabla2[[#This Row],[Costos (En RD$/Tarea)]])</f>
        <v>0.536087055014112</v>
      </c>
      <c r="P736" s="7" t="n">
        <f aca="false">Tabla2[[#This Row],[Rentabilidad (%)]]/12</f>
        <v>0.044673921251176</v>
      </c>
    </row>
    <row r="737" customFormat="false" ht="14.25" hidden="false" customHeight="false" outlineLevel="0" collapsed="false">
      <c r="A737" s="1" t="n">
        <v>38384</v>
      </c>
      <c r="B737" s="2" t="s">
        <v>22</v>
      </c>
      <c r="C737" s="3" t="n">
        <v>3548</v>
      </c>
      <c r="D737" s="8" t="s">
        <v>17</v>
      </c>
      <c r="E737" s="3" t="n">
        <f aca="false">IF(Tabla2[[#This Row],[Frecuencia]]="Annual", Tabla2[[#This Row],[Cosecha/Tarea]]/12,Tabla2[[#This Row],[Cosecha/Tarea]])</f>
        <v>3548</v>
      </c>
      <c r="F737" s="3" t="n">
        <v>23269</v>
      </c>
      <c r="G737" s="2" t="s">
        <v>18</v>
      </c>
      <c r="H737" s="2" t="n">
        <f aca="false">F737/Tabla2[[#This Row],[Cosecha Mensual]]</f>
        <v>6.55834272829763</v>
      </c>
      <c r="I737" s="2" t="n">
        <f aca="false">H737*_xlfn.XLOOKUP(Tabla2[[#This Row],[Unidad de producción]],Tabla3[Medida],Tabla3[Equivalencia en Kg],"ELVIS",0)</f>
        <v>297.486426155581</v>
      </c>
      <c r="J737" s="2" t="n">
        <v>590</v>
      </c>
      <c r="K737" s="2" t="s">
        <v>18</v>
      </c>
      <c r="L737" s="2" t="n">
        <f aca="false">J737/_xlfn.XLOOKUP(Tabla2[[#This Row],[Unidad de precio]],Tabla3[Medida],Tabla3[Equivalencia en Kg],"ELVIS",0)</f>
        <v>13.0070546737213</v>
      </c>
      <c r="M737" s="2" t="n">
        <v>5853.83</v>
      </c>
      <c r="N737" s="3" t="n">
        <f aca="false">(Tabla2[[#This Row],[Productividad (kg/TAS)]]*Tabla2[[#This Row],[Precio por kg]]-Tabla2[[#This Row],[Costos (En RD$/Tarea)]])</f>
        <v>-1984.4077903044</v>
      </c>
      <c r="O737" s="9" t="n">
        <f aca="false">IF(Tabla2[[#This Row],[Costos (En RD$/Tarea)]]=0,0,Tabla2[[#This Row],[Beneficio Neto  (En RD$/Tarea)]]/Tabla2[[#This Row],[Costos (En RD$/Tarea)]])</f>
        <v>-0.338993067838389</v>
      </c>
      <c r="P737" s="7" t="n">
        <f aca="false">Tabla2[[#This Row],[Rentabilidad (%)]]/12</f>
        <v>-0.0282494223198658</v>
      </c>
    </row>
    <row r="738" customFormat="false" ht="14.25" hidden="false" customHeight="false" outlineLevel="0" collapsed="false">
      <c r="A738" s="1" t="n">
        <v>38384</v>
      </c>
      <c r="B738" s="2" t="s">
        <v>23</v>
      </c>
      <c r="C738" s="3" t="n">
        <v>2569</v>
      </c>
      <c r="D738" s="8" t="s">
        <v>17</v>
      </c>
      <c r="E738" s="3" t="n">
        <f aca="false">IF(Tabla2[[#This Row],[Frecuencia]]="Annual", Tabla2[[#This Row],[Cosecha/Tarea]]/12,Tabla2[[#This Row],[Cosecha/Tarea]])</f>
        <v>2569</v>
      </c>
      <c r="F738" s="3" t="n">
        <v>85687</v>
      </c>
      <c r="G738" s="2" t="s">
        <v>18</v>
      </c>
      <c r="H738" s="2" t="n">
        <f aca="false">F738/Tabla2[[#This Row],[Cosecha Mensual]]</f>
        <v>33.3542234332425</v>
      </c>
      <c r="I738" s="2" t="n">
        <f aca="false">H738*_xlfn.XLOOKUP(Tabla2[[#This Row],[Unidad de producción]],Tabla3[Medida],Tabla3[Equivalencia en Kg],"ELVIS",0)</f>
        <v>1512.94757493188</v>
      </c>
      <c r="J738" s="2" t="n">
        <v>325</v>
      </c>
      <c r="K738" s="2" t="s">
        <v>18</v>
      </c>
      <c r="L738" s="2" t="n">
        <f aca="false">J738/_xlfn.XLOOKUP(Tabla2[[#This Row],[Unidad de precio]],Tabla3[Medida],Tabla3[Equivalencia en Kg],"ELVIS",0)</f>
        <v>7.16490299823633</v>
      </c>
      <c r="M738" s="2" t="n">
        <v>10163.53</v>
      </c>
      <c r="N738" s="3" t="n">
        <f aca="false">(Tabla2[[#This Row],[Productividad (kg/TAS)]]*Tabla2[[#This Row],[Precio por kg]]-Tabla2[[#This Row],[Costos (En RD$/Tarea)]])</f>
        <v>676.592615803815</v>
      </c>
      <c r="O738" s="9" t="n">
        <f aca="false">IF(Tabla2[[#This Row],[Costos (En RD$/Tarea)]]=0,0,Tabla2[[#This Row],[Beneficio Neto  (En RD$/Tarea)]]/Tabla2[[#This Row],[Costos (En RD$/Tarea)]])</f>
        <v>0.0665706320347177</v>
      </c>
      <c r="P738" s="7" t="n">
        <f aca="false">Tabla2[[#This Row],[Rentabilidad (%)]]/12</f>
        <v>0.00554755266955981</v>
      </c>
    </row>
    <row r="739" customFormat="false" ht="14.25" hidden="false" customHeight="false" outlineLevel="0" collapsed="false">
      <c r="A739" s="1" t="n">
        <v>38384</v>
      </c>
      <c r="B739" s="2" t="s">
        <v>24</v>
      </c>
      <c r="C739" s="3" t="n">
        <v>9724</v>
      </c>
      <c r="D739" s="8" t="s">
        <v>17</v>
      </c>
      <c r="E739" s="3" t="n">
        <f aca="false">IF(Tabla2[[#This Row],[Frecuencia]]="Annual", Tabla2[[#This Row],[Cosecha/Tarea]]/12,Tabla2[[#This Row],[Cosecha/Tarea]])</f>
        <v>9724</v>
      </c>
      <c r="F739" s="3" t="n">
        <v>91305</v>
      </c>
      <c r="G739" s="2" t="s">
        <v>18</v>
      </c>
      <c r="H739" s="2" t="n">
        <f aca="false">F739/Tabla2[[#This Row],[Cosecha Mensual]]</f>
        <v>9.38965446318388</v>
      </c>
      <c r="I739" s="2" t="n">
        <f aca="false">H739*_xlfn.XLOOKUP(Tabla2[[#This Row],[Unidad de producción]],Tabla3[Medida],Tabla3[Equivalencia en Kg],"ELVIS",0)</f>
        <v>425.914726450021</v>
      </c>
      <c r="J739" s="2" t="n">
        <v>747.2075</v>
      </c>
      <c r="K739" s="2" t="s">
        <v>18</v>
      </c>
      <c r="L739" s="2" t="n">
        <f aca="false">J739/_xlfn.XLOOKUP(Tabla2[[#This Row],[Unidad de precio]],Tabla3[Medida],Tabla3[Equivalencia en Kg],"ELVIS",0)</f>
        <v>16.4728284832452</v>
      </c>
      <c r="M739" s="2" t="n">
        <v>4680.83</v>
      </c>
      <c r="N739" s="3" t="n">
        <f aca="false">(Tabla2[[#This Row],[Productividad (kg/TAS)]]*Tabla2[[#This Row],[Precio por kg]]-Tabla2[[#This Row],[Costos (En RD$/Tarea)]])</f>
        <v>2335.19023729946</v>
      </c>
      <c r="O739" s="9" t="n">
        <f aca="false">IF(Tabla2[[#This Row],[Costos (En RD$/Tarea)]]=0,0,Tabla2[[#This Row],[Beneficio Neto  (En RD$/Tarea)]]/Tabla2[[#This Row],[Costos (En RD$/Tarea)]])</f>
        <v>0.498883795672875</v>
      </c>
      <c r="P739" s="7" t="n">
        <f aca="false">Tabla2[[#This Row],[Rentabilidad (%)]]/12</f>
        <v>0.0415736496394063</v>
      </c>
    </row>
    <row r="740" customFormat="false" ht="14.25" hidden="false" customHeight="false" outlineLevel="0" collapsed="false">
      <c r="A740" s="1" t="n">
        <v>38384</v>
      </c>
      <c r="B740" s="2" t="s">
        <v>25</v>
      </c>
      <c r="C740" s="3" t="n">
        <v>21380</v>
      </c>
      <c r="D740" s="8" t="s">
        <v>17</v>
      </c>
      <c r="E740" s="3" t="n">
        <f aca="false">IF(Tabla2[[#This Row],[Frecuencia]]="Annual", Tabla2[[#This Row],[Cosecha/Tarea]]/12,Tabla2[[#This Row],[Cosecha/Tarea]])</f>
        <v>21380</v>
      </c>
      <c r="F740" s="3" t="n">
        <v>199179</v>
      </c>
      <c r="G740" s="2" t="s">
        <v>18</v>
      </c>
      <c r="H740" s="2" t="n">
        <f aca="false">F740/Tabla2[[#This Row],[Cosecha Mensual]]</f>
        <v>9.31613657623948</v>
      </c>
      <c r="I740" s="2" t="n">
        <f aca="false">H740*_xlfn.XLOOKUP(Tabla2[[#This Row],[Unidad de producción]],Tabla3[Medida],Tabla3[Equivalencia en Kg],"ELVIS",0)</f>
        <v>422.579955098223</v>
      </c>
      <c r="J740" s="2" t="n">
        <v>436.9035</v>
      </c>
      <c r="K740" s="2" t="s">
        <v>18</v>
      </c>
      <c r="L740" s="2" t="n">
        <f aca="false">J740/_xlfn.XLOOKUP(Tabla2[[#This Row],[Unidad de precio]],Tabla3[Medida],Tabla3[Equivalencia en Kg],"ELVIS",0)</f>
        <v>9.63191137566138</v>
      </c>
      <c r="M740" s="2" t="n">
        <v>2314.215</v>
      </c>
      <c r="N740" s="3" t="n">
        <f aca="false">(Tabla2[[#This Row],[Productividad (kg/TAS)]]*Tabla2[[#This Row],[Precio por kg]]-Tabla2[[#This Row],[Costos (En RD$/Tarea)]])</f>
        <v>1756.03767663704</v>
      </c>
      <c r="O740" s="9" t="n">
        <f aca="false">IF(Tabla2[[#This Row],[Costos (En RD$/Tarea)]]=0,0,Tabla2[[#This Row],[Beneficio Neto  (En RD$/Tarea)]]/Tabla2[[#This Row],[Costos (En RD$/Tarea)]])</f>
        <v>0.758804897832329</v>
      </c>
      <c r="P740" s="7" t="n">
        <f aca="false">Tabla2[[#This Row],[Rentabilidad (%)]]/12</f>
        <v>0.0632337414860274</v>
      </c>
    </row>
    <row r="741" customFormat="false" ht="14.25" hidden="false" customHeight="false" outlineLevel="0" collapsed="false">
      <c r="A741" s="1" t="n">
        <v>38384</v>
      </c>
      <c r="B741" s="2" t="s">
        <v>26</v>
      </c>
      <c r="C741" s="3" t="n">
        <v>9769</v>
      </c>
      <c r="D741" s="8" t="s">
        <v>17</v>
      </c>
      <c r="E741" s="3" t="n">
        <f aca="false">IF(Tabla2[[#This Row],[Frecuencia]]="Annual", Tabla2[[#This Row],[Cosecha/Tarea]]/12,Tabla2[[#This Row],[Cosecha/Tarea]])</f>
        <v>9769</v>
      </c>
      <c r="F741" s="3" t="n">
        <v>69493</v>
      </c>
      <c r="G741" s="2" t="s">
        <v>18</v>
      </c>
      <c r="H741" s="2" t="n">
        <f aca="false">F741/Tabla2[[#This Row],[Cosecha Mensual]]</f>
        <v>7.11362473129287</v>
      </c>
      <c r="I741" s="2" t="n">
        <f aca="false">H741*_xlfn.XLOOKUP(Tabla2[[#This Row],[Unidad de producción]],Tabla3[Medida],Tabla3[Equivalencia en Kg],"ELVIS",0)</f>
        <v>322.674017811444</v>
      </c>
      <c r="J741" s="2" t="n">
        <v>400</v>
      </c>
      <c r="K741" s="2" t="s">
        <v>18</v>
      </c>
      <c r="L741" s="2" t="n">
        <f aca="false">J741/_xlfn.XLOOKUP(Tabla2[[#This Row],[Unidad de precio]],Tabla3[Medida],Tabla3[Equivalencia en Kg],"ELVIS",0)</f>
        <v>8.81834215167549</v>
      </c>
      <c r="M741" s="2" t="n">
        <v>906.4</v>
      </c>
      <c r="N741" s="3" t="n">
        <f aca="false">(Tabla2[[#This Row],[Productividad (kg/TAS)]]*Tabla2[[#This Row],[Precio por kg]]-Tabla2[[#This Row],[Costos (En RD$/Tarea)]])</f>
        <v>1939.04989251715</v>
      </c>
      <c r="O741" s="9" t="n">
        <f aca="false">IF(Tabla2[[#This Row],[Costos (En RD$/Tarea)]]=0,0,Tabla2[[#This Row],[Beneficio Neto  (En RD$/Tarea)]]/Tabla2[[#This Row],[Costos (En RD$/Tarea)]])</f>
        <v>2.13928717179738</v>
      </c>
      <c r="P741" s="7" t="n">
        <f aca="false">Tabla2[[#This Row],[Rentabilidad (%)]]/12</f>
        <v>0.178273930983115</v>
      </c>
    </row>
    <row r="742" customFormat="false" ht="14.25" hidden="false" customHeight="false" outlineLevel="0" collapsed="false">
      <c r="A742" s="1" t="n">
        <v>38384</v>
      </c>
      <c r="B742" s="2" t="s">
        <v>27</v>
      </c>
      <c r="C742" s="3" t="n">
        <v>4807</v>
      </c>
      <c r="D742" s="8" t="s">
        <v>17</v>
      </c>
      <c r="E742" s="3" t="n">
        <f aca="false">IF(Tabla2[[#This Row],[Frecuencia]]="Annual", Tabla2[[#This Row],[Cosecha/Tarea]]/12,Tabla2[[#This Row],[Cosecha/Tarea]])</f>
        <v>4807</v>
      </c>
      <c r="F742" s="3" t="n">
        <v>54187</v>
      </c>
      <c r="G742" s="2" t="s">
        <v>18</v>
      </c>
      <c r="H742" s="2" t="n">
        <f aca="false">F742/Tabla2[[#This Row],[Cosecha Mensual]]</f>
        <v>11.272519242771</v>
      </c>
      <c r="I742" s="2" t="n">
        <f aca="false">H742*_xlfn.XLOOKUP(Tabla2[[#This Row],[Unidad de producción]],Tabla3[Medida],Tabla3[Equivalencia en Kg],"ELVIS",0)</f>
        <v>511.321472852091</v>
      </c>
      <c r="J742" s="2" t="n">
        <v>199.687533333334</v>
      </c>
      <c r="K742" s="2" t="s">
        <v>18</v>
      </c>
      <c r="L742" s="2" t="n">
        <f aca="false">J742/_xlfn.XLOOKUP(Tabla2[[#This Row],[Unidad de precio]],Tabla3[Medida],Tabla3[Equivalencia en Kg],"ELVIS",0)</f>
        <v>4.40228248089361</v>
      </c>
      <c r="M742" s="2" t="n">
        <v>5157.39</v>
      </c>
      <c r="N742" s="3" t="n">
        <f aca="false">(Tabla2[[#This Row],[Productividad (kg/TAS)]]*Tabla2[[#This Row],[Precio por kg]]-Tabla2[[#This Row],[Costos (En RD$/Tarea)]])</f>
        <v>-2906.40843795853</v>
      </c>
      <c r="O742" s="9" t="n">
        <f aca="false">IF(Tabla2[[#This Row],[Costos (En RD$/Tarea)]]=0,0,Tabla2[[#This Row],[Beneficio Neto  (En RD$/Tarea)]]/Tabla2[[#This Row],[Costos (En RD$/Tarea)]])</f>
        <v>-0.563542496875072</v>
      </c>
      <c r="P742" s="7" t="n">
        <f aca="false">Tabla2[[#This Row],[Rentabilidad (%)]]/12</f>
        <v>-0.0469618747395893</v>
      </c>
    </row>
    <row r="743" customFormat="false" ht="14.25" hidden="false" customHeight="false" outlineLevel="0" collapsed="false">
      <c r="A743" s="1" t="n">
        <v>38384</v>
      </c>
      <c r="B743" s="2" t="s">
        <v>28</v>
      </c>
      <c r="C743" s="3" t="n">
        <v>23779</v>
      </c>
      <c r="D743" s="8" t="s">
        <v>17</v>
      </c>
      <c r="E743" s="3" t="n">
        <f aca="false">IF(Tabla2[[#This Row],[Frecuencia]]="Annual", Tabla2[[#This Row],[Cosecha/Tarea]]/12,Tabla2[[#This Row],[Cosecha/Tarea]])</f>
        <v>23779</v>
      </c>
      <c r="F743" s="3" t="n">
        <v>16611</v>
      </c>
      <c r="G743" s="2" t="s">
        <v>29</v>
      </c>
      <c r="H743" s="2" t="n">
        <f aca="false">F743/Tabla2[[#This Row],[Cosecha Mensual]]</f>
        <v>0.6985575507801</v>
      </c>
      <c r="I743" s="2" t="n">
        <f aca="false">H743*_xlfn.XLOOKUP(Tabla2[[#This Row],[Unidad de producción]],Tabla3[Medida],Tabla3[Equivalencia en Kg],"ELVIS",0)</f>
        <v>392.826853105682</v>
      </c>
      <c r="J743" s="2" t="n">
        <v>4000</v>
      </c>
      <c r="K743" s="2" t="s">
        <v>29</v>
      </c>
      <c r="L743" s="2" t="n">
        <f aca="false">J743/_xlfn.XLOOKUP(Tabla2[[#This Row],[Unidad de precio]],Tabla3[Medida],Tabla3[Equivalencia en Kg],"ELVIS",0)</f>
        <v>7.11313440267454</v>
      </c>
      <c r="M743" s="2" t="n">
        <v>9027.66</v>
      </c>
      <c r="N743" s="3" t="n">
        <f aca="false">(Tabla2[[#This Row],[Productividad (kg/TAS)]]*Tabla2[[#This Row],[Precio por kg]]-Tabla2[[#This Row],[Costos (En RD$/Tarea)]])</f>
        <v>-6233.4297968796</v>
      </c>
      <c r="O743" s="9" t="n">
        <f aca="false">IF(Tabla2[[#This Row],[Costos (En RD$/Tarea)]]=0,0,Tabla2[[#This Row],[Beneficio Neto  (En RD$/Tarea)]]/Tabla2[[#This Row],[Costos (En RD$/Tarea)]])</f>
        <v>-0.690481231778733</v>
      </c>
      <c r="P743" s="7" t="n">
        <f aca="false">Tabla2[[#This Row],[Rentabilidad (%)]]/12</f>
        <v>-0.0575401026482278</v>
      </c>
    </row>
    <row r="744" customFormat="false" ht="14.25" hidden="false" customHeight="false" outlineLevel="0" collapsed="false">
      <c r="A744" s="1" t="n">
        <v>38384</v>
      </c>
      <c r="B744" s="2" t="s">
        <v>30</v>
      </c>
      <c r="C744" s="3" t="n">
        <v>249238</v>
      </c>
      <c r="D744" s="3" t="s">
        <v>31</v>
      </c>
      <c r="E744" s="3" t="n">
        <f aca="false">IF(Tabla2[[#This Row],[Frecuencia]]="Annual", Tabla2[[#This Row],[Cosecha/Tarea]]/12,Tabla2[[#This Row],[Cosecha/Tarea]])</f>
        <v>20769.8333333333</v>
      </c>
      <c r="F744" s="3" t="n">
        <v>1735952</v>
      </c>
      <c r="G744" s="2" t="s">
        <v>32</v>
      </c>
      <c r="H744" s="2" t="n">
        <f aca="false">F744/Tabla2[[#This Row],[Cosecha Mensual]]</f>
        <v>83.5804492091896</v>
      </c>
      <c r="I744" s="2" t="n">
        <f aca="false">H744*_xlfn.XLOOKUP(Tabla2[[#This Row],[Unidad de producción]],Tabla3[Medida],Tabla3[Equivalencia en Kg],"ELVIS",0)</f>
        <v>2274.22402298205</v>
      </c>
      <c r="J744" s="2" t="n">
        <v>74.445</v>
      </c>
      <c r="K744" s="2" t="s">
        <v>32</v>
      </c>
      <c r="L744" s="2" t="n">
        <f aca="false">J744/_xlfn.XLOOKUP(Tabla2[[#This Row],[Unidad de precio]],Tabla3[Medida],Tabla3[Equivalencia en Kg],"ELVIS",0)</f>
        <v>2.73594266813671</v>
      </c>
      <c r="M744" s="3" t="n">
        <v>7918.62</v>
      </c>
      <c r="N744" s="3" t="n">
        <f aca="false">(Tabla2[[#This Row],[Productividad (kg/TAS)]]*Tabla2[[#This Row],[Precio por kg]]-Tabla2[[#This Row],[Costos (En RD$/Tarea)]])</f>
        <v>-1696.47345862188</v>
      </c>
      <c r="O744" s="9" t="n">
        <f aca="false">IF(Tabla2[[#This Row],[Costos (En RD$/Tarea)]]=0,0,Tabla2[[#This Row],[Beneficio Neto  (En RD$/Tarea)]]/Tabla2[[#This Row],[Costos (En RD$/Tarea)]])</f>
        <v>-0.214238523710177</v>
      </c>
      <c r="P744" s="7" t="n">
        <f aca="false">Tabla2[[#This Row],[Rentabilidad (%)]]/12</f>
        <v>-0.0178532103091814</v>
      </c>
    </row>
    <row r="745" customFormat="false" ht="14.25" hidden="false" customHeight="false" outlineLevel="0" collapsed="false">
      <c r="A745" s="1" t="n">
        <v>38384</v>
      </c>
      <c r="B745" s="2" t="s">
        <v>33</v>
      </c>
      <c r="C745" s="3" t="n">
        <v>624404</v>
      </c>
      <c r="D745" s="3" t="s">
        <v>31</v>
      </c>
      <c r="E745" s="3" t="n">
        <f aca="false">IF(Tabla2[[#This Row],[Frecuencia]]="Annual", Tabla2[[#This Row],[Cosecha/Tarea]]/12,Tabla2[[#This Row],[Cosecha/Tarea]])</f>
        <v>52033.6666666667</v>
      </c>
      <c r="F745" s="3" t="n">
        <v>89313</v>
      </c>
      <c r="G745" s="2" t="s">
        <v>34</v>
      </c>
      <c r="H745" s="2" t="n">
        <f aca="false">F745/Tabla2[[#This Row],[Cosecha Mensual]]</f>
        <v>1.71644640329018</v>
      </c>
      <c r="I745" s="2" t="n">
        <f aca="false">H745*_xlfn.XLOOKUP(Tabla2[[#This Row],[Unidad de producción]],Tabla3[Medida],Tabla3[Equivalencia en Kg],"ELVIS",0)</f>
        <v>700.567599502886</v>
      </c>
      <c r="J745" s="2" t="n">
        <v>4050.4175</v>
      </c>
      <c r="K745" s="2" t="s">
        <v>34</v>
      </c>
      <c r="L745" s="2" t="n">
        <f aca="false">J745/_xlfn.XLOOKUP(Tabla2[[#This Row],[Unidad de precio]],Tabla3[Medida],Tabla3[Equivalencia en Kg],"ELVIS",0)</f>
        <v>9.9238453999755</v>
      </c>
      <c r="M745" s="3" t="n">
        <v>9928.24</v>
      </c>
      <c r="N745" s="3" t="n">
        <f aca="false">(Tabla2[[#This Row],[Productividad (kg/TAS)]]*Tabla2[[#This Row],[Precio por kg]]-Tabla2[[#This Row],[Costos (En RD$/Tarea)]])</f>
        <v>-2975.91545030141</v>
      </c>
      <c r="O745" s="9" t="n">
        <f aca="false">IF(Tabla2[[#This Row],[Costos (En RD$/Tarea)]]=0,0,Tabla2[[#This Row],[Beneficio Neto  (En RD$/Tarea)]]/Tabla2[[#This Row],[Costos (En RD$/Tarea)]])</f>
        <v>-0.299742497189976</v>
      </c>
      <c r="P745" s="7" t="n">
        <f aca="false">Tabla2[[#This Row],[Rentabilidad (%)]]/12</f>
        <v>-0.024978541432498</v>
      </c>
    </row>
    <row r="746" customFormat="false" ht="14.25" hidden="false" customHeight="false" outlineLevel="0" collapsed="false">
      <c r="A746" s="1" t="n">
        <v>38412</v>
      </c>
      <c r="B746" s="2" t="s">
        <v>16</v>
      </c>
      <c r="C746" s="3" t="n">
        <v>3023</v>
      </c>
      <c r="D746" s="8" t="s">
        <v>17</v>
      </c>
      <c r="E746" s="3" t="n">
        <f aca="false">IF(Tabla2[[#This Row],[Frecuencia]]="Annual", Tabla2[[#This Row],[Cosecha/Tarea]]/12,Tabla2[[#This Row],[Cosecha/Tarea]])</f>
        <v>3023</v>
      </c>
      <c r="F746" s="3" t="n">
        <v>7934</v>
      </c>
      <c r="G746" s="2" t="s">
        <v>18</v>
      </c>
      <c r="H746" s="2" t="n">
        <f aca="false">F746/Tabla2[[#This Row],[Cosecha Mensual]]</f>
        <v>2.62454515382071</v>
      </c>
      <c r="I746" s="2" t="n">
        <f aca="false">H746*_xlfn.XLOOKUP(Tabla2[[#This Row],[Unidad de producción]],Tabla3[Medida],Tabla3[Equivalencia en Kg],"ELVIS",0)</f>
        <v>119.049368177307</v>
      </c>
      <c r="J746" s="2" t="n">
        <v>794.723333333333</v>
      </c>
      <c r="K746" s="2" t="s">
        <v>19</v>
      </c>
      <c r="L746" s="2" t="n">
        <f aca="false">J746/_xlfn.XLOOKUP(Tabla2[[#This Row],[Unidad de precio]],Tabla3[Medida],Tabla3[Equivalencia en Kg],"ELVIS",0)</f>
        <v>7.22475757575757</v>
      </c>
      <c r="M746" s="2" t="n">
        <v>4807.32</v>
      </c>
      <c r="N746" s="3" t="n">
        <f aca="false">(Tabla2[[#This Row],[Productividad (kg/TAS)]]*Tabla2[[#This Row],[Precio por kg]]-Tabla2[[#This Row],[Costos (En RD$/Tarea)]])</f>
        <v>-3947.21717537185</v>
      </c>
      <c r="O746" s="9" t="n">
        <f aca="false">IF(Tabla2[[#This Row],[Costos (En RD$/Tarea)]]=0,0,Tabla2[[#This Row],[Beneficio Neto  (En RD$/Tarea)]]/Tabla2[[#This Row],[Costos (En RD$/Tarea)]])</f>
        <v>-0.821084757280948</v>
      </c>
      <c r="P746" s="7" t="n">
        <f aca="false">Tabla2[[#This Row],[Rentabilidad (%)]]/12</f>
        <v>-0.0684237297734123</v>
      </c>
    </row>
    <row r="747" customFormat="false" ht="14.25" hidden="false" customHeight="false" outlineLevel="0" collapsed="false">
      <c r="A747" s="1" t="n">
        <v>38412</v>
      </c>
      <c r="B747" s="2" t="s">
        <v>20</v>
      </c>
      <c r="C747" s="3" t="n">
        <v>18692</v>
      </c>
      <c r="D747" s="8" t="s">
        <v>17</v>
      </c>
      <c r="E747" s="3" t="n">
        <f aca="false">IF(Tabla2[[#This Row],[Frecuencia]]="Annual", Tabla2[[#This Row],[Cosecha/Tarea]]/12,Tabla2[[#This Row],[Cosecha/Tarea]])</f>
        <v>18692</v>
      </c>
      <c r="F747" s="3" t="n">
        <v>31074</v>
      </c>
      <c r="G747" s="2" t="s">
        <v>18</v>
      </c>
      <c r="H747" s="2" t="n">
        <f aca="false">F747/Tabla2[[#This Row],[Cosecha Mensual]]</f>
        <v>1.66242242670661</v>
      </c>
      <c r="I747" s="2" t="n">
        <f aca="false">H747*_xlfn.XLOOKUP(Tabla2[[#This Row],[Unidad de producción]],Tabla3[Medida],Tabla3[Equivalencia en Kg],"ELVIS",0)</f>
        <v>75.4074812754119</v>
      </c>
      <c r="J747" s="2" t="n">
        <v>403.463333333333</v>
      </c>
      <c r="K747" s="2" t="s">
        <v>18</v>
      </c>
      <c r="L747" s="2" t="n">
        <f aca="false">J747/_xlfn.XLOOKUP(Tabla2[[#This Row],[Unidad de precio]],Tabla3[Medida],Tabla3[Equivalencia en Kg],"ELVIS",0)</f>
        <v>8.89469429747207</v>
      </c>
      <c r="M747" s="2" t="n">
        <v>1327.7</v>
      </c>
      <c r="N747" s="3" t="n">
        <f aca="false">(Tabla2[[#This Row],[Productividad (kg/TAS)]]*Tabla2[[#This Row],[Precio por kg]]-Tabla2[[#This Row],[Costos (En RD$/Tarea)]])</f>
        <v>-656.973506312862</v>
      </c>
      <c r="O747" s="9" t="n">
        <f aca="false">IF(Tabla2[[#This Row],[Costos (En RD$/Tarea)]]=0,0,Tabla2[[#This Row],[Beneficio Neto  (En RD$/Tarea)]]/Tabla2[[#This Row],[Costos (En RD$/Tarea)]])</f>
        <v>-0.494820747392379</v>
      </c>
      <c r="P747" s="7" t="n">
        <f aca="false">Tabla2[[#This Row],[Rentabilidad (%)]]/12</f>
        <v>-0.0412350622826983</v>
      </c>
    </row>
    <row r="748" customFormat="false" ht="14.25" hidden="false" customHeight="false" outlineLevel="0" collapsed="false">
      <c r="A748" s="1" t="n">
        <v>38412</v>
      </c>
      <c r="B748" s="2" t="s">
        <v>21</v>
      </c>
      <c r="C748" s="3" t="n">
        <v>8333</v>
      </c>
      <c r="D748" s="8" t="s">
        <v>17</v>
      </c>
      <c r="E748" s="3" t="n">
        <f aca="false">IF(Tabla2[[#This Row],[Frecuencia]]="Annual", Tabla2[[#This Row],[Cosecha/Tarea]]/12,Tabla2[[#This Row],[Cosecha/Tarea]])</f>
        <v>8333</v>
      </c>
      <c r="F748" s="3" t="n">
        <v>74724</v>
      </c>
      <c r="G748" s="2" t="s">
        <v>18</v>
      </c>
      <c r="H748" s="2" t="n">
        <f aca="false">F748/Tabla2[[#This Row],[Cosecha Mensual]]</f>
        <v>8.96723868954758</v>
      </c>
      <c r="I748" s="2" t="n">
        <f aca="false">H748*_xlfn.XLOOKUP(Tabla2[[#This Row],[Unidad de producción]],Tabla3[Medida],Tabla3[Equivalencia en Kg],"ELVIS",0)</f>
        <v>406.753946957878</v>
      </c>
      <c r="J748" s="2" t="n">
        <v>408.046</v>
      </c>
      <c r="K748" s="2" t="s">
        <v>18</v>
      </c>
      <c r="L748" s="2" t="n">
        <f aca="false">J748/_xlfn.XLOOKUP(Tabla2[[#This Row],[Unidad de precio]],Tabla3[Medida],Tabla3[Equivalencia en Kg],"ELVIS",0)</f>
        <v>8.99572310405644</v>
      </c>
      <c r="M748" s="2" t="n">
        <v>2092.86</v>
      </c>
      <c r="N748" s="3" t="n">
        <f aca="false">(Tabla2[[#This Row],[Productividad (kg/TAS)]]*Tabla2[[#This Row],[Precio por kg]]-Tabla2[[#This Row],[Costos (En RD$/Tarea)]])</f>
        <v>1566.18587831513</v>
      </c>
      <c r="O748" s="9" t="n">
        <f aca="false">IF(Tabla2[[#This Row],[Costos (En RD$/Tarea)]]=0,0,Tabla2[[#This Row],[Beneficio Neto  (En RD$/Tarea)]]/Tabla2[[#This Row],[Costos (En RD$/Tarea)]])</f>
        <v>0.748347179608351</v>
      </c>
      <c r="P748" s="7" t="n">
        <f aca="false">Tabla2[[#This Row],[Rentabilidad (%)]]/12</f>
        <v>0.0623622649673626</v>
      </c>
    </row>
    <row r="749" customFormat="false" ht="14.25" hidden="false" customHeight="false" outlineLevel="0" collapsed="false">
      <c r="A749" s="1" t="n">
        <v>38412</v>
      </c>
      <c r="B749" s="2" t="s">
        <v>22</v>
      </c>
      <c r="C749" s="3" t="n">
        <v>6199</v>
      </c>
      <c r="D749" s="8" t="s">
        <v>17</v>
      </c>
      <c r="E749" s="3" t="n">
        <f aca="false">IF(Tabla2[[#This Row],[Frecuencia]]="Annual", Tabla2[[#This Row],[Cosecha/Tarea]]/12,Tabla2[[#This Row],[Cosecha/Tarea]])</f>
        <v>6199</v>
      </c>
      <c r="F749" s="3" t="n">
        <v>50169</v>
      </c>
      <c r="G749" s="2" t="s">
        <v>18</v>
      </c>
      <c r="H749" s="2" t="n">
        <f aca="false">F749/Tabla2[[#This Row],[Cosecha Mensual]]</f>
        <v>8.09307952895628</v>
      </c>
      <c r="I749" s="2" t="n">
        <f aca="false">H749*_xlfn.XLOOKUP(Tabla2[[#This Row],[Unidad de producción]],Tabla3[Medida],Tabla3[Equivalencia en Kg],"ELVIS",0)</f>
        <v>367.102087433457</v>
      </c>
      <c r="J749" s="2" t="n">
        <v>622</v>
      </c>
      <c r="K749" s="2" t="s">
        <v>18</v>
      </c>
      <c r="L749" s="2" t="n">
        <f aca="false">J749/_xlfn.XLOOKUP(Tabla2[[#This Row],[Unidad de precio]],Tabla3[Medida],Tabla3[Equivalencia en Kg],"ELVIS",0)</f>
        <v>13.7125220458554</v>
      </c>
      <c r="M749" s="2" t="n">
        <v>5853.83</v>
      </c>
      <c r="N749" s="3" t="n">
        <f aca="false">(Tabla2[[#This Row],[Productividad (kg/TAS)]]*Tabla2[[#This Row],[Precio por kg]]-Tabla2[[#This Row],[Costos (En RD$/Tarea)]])</f>
        <v>-819.934532989192</v>
      </c>
      <c r="O749" s="9" t="n">
        <f aca="false">IF(Tabla2[[#This Row],[Costos (En RD$/Tarea)]]=0,0,Tabla2[[#This Row],[Beneficio Neto  (En RD$/Tarea)]]/Tabla2[[#This Row],[Costos (En RD$/Tarea)]])</f>
        <v>-0.140068046559123</v>
      </c>
      <c r="P749" s="7" t="n">
        <f aca="false">Tabla2[[#This Row],[Rentabilidad (%)]]/12</f>
        <v>-0.0116723372132603</v>
      </c>
    </row>
    <row r="750" customFormat="false" ht="14.25" hidden="false" customHeight="false" outlineLevel="0" collapsed="false">
      <c r="A750" s="1" t="n">
        <v>38412</v>
      </c>
      <c r="B750" s="2" t="s">
        <v>23</v>
      </c>
      <c r="C750" s="3" t="n">
        <v>4004</v>
      </c>
      <c r="D750" s="8" t="s">
        <v>17</v>
      </c>
      <c r="E750" s="3" t="n">
        <f aca="false">IF(Tabla2[[#This Row],[Frecuencia]]="Annual", Tabla2[[#This Row],[Cosecha/Tarea]]/12,Tabla2[[#This Row],[Cosecha/Tarea]])</f>
        <v>4004</v>
      </c>
      <c r="F750" s="3" t="n">
        <v>126635</v>
      </c>
      <c r="G750" s="2" t="s">
        <v>18</v>
      </c>
      <c r="H750" s="2" t="n">
        <f aca="false">F750/Tabla2[[#This Row],[Cosecha Mensual]]</f>
        <v>31.6271228771229</v>
      </c>
      <c r="I750" s="2" t="n">
        <f aca="false">H750*_xlfn.XLOOKUP(Tabla2[[#This Row],[Unidad de producción]],Tabla3[Medida],Tabla3[Equivalencia en Kg],"ELVIS",0)</f>
        <v>1434.60629370629</v>
      </c>
      <c r="J750" s="2" t="n">
        <v>543.125</v>
      </c>
      <c r="K750" s="2" t="s">
        <v>18</v>
      </c>
      <c r="L750" s="2" t="n">
        <f aca="false">J750/_xlfn.XLOOKUP(Tabla2[[#This Row],[Unidad de precio]],Tabla3[Medida],Tabla3[Equivalencia en Kg],"ELVIS",0)</f>
        <v>11.9736552028219</v>
      </c>
      <c r="M750" s="2" t="n">
        <v>10163.53</v>
      </c>
      <c r="N750" s="3" t="n">
        <f aca="false">(Tabla2[[#This Row],[Productividad (kg/TAS)]]*Tabla2[[#This Row],[Precio por kg]]-Tabla2[[#This Row],[Costos (En RD$/Tarea)]])</f>
        <v>7013.95111263736</v>
      </c>
      <c r="O750" s="9" t="n">
        <f aca="false">IF(Tabla2[[#This Row],[Costos (En RD$/Tarea)]]=0,0,Tabla2[[#This Row],[Beneficio Neto  (En RD$/Tarea)]]/Tabla2[[#This Row],[Costos (En RD$/Tarea)]])</f>
        <v>0.690109746577947</v>
      </c>
      <c r="P750" s="7" t="n">
        <f aca="false">Tabla2[[#This Row],[Rentabilidad (%)]]/12</f>
        <v>0.0575091455481623</v>
      </c>
    </row>
    <row r="751" customFormat="false" ht="14.25" hidden="false" customHeight="false" outlineLevel="0" collapsed="false">
      <c r="A751" s="1" t="n">
        <v>38412</v>
      </c>
      <c r="B751" s="2" t="s">
        <v>24</v>
      </c>
      <c r="C751" s="3" t="n">
        <v>9343</v>
      </c>
      <c r="D751" s="8" t="s">
        <v>17</v>
      </c>
      <c r="E751" s="3" t="n">
        <f aca="false">IF(Tabla2[[#This Row],[Frecuencia]]="Annual", Tabla2[[#This Row],[Cosecha/Tarea]]/12,Tabla2[[#This Row],[Cosecha/Tarea]])</f>
        <v>9343</v>
      </c>
      <c r="F751" s="3" t="n">
        <v>86156</v>
      </c>
      <c r="G751" s="2" t="s">
        <v>18</v>
      </c>
      <c r="H751" s="2" t="n">
        <f aca="false">F751/Tabla2[[#This Row],[Cosecha Mensual]]</f>
        <v>9.22144921331478</v>
      </c>
      <c r="I751" s="2" t="n">
        <f aca="false">H751*_xlfn.XLOOKUP(Tabla2[[#This Row],[Unidad de producción]],Tabla3[Medida],Tabla3[Equivalencia en Kg],"ELVIS",0)</f>
        <v>418.284936315959</v>
      </c>
      <c r="J751" s="2" t="n">
        <v>859.75</v>
      </c>
      <c r="K751" s="2" t="s">
        <v>18</v>
      </c>
      <c r="L751" s="2" t="n">
        <f aca="false">J751/_xlfn.XLOOKUP(Tabla2[[#This Row],[Unidad de precio]],Tabla3[Medida],Tabla3[Equivalencia en Kg],"ELVIS",0)</f>
        <v>18.9539241622575</v>
      </c>
      <c r="M751" s="2" t="n">
        <v>4680.83</v>
      </c>
      <c r="N751" s="3" t="n">
        <f aca="false">(Tabla2[[#This Row],[Productividad (kg/TAS)]]*Tabla2[[#This Row],[Precio por kg]]-Tabla2[[#This Row],[Costos (En RD$/Tarea)]])</f>
        <v>3247.31096114738</v>
      </c>
      <c r="O751" s="9" t="n">
        <f aca="false">IF(Tabla2[[#This Row],[Costos (En RD$/Tarea)]]=0,0,Tabla2[[#This Row],[Beneficio Neto  (En RD$/Tarea)]]/Tabla2[[#This Row],[Costos (En RD$/Tarea)]])</f>
        <v>0.693746827196754</v>
      </c>
      <c r="P751" s="7" t="n">
        <f aca="false">Tabla2[[#This Row],[Rentabilidad (%)]]/12</f>
        <v>0.0578122355997295</v>
      </c>
    </row>
    <row r="752" customFormat="false" ht="14.25" hidden="false" customHeight="false" outlineLevel="0" collapsed="false">
      <c r="A752" s="1" t="n">
        <v>38412</v>
      </c>
      <c r="B752" s="2" t="s">
        <v>25</v>
      </c>
      <c r="C752" s="3" t="n">
        <v>19394</v>
      </c>
      <c r="D752" s="8" t="s">
        <v>17</v>
      </c>
      <c r="E752" s="3" t="n">
        <f aca="false">IF(Tabla2[[#This Row],[Frecuencia]]="Annual", Tabla2[[#This Row],[Cosecha/Tarea]]/12,Tabla2[[#This Row],[Cosecha/Tarea]])</f>
        <v>19394</v>
      </c>
      <c r="F752" s="3" t="n">
        <v>177871</v>
      </c>
      <c r="G752" s="2" t="s">
        <v>18</v>
      </c>
      <c r="H752" s="2" t="n">
        <f aca="false">F752/Tabla2[[#This Row],[Cosecha Mensual]]</f>
        <v>9.17144477673507</v>
      </c>
      <c r="I752" s="2" t="n">
        <f aca="false">H752*_xlfn.XLOOKUP(Tabla2[[#This Row],[Unidad de producción]],Tabla3[Medida],Tabla3[Equivalencia en Kg],"ELVIS",0)</f>
        <v>416.016735072703</v>
      </c>
      <c r="J752" s="2" t="n">
        <v>463.31875</v>
      </c>
      <c r="K752" s="2" t="s">
        <v>18</v>
      </c>
      <c r="L752" s="2" t="n">
        <f aca="false">J752/_xlfn.XLOOKUP(Tabla2[[#This Row],[Unidad de precio]],Tabla3[Medida],Tabla3[Equivalencia en Kg],"ELVIS",0)</f>
        <v>10.2142581569665</v>
      </c>
      <c r="M752" s="2" t="n">
        <v>2314.215</v>
      </c>
      <c r="N752" s="3" t="n">
        <f aca="false">(Tabla2[[#This Row],[Productividad (kg/TAS)]]*Tabla2[[#This Row],[Precio por kg]]-Tabla2[[#This Row],[Costos (En RD$/Tarea)]])</f>
        <v>1935.08732965092</v>
      </c>
      <c r="O752" s="9" t="n">
        <f aca="false">IF(Tabla2[[#This Row],[Costos (En RD$/Tarea)]]=0,0,Tabla2[[#This Row],[Beneficio Neto  (En RD$/Tarea)]]/Tabla2[[#This Row],[Costos (En RD$/Tarea)]])</f>
        <v>0.836174395918669</v>
      </c>
      <c r="P752" s="7" t="n">
        <f aca="false">Tabla2[[#This Row],[Rentabilidad (%)]]/12</f>
        <v>0.0696811996598891</v>
      </c>
    </row>
    <row r="753" customFormat="false" ht="14.25" hidden="false" customHeight="false" outlineLevel="0" collapsed="false">
      <c r="A753" s="1" t="n">
        <v>38412</v>
      </c>
      <c r="B753" s="2" t="s">
        <v>26</v>
      </c>
      <c r="C753" s="3" t="n">
        <v>12312</v>
      </c>
      <c r="D753" s="8" t="s">
        <v>17</v>
      </c>
      <c r="E753" s="3" t="n">
        <f aca="false">IF(Tabla2[[#This Row],[Frecuencia]]="Annual", Tabla2[[#This Row],[Cosecha/Tarea]]/12,Tabla2[[#This Row],[Cosecha/Tarea]])</f>
        <v>12312</v>
      </c>
      <c r="F753" s="3" t="n">
        <v>97534</v>
      </c>
      <c r="G753" s="2" t="s">
        <v>18</v>
      </c>
      <c r="H753" s="2" t="n">
        <f aca="false">F753/Tabla2[[#This Row],[Cosecha Mensual]]</f>
        <v>7.92186484730344</v>
      </c>
      <c r="I753" s="2" t="n">
        <f aca="false">H753*_xlfn.XLOOKUP(Tabla2[[#This Row],[Unidad de producción]],Tabla3[Medida],Tabla3[Equivalencia en Kg],"ELVIS",0)</f>
        <v>359.335789473684</v>
      </c>
      <c r="J753" s="2" t="n">
        <v>394.79</v>
      </c>
      <c r="K753" s="2" t="s">
        <v>18</v>
      </c>
      <c r="L753" s="2" t="n">
        <f aca="false">J753/_xlfn.XLOOKUP(Tabla2[[#This Row],[Unidad de precio]],Tabla3[Medida],Tabla3[Equivalencia en Kg],"ELVIS",0)</f>
        <v>8.70348324514991</v>
      </c>
      <c r="M753" s="2" t="n">
        <v>906.4</v>
      </c>
      <c r="N753" s="3" t="n">
        <f aca="false">(Tabla2[[#This Row],[Productividad (kg/TAS)]]*Tabla2[[#This Row],[Precio por kg]]-Tabla2[[#This Row],[Costos (En RD$/Tarea)]])</f>
        <v>2221.07302306693</v>
      </c>
      <c r="O753" s="9" t="n">
        <f aca="false">IF(Tabla2[[#This Row],[Costos (En RD$/Tarea)]]=0,0,Tabla2[[#This Row],[Beneficio Neto  (En RD$/Tarea)]]/Tabla2[[#This Row],[Costos (En RD$/Tarea)]])</f>
        <v>2.45043360885583</v>
      </c>
      <c r="P753" s="7" t="n">
        <f aca="false">Tabla2[[#This Row],[Rentabilidad (%)]]/12</f>
        <v>0.204202800737986</v>
      </c>
    </row>
    <row r="754" customFormat="false" ht="14.25" hidden="false" customHeight="false" outlineLevel="0" collapsed="false">
      <c r="A754" s="1" t="n">
        <v>38412</v>
      </c>
      <c r="B754" s="2" t="s">
        <v>27</v>
      </c>
      <c r="C754" s="3" t="n">
        <v>4727</v>
      </c>
      <c r="D754" s="8" t="s">
        <v>17</v>
      </c>
      <c r="E754" s="3" t="n">
        <f aca="false">IF(Tabla2[[#This Row],[Frecuencia]]="Annual", Tabla2[[#This Row],[Cosecha/Tarea]]/12,Tabla2[[#This Row],[Cosecha/Tarea]])</f>
        <v>4727</v>
      </c>
      <c r="F754" s="3" t="n">
        <v>36132</v>
      </c>
      <c r="G754" s="2" t="s">
        <v>18</v>
      </c>
      <c r="H754" s="2" t="n">
        <f aca="false">F754/Tabla2[[#This Row],[Cosecha Mensual]]</f>
        <v>7.64374867780834</v>
      </c>
      <c r="I754" s="2" t="n">
        <f aca="false">H754*_xlfn.XLOOKUP(Tabla2[[#This Row],[Unidad de producción]],Tabla3[Medida],Tabla3[Equivalencia en Kg],"ELVIS",0)</f>
        <v>346.720440025386</v>
      </c>
      <c r="J754" s="2" t="n">
        <v>290.769</v>
      </c>
      <c r="K754" s="2" t="s">
        <v>18</v>
      </c>
      <c r="L754" s="2" t="n">
        <f aca="false">J754/_xlfn.XLOOKUP(Tabla2[[#This Row],[Unidad de precio]],Tabla3[Medida],Tabla3[Equivalencia en Kg],"ELVIS",0)</f>
        <v>6.41025132275132</v>
      </c>
      <c r="M754" s="2" t="n">
        <v>5157.39</v>
      </c>
      <c r="N754" s="3" t="n">
        <f aca="false">(Tabla2[[#This Row],[Productividad (kg/TAS)]]*Tabla2[[#This Row],[Precio por kg]]-Tabla2[[#This Row],[Costos (En RD$/Tarea)]])</f>
        <v>-2934.82484070235</v>
      </c>
      <c r="O754" s="9" t="n">
        <f aca="false">IF(Tabla2[[#This Row],[Costos (En RD$/Tarea)]]=0,0,Tabla2[[#This Row],[Beneficio Neto  (En RD$/Tarea)]]/Tabla2[[#This Row],[Costos (En RD$/Tarea)]])</f>
        <v>-0.569052338625225</v>
      </c>
      <c r="P754" s="7" t="n">
        <f aca="false">Tabla2[[#This Row],[Rentabilidad (%)]]/12</f>
        <v>-0.0474210282187687</v>
      </c>
    </row>
    <row r="755" customFormat="false" ht="14.25" hidden="false" customHeight="false" outlineLevel="0" collapsed="false">
      <c r="A755" s="1" t="n">
        <v>38412</v>
      </c>
      <c r="B755" s="2" t="s">
        <v>28</v>
      </c>
      <c r="C755" s="3" t="n">
        <v>2796</v>
      </c>
      <c r="D755" s="8" t="s">
        <v>17</v>
      </c>
      <c r="E755" s="3" t="n">
        <f aca="false">IF(Tabla2[[#This Row],[Frecuencia]]="Annual", Tabla2[[#This Row],[Cosecha/Tarea]]/12,Tabla2[[#This Row],[Cosecha/Tarea]])</f>
        <v>2796</v>
      </c>
      <c r="F755" s="3" t="n">
        <v>1651</v>
      </c>
      <c r="G755" s="2" t="s">
        <v>29</v>
      </c>
      <c r="H755" s="2" t="n">
        <f aca="false">F755/Tabla2[[#This Row],[Cosecha Mensual]]</f>
        <v>0.590486409155937</v>
      </c>
      <c r="I755" s="2" t="n">
        <f aca="false">H755*_xlfn.XLOOKUP(Tabla2[[#This Row],[Unidad de producción]],Tabla3[Medida],Tabla3[Equivalencia en Kg],"ELVIS",0)</f>
        <v>332.05412732475</v>
      </c>
      <c r="J755" s="2" t="n">
        <v>3219.01666666667</v>
      </c>
      <c r="K755" s="2" t="s">
        <v>29</v>
      </c>
      <c r="L755" s="2" t="n">
        <f aca="false">J755/_xlfn.XLOOKUP(Tabla2[[#This Row],[Unidad de precio]],Tabla3[Medida],Tabla3[Equivalencia en Kg],"ELVIS",0)</f>
        <v>5.72432454861235</v>
      </c>
      <c r="M755" s="2" t="n">
        <v>9027.66</v>
      </c>
      <c r="N755" s="3" t="n">
        <f aca="false">(Tabla2[[#This Row],[Productividad (kg/TAS)]]*Tabla2[[#This Row],[Precio por kg]]-Tabla2[[#This Row],[Costos (En RD$/Tarea)]])</f>
        <v>-7126.87440748688</v>
      </c>
      <c r="O755" s="9" t="n">
        <f aca="false">IF(Tabla2[[#This Row],[Costos (En RD$/Tarea)]]=0,0,Tabla2[[#This Row],[Beneficio Neto  (En RD$/Tarea)]]/Tabla2[[#This Row],[Costos (En RD$/Tarea)]])</f>
        <v>-0.78944869517537</v>
      </c>
      <c r="P755" s="7" t="n">
        <f aca="false">Tabla2[[#This Row],[Rentabilidad (%)]]/12</f>
        <v>-0.0657873912646142</v>
      </c>
    </row>
    <row r="756" customFormat="false" ht="14.25" hidden="false" customHeight="false" outlineLevel="0" collapsed="false">
      <c r="A756" s="1" t="n">
        <v>38412</v>
      </c>
      <c r="B756" s="2" t="s">
        <v>30</v>
      </c>
      <c r="C756" s="3" t="n">
        <v>264942</v>
      </c>
      <c r="D756" s="3" t="s">
        <v>31</v>
      </c>
      <c r="E756" s="3" t="n">
        <f aca="false">IF(Tabla2[[#This Row],[Frecuencia]]="Annual", Tabla2[[#This Row],[Cosecha/Tarea]]/12,Tabla2[[#This Row],[Cosecha/Tarea]])</f>
        <v>22078.5</v>
      </c>
      <c r="F756" s="3" t="n">
        <v>1744269</v>
      </c>
      <c r="G756" s="2" t="s">
        <v>32</v>
      </c>
      <c r="H756" s="2" t="n">
        <f aca="false">F756/Tabla2[[#This Row],[Cosecha Mensual]]</f>
        <v>79.0030572729126</v>
      </c>
      <c r="I756" s="2" t="n">
        <f aca="false">H756*_xlfn.XLOOKUP(Tabla2[[#This Row],[Unidad de producción]],Tabla3[Medida],Tabla3[Equivalencia en Kg],"ELVIS",0)</f>
        <v>2149.67318839595</v>
      </c>
      <c r="J756" s="2" t="n">
        <v>70.0416666666667</v>
      </c>
      <c r="K756" s="2" t="s">
        <v>32</v>
      </c>
      <c r="L756" s="2" t="n">
        <f aca="false">J756/_xlfn.XLOOKUP(Tabla2[[#This Row],[Unidad de precio]],Tabla3[Medida],Tabla3[Equivalencia en Kg],"ELVIS",0)</f>
        <v>2.57411490873454</v>
      </c>
      <c r="M756" s="3" t="n">
        <v>7918.62</v>
      </c>
      <c r="N756" s="3" t="n">
        <f aca="false">(Tabla2[[#This Row],[Productividad (kg/TAS)]]*Tabla2[[#This Row],[Precio por kg]]-Tabla2[[#This Row],[Costos (En RD$/Tarea)]])</f>
        <v>-2385.11419684308</v>
      </c>
      <c r="O756" s="9" t="n">
        <f aca="false">IF(Tabla2[[#This Row],[Costos (En RD$/Tarea)]]=0,0,Tabla2[[#This Row],[Beneficio Neto  (En RD$/Tarea)]]/Tabla2[[#This Row],[Costos (En RD$/Tarea)]])</f>
        <v>-0.301203264816733</v>
      </c>
      <c r="P756" s="7" t="n">
        <f aca="false">Tabla2[[#This Row],[Rentabilidad (%)]]/12</f>
        <v>-0.0251002720680611</v>
      </c>
    </row>
    <row r="757" customFormat="false" ht="14.25" hidden="false" customHeight="false" outlineLevel="0" collapsed="false">
      <c r="A757" s="1" t="n">
        <v>38412</v>
      </c>
      <c r="B757" s="2" t="s">
        <v>33</v>
      </c>
      <c r="C757" s="3" t="n">
        <v>615956</v>
      </c>
      <c r="D757" s="3" t="s">
        <v>31</v>
      </c>
      <c r="E757" s="3" t="n">
        <f aca="false">IF(Tabla2[[#This Row],[Frecuencia]]="Annual", Tabla2[[#This Row],[Cosecha/Tarea]]/12,Tabla2[[#This Row],[Cosecha/Tarea]])</f>
        <v>51329.6666666667</v>
      </c>
      <c r="F757" s="3" t="n">
        <v>91086</v>
      </c>
      <c r="G757" s="2" t="s">
        <v>34</v>
      </c>
      <c r="H757" s="2" t="n">
        <f aca="false">F757/Tabla2[[#This Row],[Cosecha Mensual]]</f>
        <v>1.77452934949899</v>
      </c>
      <c r="I757" s="2" t="n">
        <f aca="false">H757*_xlfn.XLOOKUP(Tabla2[[#This Row],[Unidad de producción]],Tabla3[Medida],Tabla3[Equivalencia en Kg],"ELVIS",0)</f>
        <v>724.274153998013</v>
      </c>
      <c r="J757" s="2" t="n">
        <v>3364.14666666667</v>
      </c>
      <c r="K757" s="2" t="s">
        <v>34</v>
      </c>
      <c r="L757" s="2" t="n">
        <f aca="false">J757/_xlfn.XLOOKUP(Tabla2[[#This Row],[Unidad de precio]],Tabla3[Medida],Tabla3[Equivalencia en Kg],"ELVIS",0)</f>
        <v>8.24242721221774</v>
      </c>
      <c r="M757" s="3" t="n">
        <v>9928.24</v>
      </c>
      <c r="N757" s="3" t="n">
        <f aca="false">(Tabla2[[#This Row],[Productividad (kg/TAS)]]*Tabla2[[#This Row],[Precio por kg]]-Tabla2[[#This Row],[Costos (En RD$/Tarea)]])</f>
        <v>-3958.4630039808</v>
      </c>
      <c r="O757" s="9" t="n">
        <f aca="false">IF(Tabla2[[#This Row],[Costos (En RD$/Tarea)]]=0,0,Tabla2[[#This Row],[Beneficio Neto  (En RD$/Tarea)]]/Tabla2[[#This Row],[Costos (En RD$/Tarea)]])</f>
        <v>-0.398707424879012</v>
      </c>
      <c r="P757" s="7" t="n">
        <f aca="false">Tabla2[[#This Row],[Rentabilidad (%)]]/12</f>
        <v>-0.0332256187399176</v>
      </c>
    </row>
    <row r="758" customFormat="false" ht="14.25" hidden="false" customHeight="false" outlineLevel="0" collapsed="false">
      <c r="A758" s="1" t="n">
        <v>38443</v>
      </c>
      <c r="B758" s="2" t="s">
        <v>16</v>
      </c>
      <c r="C758" s="3" t="n">
        <v>33891</v>
      </c>
      <c r="D758" s="8" t="s">
        <v>17</v>
      </c>
      <c r="E758" s="3" t="n">
        <f aca="false">IF(Tabla2[[#This Row],[Frecuencia]]="Annual", Tabla2[[#This Row],[Cosecha/Tarea]]/12,Tabla2[[#This Row],[Cosecha/Tarea]])</f>
        <v>33891</v>
      </c>
      <c r="F758" s="3" t="n">
        <v>171291</v>
      </c>
      <c r="G758" s="2" t="s">
        <v>18</v>
      </c>
      <c r="H758" s="2" t="n">
        <f aca="false">F758/Tabla2[[#This Row],[Cosecha Mensual]]</f>
        <v>5.05417367442684</v>
      </c>
      <c r="I758" s="2" t="n">
        <f aca="false">H758*_xlfn.XLOOKUP(Tabla2[[#This Row],[Unidad de producción]],Tabla3[Medida],Tabla3[Equivalencia en Kg],"ELVIS",0)</f>
        <v>229.257317872001</v>
      </c>
      <c r="J758" s="2" t="n">
        <v>1090</v>
      </c>
      <c r="K758" s="2" t="s">
        <v>19</v>
      </c>
      <c r="L758" s="2" t="n">
        <f aca="false">J758/_xlfn.XLOOKUP(Tabla2[[#This Row],[Unidad de precio]],Tabla3[Medida],Tabla3[Equivalencia en Kg],"ELVIS",0)</f>
        <v>9.90909090909091</v>
      </c>
      <c r="M758" s="2" t="n">
        <v>4807.32</v>
      </c>
      <c r="N758" s="3" t="n">
        <f aca="false">(Tabla2[[#This Row],[Productividad (kg/TAS)]]*Tabla2[[#This Row],[Precio por kg]]-Tabla2[[#This Row],[Costos (En RD$/Tarea)]])</f>
        <v>-2535.58839563199</v>
      </c>
      <c r="O758" s="9" t="n">
        <f aca="false">IF(Tabla2[[#This Row],[Costos (En RD$/Tarea)]]=0,0,Tabla2[[#This Row],[Beneficio Neto  (En RD$/Tarea)]]/Tabla2[[#This Row],[Costos (En RD$/Tarea)]])</f>
        <v>-0.5274432314953</v>
      </c>
      <c r="P758" s="7" t="n">
        <f aca="false">Tabla2[[#This Row],[Rentabilidad (%)]]/12</f>
        <v>-0.0439536026246083</v>
      </c>
    </row>
    <row r="759" customFormat="false" ht="14.25" hidden="false" customHeight="false" outlineLevel="0" collapsed="false">
      <c r="A759" s="1" t="n">
        <v>38443</v>
      </c>
      <c r="B759" s="2" t="s">
        <v>20</v>
      </c>
      <c r="C759" s="3" t="n">
        <v>28784</v>
      </c>
      <c r="D759" s="8" t="s">
        <v>17</v>
      </c>
      <c r="E759" s="3" t="n">
        <f aca="false">IF(Tabla2[[#This Row],[Frecuencia]]="Annual", Tabla2[[#This Row],[Cosecha/Tarea]]/12,Tabla2[[#This Row],[Cosecha/Tarea]])</f>
        <v>28784</v>
      </c>
      <c r="F759" s="3" t="n">
        <v>50913</v>
      </c>
      <c r="G759" s="2" t="s">
        <v>18</v>
      </c>
      <c r="H759" s="2" t="n">
        <f aca="false">F759/Tabla2[[#This Row],[Cosecha Mensual]]</f>
        <v>1.76879516397999</v>
      </c>
      <c r="I759" s="2" t="n">
        <f aca="false">H759*_xlfn.XLOOKUP(Tabla2[[#This Row],[Unidad de producción]],Tabla3[Medida],Tabla3[Equivalencia en Kg],"ELVIS",0)</f>
        <v>80.2325486381323</v>
      </c>
      <c r="J759" s="2" t="n">
        <v>429.6</v>
      </c>
      <c r="K759" s="2" t="s">
        <v>18</v>
      </c>
      <c r="L759" s="2" t="n">
        <f aca="false">J759/_xlfn.XLOOKUP(Tabla2[[#This Row],[Unidad de precio]],Tabla3[Medida],Tabla3[Equivalencia en Kg],"ELVIS",0)</f>
        <v>9.47089947089947</v>
      </c>
      <c r="M759" s="2" t="n">
        <v>1327.7</v>
      </c>
      <c r="N759" s="3" t="n">
        <f aca="false">(Tabla2[[#This Row],[Productividad (kg/TAS)]]*Tabla2[[#This Row],[Precio por kg]]-Tabla2[[#This Row],[Costos (En RD$/Tarea)]])</f>
        <v>-567.825597554197</v>
      </c>
      <c r="O759" s="9" t="n">
        <f aca="false">IF(Tabla2[[#This Row],[Costos (En RD$/Tarea)]]=0,0,Tabla2[[#This Row],[Beneficio Neto  (En RD$/Tarea)]]/Tabla2[[#This Row],[Costos (En RD$/Tarea)]])</f>
        <v>-0.427676129814112</v>
      </c>
      <c r="P759" s="7" t="n">
        <f aca="false">Tabla2[[#This Row],[Rentabilidad (%)]]/12</f>
        <v>-0.0356396774845094</v>
      </c>
    </row>
    <row r="760" customFormat="false" ht="14.25" hidden="false" customHeight="false" outlineLevel="0" collapsed="false">
      <c r="A760" s="1" t="n">
        <v>38443</v>
      </c>
      <c r="B760" s="2" t="s">
        <v>21</v>
      </c>
      <c r="C760" s="3" t="n">
        <v>10746</v>
      </c>
      <c r="D760" s="8" t="s">
        <v>17</v>
      </c>
      <c r="E760" s="3" t="n">
        <f aca="false">IF(Tabla2[[#This Row],[Frecuencia]]="Annual", Tabla2[[#This Row],[Cosecha/Tarea]]/12,Tabla2[[#This Row],[Cosecha/Tarea]])</f>
        <v>10746</v>
      </c>
      <c r="F760" s="3" t="n">
        <v>87655</v>
      </c>
      <c r="G760" s="2" t="s">
        <v>18</v>
      </c>
      <c r="H760" s="2" t="n">
        <f aca="false">F760/Tabla2[[#This Row],[Cosecha Mensual]]</f>
        <v>8.1569886469384</v>
      </c>
      <c r="I760" s="2" t="n">
        <f aca="false">H760*_xlfn.XLOOKUP(Tabla2[[#This Row],[Unidad de producción]],Tabla3[Medida],Tabla3[Equivalencia en Kg],"ELVIS",0)</f>
        <v>370.001005025126</v>
      </c>
      <c r="J760" s="2" t="n">
        <v>271.9065</v>
      </c>
      <c r="K760" s="2" t="s">
        <v>18</v>
      </c>
      <c r="L760" s="2" t="n">
        <f aca="false">J760/_xlfn.XLOOKUP(Tabla2[[#This Row],[Unidad de precio]],Tabla3[Medida],Tabla3[Equivalencia en Kg],"ELVIS",0)</f>
        <v>5.99441137566138</v>
      </c>
      <c r="M760" s="2" t="n">
        <v>2092.86</v>
      </c>
      <c r="N760" s="3" t="n">
        <f aca="false">(Tabla2[[#This Row],[Productividad (kg/TAS)]]*Tabla2[[#This Row],[Precio por kg]]-Tabla2[[#This Row],[Costos (En RD$/Tarea)]])</f>
        <v>125.078233528755</v>
      </c>
      <c r="O760" s="9" t="n">
        <f aca="false">IF(Tabla2[[#This Row],[Costos (En RD$/Tarea)]]=0,0,Tabla2[[#This Row],[Beneficio Neto  (En RD$/Tarea)]]/Tabla2[[#This Row],[Costos (En RD$/Tarea)]])</f>
        <v>0.0597642620761804</v>
      </c>
      <c r="P760" s="7" t="n">
        <f aca="false">Tabla2[[#This Row],[Rentabilidad (%)]]/12</f>
        <v>0.00498035517301503</v>
      </c>
    </row>
    <row r="761" customFormat="false" ht="14.25" hidden="false" customHeight="false" outlineLevel="0" collapsed="false">
      <c r="A761" s="1" t="n">
        <v>38443</v>
      </c>
      <c r="B761" s="2" t="s">
        <v>22</v>
      </c>
      <c r="C761" s="3" t="n">
        <v>4327</v>
      </c>
      <c r="D761" s="8" t="s">
        <v>17</v>
      </c>
      <c r="E761" s="3" t="n">
        <f aca="false">IF(Tabla2[[#This Row],[Frecuencia]]="Annual", Tabla2[[#This Row],[Cosecha/Tarea]]/12,Tabla2[[#This Row],[Cosecha/Tarea]])</f>
        <v>4327</v>
      </c>
      <c r="F761" s="3" t="n">
        <v>33096</v>
      </c>
      <c r="G761" s="2" t="s">
        <v>18</v>
      </c>
      <c r="H761" s="2" t="n">
        <f aca="false">F761/Tabla2[[#This Row],[Cosecha Mensual]]</f>
        <v>7.64871735613589</v>
      </c>
      <c r="I761" s="2" t="n">
        <f aca="false">H761*_xlfn.XLOOKUP(Tabla2[[#This Row],[Unidad de producción]],Tabla3[Medida],Tabla3[Equivalencia en Kg],"ELVIS",0)</f>
        <v>346.945819274324</v>
      </c>
      <c r="J761" s="2" t="n">
        <v>656.25</v>
      </c>
      <c r="K761" s="2" t="s">
        <v>18</v>
      </c>
      <c r="L761" s="2" t="n">
        <f aca="false">J761/_xlfn.XLOOKUP(Tabla2[[#This Row],[Unidad de precio]],Tabla3[Medida],Tabla3[Equivalencia en Kg],"ELVIS",0)</f>
        <v>14.4675925925926</v>
      </c>
      <c r="M761" s="2" t="n">
        <v>5853.83</v>
      </c>
      <c r="N761" s="3" t="n">
        <f aca="false">(Tabla2[[#This Row],[Productividad (kg/TAS)]]*Tabla2[[#This Row],[Precio por kg]]-Tabla2[[#This Row],[Costos (En RD$/Tarea)]])</f>
        <v>-834.359235035821</v>
      </c>
      <c r="O761" s="9" t="n">
        <f aca="false">IF(Tabla2[[#This Row],[Costos (En RD$/Tarea)]]=0,0,Tabla2[[#This Row],[Beneficio Neto  (En RD$/Tarea)]]/Tabla2[[#This Row],[Costos (En RD$/Tarea)]])</f>
        <v>-0.142532194313094</v>
      </c>
      <c r="P761" s="7" t="n">
        <f aca="false">Tabla2[[#This Row],[Rentabilidad (%)]]/12</f>
        <v>-0.0118776828594245</v>
      </c>
    </row>
    <row r="762" customFormat="false" ht="14.25" hidden="false" customHeight="false" outlineLevel="0" collapsed="false">
      <c r="A762" s="1" t="n">
        <v>38443</v>
      </c>
      <c r="B762" s="2" t="s">
        <v>23</v>
      </c>
      <c r="C762" s="3" t="n">
        <v>2582</v>
      </c>
      <c r="D762" s="8" t="s">
        <v>17</v>
      </c>
      <c r="E762" s="3" t="n">
        <f aca="false">IF(Tabla2[[#This Row],[Frecuencia]]="Annual", Tabla2[[#This Row],[Cosecha/Tarea]]/12,Tabla2[[#This Row],[Cosecha/Tarea]])</f>
        <v>2582</v>
      </c>
      <c r="F762" s="3" t="n">
        <v>82767</v>
      </c>
      <c r="G762" s="2" t="s">
        <v>18</v>
      </c>
      <c r="H762" s="2" t="n">
        <f aca="false">F762/Tabla2[[#This Row],[Cosecha Mensual]]</f>
        <v>32.0553834237026</v>
      </c>
      <c r="I762" s="2" t="n">
        <f aca="false">H762*_xlfn.XLOOKUP(Tabla2[[#This Row],[Unidad de producción]],Tabla3[Medida],Tabla3[Equivalencia en Kg],"ELVIS",0)</f>
        <v>1454.03219209915</v>
      </c>
      <c r="J762" s="2" t="n">
        <v>525</v>
      </c>
      <c r="K762" s="2" t="s">
        <v>18</v>
      </c>
      <c r="L762" s="2" t="n">
        <f aca="false">J762/_xlfn.XLOOKUP(Tabla2[[#This Row],[Unidad de precio]],Tabla3[Medida],Tabla3[Equivalencia en Kg],"ELVIS",0)</f>
        <v>11.5740740740741</v>
      </c>
      <c r="M762" s="2" t="n">
        <v>10163.53</v>
      </c>
      <c r="N762" s="3" t="n">
        <f aca="false">(Tabla2[[#This Row],[Productividad (kg/TAS)]]*Tabla2[[#This Row],[Precio por kg]]-Tabla2[[#This Row],[Costos (En RD$/Tarea)]])</f>
        <v>6665.54629744384</v>
      </c>
      <c r="O762" s="9" t="n">
        <f aca="false">IF(Tabla2[[#This Row],[Costos (En RD$/Tarea)]]=0,0,Tabla2[[#This Row],[Beneficio Neto  (En RD$/Tarea)]]/Tabla2[[#This Row],[Costos (En RD$/Tarea)]])</f>
        <v>0.655829844300538</v>
      </c>
      <c r="P762" s="7" t="n">
        <f aca="false">Tabla2[[#This Row],[Rentabilidad (%)]]/12</f>
        <v>0.0546524870250448</v>
      </c>
    </row>
    <row r="763" customFormat="false" ht="14.25" hidden="false" customHeight="false" outlineLevel="0" collapsed="false">
      <c r="A763" s="1" t="n">
        <v>38443</v>
      </c>
      <c r="B763" s="2" t="s">
        <v>24</v>
      </c>
      <c r="C763" s="3" t="n">
        <v>6932</v>
      </c>
      <c r="D763" s="8" t="s">
        <v>17</v>
      </c>
      <c r="E763" s="3" t="n">
        <f aca="false">IF(Tabla2[[#This Row],[Frecuencia]]="Annual", Tabla2[[#This Row],[Cosecha/Tarea]]/12,Tabla2[[#This Row],[Cosecha/Tarea]])</f>
        <v>6932</v>
      </c>
      <c r="F763" s="3" t="n">
        <v>83964</v>
      </c>
      <c r="G763" s="2" t="s">
        <v>18</v>
      </c>
      <c r="H763" s="2" t="n">
        <f aca="false">F763/Tabla2[[#This Row],[Cosecha Mensual]]</f>
        <v>12.1125216387767</v>
      </c>
      <c r="I763" s="2" t="n">
        <f aca="false">H763*_xlfn.XLOOKUP(Tabla2[[#This Row],[Unidad de producción]],Tabla3[Medida],Tabla3[Equivalencia en Kg],"ELVIS",0)</f>
        <v>549.423981534911</v>
      </c>
      <c r="J763" s="2" t="n">
        <v>720.4375</v>
      </c>
      <c r="K763" s="2" t="s">
        <v>18</v>
      </c>
      <c r="L763" s="2" t="n">
        <f aca="false">J763/_xlfn.XLOOKUP(Tabla2[[#This Row],[Unidad de precio]],Tabla3[Medida],Tabla3[Equivalencia en Kg],"ELVIS",0)</f>
        <v>15.8826609347443</v>
      </c>
      <c r="M763" s="2" t="n">
        <v>4680.83</v>
      </c>
      <c r="N763" s="3" t="n">
        <f aca="false">(Tabla2[[#This Row],[Productividad (kg/TAS)]]*Tabla2[[#This Row],[Precio por kg]]-Tabla2[[#This Row],[Costos (En RD$/Tarea)]])</f>
        <v>4045.48480813618</v>
      </c>
      <c r="O763" s="9" t="n">
        <f aca="false">IF(Tabla2[[#This Row],[Costos (En RD$/Tarea)]]=0,0,Tabla2[[#This Row],[Beneficio Neto  (En RD$/Tarea)]]/Tabla2[[#This Row],[Costos (En RD$/Tarea)]])</f>
        <v>0.864266552755854</v>
      </c>
      <c r="P763" s="7" t="n">
        <f aca="false">Tabla2[[#This Row],[Rentabilidad (%)]]/12</f>
        <v>0.0720222127296545</v>
      </c>
    </row>
    <row r="764" customFormat="false" ht="14.25" hidden="false" customHeight="false" outlineLevel="0" collapsed="false">
      <c r="A764" s="1" t="n">
        <v>38443</v>
      </c>
      <c r="B764" s="2" t="s">
        <v>25</v>
      </c>
      <c r="C764" s="3" t="n">
        <v>20560</v>
      </c>
      <c r="D764" s="8" t="s">
        <v>17</v>
      </c>
      <c r="E764" s="3" t="n">
        <f aca="false">IF(Tabla2[[#This Row],[Frecuencia]]="Annual", Tabla2[[#This Row],[Cosecha/Tarea]]/12,Tabla2[[#This Row],[Cosecha/Tarea]])</f>
        <v>20560</v>
      </c>
      <c r="F764" s="3" t="n">
        <v>160216</v>
      </c>
      <c r="G764" s="2" t="s">
        <v>18</v>
      </c>
      <c r="H764" s="2" t="n">
        <f aca="false">F764/Tabla2[[#This Row],[Cosecha Mensual]]</f>
        <v>7.79260700389105</v>
      </c>
      <c r="I764" s="2" t="n">
        <f aca="false">H764*_xlfn.XLOOKUP(Tabla2[[#This Row],[Unidad de producción]],Tabla3[Medida],Tabla3[Equivalencia en Kg],"ELVIS",0)</f>
        <v>353.472653696498</v>
      </c>
      <c r="J764" s="2" t="n">
        <v>371.995875</v>
      </c>
      <c r="K764" s="2" t="s">
        <v>18</v>
      </c>
      <c r="L764" s="2" t="n">
        <f aca="false">J764/_xlfn.XLOOKUP(Tabla2[[#This Row],[Unidad de precio]],Tabla3[Medida],Tabla3[Equivalencia en Kg],"ELVIS",0)</f>
        <v>8.20096726190476</v>
      </c>
      <c r="M764" s="2" t="n">
        <v>2314.215</v>
      </c>
      <c r="N764" s="3" t="n">
        <f aca="false">(Tabla2[[#This Row],[Productividad (kg/TAS)]]*Tabla2[[#This Row],[Precio por kg]]-Tabla2[[#This Row],[Costos (En RD$/Tarea)]])</f>
        <v>584.60266094358</v>
      </c>
      <c r="O764" s="9" t="n">
        <f aca="false">IF(Tabla2[[#This Row],[Costos (En RD$/Tarea)]]=0,0,Tabla2[[#This Row],[Beneficio Neto  (En RD$/Tarea)]]/Tabla2[[#This Row],[Costos (En RD$/Tarea)]])</f>
        <v>0.252613806817249</v>
      </c>
      <c r="P764" s="7" t="n">
        <f aca="false">Tabla2[[#This Row],[Rentabilidad (%)]]/12</f>
        <v>0.0210511505681041</v>
      </c>
    </row>
    <row r="765" customFormat="false" ht="14.25" hidden="false" customHeight="false" outlineLevel="0" collapsed="false">
      <c r="A765" s="1" t="n">
        <v>38443</v>
      </c>
      <c r="B765" s="2" t="s">
        <v>26</v>
      </c>
      <c r="C765" s="3" t="n">
        <v>11735</v>
      </c>
      <c r="D765" s="8" t="s">
        <v>17</v>
      </c>
      <c r="E765" s="3" t="n">
        <f aca="false">IF(Tabla2[[#This Row],[Frecuencia]]="Annual", Tabla2[[#This Row],[Cosecha/Tarea]]/12,Tabla2[[#This Row],[Cosecha/Tarea]])</f>
        <v>11735</v>
      </c>
      <c r="F765" s="3" t="n">
        <v>78071</v>
      </c>
      <c r="G765" s="2" t="s">
        <v>18</v>
      </c>
      <c r="H765" s="2" t="n">
        <f aca="false">F765/Tabla2[[#This Row],[Cosecha Mensual]]</f>
        <v>6.65283340434597</v>
      </c>
      <c r="I765" s="2" t="n">
        <f aca="false">H765*_xlfn.XLOOKUP(Tabla2[[#This Row],[Unidad de producción]],Tabla3[Medida],Tabla3[Equivalencia en Kg],"ELVIS",0)</f>
        <v>301.772523221133</v>
      </c>
      <c r="J765" s="2" t="n">
        <v>296.666666666667</v>
      </c>
      <c r="K765" s="2" t="s">
        <v>18</v>
      </c>
      <c r="L765" s="2" t="n">
        <f aca="false">J765/_xlfn.XLOOKUP(Tabla2[[#This Row],[Unidad de precio]],Tabla3[Medida],Tabla3[Equivalencia en Kg],"ELVIS",0)</f>
        <v>6.54027042915933</v>
      </c>
      <c r="M765" s="2" t="n">
        <v>906.4</v>
      </c>
      <c r="N765" s="3" t="n">
        <f aca="false">(Tabla2[[#This Row],[Productividad (kg/TAS)]]*Tabla2[[#This Row],[Precio por kg]]-Tabla2[[#This Row],[Costos (En RD$/Tarea)]])</f>
        <v>1067.27390995598</v>
      </c>
      <c r="O765" s="9" t="n">
        <f aca="false">IF(Tabla2[[#This Row],[Costos (En RD$/Tarea)]]=0,0,Tabla2[[#This Row],[Beneficio Neto  (En RD$/Tarea)]]/Tabla2[[#This Row],[Costos (En RD$/Tarea)]])</f>
        <v>1.17748666146952</v>
      </c>
      <c r="P765" s="7" t="n">
        <f aca="false">Tabla2[[#This Row],[Rentabilidad (%)]]/12</f>
        <v>0.0981238884557935</v>
      </c>
    </row>
    <row r="766" customFormat="false" ht="14.25" hidden="false" customHeight="false" outlineLevel="0" collapsed="false">
      <c r="A766" s="1" t="n">
        <v>38443</v>
      </c>
      <c r="B766" s="2" t="s">
        <v>27</v>
      </c>
      <c r="C766" s="3" t="n">
        <v>4223</v>
      </c>
      <c r="D766" s="8" t="s">
        <v>17</v>
      </c>
      <c r="E766" s="3" t="n">
        <f aca="false">IF(Tabla2[[#This Row],[Frecuencia]]="Annual", Tabla2[[#This Row],[Cosecha/Tarea]]/12,Tabla2[[#This Row],[Cosecha/Tarea]])</f>
        <v>4223</v>
      </c>
      <c r="F766" s="3" t="n">
        <v>37122</v>
      </c>
      <c r="G766" s="2" t="s">
        <v>18</v>
      </c>
      <c r="H766" s="2" t="n">
        <f aca="false">F766/Tabla2[[#This Row],[Cosecha Mensual]]</f>
        <v>8.79043334122662</v>
      </c>
      <c r="I766" s="2" t="n">
        <f aca="false">H766*_xlfn.XLOOKUP(Tabla2[[#This Row],[Unidad de producción]],Tabla3[Medida],Tabla3[Equivalencia en Kg],"ELVIS",0)</f>
        <v>398.734056358039</v>
      </c>
      <c r="J766" s="2" t="n">
        <v>123.149133333333</v>
      </c>
      <c r="K766" s="2" t="s">
        <v>18</v>
      </c>
      <c r="L766" s="2" t="n">
        <f aca="false">J766/_xlfn.XLOOKUP(Tabla2[[#This Row],[Unidad de precio]],Tabla3[Medida],Tabla3[Equivalencia en Kg],"ELVIS",0)</f>
        <v>2.71492798353909</v>
      </c>
      <c r="M766" s="2" t="n">
        <v>5157.39</v>
      </c>
      <c r="N766" s="3" t="n">
        <f aca="false">(Tabla2[[#This Row],[Productividad (kg/TAS)]]*Tabla2[[#This Row],[Precio por kg]]-Tabla2[[#This Row],[Costos (En RD$/Tarea)]])</f>
        <v>-4074.85575240351</v>
      </c>
      <c r="O766" s="9" t="n">
        <f aca="false">IF(Tabla2[[#This Row],[Costos (En RD$/Tarea)]]=0,0,Tabla2[[#This Row],[Beneficio Neto  (En RD$/Tarea)]]/Tabla2[[#This Row],[Costos (En RD$/Tarea)]])</f>
        <v>-0.790100371002291</v>
      </c>
      <c r="P766" s="7" t="n">
        <f aca="false">Tabla2[[#This Row],[Rentabilidad (%)]]/12</f>
        <v>-0.0658416975835243</v>
      </c>
    </row>
    <row r="767" customFormat="false" ht="14.25" hidden="false" customHeight="false" outlineLevel="0" collapsed="false">
      <c r="A767" s="1" t="n">
        <v>38443</v>
      </c>
      <c r="B767" s="2" t="s">
        <v>28</v>
      </c>
      <c r="C767" s="3" t="n">
        <v>293</v>
      </c>
      <c r="D767" s="8" t="s">
        <v>17</v>
      </c>
      <c r="E767" s="3" t="n">
        <f aca="false">IF(Tabla2[[#This Row],[Frecuencia]]="Annual", Tabla2[[#This Row],[Cosecha/Tarea]]/12,Tabla2[[#This Row],[Cosecha/Tarea]])</f>
        <v>293</v>
      </c>
      <c r="F767" s="3" t="n">
        <v>73</v>
      </c>
      <c r="G767" s="2" t="s">
        <v>29</v>
      </c>
      <c r="H767" s="2" t="n">
        <f aca="false">F767/Tabla2[[#This Row],[Cosecha Mensual]]</f>
        <v>0.249146757679181</v>
      </c>
      <c r="I767" s="2" t="n">
        <f aca="false">H767*_xlfn.XLOOKUP(Tabla2[[#This Row],[Unidad de producción]],Tabla3[Medida],Tabla3[Equivalencia en Kg],"ELVIS",0)</f>
        <v>140.105187713311</v>
      </c>
      <c r="J767" s="2" t="n">
        <v>3708.15</v>
      </c>
      <c r="K767" s="2" t="s">
        <v>29</v>
      </c>
      <c r="L767" s="2" t="n">
        <f aca="false">J767/_xlfn.XLOOKUP(Tabla2[[#This Row],[Unidad de precio]],Tabla3[Medida],Tabla3[Equivalencia en Kg],"ELVIS",0)</f>
        <v>6.5941423338194</v>
      </c>
      <c r="M767" s="2" t="n">
        <v>9027.66</v>
      </c>
      <c r="N767" s="3" t="n">
        <f aca="false">(Tabla2[[#This Row],[Productividad (kg/TAS)]]*Tabla2[[#This Row],[Precio por kg]]-Tabla2[[#This Row],[Costos (En RD$/Tarea)]])</f>
        <v>-8103.78645051195</v>
      </c>
      <c r="O767" s="9" t="n">
        <f aca="false">IF(Tabla2[[#This Row],[Costos (En RD$/Tarea)]]=0,0,Tabla2[[#This Row],[Beneficio Neto  (En RD$/Tarea)]]/Tabla2[[#This Row],[Costos (En RD$/Tarea)]])</f>
        <v>-0.897661902476605</v>
      </c>
      <c r="P767" s="7" t="n">
        <f aca="false">Tabla2[[#This Row],[Rentabilidad (%)]]/12</f>
        <v>-0.0748051585397171</v>
      </c>
    </row>
    <row r="768" customFormat="false" ht="14.25" hidden="false" customHeight="false" outlineLevel="0" collapsed="false">
      <c r="A768" s="1" t="n">
        <v>38443</v>
      </c>
      <c r="B768" s="2" t="s">
        <v>30</v>
      </c>
      <c r="C768" s="3" t="n">
        <v>278088</v>
      </c>
      <c r="D768" s="3" t="s">
        <v>31</v>
      </c>
      <c r="E768" s="3" t="n">
        <f aca="false">IF(Tabla2[[#This Row],[Frecuencia]]="Annual", Tabla2[[#This Row],[Cosecha/Tarea]]/12,Tabla2[[#This Row],[Cosecha/Tarea]])</f>
        <v>23174</v>
      </c>
      <c r="F768" s="3" t="n">
        <v>1505181</v>
      </c>
      <c r="G768" s="2" t="s">
        <v>32</v>
      </c>
      <c r="H768" s="2" t="n">
        <f aca="false">F768/Tabla2[[#This Row],[Cosecha Mensual]]</f>
        <v>64.9512816086994</v>
      </c>
      <c r="I768" s="2" t="n">
        <f aca="false">H768*_xlfn.XLOOKUP(Tabla2[[#This Row],[Unidad de producción]],Tabla3[Medida],Tabla3[Equivalencia en Kg],"ELVIS",0)</f>
        <v>1767.32437257271</v>
      </c>
      <c r="J768" s="2" t="n">
        <v>66.522</v>
      </c>
      <c r="K768" s="2" t="s">
        <v>32</v>
      </c>
      <c r="L768" s="2" t="n">
        <f aca="false">J768/_xlfn.XLOOKUP(Tabla2[[#This Row],[Unidad de precio]],Tabla3[Medida],Tabla3[Equivalencia en Kg],"ELVIS",0)</f>
        <v>2.44476295479603</v>
      </c>
      <c r="M768" s="3" t="n">
        <v>7918.62</v>
      </c>
      <c r="N768" s="3" t="n">
        <f aca="false">(Tabla2[[#This Row],[Productividad (kg/TAS)]]*Tabla2[[#This Row],[Precio por kg]]-Tabla2[[#This Row],[Costos (En RD$/Tarea)]])</f>
        <v>-3597.9308448261</v>
      </c>
      <c r="O768" s="9" t="n">
        <f aca="false">IF(Tabla2[[#This Row],[Costos (En RD$/Tarea)]]=0,0,Tabla2[[#This Row],[Beneficio Neto  (En RD$/Tarea)]]/Tabla2[[#This Row],[Costos (En RD$/Tarea)]])</f>
        <v>-0.454363366953598</v>
      </c>
      <c r="P768" s="7" t="n">
        <f aca="false">Tabla2[[#This Row],[Rentabilidad (%)]]/12</f>
        <v>-0.0378636139127998</v>
      </c>
    </row>
    <row r="769" customFormat="false" ht="14.25" hidden="false" customHeight="false" outlineLevel="0" collapsed="false">
      <c r="A769" s="1" t="n">
        <v>38443</v>
      </c>
      <c r="B769" s="2" t="s">
        <v>33</v>
      </c>
      <c r="C769" s="3" t="n">
        <v>624261</v>
      </c>
      <c r="D769" s="3" t="s">
        <v>31</v>
      </c>
      <c r="E769" s="3" t="n">
        <f aca="false">IF(Tabla2[[#This Row],[Frecuencia]]="Annual", Tabla2[[#This Row],[Cosecha/Tarea]]/12,Tabla2[[#This Row],[Cosecha/Tarea]])</f>
        <v>52021.75</v>
      </c>
      <c r="F769" s="3" t="n">
        <v>124564</v>
      </c>
      <c r="G769" s="2" t="s">
        <v>34</v>
      </c>
      <c r="H769" s="2" t="n">
        <f aca="false">F769/Tabla2[[#This Row],[Cosecha Mensual]]</f>
        <v>2.39446000951525</v>
      </c>
      <c r="I769" s="2" t="n">
        <f aca="false">H769*_xlfn.XLOOKUP(Tabla2[[#This Row],[Unidad de producción]],Tabla3[Medida],Tabla3[Equivalencia en Kg],"ELVIS",0)</f>
        <v>977.29885288365</v>
      </c>
      <c r="J769" s="2" t="n">
        <v>2412.334</v>
      </c>
      <c r="K769" s="2" t="s">
        <v>34</v>
      </c>
      <c r="L769" s="2" t="n">
        <f aca="false">J769/_xlfn.XLOOKUP(Tabla2[[#This Row],[Unidad de precio]],Tabla3[Medida],Tabla3[Equivalencia en Kg],"ELVIS",0)</f>
        <v>5.91041038833762</v>
      </c>
      <c r="M769" s="3" t="n">
        <v>9928.24</v>
      </c>
      <c r="N769" s="3" t="n">
        <f aca="false">(Tabla2[[#This Row],[Productividad (kg/TAS)]]*Tabla2[[#This Row],[Precio por kg]]-Tabla2[[#This Row],[Costos (En RD$/Tarea)]])</f>
        <v>-4152.00270740604</v>
      </c>
      <c r="O769" s="9" t="n">
        <f aca="false">IF(Tabla2[[#This Row],[Costos (En RD$/Tarea)]]=0,0,Tabla2[[#This Row],[Beneficio Neto  (En RD$/Tarea)]]/Tabla2[[#This Row],[Costos (En RD$/Tarea)]])</f>
        <v>-0.418201283148477</v>
      </c>
      <c r="P769" s="7" t="n">
        <f aca="false">Tabla2[[#This Row],[Rentabilidad (%)]]/12</f>
        <v>-0.0348501069290398</v>
      </c>
    </row>
    <row r="770" customFormat="false" ht="14.25" hidden="false" customHeight="false" outlineLevel="0" collapsed="false">
      <c r="A770" s="1" t="n">
        <v>38473</v>
      </c>
      <c r="B770" s="2" t="s">
        <v>16</v>
      </c>
      <c r="C770" s="3" t="n">
        <v>104899</v>
      </c>
      <c r="D770" s="8" t="s">
        <v>17</v>
      </c>
      <c r="E770" s="3" t="n">
        <f aca="false">IF(Tabla2[[#This Row],[Frecuencia]]="Annual", Tabla2[[#This Row],[Cosecha/Tarea]]/12,Tabla2[[#This Row],[Cosecha/Tarea]])</f>
        <v>104899</v>
      </c>
      <c r="F770" s="3" t="n">
        <v>480990</v>
      </c>
      <c r="G770" s="2" t="s">
        <v>18</v>
      </c>
      <c r="H770" s="2" t="n">
        <f aca="false">F770/Tabla2[[#This Row],[Cosecha Mensual]]</f>
        <v>4.58526773372482</v>
      </c>
      <c r="I770" s="2" t="n">
        <f aca="false">H770*_xlfn.XLOOKUP(Tabla2[[#This Row],[Unidad de producción]],Tabla3[Medida],Tabla3[Equivalencia en Kg],"ELVIS",0)</f>
        <v>207.987744401758</v>
      </c>
      <c r="J770" s="2" t="n">
        <v>1196.66666666667</v>
      </c>
      <c r="K770" s="2" t="s">
        <v>19</v>
      </c>
      <c r="L770" s="2" t="n">
        <f aca="false">J770/_xlfn.XLOOKUP(Tabla2[[#This Row],[Unidad de precio]],Tabla3[Medida],Tabla3[Equivalencia en Kg],"ELVIS",0)</f>
        <v>10.8787878787879</v>
      </c>
      <c r="M770" s="2" t="n">
        <v>4807.32</v>
      </c>
      <c r="N770" s="3" t="n">
        <f aca="false">(Tabla2[[#This Row],[Productividad (kg/TAS)]]*Tabla2[[#This Row],[Precio por kg]]-Tabla2[[#This Row],[Costos (En RD$/Tarea)]])</f>
        <v>-2544.66544726572</v>
      </c>
      <c r="O770" s="9" t="n">
        <f aca="false">IF(Tabla2[[#This Row],[Costos (En RD$/Tarea)]]=0,0,Tabla2[[#This Row],[Beneficio Neto  (En RD$/Tarea)]]/Tabla2[[#This Row],[Costos (En RD$/Tarea)]])</f>
        <v>-0.52933140445523</v>
      </c>
      <c r="P770" s="7" t="n">
        <f aca="false">Tabla2[[#This Row],[Rentabilidad (%)]]/12</f>
        <v>-0.0441109503712692</v>
      </c>
    </row>
    <row r="771" customFormat="false" ht="14.25" hidden="false" customHeight="false" outlineLevel="0" collapsed="false">
      <c r="A771" s="1" t="n">
        <v>38473</v>
      </c>
      <c r="B771" s="2" t="s">
        <v>20</v>
      </c>
      <c r="C771" s="3" t="n">
        <v>18861</v>
      </c>
      <c r="D771" s="8" t="s">
        <v>17</v>
      </c>
      <c r="E771" s="3" t="n">
        <f aca="false">IF(Tabla2[[#This Row],[Frecuencia]]="Annual", Tabla2[[#This Row],[Cosecha/Tarea]]/12,Tabla2[[#This Row],[Cosecha/Tarea]])</f>
        <v>18861</v>
      </c>
      <c r="F771" s="3" t="n">
        <v>37022</v>
      </c>
      <c r="G771" s="2" t="s">
        <v>18</v>
      </c>
      <c r="H771" s="2" t="n">
        <f aca="false">F771/Tabla2[[#This Row],[Cosecha Mensual]]</f>
        <v>1.9628863793012</v>
      </c>
      <c r="I771" s="2" t="n">
        <f aca="false">H771*_xlfn.XLOOKUP(Tabla2[[#This Row],[Unidad de producción]],Tabla3[Medida],Tabla3[Equivalencia en Kg],"ELVIS",0)</f>
        <v>89.0365261651026</v>
      </c>
      <c r="J771" s="2" t="n">
        <v>383.0544</v>
      </c>
      <c r="K771" s="2" t="s">
        <v>18</v>
      </c>
      <c r="L771" s="2" t="n">
        <f aca="false">J771/_xlfn.XLOOKUP(Tabla2[[#This Row],[Unidad de precio]],Tabla3[Medida],Tabla3[Equivalencia en Kg],"ELVIS",0)</f>
        <v>8.4447619047619</v>
      </c>
      <c r="M771" s="2" t="n">
        <v>1327.7</v>
      </c>
      <c r="N771" s="3" t="n">
        <f aca="false">(Tabla2[[#This Row],[Productividad (kg/TAS)]]*Tabla2[[#This Row],[Precio por kg]]-Tabla2[[#This Row],[Costos (En RD$/Tarea)]])</f>
        <v>-575.807735708605</v>
      </c>
      <c r="O771" s="9" t="n">
        <f aca="false">IF(Tabla2[[#This Row],[Costos (En RD$/Tarea)]]=0,0,Tabla2[[#This Row],[Beneficio Neto  (En RD$/Tarea)]]/Tabla2[[#This Row],[Costos (En RD$/Tarea)]])</f>
        <v>-0.43368813414823</v>
      </c>
      <c r="P771" s="7" t="n">
        <f aca="false">Tabla2[[#This Row],[Rentabilidad (%)]]/12</f>
        <v>-0.0361406778456858</v>
      </c>
    </row>
    <row r="772" customFormat="false" ht="14.25" hidden="false" customHeight="false" outlineLevel="0" collapsed="false">
      <c r="A772" s="1" t="n">
        <v>38473</v>
      </c>
      <c r="B772" s="2" t="s">
        <v>21</v>
      </c>
      <c r="C772" s="3" t="n">
        <v>8020</v>
      </c>
      <c r="D772" s="8" t="s">
        <v>17</v>
      </c>
      <c r="E772" s="3" t="n">
        <f aca="false">IF(Tabla2[[#This Row],[Frecuencia]]="Annual", Tabla2[[#This Row],[Cosecha/Tarea]]/12,Tabla2[[#This Row],[Cosecha/Tarea]])</f>
        <v>8020</v>
      </c>
      <c r="F772" s="3" t="n">
        <v>79690</v>
      </c>
      <c r="G772" s="2" t="s">
        <v>18</v>
      </c>
      <c r="H772" s="2" t="n">
        <f aca="false">F772/Tabla2[[#This Row],[Cosecha Mensual]]</f>
        <v>9.93640897755611</v>
      </c>
      <c r="I772" s="2" t="n">
        <f aca="false">H772*_xlfn.XLOOKUP(Tabla2[[#This Row],[Unidad de producción]],Tabla3[Medida],Tabla3[Equivalencia en Kg],"ELVIS",0)</f>
        <v>450.715511221945</v>
      </c>
      <c r="J772" s="2" t="n">
        <v>295.8</v>
      </c>
      <c r="K772" s="2" t="s">
        <v>18</v>
      </c>
      <c r="L772" s="2" t="n">
        <f aca="false">J772/_xlfn.XLOOKUP(Tabla2[[#This Row],[Unidad de precio]],Tabla3[Medida],Tabla3[Equivalencia en Kg],"ELVIS",0)</f>
        <v>6.52116402116402</v>
      </c>
      <c r="M772" s="2" t="n">
        <v>2092.86</v>
      </c>
      <c r="N772" s="3" t="n">
        <f aca="false">(Tabla2[[#This Row],[Productividad (kg/TAS)]]*Tabla2[[#This Row],[Precio por kg]]-Tabla2[[#This Row],[Costos (En RD$/Tarea)]])</f>
        <v>846.329775561097</v>
      </c>
      <c r="O772" s="9" t="n">
        <f aca="false">IF(Tabla2[[#This Row],[Costos (En RD$/Tarea)]]=0,0,Tabla2[[#This Row],[Beneficio Neto  (En RD$/Tarea)]]/Tabla2[[#This Row],[Costos (En RD$/Tarea)]])</f>
        <v>0.404389101784686</v>
      </c>
      <c r="P772" s="7" t="n">
        <f aca="false">Tabla2[[#This Row],[Rentabilidad (%)]]/12</f>
        <v>0.0336990918153905</v>
      </c>
    </row>
    <row r="773" customFormat="false" ht="14.25" hidden="false" customHeight="false" outlineLevel="0" collapsed="false">
      <c r="A773" s="1" t="n">
        <v>38473</v>
      </c>
      <c r="B773" s="2" t="s">
        <v>22</v>
      </c>
      <c r="C773" s="3" t="n">
        <v>4965</v>
      </c>
      <c r="D773" s="8" t="s">
        <v>17</v>
      </c>
      <c r="E773" s="3" t="n">
        <f aca="false">IF(Tabla2[[#This Row],[Frecuencia]]="Annual", Tabla2[[#This Row],[Cosecha/Tarea]]/12,Tabla2[[#This Row],[Cosecha/Tarea]])</f>
        <v>4965</v>
      </c>
      <c r="F773" s="3" t="n">
        <v>45220</v>
      </c>
      <c r="G773" s="2" t="s">
        <v>18</v>
      </c>
      <c r="H773" s="2" t="n">
        <f aca="false">F773/Tabla2[[#This Row],[Cosecha Mensual]]</f>
        <v>9.10775427995972</v>
      </c>
      <c r="I773" s="2" t="n">
        <f aca="false">H773*_xlfn.XLOOKUP(Tabla2[[#This Row],[Unidad de producción]],Tabla3[Medida],Tabla3[Equivalencia en Kg],"ELVIS",0)</f>
        <v>413.127734138973</v>
      </c>
      <c r="J773" s="2" t="n">
        <v>716</v>
      </c>
      <c r="K773" s="2" t="s">
        <v>18</v>
      </c>
      <c r="L773" s="2" t="n">
        <f aca="false">J773/_xlfn.XLOOKUP(Tabla2[[#This Row],[Unidad de precio]],Tabla3[Medida],Tabla3[Equivalencia en Kg],"ELVIS",0)</f>
        <v>15.7848324514991</v>
      </c>
      <c r="M773" s="2" t="n">
        <v>5853.83</v>
      </c>
      <c r="N773" s="3" t="n">
        <f aca="false">(Tabla2[[#This Row],[Productividad (kg/TAS)]]*Tabla2[[#This Row],[Precio por kg]]-Tabla2[[#This Row],[Costos (En RD$/Tarea)]])</f>
        <v>667.322064451158</v>
      </c>
      <c r="O773" s="9" t="n">
        <f aca="false">IF(Tabla2[[#This Row],[Costos (En RD$/Tarea)]]=0,0,Tabla2[[#This Row],[Beneficio Neto  (En RD$/Tarea)]]/Tabla2[[#This Row],[Costos (En RD$/Tarea)]])</f>
        <v>0.113997513499906</v>
      </c>
      <c r="P773" s="7" t="n">
        <f aca="false">Tabla2[[#This Row],[Rentabilidad (%)]]/12</f>
        <v>0.00949979279165887</v>
      </c>
    </row>
    <row r="774" customFormat="false" ht="14.25" hidden="false" customHeight="false" outlineLevel="0" collapsed="false">
      <c r="A774" s="1" t="n">
        <v>38473</v>
      </c>
      <c r="B774" s="2" t="s">
        <v>23</v>
      </c>
      <c r="C774" s="3" t="n">
        <v>3773</v>
      </c>
      <c r="D774" s="8" t="s">
        <v>17</v>
      </c>
      <c r="E774" s="3" t="n">
        <f aca="false">IF(Tabla2[[#This Row],[Frecuencia]]="Annual", Tabla2[[#This Row],[Cosecha/Tarea]]/12,Tabla2[[#This Row],[Cosecha/Tarea]])</f>
        <v>3773</v>
      </c>
      <c r="F774" s="3" t="n">
        <v>128930</v>
      </c>
      <c r="G774" s="2" t="s">
        <v>18</v>
      </c>
      <c r="H774" s="2" t="n">
        <f aca="false">F774/Tabla2[[#This Row],[Cosecha Mensual]]</f>
        <v>34.1717466207262</v>
      </c>
      <c r="I774" s="2" t="n">
        <f aca="false">H774*_xlfn.XLOOKUP(Tabla2[[#This Row],[Unidad de producción]],Tabla3[Medida],Tabla3[Equivalencia en Kg],"ELVIS",0)</f>
        <v>1550.03042671614</v>
      </c>
      <c r="J774" s="2" t="n">
        <v>480</v>
      </c>
      <c r="K774" s="2" t="s">
        <v>18</v>
      </c>
      <c r="L774" s="2" t="n">
        <f aca="false">J774/_xlfn.XLOOKUP(Tabla2[[#This Row],[Unidad de precio]],Tabla3[Medida],Tabla3[Equivalencia en Kg],"ELVIS",0)</f>
        <v>10.5820105820106</v>
      </c>
      <c r="M774" s="2" t="n">
        <v>10163.53</v>
      </c>
      <c r="N774" s="3" t="n">
        <f aca="false">(Tabla2[[#This Row],[Productividad (kg/TAS)]]*Tabla2[[#This Row],[Precio por kg]]-Tabla2[[#This Row],[Costos (En RD$/Tarea)]])</f>
        <v>6238.90837794858</v>
      </c>
      <c r="O774" s="9" t="n">
        <f aca="false">IF(Tabla2[[#This Row],[Costos (En RD$/Tarea)]]=0,0,Tabla2[[#This Row],[Beneficio Neto  (En RD$/Tarea)]]/Tabla2[[#This Row],[Costos (En RD$/Tarea)]])</f>
        <v>0.613852507735854</v>
      </c>
      <c r="P774" s="7" t="n">
        <f aca="false">Tabla2[[#This Row],[Rentabilidad (%)]]/12</f>
        <v>0.0511543756446545</v>
      </c>
    </row>
    <row r="775" customFormat="false" ht="14.25" hidden="false" customHeight="false" outlineLevel="0" collapsed="false">
      <c r="A775" s="1" t="n">
        <v>38473</v>
      </c>
      <c r="B775" s="2" t="s">
        <v>24</v>
      </c>
      <c r="C775" s="3" t="n">
        <v>4624</v>
      </c>
      <c r="D775" s="8" t="s">
        <v>17</v>
      </c>
      <c r="E775" s="3" t="n">
        <f aca="false">IF(Tabla2[[#This Row],[Frecuencia]]="Annual", Tabla2[[#This Row],[Cosecha/Tarea]]/12,Tabla2[[#This Row],[Cosecha/Tarea]])</f>
        <v>4624</v>
      </c>
      <c r="F775" s="3" t="n">
        <v>40400</v>
      </c>
      <c r="G775" s="2" t="s">
        <v>18</v>
      </c>
      <c r="H775" s="2" t="n">
        <f aca="false">F775/Tabla2[[#This Row],[Cosecha Mensual]]</f>
        <v>8.73702422145329</v>
      </c>
      <c r="I775" s="2" t="n">
        <f aca="false">H775*_xlfn.XLOOKUP(Tabla2[[#This Row],[Unidad de producción]],Tabla3[Medida],Tabla3[Equivalencia en Kg],"ELVIS",0)</f>
        <v>396.311418685121</v>
      </c>
      <c r="J775" s="2" t="n">
        <v>919.75</v>
      </c>
      <c r="K775" s="2" t="s">
        <v>18</v>
      </c>
      <c r="L775" s="2" t="n">
        <f aca="false">J775/_xlfn.XLOOKUP(Tabla2[[#This Row],[Unidad de precio]],Tabla3[Medida],Tabla3[Equivalencia en Kg],"ELVIS",0)</f>
        <v>20.2766754850088</v>
      </c>
      <c r="M775" s="2" t="n">
        <v>4680.83</v>
      </c>
      <c r="N775" s="3" t="n">
        <f aca="false">(Tabla2[[#This Row],[Productividad (kg/TAS)]]*Tabla2[[#This Row],[Precio por kg]]-Tabla2[[#This Row],[Costos (En RD$/Tarea)]])</f>
        <v>3355.04802768166</v>
      </c>
      <c r="O775" s="9" t="n">
        <f aca="false">IF(Tabla2[[#This Row],[Costos (En RD$/Tarea)]]=0,0,Tabla2[[#This Row],[Beneficio Neto  (En RD$/Tarea)]]/Tabla2[[#This Row],[Costos (En RD$/Tarea)]])</f>
        <v>0.716763485894951</v>
      </c>
      <c r="P775" s="7" t="n">
        <f aca="false">Tabla2[[#This Row],[Rentabilidad (%)]]/12</f>
        <v>0.0597302904912459</v>
      </c>
    </row>
    <row r="776" customFormat="false" ht="14.25" hidden="false" customHeight="false" outlineLevel="0" collapsed="false">
      <c r="A776" s="1" t="n">
        <v>38473</v>
      </c>
      <c r="B776" s="2" t="s">
        <v>25</v>
      </c>
      <c r="C776" s="3" t="n">
        <v>13162</v>
      </c>
      <c r="D776" s="8" t="s">
        <v>17</v>
      </c>
      <c r="E776" s="3" t="n">
        <f aca="false">IF(Tabla2[[#This Row],[Frecuencia]]="Annual", Tabla2[[#This Row],[Cosecha/Tarea]]/12,Tabla2[[#This Row],[Cosecha/Tarea]])</f>
        <v>13162</v>
      </c>
      <c r="F776" s="3" t="n">
        <v>119587</v>
      </c>
      <c r="G776" s="2" t="s">
        <v>18</v>
      </c>
      <c r="H776" s="2" t="n">
        <f aca="false">F776/Tabla2[[#This Row],[Cosecha Mensual]]</f>
        <v>9.0857772375019</v>
      </c>
      <c r="I776" s="2" t="n">
        <f aca="false">H776*_xlfn.XLOOKUP(Tabla2[[#This Row],[Unidad de producción]],Tabla3[Medida],Tabla3[Equivalencia en Kg],"ELVIS",0)</f>
        <v>412.130855493086</v>
      </c>
      <c r="J776" s="2" t="n">
        <v>621.9375</v>
      </c>
      <c r="K776" s="2" t="s">
        <v>18</v>
      </c>
      <c r="L776" s="2" t="n">
        <f aca="false">J776/_xlfn.XLOOKUP(Tabla2[[#This Row],[Unidad de precio]],Tabla3[Medida],Tabla3[Equivalencia en Kg],"ELVIS",0)</f>
        <v>13.7111441798942</v>
      </c>
      <c r="M776" s="2" t="n">
        <v>2314.215</v>
      </c>
      <c r="N776" s="3" t="n">
        <f aca="false">(Tabla2[[#This Row],[Productividad (kg/TAS)]]*Tabla2[[#This Row],[Precio por kg]]-Tabla2[[#This Row],[Costos (En RD$/Tarea)]])</f>
        <v>3336.57058064884</v>
      </c>
      <c r="O776" s="9" t="n">
        <f aca="false">IF(Tabla2[[#This Row],[Costos (En RD$/Tarea)]]=0,0,Tabla2[[#This Row],[Beneficio Neto  (En RD$/Tarea)]]/Tabla2[[#This Row],[Costos (En RD$/Tarea)]])</f>
        <v>1.4417720828224</v>
      </c>
      <c r="P776" s="7" t="n">
        <f aca="false">Tabla2[[#This Row],[Rentabilidad (%)]]/12</f>
        <v>0.120147673568533</v>
      </c>
    </row>
    <row r="777" customFormat="false" ht="14.25" hidden="false" customHeight="false" outlineLevel="0" collapsed="false">
      <c r="A777" s="1" t="n">
        <v>38473</v>
      </c>
      <c r="B777" s="2" t="s">
        <v>26</v>
      </c>
      <c r="C777" s="3" t="n">
        <v>3914</v>
      </c>
      <c r="D777" s="8" t="s">
        <v>17</v>
      </c>
      <c r="E777" s="3" t="n">
        <f aca="false">IF(Tabla2[[#This Row],[Frecuencia]]="Annual", Tabla2[[#This Row],[Cosecha/Tarea]]/12,Tabla2[[#This Row],[Cosecha/Tarea]])</f>
        <v>3914</v>
      </c>
      <c r="F777" s="3" t="n">
        <v>25396</v>
      </c>
      <c r="G777" s="2" t="s">
        <v>18</v>
      </c>
      <c r="H777" s="2" t="n">
        <f aca="false">F777/Tabla2[[#This Row],[Cosecha Mensual]]</f>
        <v>6.48850281042412</v>
      </c>
      <c r="I777" s="2" t="n">
        <f aca="false">H777*_xlfn.XLOOKUP(Tabla2[[#This Row],[Unidad de producción]],Tabla3[Medida],Tabla3[Equivalencia en Kg],"ELVIS",0)</f>
        <v>294.318487480838</v>
      </c>
      <c r="J777" s="2" t="n">
        <v>522</v>
      </c>
      <c r="K777" s="2" t="s">
        <v>18</v>
      </c>
      <c r="L777" s="2" t="n">
        <f aca="false">J777/_xlfn.XLOOKUP(Tabla2[[#This Row],[Unidad de precio]],Tabla3[Medida],Tabla3[Equivalencia en Kg],"ELVIS",0)</f>
        <v>11.5079365079365</v>
      </c>
      <c r="M777" s="2" t="n">
        <v>906.4</v>
      </c>
      <c r="N777" s="3" t="n">
        <f aca="false">(Tabla2[[#This Row],[Productividad (kg/TAS)]]*Tabla2[[#This Row],[Precio por kg]]-Tabla2[[#This Row],[Costos (En RD$/Tarea)]])</f>
        <v>2480.59846704139</v>
      </c>
      <c r="O777" s="9" t="n">
        <f aca="false">IF(Tabla2[[#This Row],[Costos (En RD$/Tarea)]]=0,0,Tabla2[[#This Row],[Beneficio Neto  (En RD$/Tarea)]]/Tabla2[[#This Row],[Costos (En RD$/Tarea)]])</f>
        <v>2.73675912074293</v>
      </c>
      <c r="P777" s="7" t="n">
        <f aca="false">Tabla2[[#This Row],[Rentabilidad (%)]]/12</f>
        <v>0.228063260061911</v>
      </c>
    </row>
    <row r="778" customFormat="false" ht="14.25" hidden="false" customHeight="false" outlineLevel="0" collapsed="false">
      <c r="A778" s="1" t="n">
        <v>38473</v>
      </c>
      <c r="B778" s="2" t="s">
        <v>27</v>
      </c>
      <c r="C778" s="3" t="n">
        <v>4642</v>
      </c>
      <c r="D778" s="8" t="s">
        <v>17</v>
      </c>
      <c r="E778" s="3" t="n">
        <f aca="false">IF(Tabla2[[#This Row],[Frecuencia]]="Annual", Tabla2[[#This Row],[Cosecha/Tarea]]/12,Tabla2[[#This Row],[Cosecha/Tarea]])</f>
        <v>4642</v>
      </c>
      <c r="F778" s="3" t="n">
        <v>37784</v>
      </c>
      <c r="G778" s="2" t="s">
        <v>18</v>
      </c>
      <c r="H778" s="2" t="n">
        <f aca="false">F778/Tabla2[[#This Row],[Cosecha Mensual]]</f>
        <v>8.13959500215425</v>
      </c>
      <c r="I778" s="2" t="n">
        <f aca="false">H778*_xlfn.XLOOKUP(Tabla2[[#This Row],[Unidad de producción]],Tabla3[Medida],Tabla3[Equivalencia en Kg],"ELVIS",0)</f>
        <v>369.212029297717</v>
      </c>
      <c r="J778" s="2" t="n">
        <v>169.039866666667</v>
      </c>
      <c r="K778" s="2" t="s">
        <v>18</v>
      </c>
      <c r="L778" s="2" t="n">
        <f aca="false">J778/_xlfn.XLOOKUP(Tabla2[[#This Row],[Unidad de precio]],Tabla3[Medida],Tabla3[Equivalencia en Kg],"ELVIS",0)</f>
        <v>3.72662845385068</v>
      </c>
      <c r="M778" s="2" t="n">
        <v>5157.39</v>
      </c>
      <c r="N778" s="3" t="n">
        <f aca="false">(Tabla2[[#This Row],[Productividad (kg/TAS)]]*Tabla2[[#This Row],[Precio por kg]]-Tabla2[[#This Row],[Costos (En RD$/Tarea)]])</f>
        <v>-3781.47394611518</v>
      </c>
      <c r="O778" s="9" t="n">
        <f aca="false">IF(Tabla2[[#This Row],[Costos (En RD$/Tarea)]]=0,0,Tabla2[[#This Row],[Beneficio Neto  (En RD$/Tarea)]]/Tabla2[[#This Row],[Costos (En RD$/Tarea)]])</f>
        <v>-0.733214658211843</v>
      </c>
      <c r="P778" s="7" t="n">
        <f aca="false">Tabla2[[#This Row],[Rentabilidad (%)]]/12</f>
        <v>-0.0611012215176536</v>
      </c>
    </row>
    <row r="779" customFormat="false" ht="14.25" hidden="false" customHeight="false" outlineLevel="0" collapsed="false">
      <c r="A779" s="1" t="n">
        <v>38473</v>
      </c>
      <c r="B779" s="2" t="s">
        <v>28</v>
      </c>
      <c r="C779" s="3" t="n">
        <v>357</v>
      </c>
      <c r="D779" s="8" t="s">
        <v>17</v>
      </c>
      <c r="E779" s="3" t="n">
        <f aca="false">IF(Tabla2[[#This Row],[Frecuencia]]="Annual", Tabla2[[#This Row],[Cosecha/Tarea]]/12,Tabla2[[#This Row],[Cosecha/Tarea]])</f>
        <v>357</v>
      </c>
      <c r="F779" s="3" t="n">
        <v>110</v>
      </c>
      <c r="G779" s="2" t="s">
        <v>29</v>
      </c>
      <c r="H779" s="2" t="n">
        <f aca="false">F779/Tabla2[[#This Row],[Cosecha Mensual]]</f>
        <v>0.30812324929972</v>
      </c>
      <c r="I779" s="2" t="n">
        <f aca="false">H779*_xlfn.XLOOKUP(Tabla2[[#This Row],[Unidad de producción]],Tabla3[Medida],Tabla3[Equivalencia en Kg],"ELVIS",0)</f>
        <v>173.270028011205</v>
      </c>
      <c r="J779" s="2" t="n">
        <v>3632.2</v>
      </c>
      <c r="K779" s="2" t="s">
        <v>29</v>
      </c>
      <c r="L779" s="2" t="n">
        <f aca="false">J779/_xlfn.XLOOKUP(Tabla2[[#This Row],[Unidad de precio]],Tabla3[Medida],Tabla3[Equivalencia en Kg],"ELVIS",0)</f>
        <v>6.45908169434861</v>
      </c>
      <c r="M779" s="2" t="n">
        <v>9027.66</v>
      </c>
      <c r="N779" s="3" t="n">
        <f aca="false">(Tabla2[[#This Row],[Productividad (kg/TAS)]]*Tabla2[[#This Row],[Precio por kg]]-Tabla2[[#This Row],[Costos (En RD$/Tarea)]])</f>
        <v>-7908.49473389356</v>
      </c>
      <c r="O779" s="9" t="n">
        <f aca="false">IF(Tabla2[[#This Row],[Costos (En RD$/Tarea)]]=0,0,Tabla2[[#This Row],[Beneficio Neto  (En RD$/Tarea)]]/Tabla2[[#This Row],[Costos (En RD$/Tarea)]])</f>
        <v>-0.876029307029015</v>
      </c>
      <c r="P779" s="7" t="n">
        <f aca="false">Tabla2[[#This Row],[Rentabilidad (%)]]/12</f>
        <v>-0.0730024422524179</v>
      </c>
    </row>
    <row r="780" customFormat="false" ht="14.25" hidden="false" customHeight="false" outlineLevel="0" collapsed="false">
      <c r="A780" s="1" t="n">
        <v>38473</v>
      </c>
      <c r="B780" s="2" t="s">
        <v>30</v>
      </c>
      <c r="C780" s="3" t="n">
        <v>286723</v>
      </c>
      <c r="D780" s="3" t="s">
        <v>31</v>
      </c>
      <c r="E780" s="3" t="n">
        <f aca="false">IF(Tabla2[[#This Row],[Frecuencia]]="Annual", Tabla2[[#This Row],[Cosecha/Tarea]]/12,Tabla2[[#This Row],[Cosecha/Tarea]])</f>
        <v>23893.5833333333</v>
      </c>
      <c r="F780" s="3" t="n">
        <v>1756478</v>
      </c>
      <c r="G780" s="2" t="s">
        <v>32</v>
      </c>
      <c r="H780" s="2" t="n">
        <f aca="false">F780/Tabla2[[#This Row],[Cosecha Mensual]]</f>
        <v>73.5125399776091</v>
      </c>
      <c r="I780" s="2" t="n">
        <f aca="false">H780*_xlfn.XLOOKUP(Tabla2[[#This Row],[Unidad de producción]],Tabla3[Medida],Tabla3[Equivalencia en Kg],"ELVIS",0)</f>
        <v>2000.27621279074</v>
      </c>
      <c r="J780" s="2" t="n">
        <v>65.44</v>
      </c>
      <c r="K780" s="2" t="s">
        <v>32</v>
      </c>
      <c r="L780" s="2" t="n">
        <f aca="false">J780/_xlfn.XLOOKUP(Tabla2[[#This Row],[Unidad de precio]],Tabla3[Medida],Tabla3[Equivalencia en Kg],"ELVIS",0)</f>
        <v>2.40499816244028</v>
      </c>
      <c r="M780" s="3" t="n">
        <v>7918.62</v>
      </c>
      <c r="N780" s="3" t="n">
        <f aca="false">(Tabla2[[#This Row],[Productividad (kg/TAS)]]*Tabla2[[#This Row],[Precio por kg]]-Tabla2[[#This Row],[Costos (En RD$/Tarea)]])</f>
        <v>-3107.95938386526</v>
      </c>
      <c r="O780" s="9" t="n">
        <f aca="false">IF(Tabla2[[#This Row],[Costos (En RD$/Tarea)]]=0,0,Tabla2[[#This Row],[Beneficio Neto  (En RD$/Tarea)]]/Tabla2[[#This Row],[Costos (En RD$/Tarea)]])</f>
        <v>-0.392487502098252</v>
      </c>
      <c r="P780" s="7" t="n">
        <f aca="false">Tabla2[[#This Row],[Rentabilidad (%)]]/12</f>
        <v>-0.032707291841521</v>
      </c>
    </row>
    <row r="781" customFormat="false" ht="14.25" hidden="false" customHeight="false" outlineLevel="0" collapsed="false">
      <c r="A781" s="1" t="n">
        <v>38473</v>
      </c>
      <c r="B781" s="2" t="s">
        <v>33</v>
      </c>
      <c r="C781" s="3" t="n">
        <v>647505</v>
      </c>
      <c r="D781" s="3" t="s">
        <v>31</v>
      </c>
      <c r="E781" s="3" t="n">
        <f aca="false">IF(Tabla2[[#This Row],[Frecuencia]]="Annual", Tabla2[[#This Row],[Cosecha/Tarea]]/12,Tabla2[[#This Row],[Cosecha/Tarea]])</f>
        <v>53958.75</v>
      </c>
      <c r="F781" s="3" t="n">
        <v>118228</v>
      </c>
      <c r="G781" s="2" t="s">
        <v>34</v>
      </c>
      <c r="H781" s="2" t="n">
        <f aca="false">F781/Tabla2[[#This Row],[Cosecha Mensual]]</f>
        <v>2.19108114995251</v>
      </c>
      <c r="I781" s="2" t="n">
        <f aca="false">H781*_xlfn.XLOOKUP(Tabla2[[#This Row],[Unidad de producción]],Tabla3[Medida],Tabla3[Equivalencia en Kg],"ELVIS",0)</f>
        <v>894.289771353117</v>
      </c>
      <c r="J781" s="2" t="n">
        <v>2288.5</v>
      </c>
      <c r="K781" s="2" t="s">
        <v>34</v>
      </c>
      <c r="L781" s="2" t="n">
        <f aca="false">J781/_xlfn.XLOOKUP(Tabla2[[#This Row],[Unidad de precio]],Tabla3[Medida],Tabla3[Equivalencia en Kg],"ELVIS",0)</f>
        <v>5.6070072277349</v>
      </c>
      <c r="M781" s="3" t="n">
        <v>9928.24</v>
      </c>
      <c r="N781" s="3" t="n">
        <f aca="false">(Tabla2[[#This Row],[Productividad (kg/TAS)]]*Tabla2[[#This Row],[Precio por kg]]-Tabla2[[#This Row],[Costos (En RD$/Tarea)]])</f>
        <v>-4913.95078833368</v>
      </c>
      <c r="O781" s="9" t="n">
        <f aca="false">IF(Tabla2[[#This Row],[Costos (En RD$/Tarea)]]=0,0,Tabla2[[#This Row],[Beneficio Neto  (En RD$/Tarea)]]/Tabla2[[#This Row],[Costos (En RD$/Tarea)]])</f>
        <v>-0.494946817193549</v>
      </c>
      <c r="P781" s="7" t="n">
        <f aca="false">Tabla2[[#This Row],[Rentabilidad (%)]]/12</f>
        <v>-0.0412455680994624</v>
      </c>
    </row>
    <row r="782" customFormat="false" ht="14.25" hidden="false" customHeight="false" outlineLevel="0" collapsed="false">
      <c r="A782" s="1" t="n">
        <v>38504</v>
      </c>
      <c r="B782" s="2" t="s">
        <v>16</v>
      </c>
      <c r="C782" s="3" t="n">
        <v>376900</v>
      </c>
      <c r="D782" s="8" t="s">
        <v>17</v>
      </c>
      <c r="E782" s="3" t="n">
        <f aca="false">IF(Tabla2[[#This Row],[Frecuencia]]="Annual", Tabla2[[#This Row],[Cosecha/Tarea]]/12,Tabla2[[#This Row],[Cosecha/Tarea]])</f>
        <v>376900</v>
      </c>
      <c r="F782" s="3" t="n">
        <v>1756962</v>
      </c>
      <c r="G782" s="2" t="s">
        <v>18</v>
      </c>
      <c r="H782" s="2" t="n">
        <f aca="false">F782/Tabla2[[#This Row],[Cosecha Mensual]]</f>
        <v>4.66161315998939</v>
      </c>
      <c r="I782" s="2" t="n">
        <f aca="false">H782*_xlfn.XLOOKUP(Tabla2[[#This Row],[Unidad de producción]],Tabla3[Medida],Tabla3[Equivalencia en Kg],"ELVIS",0)</f>
        <v>211.450772937119</v>
      </c>
      <c r="J782" s="2" t="n">
        <v>1015.918</v>
      </c>
      <c r="K782" s="2" t="s">
        <v>19</v>
      </c>
      <c r="L782" s="2" t="n">
        <f aca="false">J782/_xlfn.XLOOKUP(Tabla2[[#This Row],[Unidad de precio]],Tabla3[Medida],Tabla3[Equivalencia en Kg],"ELVIS",0)</f>
        <v>9.23561818181818</v>
      </c>
      <c r="M782" s="2" t="n">
        <v>4807.32</v>
      </c>
      <c r="N782" s="3" t="n">
        <f aca="false">(Tabla2[[#This Row],[Productividad (kg/TAS)]]*Tabla2[[#This Row],[Precio por kg]]-Tabla2[[#This Row],[Costos (En RD$/Tarea)]])</f>
        <v>-2854.44139690244</v>
      </c>
      <c r="O782" s="9" t="n">
        <f aca="false">IF(Tabla2[[#This Row],[Costos (En RD$/Tarea)]]=0,0,Tabla2[[#This Row],[Beneficio Neto  (En RD$/Tarea)]]/Tabla2[[#This Row],[Costos (En RD$/Tarea)]])</f>
        <v>-0.593769792088407</v>
      </c>
      <c r="P782" s="7" t="n">
        <f aca="false">Tabla2[[#This Row],[Rentabilidad (%)]]/12</f>
        <v>-0.0494808160073672</v>
      </c>
    </row>
    <row r="783" customFormat="false" ht="14.25" hidden="false" customHeight="false" outlineLevel="0" collapsed="false">
      <c r="A783" s="1" t="n">
        <v>38504</v>
      </c>
      <c r="B783" s="2" t="s">
        <v>20</v>
      </c>
      <c r="C783" s="3" t="n">
        <v>26009</v>
      </c>
      <c r="D783" s="8" t="s">
        <v>17</v>
      </c>
      <c r="E783" s="3" t="n">
        <f aca="false">IF(Tabla2[[#This Row],[Frecuencia]]="Annual", Tabla2[[#This Row],[Cosecha/Tarea]]/12,Tabla2[[#This Row],[Cosecha/Tarea]])</f>
        <v>26009</v>
      </c>
      <c r="F783" s="3" t="n">
        <v>63631</v>
      </c>
      <c r="G783" s="2" t="s">
        <v>18</v>
      </c>
      <c r="H783" s="2" t="n">
        <f aca="false">F783/Tabla2[[#This Row],[Cosecha Mensual]]</f>
        <v>2.44649928870776</v>
      </c>
      <c r="I783" s="2" t="n">
        <f aca="false">H783*_xlfn.XLOOKUP(Tabla2[[#This Row],[Unidad de producción]],Tabla3[Medida],Tabla3[Equivalencia en Kg],"ELVIS",0)</f>
        <v>110.973207735784</v>
      </c>
      <c r="J783" s="2" t="n">
        <v>399.681666666667</v>
      </c>
      <c r="K783" s="2" t="s">
        <v>18</v>
      </c>
      <c r="L783" s="2" t="n">
        <f aca="false">J783/_xlfn.XLOOKUP(Tabla2[[#This Row],[Unidad de precio]],Tabla3[Medida],Tabla3[Equivalencia en Kg],"ELVIS",0)</f>
        <v>8.81132422104645</v>
      </c>
      <c r="M783" s="2" t="n">
        <v>1327.7</v>
      </c>
      <c r="N783" s="3" t="n">
        <f aca="false">(Tabla2[[#This Row],[Productividad (kg/TAS)]]*Tabla2[[#This Row],[Precio por kg]]-Tabla2[[#This Row],[Costos (En RD$/Tarea)]])</f>
        <v>-349.879086790469</v>
      </c>
      <c r="O783" s="9" t="n">
        <f aca="false">IF(Tabla2[[#This Row],[Costos (En RD$/Tarea)]]=0,0,Tabla2[[#This Row],[Beneficio Neto  (En RD$/Tarea)]]/Tabla2[[#This Row],[Costos (En RD$/Tarea)]])</f>
        <v>-0.263522698493989</v>
      </c>
      <c r="P783" s="7" t="n">
        <f aca="false">Tabla2[[#This Row],[Rentabilidad (%)]]/12</f>
        <v>-0.0219602248744991</v>
      </c>
    </row>
    <row r="784" customFormat="false" ht="14.25" hidden="false" customHeight="false" outlineLevel="0" collapsed="false">
      <c r="A784" s="1" t="n">
        <v>38504</v>
      </c>
      <c r="B784" s="2" t="s">
        <v>21</v>
      </c>
      <c r="C784" s="3" t="n">
        <v>7572</v>
      </c>
      <c r="D784" s="8" t="s">
        <v>17</v>
      </c>
      <c r="E784" s="3" t="n">
        <f aca="false">IF(Tabla2[[#This Row],[Frecuencia]]="Annual", Tabla2[[#This Row],[Cosecha/Tarea]]/12,Tabla2[[#This Row],[Cosecha/Tarea]])</f>
        <v>7572</v>
      </c>
      <c r="F784" s="3" t="n">
        <v>73082</v>
      </c>
      <c r="G784" s="2" t="s">
        <v>18</v>
      </c>
      <c r="H784" s="2" t="n">
        <f aca="false">F784/Tabla2[[#This Row],[Cosecha Mensual]]</f>
        <v>9.65161119915478</v>
      </c>
      <c r="I784" s="2" t="n">
        <f aca="false">H784*_xlfn.XLOOKUP(Tabla2[[#This Row],[Unidad de producción]],Tabla3[Medida],Tabla3[Equivalencia en Kg],"ELVIS",0)</f>
        <v>437.797083993661</v>
      </c>
      <c r="J784" s="2" t="n">
        <v>278.4</v>
      </c>
      <c r="K784" s="2" t="s">
        <v>18</v>
      </c>
      <c r="L784" s="2" t="n">
        <f aca="false">J784/_xlfn.XLOOKUP(Tabla2[[#This Row],[Unidad de precio]],Tabla3[Medida],Tabla3[Equivalencia en Kg],"ELVIS",0)</f>
        <v>6.13756613756614</v>
      </c>
      <c r="M784" s="2" t="n">
        <v>2092.86</v>
      </c>
      <c r="N784" s="3" t="n">
        <f aca="false">(Tabla2[[#This Row],[Productividad (kg/TAS)]]*Tabla2[[#This Row],[Precio por kg]]-Tabla2[[#This Row],[Costos (En RD$/Tarea)]])</f>
        <v>594.148557844691</v>
      </c>
      <c r="O784" s="9" t="n">
        <f aca="false">IF(Tabla2[[#This Row],[Costos (En RD$/Tarea)]]=0,0,Tabla2[[#This Row],[Beneficio Neto  (En RD$/Tarea)]]/Tabla2[[#This Row],[Costos (En RD$/Tarea)]])</f>
        <v>0.283893121300369</v>
      </c>
      <c r="P784" s="7" t="n">
        <f aca="false">Tabla2[[#This Row],[Rentabilidad (%)]]/12</f>
        <v>0.0236577601083641</v>
      </c>
    </row>
    <row r="785" customFormat="false" ht="14.25" hidden="false" customHeight="false" outlineLevel="0" collapsed="false">
      <c r="A785" s="1" t="n">
        <v>38504</v>
      </c>
      <c r="B785" s="2" t="s">
        <v>22</v>
      </c>
      <c r="C785" s="3" t="n">
        <v>2733</v>
      </c>
      <c r="D785" s="8" t="s">
        <v>17</v>
      </c>
      <c r="E785" s="3" t="n">
        <f aca="false">IF(Tabla2[[#This Row],[Frecuencia]]="Annual", Tabla2[[#This Row],[Cosecha/Tarea]]/12,Tabla2[[#This Row],[Cosecha/Tarea]])</f>
        <v>2733</v>
      </c>
      <c r="F785" s="3" t="n">
        <v>24293</v>
      </c>
      <c r="G785" s="2" t="s">
        <v>18</v>
      </c>
      <c r="H785" s="2" t="n">
        <f aca="false">F785/Tabla2[[#This Row],[Cosecha Mensual]]</f>
        <v>8.88876692279546</v>
      </c>
      <c r="I785" s="2" t="n">
        <f aca="false">H785*_xlfn.XLOOKUP(Tabla2[[#This Row],[Unidad de producción]],Tabla3[Medida],Tabla3[Equivalencia en Kg],"ELVIS",0)</f>
        <v>403.194467618002</v>
      </c>
      <c r="J785" s="2" t="n">
        <v>780.5</v>
      </c>
      <c r="K785" s="2" t="s">
        <v>18</v>
      </c>
      <c r="L785" s="2" t="n">
        <f aca="false">J785/_xlfn.XLOOKUP(Tabla2[[#This Row],[Unidad de precio]],Tabla3[Medida],Tabla3[Equivalencia en Kg],"ELVIS",0)</f>
        <v>17.2067901234568</v>
      </c>
      <c r="M785" s="2" t="n">
        <v>5853.83</v>
      </c>
      <c r="N785" s="3" t="n">
        <f aca="false">(Tabla2[[#This Row],[Productividad (kg/TAS)]]*Tabla2[[#This Row],[Precio por kg]]-Tabla2[[#This Row],[Costos (En RD$/Tarea)]])</f>
        <v>1083.85258324186</v>
      </c>
      <c r="O785" s="9" t="n">
        <f aca="false">IF(Tabla2[[#This Row],[Costos (En RD$/Tarea)]]=0,0,Tabla2[[#This Row],[Beneficio Neto  (En RD$/Tarea)]]/Tabla2[[#This Row],[Costos (En RD$/Tarea)]])</f>
        <v>0.185152726205213</v>
      </c>
      <c r="P785" s="7" t="n">
        <f aca="false">Tabla2[[#This Row],[Rentabilidad (%)]]/12</f>
        <v>0.0154293938504344</v>
      </c>
    </row>
    <row r="786" customFormat="false" ht="14.25" hidden="false" customHeight="false" outlineLevel="0" collapsed="false">
      <c r="A786" s="1" t="n">
        <v>38504</v>
      </c>
      <c r="B786" s="2" t="s">
        <v>23</v>
      </c>
      <c r="C786" s="3" t="n">
        <v>2193</v>
      </c>
      <c r="D786" s="8" t="s">
        <v>17</v>
      </c>
      <c r="E786" s="3" t="n">
        <f aca="false">IF(Tabla2[[#This Row],[Frecuencia]]="Annual", Tabla2[[#This Row],[Cosecha/Tarea]]/12,Tabla2[[#This Row],[Cosecha/Tarea]])</f>
        <v>2193</v>
      </c>
      <c r="F786" s="3" t="n">
        <v>70535</v>
      </c>
      <c r="G786" s="2" t="s">
        <v>18</v>
      </c>
      <c r="H786" s="2" t="n">
        <f aca="false">F786/Tabla2[[#This Row],[Cosecha Mensual]]</f>
        <v>32.1637026903785</v>
      </c>
      <c r="I786" s="2" t="n">
        <f aca="false">H786*_xlfn.XLOOKUP(Tabla2[[#This Row],[Unidad de producción]],Tabla3[Medida],Tabla3[Equivalencia en Kg],"ELVIS",0)</f>
        <v>1458.94555403557</v>
      </c>
      <c r="J786" s="2" t="n">
        <v>480</v>
      </c>
      <c r="K786" s="2" t="s">
        <v>18</v>
      </c>
      <c r="L786" s="2" t="n">
        <f aca="false">J786/_xlfn.XLOOKUP(Tabla2[[#This Row],[Unidad de precio]],Tabla3[Medida],Tabla3[Equivalencia en Kg],"ELVIS",0)</f>
        <v>10.5820105820106</v>
      </c>
      <c r="M786" s="2" t="n">
        <v>10163.53</v>
      </c>
      <c r="N786" s="3" t="n">
        <f aca="false">(Tabla2[[#This Row],[Productividad (kg/TAS)]]*Tabla2[[#This Row],[Precio por kg]]-Tabla2[[#This Row],[Costos (En RD$/Tarea)]])</f>
        <v>5275.04729138167</v>
      </c>
      <c r="O786" s="9" t="n">
        <f aca="false">IF(Tabla2[[#This Row],[Costos (En RD$/Tarea)]]=0,0,Tabla2[[#This Row],[Beneficio Neto  (En RD$/Tarea)]]/Tabla2[[#This Row],[Costos (En RD$/Tarea)]])</f>
        <v>0.519017240209029</v>
      </c>
      <c r="P786" s="7" t="n">
        <f aca="false">Tabla2[[#This Row],[Rentabilidad (%)]]/12</f>
        <v>0.0432514366840857</v>
      </c>
    </row>
    <row r="787" customFormat="false" ht="14.25" hidden="false" customHeight="false" outlineLevel="0" collapsed="false">
      <c r="A787" s="1" t="n">
        <v>38504</v>
      </c>
      <c r="B787" s="2" t="s">
        <v>24</v>
      </c>
      <c r="C787" s="3" t="n">
        <v>5643</v>
      </c>
      <c r="D787" s="8" t="s">
        <v>17</v>
      </c>
      <c r="E787" s="3" t="n">
        <f aca="false">IF(Tabla2[[#This Row],[Frecuencia]]="Annual", Tabla2[[#This Row],[Cosecha/Tarea]]/12,Tabla2[[#This Row],[Cosecha/Tarea]])</f>
        <v>5643</v>
      </c>
      <c r="F787" s="3" t="n">
        <v>40060</v>
      </c>
      <c r="G787" s="2" t="s">
        <v>18</v>
      </c>
      <c r="H787" s="2" t="n">
        <f aca="false">F787/Tabla2[[#This Row],[Cosecha Mensual]]</f>
        <v>7.09906078327131</v>
      </c>
      <c r="I787" s="2" t="n">
        <f aca="false">H787*_xlfn.XLOOKUP(Tabla2[[#This Row],[Unidad de producción]],Tabla3[Medida],Tabla3[Equivalencia en Kg],"ELVIS",0)</f>
        <v>322.013397129187</v>
      </c>
      <c r="J787" s="2" t="n">
        <v>992.1875</v>
      </c>
      <c r="K787" s="2" t="s">
        <v>18</v>
      </c>
      <c r="L787" s="2" t="n">
        <f aca="false">J787/_xlfn.XLOOKUP(Tabla2[[#This Row],[Unidad de precio]],Tabla3[Medida],Tabla3[Equivalencia en Kg],"ELVIS",0)</f>
        <v>21.8736221340388</v>
      </c>
      <c r="M787" s="2" t="n">
        <v>4680.83</v>
      </c>
      <c r="N787" s="3" t="n">
        <f aca="false">(Tabla2[[#This Row],[Productividad (kg/TAS)]]*Tabla2[[#This Row],[Precio por kg]]-Tabla2[[#This Row],[Costos (En RD$/Tarea)]])</f>
        <v>2362.769370902</v>
      </c>
      <c r="O787" s="9" t="n">
        <f aca="false">IF(Tabla2[[#This Row],[Costos (En RD$/Tarea)]]=0,0,Tabla2[[#This Row],[Beneficio Neto  (En RD$/Tarea)]]/Tabla2[[#This Row],[Costos (En RD$/Tarea)]])</f>
        <v>0.504775728001659</v>
      </c>
      <c r="P787" s="7" t="n">
        <f aca="false">Tabla2[[#This Row],[Rentabilidad (%)]]/12</f>
        <v>0.0420646440001382</v>
      </c>
    </row>
    <row r="788" customFormat="false" ht="14.25" hidden="false" customHeight="false" outlineLevel="0" collapsed="false">
      <c r="A788" s="1" t="n">
        <v>38504</v>
      </c>
      <c r="B788" s="2" t="s">
        <v>25</v>
      </c>
      <c r="C788" s="3" t="n">
        <v>13074</v>
      </c>
      <c r="D788" s="8" t="s">
        <v>17</v>
      </c>
      <c r="E788" s="3" t="n">
        <f aca="false">IF(Tabla2[[#This Row],[Frecuencia]]="Annual", Tabla2[[#This Row],[Cosecha/Tarea]]/12,Tabla2[[#This Row],[Cosecha/Tarea]])</f>
        <v>13074</v>
      </c>
      <c r="F788" s="3" t="n">
        <v>114138</v>
      </c>
      <c r="G788" s="2" t="s">
        <v>18</v>
      </c>
      <c r="H788" s="2" t="n">
        <f aca="false">F788/Tabla2[[#This Row],[Cosecha Mensual]]</f>
        <v>8.73015144561726</v>
      </c>
      <c r="I788" s="2" t="n">
        <f aca="false">H788*_xlfn.XLOOKUP(Tabla2[[#This Row],[Unidad de producción]],Tabla3[Medida],Tabla3[Equivalencia en Kg],"ELVIS",0)</f>
        <v>395.999669573199</v>
      </c>
      <c r="J788" s="2" t="n">
        <v>706.504444444444</v>
      </c>
      <c r="K788" s="2" t="s">
        <v>18</v>
      </c>
      <c r="L788" s="2" t="n">
        <f aca="false">J788/_xlfn.XLOOKUP(Tabla2[[#This Row],[Unidad de precio]],Tabla3[Medida],Tabla3[Equivalencia en Kg],"ELVIS",0)</f>
        <v>15.5754948069763</v>
      </c>
      <c r="M788" s="2" t="n">
        <v>2314.215</v>
      </c>
      <c r="N788" s="3" t="n">
        <f aca="false">(Tabla2[[#This Row],[Productividad (kg/TAS)]]*Tabla2[[#This Row],[Precio por kg]]-Tabla2[[#This Row],[Costos (En RD$/Tarea)]])</f>
        <v>3853.67579700168</v>
      </c>
      <c r="O788" s="9" t="n">
        <f aca="false">IF(Tabla2[[#This Row],[Costos (En RD$/Tarea)]]=0,0,Tabla2[[#This Row],[Beneficio Neto  (En RD$/Tarea)]]/Tabla2[[#This Row],[Costos (En RD$/Tarea)]])</f>
        <v>1.66521943596497</v>
      </c>
      <c r="P788" s="7" t="n">
        <f aca="false">Tabla2[[#This Row],[Rentabilidad (%)]]/12</f>
        <v>0.138768286330414</v>
      </c>
    </row>
    <row r="789" customFormat="false" ht="14.25" hidden="false" customHeight="false" outlineLevel="0" collapsed="false">
      <c r="A789" s="1" t="n">
        <v>38504</v>
      </c>
      <c r="B789" s="2" t="s">
        <v>26</v>
      </c>
      <c r="C789" s="3" t="n">
        <v>5643</v>
      </c>
      <c r="D789" s="8" t="s">
        <v>17</v>
      </c>
      <c r="E789" s="3" t="n">
        <f aca="false">IF(Tabla2[[#This Row],[Frecuencia]]="Annual", Tabla2[[#This Row],[Cosecha/Tarea]]/12,Tabla2[[#This Row],[Cosecha/Tarea]])</f>
        <v>5643</v>
      </c>
      <c r="F789" s="3" t="n">
        <v>43096</v>
      </c>
      <c r="G789" s="2" t="s">
        <v>18</v>
      </c>
      <c r="H789" s="2" t="n">
        <f aca="false">F789/Tabla2[[#This Row],[Cosecha Mensual]]</f>
        <v>7.63707247917774</v>
      </c>
      <c r="I789" s="2" t="n">
        <f aca="false">H789*_xlfn.XLOOKUP(Tabla2[[#This Row],[Unidad de producción]],Tabla3[Medida],Tabla3[Equivalencia en Kg],"ELVIS",0)</f>
        <v>346.417607655502</v>
      </c>
      <c r="J789" s="2" t="n">
        <v>538.25</v>
      </c>
      <c r="K789" s="2" t="s">
        <v>18</v>
      </c>
      <c r="L789" s="2" t="n">
        <f aca="false">J789/_xlfn.XLOOKUP(Tabla2[[#This Row],[Unidad de precio]],Tabla3[Medida],Tabla3[Equivalencia en Kg],"ELVIS",0)</f>
        <v>11.8661816578483</v>
      </c>
      <c r="M789" s="2" t="n">
        <v>906.4</v>
      </c>
      <c r="N789" s="3" t="n">
        <f aca="false">(Tabla2[[#This Row],[Productividad (kg/TAS)]]*Tabla2[[#This Row],[Precio por kg]]-Tabla2[[#This Row],[Costos (En RD$/Tarea)]])</f>
        <v>3204.25426191742</v>
      </c>
      <c r="O789" s="9" t="n">
        <f aca="false">IF(Tabla2[[#This Row],[Costos (En RD$/Tarea)]]=0,0,Tabla2[[#This Row],[Beneficio Neto  (En RD$/Tarea)]]/Tabla2[[#This Row],[Costos (En RD$/Tarea)]])</f>
        <v>3.53514371350113</v>
      </c>
      <c r="P789" s="7" t="n">
        <f aca="false">Tabla2[[#This Row],[Rentabilidad (%)]]/12</f>
        <v>0.294595309458427</v>
      </c>
    </row>
    <row r="790" customFormat="false" ht="14.25" hidden="false" customHeight="false" outlineLevel="0" collapsed="false">
      <c r="A790" s="1" t="n">
        <v>38504</v>
      </c>
      <c r="B790" s="2" t="s">
        <v>27</v>
      </c>
      <c r="C790" s="3" t="n">
        <v>4165</v>
      </c>
      <c r="D790" s="8" t="s">
        <v>17</v>
      </c>
      <c r="E790" s="3" t="n">
        <f aca="false">IF(Tabla2[[#This Row],[Frecuencia]]="Annual", Tabla2[[#This Row],[Cosecha/Tarea]]/12,Tabla2[[#This Row],[Cosecha/Tarea]])</f>
        <v>4165</v>
      </c>
      <c r="F790" s="3" t="n">
        <v>32167</v>
      </c>
      <c r="G790" s="2" t="s">
        <v>18</v>
      </c>
      <c r="H790" s="2" t="n">
        <f aca="false">F790/Tabla2[[#This Row],[Cosecha Mensual]]</f>
        <v>7.72316926770708</v>
      </c>
      <c r="I790" s="2" t="n">
        <f aca="false">H790*_xlfn.XLOOKUP(Tabla2[[#This Row],[Unidad de producción]],Tabla3[Medida],Tabla3[Equivalencia en Kg],"ELVIS",0)</f>
        <v>350.322957983193</v>
      </c>
      <c r="J790" s="2" t="n">
        <v>293.469</v>
      </c>
      <c r="K790" s="2" t="s">
        <v>18</v>
      </c>
      <c r="L790" s="2" t="n">
        <f aca="false">J790/_xlfn.XLOOKUP(Tabla2[[#This Row],[Unidad de precio]],Tabla3[Medida],Tabla3[Equivalencia en Kg],"ELVIS",0)</f>
        <v>6.46977513227513</v>
      </c>
      <c r="M790" s="2" t="n">
        <v>5157.39</v>
      </c>
      <c r="N790" s="3" t="n">
        <f aca="false">(Tabla2[[#This Row],[Productividad (kg/TAS)]]*Tabla2[[#This Row],[Precio por kg]]-Tabla2[[#This Row],[Costos (En RD$/Tarea)]])</f>
        <v>-2890.87923817527</v>
      </c>
      <c r="O790" s="9" t="n">
        <f aca="false">IF(Tabla2[[#This Row],[Costos (En RD$/Tarea)]]=0,0,Tabla2[[#This Row],[Beneficio Neto  (En RD$/Tarea)]]/Tabla2[[#This Row],[Costos (En RD$/Tarea)]])</f>
        <v>-0.560531438998267</v>
      </c>
      <c r="P790" s="7" t="n">
        <f aca="false">Tabla2[[#This Row],[Rentabilidad (%)]]/12</f>
        <v>-0.0467109532498556</v>
      </c>
    </row>
    <row r="791" customFormat="false" ht="14.25" hidden="false" customHeight="false" outlineLevel="0" collapsed="false">
      <c r="A791" s="1" t="n">
        <v>38504</v>
      </c>
      <c r="B791" s="2" t="s">
        <v>28</v>
      </c>
      <c r="C791" s="3" t="n">
        <v>8297</v>
      </c>
      <c r="D791" s="8" t="s">
        <v>17</v>
      </c>
      <c r="E791" s="3" t="n">
        <f aca="false">IF(Tabla2[[#This Row],[Frecuencia]]="Annual", Tabla2[[#This Row],[Cosecha/Tarea]]/12,Tabla2[[#This Row],[Cosecha/Tarea]])</f>
        <v>8297</v>
      </c>
      <c r="F791" s="3" t="n">
        <v>12257</v>
      </c>
      <c r="G791" s="2" t="s">
        <v>29</v>
      </c>
      <c r="H791" s="2" t="n">
        <f aca="false">F791/Tabla2[[#This Row],[Cosecha Mensual]]</f>
        <v>1.47728094491985</v>
      </c>
      <c r="I791" s="2" t="n">
        <f aca="false">H791*_xlfn.XLOOKUP(Tabla2[[#This Row],[Unidad de producción]],Tabla3[Medida],Tabla3[Equivalencia en Kg],"ELVIS",0)</f>
        <v>830.734166566229</v>
      </c>
      <c r="J791" s="2" t="n">
        <v>2500</v>
      </c>
      <c r="K791" s="2" t="s">
        <v>29</v>
      </c>
      <c r="L791" s="2" t="n">
        <f aca="false">J791/_xlfn.XLOOKUP(Tabla2[[#This Row],[Unidad de precio]],Tabla3[Medida],Tabla3[Equivalencia en Kg],"ELVIS",0)</f>
        <v>4.44570900167159</v>
      </c>
      <c r="M791" s="2" t="n">
        <v>9027.66</v>
      </c>
      <c r="N791" s="3" t="n">
        <f aca="false">(Tabla2[[#This Row],[Productividad (kg/TAS)]]*Tabla2[[#This Row],[Precio por kg]]-Tabla2[[#This Row],[Costos (En RD$/Tarea)]])</f>
        <v>-5334.45763770037</v>
      </c>
      <c r="O791" s="9" t="n">
        <f aca="false">IF(Tabla2[[#This Row],[Costos (En RD$/Tarea)]]=0,0,Tabla2[[#This Row],[Beneficio Neto  (En RD$/Tarea)]]/Tabla2[[#This Row],[Costos (En RD$/Tarea)]])</f>
        <v>-0.59090147809071</v>
      </c>
      <c r="P791" s="7" t="n">
        <f aca="false">Tabla2[[#This Row],[Rentabilidad (%)]]/12</f>
        <v>-0.0492417898408925</v>
      </c>
    </row>
    <row r="792" customFormat="false" ht="14.25" hidden="false" customHeight="false" outlineLevel="0" collapsed="false">
      <c r="A792" s="1" t="n">
        <v>38504</v>
      </c>
      <c r="B792" s="2" t="s">
        <v>30</v>
      </c>
      <c r="C792" s="3" t="n">
        <v>283440</v>
      </c>
      <c r="D792" s="3" t="s">
        <v>31</v>
      </c>
      <c r="E792" s="3" t="n">
        <f aca="false">IF(Tabla2[[#This Row],[Frecuencia]]="Annual", Tabla2[[#This Row],[Cosecha/Tarea]]/12,Tabla2[[#This Row],[Cosecha/Tarea]])</f>
        <v>23620</v>
      </c>
      <c r="F792" s="3" t="n">
        <v>1862951</v>
      </c>
      <c r="G792" s="2" t="s">
        <v>32</v>
      </c>
      <c r="H792" s="2" t="n">
        <f aca="false">F792/Tabla2[[#This Row],[Cosecha Mensual]]</f>
        <v>78.8717612193057</v>
      </c>
      <c r="I792" s="2" t="n">
        <f aca="false">H792*_xlfn.XLOOKUP(Tabla2[[#This Row],[Unidad de producción]],Tabla3[Medida],Tabla3[Equivalencia en Kg],"ELVIS",0)</f>
        <v>2146.10062277731</v>
      </c>
      <c r="J792" s="2" t="n">
        <v>63.666</v>
      </c>
      <c r="K792" s="2" t="s">
        <v>32</v>
      </c>
      <c r="L792" s="2" t="n">
        <f aca="false">J792/_xlfn.XLOOKUP(Tabla2[[#This Row],[Unidad de precio]],Tabla3[Medida],Tabla3[Equivalencia en Kg],"ELVIS",0)</f>
        <v>2.33980154355017</v>
      </c>
      <c r="M792" s="3" t="n">
        <v>7918.62</v>
      </c>
      <c r="N792" s="3" t="n">
        <f aca="false">(Tabla2[[#This Row],[Productividad (kg/TAS)]]*Tabla2[[#This Row],[Precio por kg]]-Tabla2[[#This Row],[Costos (En RD$/Tarea)]])</f>
        <v>-2897.17045021169</v>
      </c>
      <c r="O792" s="9" t="n">
        <f aca="false">IF(Tabla2[[#This Row],[Costos (En RD$/Tarea)]]=0,0,Tabla2[[#This Row],[Beneficio Neto  (En RD$/Tarea)]]/Tabla2[[#This Row],[Costos (En RD$/Tarea)]])</f>
        <v>-0.365868099518816</v>
      </c>
      <c r="P792" s="7" t="n">
        <f aca="false">Tabla2[[#This Row],[Rentabilidad (%)]]/12</f>
        <v>-0.0304890082932347</v>
      </c>
    </row>
    <row r="793" customFormat="false" ht="14.25" hidden="false" customHeight="false" outlineLevel="0" collapsed="false">
      <c r="A793" s="1" t="n">
        <v>38504</v>
      </c>
      <c r="B793" s="2" t="s">
        <v>33</v>
      </c>
      <c r="C793" s="3" t="n">
        <v>651849</v>
      </c>
      <c r="D793" s="3" t="s">
        <v>31</v>
      </c>
      <c r="E793" s="3" t="n">
        <f aca="false">IF(Tabla2[[#This Row],[Frecuencia]]="Annual", Tabla2[[#This Row],[Cosecha/Tarea]]/12,Tabla2[[#This Row],[Cosecha/Tarea]])</f>
        <v>54320.75</v>
      </c>
      <c r="F793" s="3" t="n">
        <v>156422</v>
      </c>
      <c r="G793" s="2" t="s">
        <v>34</v>
      </c>
      <c r="H793" s="2" t="n">
        <f aca="false">F793/Tabla2[[#This Row],[Cosecha Mensual]]</f>
        <v>2.87959941642927</v>
      </c>
      <c r="I793" s="2" t="n">
        <f aca="false">H793*_xlfn.XLOOKUP(Tabla2[[#This Row],[Unidad de producción]],Tabla3[Medida],Tabla3[Equivalencia en Kg],"ELVIS",0)</f>
        <v>1175.3085018156</v>
      </c>
      <c r="J793" s="2" t="n">
        <v>2222.39666666667</v>
      </c>
      <c r="K793" s="2" t="s">
        <v>34</v>
      </c>
      <c r="L793" s="2" t="n">
        <f aca="false">J793/_xlfn.XLOOKUP(Tabla2[[#This Row],[Unidad de precio]],Tabla3[Medida],Tabla3[Equivalencia en Kg],"ELVIS",0)</f>
        <v>5.44504879741926</v>
      </c>
      <c r="M793" s="3" t="n">
        <v>9928.24</v>
      </c>
      <c r="N793" s="3" t="n">
        <f aca="false">(Tabla2[[#This Row],[Productividad (kg/TAS)]]*Tabla2[[#This Row],[Precio por kg]]-Tabla2[[#This Row],[Costos (En RD$/Tarea)]])</f>
        <v>-3528.62785559231</v>
      </c>
      <c r="O793" s="9" t="n">
        <f aca="false">IF(Tabla2[[#This Row],[Costos (En RD$/Tarea)]]=0,0,Tabla2[[#This Row],[Beneficio Neto  (En RD$/Tarea)]]/Tabla2[[#This Row],[Costos (En RD$/Tarea)]])</f>
        <v>-0.3554132309042</v>
      </c>
      <c r="P793" s="7" t="n">
        <f aca="false">Tabla2[[#This Row],[Rentabilidad (%)]]/12</f>
        <v>-0.0296177692420166</v>
      </c>
    </row>
    <row r="794" customFormat="false" ht="14.25" hidden="false" customHeight="false" outlineLevel="0" collapsed="false">
      <c r="A794" s="1" t="n">
        <v>38534</v>
      </c>
      <c r="B794" s="2" t="s">
        <v>16</v>
      </c>
      <c r="C794" s="3" t="n">
        <v>469194</v>
      </c>
      <c r="D794" s="8" t="s">
        <v>17</v>
      </c>
      <c r="E794" s="3" t="n">
        <f aca="false">IF(Tabla2[[#This Row],[Frecuencia]]="Annual", Tabla2[[#This Row],[Cosecha/Tarea]]/12,Tabla2[[#This Row],[Cosecha/Tarea]])</f>
        <v>469194</v>
      </c>
      <c r="F794" s="3" t="n">
        <v>2272554</v>
      </c>
      <c r="G794" s="2" t="s">
        <v>18</v>
      </c>
      <c r="H794" s="2" t="n">
        <f aca="false">F794/Tabla2[[#This Row],[Cosecha Mensual]]</f>
        <v>4.84352741083646</v>
      </c>
      <c r="I794" s="2" t="n">
        <f aca="false">H794*_xlfn.XLOOKUP(Tabla2[[#This Row],[Unidad de producción]],Tabla3[Medida],Tabla3[Equivalencia en Kg],"ELVIS",0)</f>
        <v>219.702403355542</v>
      </c>
      <c r="J794" s="2" t="n">
        <v>988.846</v>
      </c>
      <c r="K794" s="2" t="s">
        <v>19</v>
      </c>
      <c r="L794" s="2" t="n">
        <f aca="false">J794/_xlfn.XLOOKUP(Tabla2[[#This Row],[Unidad de precio]],Tabla3[Medida],Tabla3[Equivalencia en Kg],"ELVIS",0)</f>
        <v>8.98950909090909</v>
      </c>
      <c r="M794" s="2" t="n">
        <v>4807.32</v>
      </c>
      <c r="N794" s="3" t="n">
        <f aca="false">(Tabla2[[#This Row],[Productividad (kg/TAS)]]*Tabla2[[#This Row],[Precio por kg]]-Tabla2[[#This Row],[Costos (En RD$/Tarea)]])</f>
        <v>-2832.30324774078</v>
      </c>
      <c r="O794" s="9" t="n">
        <f aca="false">IF(Tabla2[[#This Row],[Costos (En RD$/Tarea)]]=0,0,Tabla2[[#This Row],[Beneficio Neto  (En RD$/Tarea)]]/Tabla2[[#This Row],[Costos (En RD$/Tarea)]])</f>
        <v>-0.589164700444485</v>
      </c>
      <c r="P794" s="7" t="n">
        <f aca="false">Tabla2[[#This Row],[Rentabilidad (%)]]/12</f>
        <v>-0.0490970583703738</v>
      </c>
    </row>
    <row r="795" customFormat="false" ht="14.25" hidden="false" customHeight="false" outlineLevel="0" collapsed="false">
      <c r="A795" s="1" t="n">
        <v>38534</v>
      </c>
      <c r="B795" s="2" t="s">
        <v>20</v>
      </c>
      <c r="C795" s="3" t="n">
        <v>23847</v>
      </c>
      <c r="D795" s="8" t="s">
        <v>17</v>
      </c>
      <c r="E795" s="3" t="n">
        <f aca="false">IF(Tabla2[[#This Row],[Frecuencia]]="Annual", Tabla2[[#This Row],[Cosecha/Tarea]]/12,Tabla2[[#This Row],[Cosecha/Tarea]])</f>
        <v>23847</v>
      </c>
      <c r="F795" s="3" t="n">
        <v>52659</v>
      </c>
      <c r="G795" s="2" t="s">
        <v>18</v>
      </c>
      <c r="H795" s="2" t="n">
        <f aca="false">F795/Tabla2[[#This Row],[Cosecha Mensual]]</f>
        <v>2.20820228959618</v>
      </c>
      <c r="I795" s="2" t="n">
        <f aca="false">H795*_xlfn.XLOOKUP(Tabla2[[#This Row],[Unidad de producción]],Tabla3[Medida],Tabla3[Equivalencia en Kg],"ELVIS",0)</f>
        <v>100.164055856083</v>
      </c>
      <c r="J795" s="2" t="n">
        <v>386.6565</v>
      </c>
      <c r="K795" s="2" t="s">
        <v>18</v>
      </c>
      <c r="L795" s="2" t="n">
        <f aca="false">J795/_xlfn.XLOOKUP(Tabla2[[#This Row],[Unidad de precio]],Tabla3[Medida],Tabla3[Equivalencia en Kg],"ELVIS",0)</f>
        <v>8.52417328042328</v>
      </c>
      <c r="M795" s="2" t="n">
        <v>1327.7</v>
      </c>
      <c r="N795" s="3" t="n">
        <f aca="false">(Tabla2[[#This Row],[Productividad (kg/TAS)]]*Tabla2[[#This Row],[Precio por kg]]-Tabla2[[#This Row],[Costos (En RD$/Tarea)]])</f>
        <v>-473.884231412756</v>
      </c>
      <c r="O795" s="9" t="n">
        <f aca="false">IF(Tabla2[[#This Row],[Costos (En RD$/Tarea)]]=0,0,Tabla2[[#This Row],[Beneficio Neto  (En RD$/Tarea)]]/Tabla2[[#This Row],[Costos (En RD$/Tarea)]])</f>
        <v>-0.356921165483736</v>
      </c>
      <c r="P795" s="7" t="n">
        <f aca="false">Tabla2[[#This Row],[Rentabilidad (%)]]/12</f>
        <v>-0.029743430456978</v>
      </c>
    </row>
    <row r="796" customFormat="false" ht="14.25" hidden="false" customHeight="false" outlineLevel="0" collapsed="false">
      <c r="A796" s="1" t="n">
        <v>38534</v>
      </c>
      <c r="B796" s="2" t="s">
        <v>21</v>
      </c>
      <c r="C796" s="3" t="n">
        <v>7297</v>
      </c>
      <c r="D796" s="8" t="s">
        <v>17</v>
      </c>
      <c r="E796" s="3" t="n">
        <f aca="false">IF(Tabla2[[#This Row],[Frecuencia]]="Annual", Tabla2[[#This Row],[Cosecha/Tarea]]/12,Tabla2[[#This Row],[Cosecha/Tarea]])</f>
        <v>7297</v>
      </c>
      <c r="F796" s="3" t="n">
        <v>72733</v>
      </c>
      <c r="G796" s="2" t="s">
        <v>18</v>
      </c>
      <c r="H796" s="2" t="n">
        <f aca="false">F796/Tabla2[[#This Row],[Cosecha Mensual]]</f>
        <v>9.96752089899959</v>
      </c>
      <c r="I796" s="2" t="n">
        <f aca="false">H796*_xlfn.XLOOKUP(Tabla2[[#This Row],[Unidad de producción]],Tabla3[Medida],Tabla3[Equivalencia en Kg],"ELVIS",0)</f>
        <v>452.126747978621</v>
      </c>
      <c r="J796" s="2" t="n">
        <v>284.121</v>
      </c>
      <c r="K796" s="2" t="s">
        <v>18</v>
      </c>
      <c r="L796" s="2" t="n">
        <f aca="false">J796/_xlfn.XLOOKUP(Tabla2[[#This Row],[Unidad de precio]],Tabla3[Medida],Tabla3[Equivalencia en Kg],"ELVIS",0)</f>
        <v>6.26369047619048</v>
      </c>
      <c r="M796" s="2" t="n">
        <v>2092.86</v>
      </c>
      <c r="N796" s="3" t="n">
        <f aca="false">(Tabla2[[#This Row],[Productividad (kg/TAS)]]*Tabla2[[#This Row],[Precio por kg]]-Tabla2[[#This Row],[Costos (En RD$/Tarea)]])</f>
        <v>739.122005344662</v>
      </c>
      <c r="O796" s="9" t="n">
        <f aca="false">IF(Tabla2[[#This Row],[Costos (En RD$/Tarea)]]=0,0,Tabla2[[#This Row],[Beneficio Neto  (En RD$/Tarea)]]/Tabla2[[#This Row],[Costos (En RD$/Tarea)]])</f>
        <v>0.353163615982274</v>
      </c>
      <c r="P796" s="7" t="n">
        <f aca="false">Tabla2[[#This Row],[Rentabilidad (%)]]/12</f>
        <v>0.0294303013318562</v>
      </c>
    </row>
    <row r="797" customFormat="false" ht="14.25" hidden="false" customHeight="false" outlineLevel="0" collapsed="false">
      <c r="A797" s="1" t="n">
        <v>38534</v>
      </c>
      <c r="B797" s="2" t="s">
        <v>22</v>
      </c>
      <c r="C797" s="3" t="n">
        <v>1877</v>
      </c>
      <c r="D797" s="8" t="s">
        <v>17</v>
      </c>
      <c r="E797" s="3" t="n">
        <f aca="false">IF(Tabla2[[#This Row],[Frecuencia]]="Annual", Tabla2[[#This Row],[Cosecha/Tarea]]/12,Tabla2[[#This Row],[Cosecha/Tarea]])</f>
        <v>1877</v>
      </c>
      <c r="F797" s="3" t="n">
        <v>17141</v>
      </c>
      <c r="G797" s="2" t="s">
        <v>18</v>
      </c>
      <c r="H797" s="2" t="n">
        <f aca="false">F797/Tabla2[[#This Row],[Cosecha Mensual]]</f>
        <v>9.13212573255195</v>
      </c>
      <c r="I797" s="2" t="n">
        <f aca="false">H797*_xlfn.XLOOKUP(Tabla2[[#This Row],[Unidad de producción]],Tabla3[Medida],Tabla3[Equivalencia en Kg],"ELVIS",0)</f>
        <v>414.233223228556</v>
      </c>
      <c r="J797" s="2" t="n">
        <v>820</v>
      </c>
      <c r="K797" s="2" t="s">
        <v>18</v>
      </c>
      <c r="L797" s="2" t="n">
        <f aca="false">J797/_xlfn.XLOOKUP(Tabla2[[#This Row],[Unidad de precio]],Tabla3[Medida],Tabla3[Equivalencia en Kg],"ELVIS",0)</f>
        <v>18.0776014109347</v>
      </c>
      <c r="M797" s="2" t="n">
        <v>5853.83</v>
      </c>
      <c r="N797" s="3" t="n">
        <f aca="false">(Tabla2[[#This Row],[Productividad (kg/TAS)]]*Tabla2[[#This Row],[Precio por kg]]-Tabla2[[#This Row],[Costos (En RD$/Tarea)]])</f>
        <v>1634.51310069259</v>
      </c>
      <c r="O797" s="9" t="n">
        <f aca="false">IF(Tabla2[[#This Row],[Costos (En RD$/Tarea)]]=0,0,Tabla2[[#This Row],[Beneficio Neto  (En RD$/Tarea)]]/Tabla2[[#This Row],[Costos (En RD$/Tarea)]])</f>
        <v>0.279221142515685</v>
      </c>
      <c r="P797" s="7" t="n">
        <f aca="false">Tabla2[[#This Row],[Rentabilidad (%)]]/12</f>
        <v>0.0232684285429738</v>
      </c>
    </row>
    <row r="798" customFormat="false" ht="14.25" hidden="false" customHeight="false" outlineLevel="0" collapsed="false">
      <c r="A798" s="1" t="n">
        <v>38534</v>
      </c>
      <c r="B798" s="2" t="s">
        <v>23</v>
      </c>
      <c r="C798" s="3" t="n">
        <v>2380</v>
      </c>
      <c r="D798" s="8" t="s">
        <v>17</v>
      </c>
      <c r="E798" s="3" t="n">
        <f aca="false">IF(Tabla2[[#This Row],[Frecuencia]]="Annual", Tabla2[[#This Row],[Cosecha/Tarea]]/12,Tabla2[[#This Row],[Cosecha/Tarea]])</f>
        <v>2380</v>
      </c>
      <c r="F798" s="3" t="n">
        <v>72465</v>
      </c>
      <c r="G798" s="2" t="s">
        <v>18</v>
      </c>
      <c r="H798" s="2" t="n">
        <f aca="false">F798/Tabla2[[#This Row],[Cosecha Mensual]]</f>
        <v>30.4474789915966</v>
      </c>
      <c r="I798" s="2" t="n">
        <f aca="false">H798*_xlfn.XLOOKUP(Tabla2[[#This Row],[Unidad de producción]],Tabla3[Medida],Tabla3[Equivalencia en Kg],"ELVIS",0)</f>
        <v>1381.09764705882</v>
      </c>
      <c r="J798" s="2" t="n">
        <v>569.041666666667</v>
      </c>
      <c r="K798" s="2" t="s">
        <v>18</v>
      </c>
      <c r="L798" s="2" t="n">
        <f aca="false">J798/_xlfn.XLOOKUP(Tabla2[[#This Row],[Unidad de precio]],Tabla3[Medida],Tabla3[Equivalencia en Kg],"ELVIS",0)</f>
        <v>12.5450102880659</v>
      </c>
      <c r="M798" s="2" t="n">
        <v>10163.53</v>
      </c>
      <c r="N798" s="3" t="n">
        <f aca="false">(Tabla2[[#This Row],[Productividad (kg/TAS)]]*Tabla2[[#This Row],[Precio por kg]]-Tabla2[[#This Row],[Costos (En RD$/Tarea)]])</f>
        <v>7162.35419117648</v>
      </c>
      <c r="O798" s="9" t="n">
        <f aca="false">IF(Tabla2[[#This Row],[Costos (En RD$/Tarea)]]=0,0,Tabla2[[#This Row],[Beneficio Neto  (En RD$/Tarea)]]/Tabla2[[#This Row],[Costos (En RD$/Tarea)]])</f>
        <v>0.704711275627314</v>
      </c>
      <c r="P798" s="7" t="n">
        <f aca="false">Tabla2[[#This Row],[Rentabilidad (%)]]/12</f>
        <v>0.0587259396356095</v>
      </c>
    </row>
    <row r="799" customFormat="false" ht="14.25" hidden="false" customHeight="false" outlineLevel="0" collapsed="false">
      <c r="A799" s="1" t="n">
        <v>38534</v>
      </c>
      <c r="B799" s="2" t="s">
        <v>24</v>
      </c>
      <c r="C799" s="3" t="n">
        <v>4964</v>
      </c>
      <c r="D799" s="8" t="s">
        <v>17</v>
      </c>
      <c r="E799" s="3" t="n">
        <f aca="false">IF(Tabla2[[#This Row],[Frecuencia]]="Annual", Tabla2[[#This Row],[Cosecha/Tarea]]/12,Tabla2[[#This Row],[Cosecha/Tarea]])</f>
        <v>4964</v>
      </c>
      <c r="F799" s="3" t="n">
        <v>45194</v>
      </c>
      <c r="G799" s="2" t="s">
        <v>18</v>
      </c>
      <c r="H799" s="2" t="n">
        <f aca="false">F799/Tabla2[[#This Row],[Cosecha Mensual]]</f>
        <v>9.10435132957293</v>
      </c>
      <c r="I799" s="2" t="n">
        <f aca="false">H799*_xlfn.XLOOKUP(Tabla2[[#This Row],[Unidad de producción]],Tabla3[Medida],Tabla3[Equivalencia en Kg],"ELVIS",0)</f>
        <v>412.973376309428</v>
      </c>
      <c r="J799" s="2" t="n">
        <v>790.5</v>
      </c>
      <c r="K799" s="2" t="s">
        <v>18</v>
      </c>
      <c r="L799" s="2" t="n">
        <f aca="false">J799/_xlfn.XLOOKUP(Tabla2[[#This Row],[Unidad de precio]],Tabla3[Medida],Tabla3[Equivalencia en Kg],"ELVIS",0)</f>
        <v>17.4272486772487</v>
      </c>
      <c r="M799" s="2" t="n">
        <v>4680.83</v>
      </c>
      <c r="N799" s="3" t="n">
        <f aca="false">(Tabla2[[#This Row],[Productividad (kg/TAS)]]*Tabla2[[#This Row],[Precio por kg]]-Tabla2[[#This Row],[Costos (En RD$/Tarea)]])</f>
        <v>2516.1597260274</v>
      </c>
      <c r="O799" s="9" t="n">
        <f aca="false">IF(Tabla2[[#This Row],[Costos (En RD$/Tarea)]]=0,0,Tabla2[[#This Row],[Beneficio Neto  (En RD$/Tarea)]]/Tabla2[[#This Row],[Costos (En RD$/Tarea)]])</f>
        <v>0.537545633152111</v>
      </c>
      <c r="P799" s="7" t="n">
        <f aca="false">Tabla2[[#This Row],[Rentabilidad (%)]]/12</f>
        <v>0.0447954694293426</v>
      </c>
    </row>
    <row r="800" customFormat="false" ht="14.25" hidden="false" customHeight="false" outlineLevel="0" collapsed="false">
      <c r="A800" s="1" t="n">
        <v>38534</v>
      </c>
      <c r="B800" s="2" t="s">
        <v>25</v>
      </c>
      <c r="C800" s="3" t="n">
        <v>15326</v>
      </c>
      <c r="D800" s="8" t="s">
        <v>17</v>
      </c>
      <c r="E800" s="3" t="n">
        <f aca="false">IF(Tabla2[[#This Row],[Frecuencia]]="Annual", Tabla2[[#This Row],[Cosecha/Tarea]]/12,Tabla2[[#This Row],[Cosecha/Tarea]])</f>
        <v>15326</v>
      </c>
      <c r="F800" s="3" t="n">
        <v>145279</v>
      </c>
      <c r="G800" s="2" t="s">
        <v>18</v>
      </c>
      <c r="H800" s="2" t="n">
        <f aca="false">F800/Tabla2[[#This Row],[Cosecha Mensual]]</f>
        <v>9.47925094610466</v>
      </c>
      <c r="I800" s="2" t="n">
        <f aca="false">H800*_xlfn.XLOOKUP(Tabla2[[#This Row],[Unidad de producción]],Tabla3[Medida],Tabla3[Equivalencia en Kg],"ELVIS",0)</f>
        <v>429.978822915307</v>
      </c>
      <c r="J800" s="2" t="n">
        <v>524.535</v>
      </c>
      <c r="K800" s="2" t="s">
        <v>18</v>
      </c>
      <c r="L800" s="2" t="n">
        <f aca="false">J800/_xlfn.XLOOKUP(Tabla2[[#This Row],[Unidad de precio]],Tabla3[Medida],Tabla3[Equivalencia en Kg],"ELVIS",0)</f>
        <v>11.5638227513228</v>
      </c>
      <c r="M800" s="2" t="n">
        <v>2314.215</v>
      </c>
      <c r="N800" s="3" t="n">
        <f aca="false">(Tabla2[[#This Row],[Productividad (kg/TAS)]]*Tabla2[[#This Row],[Precio por kg]]-Tabla2[[#This Row],[Costos (En RD$/Tarea)]])</f>
        <v>2657.98389501501</v>
      </c>
      <c r="O800" s="9" t="n">
        <f aca="false">IF(Tabla2[[#This Row],[Costos (En RD$/Tarea)]]=0,0,Tabla2[[#This Row],[Beneficio Neto  (En RD$/Tarea)]]/Tabla2[[#This Row],[Costos (En RD$/Tarea)]])</f>
        <v>1.14854665405548</v>
      </c>
      <c r="P800" s="7" t="n">
        <f aca="false">Tabla2[[#This Row],[Rentabilidad (%)]]/12</f>
        <v>0.0957122211712901</v>
      </c>
    </row>
    <row r="801" customFormat="false" ht="14.25" hidden="false" customHeight="false" outlineLevel="0" collapsed="false">
      <c r="A801" s="1" t="n">
        <v>38534</v>
      </c>
      <c r="B801" s="2" t="s">
        <v>26</v>
      </c>
      <c r="C801" s="3" t="n">
        <v>7234</v>
      </c>
      <c r="D801" s="8" t="s">
        <v>17</v>
      </c>
      <c r="E801" s="3" t="n">
        <f aca="false">IF(Tabla2[[#This Row],[Frecuencia]]="Annual", Tabla2[[#This Row],[Cosecha/Tarea]]/12,Tabla2[[#This Row],[Cosecha/Tarea]])</f>
        <v>7234</v>
      </c>
      <c r="F801" s="3" t="n">
        <v>35053</v>
      </c>
      <c r="G801" s="2" t="s">
        <v>18</v>
      </c>
      <c r="H801" s="2" t="n">
        <f aca="false">F801/Tabla2[[#This Row],[Cosecha Mensual]]</f>
        <v>4.84559026817805</v>
      </c>
      <c r="I801" s="2" t="n">
        <f aca="false">H801*_xlfn.XLOOKUP(Tabla2[[#This Row],[Unidad de producción]],Tabla3[Medida],Tabla3[Equivalencia en Kg],"ELVIS",0)</f>
        <v>219.795974564556</v>
      </c>
      <c r="J801" s="2" t="n">
        <v>734.01</v>
      </c>
      <c r="K801" s="2" t="s">
        <v>18</v>
      </c>
      <c r="L801" s="2" t="n">
        <f aca="false">J801/_xlfn.XLOOKUP(Tabla2[[#This Row],[Unidad de precio]],Tabla3[Medida],Tabla3[Equivalencia en Kg],"ELVIS",0)</f>
        <v>16.1818783068783</v>
      </c>
      <c r="M801" s="2" t="n">
        <v>906.4</v>
      </c>
      <c r="N801" s="3" t="n">
        <f aca="false">(Tabla2[[#This Row],[Productividad (kg/TAS)]]*Tabla2[[#This Row],[Precio por kg]]-Tabla2[[#This Row],[Costos (En RD$/Tarea)]])</f>
        <v>2650.31171274537</v>
      </c>
      <c r="O801" s="9" t="n">
        <f aca="false">IF(Tabla2[[#This Row],[Costos (En RD$/Tarea)]]=0,0,Tabla2[[#This Row],[Beneficio Neto  (En RD$/Tarea)]]/Tabla2[[#This Row],[Costos (En RD$/Tarea)]])</f>
        <v>2.92399791785676</v>
      </c>
      <c r="P801" s="7" t="n">
        <f aca="false">Tabla2[[#This Row],[Rentabilidad (%)]]/12</f>
        <v>0.24366649315473</v>
      </c>
    </row>
    <row r="802" customFormat="false" ht="14.25" hidden="false" customHeight="false" outlineLevel="0" collapsed="false">
      <c r="A802" s="1" t="n">
        <v>38534</v>
      </c>
      <c r="B802" s="2" t="s">
        <v>27</v>
      </c>
      <c r="C802" s="3" t="n">
        <v>4541</v>
      </c>
      <c r="D802" s="8" t="s">
        <v>17</v>
      </c>
      <c r="E802" s="3" t="n">
        <f aca="false">IF(Tabla2[[#This Row],[Frecuencia]]="Annual", Tabla2[[#This Row],[Cosecha/Tarea]]/12,Tabla2[[#This Row],[Cosecha/Tarea]])</f>
        <v>4541</v>
      </c>
      <c r="F802" s="3" t="n">
        <v>31487</v>
      </c>
      <c r="G802" s="2" t="s">
        <v>18</v>
      </c>
      <c r="H802" s="2" t="n">
        <f aca="false">F802/Tabla2[[#This Row],[Cosecha Mensual]]</f>
        <v>6.93393525655142</v>
      </c>
      <c r="I802" s="2" t="n">
        <f aca="false">H802*_xlfn.XLOOKUP(Tabla2[[#This Row],[Unidad de producción]],Tabla3[Medida],Tabla3[Equivalencia en Kg],"ELVIS",0)</f>
        <v>314.523303237172</v>
      </c>
      <c r="J802" s="2" t="n">
        <v>299.0096</v>
      </c>
      <c r="K802" s="2" t="s">
        <v>18</v>
      </c>
      <c r="L802" s="2" t="n">
        <f aca="false">J802/_xlfn.XLOOKUP(Tabla2[[#This Row],[Unidad de precio]],Tabla3[Medida],Tabla3[Equivalencia en Kg],"ELVIS",0)</f>
        <v>6.59192239858907</v>
      </c>
      <c r="M802" s="2" t="n">
        <v>5157.39</v>
      </c>
      <c r="N802" s="3" t="n">
        <f aca="false">(Tabla2[[#This Row],[Productividad (kg/TAS)]]*Tabla2[[#This Row],[Precio por kg]]-Tabla2[[#This Row],[Costos (En RD$/Tarea)]])</f>
        <v>-3084.07679251266</v>
      </c>
      <c r="O802" s="9" t="n">
        <f aca="false">IF(Tabla2[[#This Row],[Costos (En RD$/Tarea)]]=0,0,Tabla2[[#This Row],[Beneficio Neto  (En RD$/Tarea)]]/Tabla2[[#This Row],[Costos (En RD$/Tarea)]])</f>
        <v>-0.597991773457633</v>
      </c>
      <c r="P802" s="7" t="n">
        <f aca="false">Tabla2[[#This Row],[Rentabilidad (%)]]/12</f>
        <v>-0.0498326477881361</v>
      </c>
    </row>
    <row r="803" customFormat="false" ht="14.25" hidden="false" customHeight="false" outlineLevel="0" collapsed="false">
      <c r="A803" s="1" t="n">
        <v>38534</v>
      </c>
      <c r="B803" s="2" t="s">
        <v>28</v>
      </c>
      <c r="C803" s="3" t="n">
        <v>24119</v>
      </c>
      <c r="D803" s="8" t="s">
        <v>17</v>
      </c>
      <c r="E803" s="3" t="n">
        <f aca="false">IF(Tabla2[[#This Row],[Frecuencia]]="Annual", Tabla2[[#This Row],[Cosecha/Tarea]]/12,Tabla2[[#This Row],[Cosecha/Tarea]])</f>
        <v>24119</v>
      </c>
      <c r="F803" s="3" t="n">
        <v>11854</v>
      </c>
      <c r="G803" s="2" t="s">
        <v>29</v>
      </c>
      <c r="H803" s="2" t="n">
        <f aca="false">F803/Tabla2[[#This Row],[Cosecha Mensual]]</f>
        <v>0.491479746258137</v>
      </c>
      <c r="I803" s="2" t="n">
        <f aca="false">H803*_xlfn.XLOOKUP(Tabla2[[#This Row],[Unidad de producción]],Tabla3[Medida],Tabla3[Equivalencia en Kg],"ELVIS",0)</f>
        <v>276.378720510801</v>
      </c>
      <c r="J803" s="2" t="n">
        <v>1756.25</v>
      </c>
      <c r="K803" s="2" t="s">
        <v>29</v>
      </c>
      <c r="L803" s="2" t="n">
        <f aca="false">J803/_xlfn.XLOOKUP(Tabla2[[#This Row],[Unidad de precio]],Tabla3[Medida],Tabla3[Equivalencia en Kg],"ELVIS",0)</f>
        <v>3.12311057367429</v>
      </c>
      <c r="M803" s="2" t="n">
        <v>9027.66</v>
      </c>
      <c r="N803" s="3" t="n">
        <f aca="false">(Tabla2[[#This Row],[Productividad (kg/TAS)]]*Tabla2[[#This Row],[Precio por kg]]-Tabla2[[#This Row],[Costos (En RD$/Tarea)]])</f>
        <v>-8164.49869563415</v>
      </c>
      <c r="O803" s="9" t="n">
        <f aca="false">IF(Tabla2[[#This Row],[Costos (En RD$/Tarea)]]=0,0,Tabla2[[#This Row],[Beneficio Neto  (En RD$/Tarea)]]/Tabla2[[#This Row],[Costos (En RD$/Tarea)]])</f>
        <v>-0.904387038904228</v>
      </c>
      <c r="P803" s="7" t="n">
        <f aca="false">Tabla2[[#This Row],[Rentabilidad (%)]]/12</f>
        <v>-0.0753655865753524</v>
      </c>
    </row>
    <row r="804" customFormat="false" ht="14.25" hidden="false" customHeight="false" outlineLevel="0" collapsed="false">
      <c r="A804" s="1" t="n">
        <v>38534</v>
      </c>
      <c r="B804" s="2" t="s">
        <v>30</v>
      </c>
      <c r="C804" s="3" t="n">
        <v>273065</v>
      </c>
      <c r="D804" s="3" t="s">
        <v>31</v>
      </c>
      <c r="E804" s="3" t="n">
        <f aca="false">IF(Tabla2[[#This Row],[Frecuencia]]="Annual", Tabla2[[#This Row],[Cosecha/Tarea]]/12,Tabla2[[#This Row],[Cosecha/Tarea]])</f>
        <v>22755.4166666667</v>
      </c>
      <c r="F804" s="3" t="n">
        <v>1833820</v>
      </c>
      <c r="G804" s="2" t="s">
        <v>32</v>
      </c>
      <c r="H804" s="2" t="n">
        <f aca="false">F804/Tabla2[[#This Row],[Cosecha Mensual]]</f>
        <v>80.5882848406057</v>
      </c>
      <c r="I804" s="2" t="n">
        <f aca="false">H804*_xlfn.XLOOKUP(Tabla2[[#This Row],[Unidad de producción]],Tabla3[Medida],Tabla3[Equivalencia en Kg],"ELVIS",0)</f>
        <v>2192.80723051288</v>
      </c>
      <c r="J804" s="2" t="n">
        <v>73.6533333333333</v>
      </c>
      <c r="K804" s="2" t="s">
        <v>32</v>
      </c>
      <c r="L804" s="2" t="n">
        <f aca="false">J804/_xlfn.XLOOKUP(Tabla2[[#This Row],[Unidad de precio]],Tabla3[Medida],Tabla3[Equivalencia en Kg],"ELVIS",0)</f>
        <v>2.70684797255911</v>
      </c>
      <c r="M804" s="3" t="n">
        <v>7918.62</v>
      </c>
      <c r="N804" s="3" t="n">
        <f aca="false">(Tabla2[[#This Row],[Productividad (kg/TAS)]]*Tabla2[[#This Row],[Precio por kg]]-Tabla2[[#This Row],[Costos (En RD$/Tarea)]])</f>
        <v>-1983.02419387326</v>
      </c>
      <c r="O804" s="9" t="n">
        <f aca="false">IF(Tabla2[[#This Row],[Costos (En RD$/Tarea)]]=0,0,Tabla2[[#This Row],[Beneficio Neto  (En RD$/Tarea)]]/Tabla2[[#This Row],[Costos (En RD$/Tarea)]])</f>
        <v>-0.25042547740304</v>
      </c>
      <c r="P804" s="7" t="n">
        <f aca="false">Tabla2[[#This Row],[Rentabilidad (%)]]/12</f>
        <v>-0.0208687897835866</v>
      </c>
    </row>
    <row r="805" customFormat="false" ht="14.25" hidden="false" customHeight="false" outlineLevel="0" collapsed="false">
      <c r="A805" s="1" t="n">
        <v>38534</v>
      </c>
      <c r="B805" s="2" t="s">
        <v>33</v>
      </c>
      <c r="C805" s="3" t="n">
        <v>621507</v>
      </c>
      <c r="D805" s="3" t="s">
        <v>31</v>
      </c>
      <c r="E805" s="3" t="n">
        <f aca="false">IF(Tabla2[[#This Row],[Frecuencia]]="Annual", Tabla2[[#This Row],[Cosecha/Tarea]]/12,Tabla2[[#This Row],[Cosecha/Tarea]])</f>
        <v>51792.25</v>
      </c>
      <c r="F805" s="3" t="n">
        <v>159976</v>
      </c>
      <c r="G805" s="2" t="s">
        <v>34</v>
      </c>
      <c r="H805" s="2" t="n">
        <f aca="false">F805/Tabla2[[#This Row],[Cosecha Mensual]]</f>
        <v>3.08880189603657</v>
      </c>
      <c r="I805" s="2" t="n">
        <f aca="false">H805*_xlfn.XLOOKUP(Tabla2[[#This Row],[Unidad de producción]],Tabla3[Medida],Tabla3[Equivalencia en Kg],"ELVIS",0)</f>
        <v>1260.69449386733</v>
      </c>
      <c r="J805" s="2" t="n">
        <v>2350.84166666667</v>
      </c>
      <c r="K805" s="2" t="s">
        <v>34</v>
      </c>
      <c r="L805" s="2" t="n">
        <f aca="false">J805/_xlfn.XLOOKUP(Tabla2[[#This Row],[Unidad de precio]],Tabla3[Medida],Tabla3[Equivalencia en Kg],"ELVIS",0)</f>
        <v>5.75974927518479</v>
      </c>
      <c r="M805" s="3" t="n">
        <v>9928.24</v>
      </c>
      <c r="N805" s="3" t="n">
        <f aca="false">(Tabla2[[#This Row],[Productividad (kg/TAS)]]*Tabla2[[#This Row],[Precio por kg]]-Tabla2[[#This Row],[Costos (En RD$/Tarea)]])</f>
        <v>-2666.95580271822</v>
      </c>
      <c r="O805" s="9" t="n">
        <f aca="false">IF(Tabla2[[#This Row],[Costos (En RD$/Tarea)]]=0,0,Tabla2[[#This Row],[Beneficio Neto  (En RD$/Tarea)]]/Tabla2[[#This Row],[Costos (En RD$/Tarea)]])</f>
        <v>-0.268623220502146</v>
      </c>
      <c r="P805" s="7" t="n">
        <f aca="false">Tabla2[[#This Row],[Rentabilidad (%)]]/12</f>
        <v>-0.0223852683751788</v>
      </c>
    </row>
    <row r="806" customFormat="false" ht="14.25" hidden="false" customHeight="false" outlineLevel="0" collapsed="false">
      <c r="A806" s="1" t="n">
        <v>38565</v>
      </c>
      <c r="B806" s="2" t="s">
        <v>16</v>
      </c>
      <c r="C806" s="3" t="n">
        <v>148608</v>
      </c>
      <c r="D806" s="8" t="s">
        <v>17</v>
      </c>
      <c r="E806" s="3" t="n">
        <f aca="false">IF(Tabla2[[#This Row],[Frecuencia]]="Annual", Tabla2[[#This Row],[Cosecha/Tarea]]/12,Tabla2[[#This Row],[Cosecha/Tarea]])</f>
        <v>148608</v>
      </c>
      <c r="F806" s="3" t="n">
        <v>625842</v>
      </c>
      <c r="G806" s="2" t="s">
        <v>18</v>
      </c>
      <c r="H806" s="2" t="n">
        <f aca="false">F806/Tabla2[[#This Row],[Cosecha Mensual]]</f>
        <v>4.21136143410853</v>
      </c>
      <c r="I806" s="2" t="n">
        <f aca="false">H806*_xlfn.XLOOKUP(Tabla2[[#This Row],[Unidad de producción]],Tabla3[Medida],Tabla3[Equivalencia en Kg],"ELVIS",0)</f>
        <v>191.027354651163</v>
      </c>
      <c r="J806" s="2" t="n">
        <v>1185.625</v>
      </c>
      <c r="K806" s="2" t="s">
        <v>19</v>
      </c>
      <c r="L806" s="2" t="n">
        <f aca="false">J806/_xlfn.XLOOKUP(Tabla2[[#This Row],[Unidad de precio]],Tabla3[Medida],Tabla3[Equivalencia en Kg],"ELVIS",0)</f>
        <v>10.7784090909091</v>
      </c>
      <c r="M806" s="2" t="n">
        <v>4807.32</v>
      </c>
      <c r="N806" s="3" t="n">
        <f aca="false">(Tabla2[[#This Row],[Productividad (kg/TAS)]]*Tabla2[[#This Row],[Precio por kg]]-Tabla2[[#This Row],[Costos (En RD$/Tarea)]])</f>
        <v>-2748.34902401559</v>
      </c>
      <c r="O806" s="9" t="n">
        <f aca="false">IF(Tabla2[[#This Row],[Costos (En RD$/Tarea)]]=0,0,Tabla2[[#This Row],[Beneficio Neto  (En RD$/Tarea)]]/Tabla2[[#This Row],[Costos (En RD$/Tarea)]])</f>
        <v>-0.571700869510578</v>
      </c>
      <c r="P806" s="7" t="n">
        <f aca="false">Tabla2[[#This Row],[Rentabilidad (%)]]/12</f>
        <v>-0.0476417391258815</v>
      </c>
    </row>
    <row r="807" customFormat="false" ht="14.25" hidden="false" customHeight="false" outlineLevel="0" collapsed="false">
      <c r="A807" s="1" t="n">
        <v>38565</v>
      </c>
      <c r="B807" s="2" t="s">
        <v>20</v>
      </c>
      <c r="C807" s="3" t="n">
        <v>44706</v>
      </c>
      <c r="D807" s="8" t="s">
        <v>17</v>
      </c>
      <c r="E807" s="3" t="n">
        <f aca="false">IF(Tabla2[[#This Row],[Frecuencia]]="Annual", Tabla2[[#This Row],[Cosecha/Tarea]]/12,Tabla2[[#This Row],[Cosecha/Tarea]])</f>
        <v>44706</v>
      </c>
      <c r="F807" s="3" t="n">
        <v>90342</v>
      </c>
      <c r="G807" s="2" t="s">
        <v>18</v>
      </c>
      <c r="H807" s="2" t="n">
        <f aca="false">F807/Tabla2[[#This Row],[Cosecha Mensual]]</f>
        <v>2.02080257683532</v>
      </c>
      <c r="I807" s="2" t="n">
        <f aca="false">H807*_xlfn.XLOOKUP(Tabla2[[#This Row],[Unidad de producción]],Tabla3[Medida],Tabla3[Equivalencia en Kg],"ELVIS",0)</f>
        <v>91.6636048852503</v>
      </c>
      <c r="J807" s="2" t="n">
        <v>297.010375</v>
      </c>
      <c r="K807" s="2" t="s">
        <v>18</v>
      </c>
      <c r="L807" s="2" t="n">
        <f aca="false">J807/_xlfn.XLOOKUP(Tabla2[[#This Row],[Unidad de precio]],Tabla3[Medida],Tabla3[Equivalencia en Kg],"ELVIS",0)</f>
        <v>6.54784777336861</v>
      </c>
      <c r="M807" s="2" t="n">
        <v>1327.7</v>
      </c>
      <c r="N807" s="3" t="n">
        <f aca="false">(Tabla2[[#This Row],[Productividad (kg/TAS)]]*Tabla2[[#This Row],[Precio por kg]]-Tabla2[[#This Row],[Costos (En RD$/Tarea)]])</f>
        <v>-727.500668853174</v>
      </c>
      <c r="O807" s="9" t="n">
        <f aca="false">IF(Tabla2[[#This Row],[Costos (En RD$/Tarea)]]=0,0,Tabla2[[#This Row],[Beneficio Neto  (En RD$/Tarea)]]/Tabla2[[#This Row],[Costos (En RD$/Tarea)]])</f>
        <v>-0.547940550465598</v>
      </c>
      <c r="P807" s="7" t="n">
        <f aca="false">Tabla2[[#This Row],[Rentabilidad (%)]]/12</f>
        <v>-0.0456617125387998</v>
      </c>
    </row>
    <row r="808" customFormat="false" ht="14.25" hidden="false" customHeight="false" outlineLevel="0" collapsed="false">
      <c r="A808" s="1" t="n">
        <v>38565</v>
      </c>
      <c r="B808" s="2" t="s">
        <v>21</v>
      </c>
      <c r="C808" s="3" t="n">
        <v>6633</v>
      </c>
      <c r="D808" s="8" t="s">
        <v>17</v>
      </c>
      <c r="E808" s="3" t="n">
        <f aca="false">IF(Tabla2[[#This Row],[Frecuencia]]="Annual", Tabla2[[#This Row],[Cosecha/Tarea]]/12,Tabla2[[#This Row],[Cosecha/Tarea]])</f>
        <v>6633</v>
      </c>
      <c r="F808" s="3" t="n">
        <v>59864</v>
      </c>
      <c r="G808" s="2" t="s">
        <v>18</v>
      </c>
      <c r="H808" s="2" t="n">
        <f aca="false">F808/Tabla2[[#This Row],[Cosecha Mensual]]</f>
        <v>9.02517714458013</v>
      </c>
      <c r="I808" s="2" t="n">
        <f aca="false">H808*_xlfn.XLOOKUP(Tabla2[[#This Row],[Unidad de producción]],Tabla3[Medida],Tabla3[Equivalencia en Kg],"ELVIS",0)</f>
        <v>409.382035278155</v>
      </c>
      <c r="J808" s="2" t="n">
        <v>375.4195</v>
      </c>
      <c r="K808" s="2" t="s">
        <v>18</v>
      </c>
      <c r="L808" s="2" t="n">
        <f aca="false">J808/_xlfn.XLOOKUP(Tabla2[[#This Row],[Unidad de precio]],Tabla3[Medida],Tabla3[Equivalencia en Kg],"ELVIS",0)</f>
        <v>8.27644400352734</v>
      </c>
      <c r="M808" s="2" t="n">
        <v>2092.86</v>
      </c>
      <c r="N808" s="3" t="n">
        <f aca="false">(Tabla2[[#This Row],[Productividad (kg/TAS)]]*Tabla2[[#This Row],[Precio por kg]]-Tabla2[[#This Row],[Costos (En RD$/Tarea)]])</f>
        <v>1295.3674910297</v>
      </c>
      <c r="O808" s="9" t="n">
        <f aca="false">IF(Tabla2[[#This Row],[Costos (En RD$/Tarea)]]=0,0,Tabla2[[#This Row],[Beneficio Neto  (En RD$/Tarea)]]/Tabla2[[#This Row],[Costos (En RD$/Tarea)]])</f>
        <v>0.618946079063913</v>
      </c>
      <c r="P808" s="7" t="n">
        <f aca="false">Tabla2[[#This Row],[Rentabilidad (%)]]/12</f>
        <v>0.0515788399219928</v>
      </c>
    </row>
    <row r="809" customFormat="false" ht="14.25" hidden="false" customHeight="false" outlineLevel="0" collapsed="false">
      <c r="A809" s="1" t="n">
        <v>38565</v>
      </c>
      <c r="B809" s="2" t="s">
        <v>22</v>
      </c>
      <c r="C809" s="3" t="n">
        <v>2223</v>
      </c>
      <c r="D809" s="8" t="s">
        <v>17</v>
      </c>
      <c r="E809" s="3" t="n">
        <f aca="false">IF(Tabla2[[#This Row],[Frecuencia]]="Annual", Tabla2[[#This Row],[Cosecha/Tarea]]/12,Tabla2[[#This Row],[Cosecha/Tarea]])</f>
        <v>2223</v>
      </c>
      <c r="F809" s="3" t="n">
        <v>15667</v>
      </c>
      <c r="G809" s="2" t="s">
        <v>18</v>
      </c>
      <c r="H809" s="2" t="n">
        <f aca="false">F809/Tabla2[[#This Row],[Cosecha Mensual]]</f>
        <v>7.04768331084121</v>
      </c>
      <c r="I809" s="2" t="n">
        <f aca="false">H809*_xlfn.XLOOKUP(Tabla2[[#This Row],[Unidad de producción]],Tabla3[Medida],Tabla3[Equivalencia en Kg],"ELVIS",0)</f>
        <v>319.682914979757</v>
      </c>
      <c r="J809" s="2" t="n">
        <v>750</v>
      </c>
      <c r="K809" s="2" t="s">
        <v>18</v>
      </c>
      <c r="L809" s="2" t="n">
        <f aca="false">J809/_xlfn.XLOOKUP(Tabla2[[#This Row],[Unidad de precio]],Tabla3[Medida],Tabla3[Equivalencia en Kg],"ELVIS",0)</f>
        <v>16.5343915343915</v>
      </c>
      <c r="M809" s="2" t="n">
        <v>5853.83</v>
      </c>
      <c r="N809" s="3" t="n">
        <f aca="false">(Tabla2[[#This Row],[Productividad (kg/TAS)]]*Tabla2[[#This Row],[Precio por kg]]-Tabla2[[#This Row],[Costos (En RD$/Tarea)]])</f>
        <v>-568.067516869096</v>
      </c>
      <c r="O809" s="9" t="n">
        <f aca="false">IF(Tabla2[[#This Row],[Costos (En RD$/Tarea)]]=0,0,Tabla2[[#This Row],[Beneficio Neto  (En RD$/Tarea)]]/Tabla2[[#This Row],[Costos (En RD$/Tarea)]])</f>
        <v>-0.09704202494249</v>
      </c>
      <c r="P809" s="7" t="n">
        <f aca="false">Tabla2[[#This Row],[Rentabilidad (%)]]/12</f>
        <v>-0.00808683541187416</v>
      </c>
    </row>
    <row r="810" customFormat="false" ht="14.25" hidden="false" customHeight="false" outlineLevel="0" collapsed="false">
      <c r="A810" s="1" t="n">
        <v>38565</v>
      </c>
      <c r="B810" s="2" t="s">
        <v>23</v>
      </c>
      <c r="C810" s="3" t="n">
        <v>3331</v>
      </c>
      <c r="D810" s="8" t="s">
        <v>17</v>
      </c>
      <c r="E810" s="3" t="n">
        <f aca="false">IF(Tabla2[[#This Row],[Frecuencia]]="Annual", Tabla2[[#This Row],[Cosecha/Tarea]]/12,Tabla2[[#This Row],[Cosecha/Tarea]])</f>
        <v>3331</v>
      </c>
      <c r="F810" s="3" t="n">
        <v>131375</v>
      </c>
      <c r="G810" s="2" t="s">
        <v>18</v>
      </c>
      <c r="H810" s="2" t="n">
        <f aca="false">F810/Tabla2[[#This Row],[Cosecha Mensual]]</f>
        <v>39.440108075653</v>
      </c>
      <c r="I810" s="2" t="n">
        <f aca="false">H810*_xlfn.XLOOKUP(Tabla2[[#This Row],[Unidad de producción]],Tabla3[Medida],Tabla3[Equivalencia en Kg],"ELVIS",0)</f>
        <v>1789.00330231162</v>
      </c>
      <c r="J810" s="2" t="n">
        <v>691.05</v>
      </c>
      <c r="K810" s="2" t="s">
        <v>18</v>
      </c>
      <c r="L810" s="2" t="n">
        <f aca="false">J810/_xlfn.XLOOKUP(Tabla2[[#This Row],[Unidad de precio]],Tabla3[Medida],Tabla3[Equivalencia en Kg],"ELVIS",0)</f>
        <v>15.2347883597884</v>
      </c>
      <c r="M810" s="2" t="n">
        <v>10163.53</v>
      </c>
      <c r="N810" s="3" t="n">
        <f aca="false">(Tabla2[[#This Row],[Productividad (kg/TAS)]]*Tabla2[[#This Row],[Precio por kg]]-Tabla2[[#This Row],[Costos (En RD$/Tarea)]])</f>
        <v>17091.55668568</v>
      </c>
      <c r="O810" s="9" t="n">
        <f aca="false">IF(Tabla2[[#This Row],[Costos (En RD$/Tarea)]]=0,0,Tabla2[[#This Row],[Beneficio Neto  (En RD$/Tarea)]]/Tabla2[[#This Row],[Costos (En RD$/Tarea)]])</f>
        <v>1.68165555527262</v>
      </c>
      <c r="P810" s="7" t="n">
        <f aca="false">Tabla2[[#This Row],[Rentabilidad (%)]]/12</f>
        <v>0.140137962939385</v>
      </c>
    </row>
    <row r="811" customFormat="false" ht="14.25" hidden="false" customHeight="false" outlineLevel="0" collapsed="false">
      <c r="A811" s="1" t="n">
        <v>38565</v>
      </c>
      <c r="B811" s="2" t="s">
        <v>24</v>
      </c>
      <c r="C811" s="3" t="n">
        <v>4864</v>
      </c>
      <c r="D811" s="8" t="s">
        <v>17</v>
      </c>
      <c r="E811" s="3" t="n">
        <f aca="false">IF(Tabla2[[#This Row],[Frecuencia]]="Annual", Tabla2[[#This Row],[Cosecha/Tarea]]/12,Tabla2[[#This Row],[Cosecha/Tarea]])</f>
        <v>4864</v>
      </c>
      <c r="F811" s="3" t="n">
        <v>42827</v>
      </c>
      <c r="G811" s="2" t="s">
        <v>18</v>
      </c>
      <c r="H811" s="2" t="n">
        <f aca="false">F811/Tabla2[[#This Row],[Cosecha Mensual]]</f>
        <v>8.80489309210526</v>
      </c>
      <c r="I811" s="2" t="n">
        <f aca="false">H811*_xlfn.XLOOKUP(Tabla2[[#This Row],[Unidad de producción]],Tabla3[Medida],Tabla3[Equivalencia en Kg],"ELVIS",0)</f>
        <v>399.389950657895</v>
      </c>
      <c r="J811" s="2" t="n">
        <v>870.666666666667</v>
      </c>
      <c r="K811" s="2" t="s">
        <v>18</v>
      </c>
      <c r="L811" s="2" t="n">
        <f aca="false">J811/_xlfn.XLOOKUP(Tabla2[[#This Row],[Unidad de precio]],Tabla3[Medida],Tabla3[Equivalencia en Kg],"ELVIS",0)</f>
        <v>19.1945914168136</v>
      </c>
      <c r="M811" s="2" t="n">
        <v>4680.83</v>
      </c>
      <c r="N811" s="3" t="n">
        <f aca="false">(Tabla2[[#This Row],[Productividad (kg/TAS)]]*Tabla2[[#This Row],[Precio por kg]]-Tabla2[[#This Row],[Costos (En RD$/Tarea)]])</f>
        <v>2985.29691885965</v>
      </c>
      <c r="O811" s="9" t="n">
        <f aca="false">IF(Tabla2[[#This Row],[Costos (En RD$/Tarea)]]=0,0,Tabla2[[#This Row],[Beneficio Neto  (En RD$/Tarea)]]/Tabla2[[#This Row],[Costos (En RD$/Tarea)]])</f>
        <v>0.637770848088833</v>
      </c>
      <c r="P811" s="7" t="n">
        <f aca="false">Tabla2[[#This Row],[Rentabilidad (%)]]/12</f>
        <v>0.0531475706740694</v>
      </c>
    </row>
    <row r="812" customFormat="false" ht="14.25" hidden="false" customHeight="false" outlineLevel="0" collapsed="false">
      <c r="A812" s="1" t="n">
        <v>38565</v>
      </c>
      <c r="B812" s="2" t="s">
        <v>25</v>
      </c>
      <c r="C812" s="3" t="n">
        <v>15691</v>
      </c>
      <c r="D812" s="8" t="s">
        <v>17</v>
      </c>
      <c r="E812" s="3" t="n">
        <f aca="false">IF(Tabla2[[#This Row],[Frecuencia]]="Annual", Tabla2[[#This Row],[Cosecha/Tarea]]/12,Tabla2[[#This Row],[Cosecha/Tarea]])</f>
        <v>15691</v>
      </c>
      <c r="F812" s="3" t="n">
        <v>139086</v>
      </c>
      <c r="G812" s="2" t="s">
        <v>18</v>
      </c>
      <c r="H812" s="2" t="n">
        <f aca="false">F812/Tabla2[[#This Row],[Cosecha Mensual]]</f>
        <v>8.86406220126187</v>
      </c>
      <c r="I812" s="2" t="n">
        <f aca="false">H812*_xlfn.XLOOKUP(Tabla2[[#This Row],[Unidad de producción]],Tabla3[Medida],Tabla3[Equivalencia en Kg],"ELVIS",0)</f>
        <v>402.073861449238</v>
      </c>
      <c r="J812" s="2" t="n">
        <v>519.938</v>
      </c>
      <c r="K812" s="2" t="s">
        <v>18</v>
      </c>
      <c r="L812" s="2" t="n">
        <f aca="false">J812/_xlfn.XLOOKUP(Tabla2[[#This Row],[Unidad de precio]],Tabla3[Medida],Tabla3[Equivalencia en Kg],"ELVIS",0)</f>
        <v>11.4624779541446</v>
      </c>
      <c r="M812" s="2" t="n">
        <v>2314.215</v>
      </c>
      <c r="N812" s="3" t="n">
        <f aca="false">(Tabla2[[#This Row],[Productividad (kg/TAS)]]*Tabla2[[#This Row],[Precio por kg]]-Tabla2[[#This Row],[Costos (En RD$/Tarea)]])</f>
        <v>2294.54777279969</v>
      </c>
      <c r="O812" s="9" t="n">
        <f aca="false">IF(Tabla2[[#This Row],[Costos (En RD$/Tarea)]]=0,0,Tabla2[[#This Row],[Beneficio Neto  (En RD$/Tarea)]]/Tabla2[[#This Row],[Costos (En RD$/Tarea)]])</f>
        <v>0.991501555732589</v>
      </c>
      <c r="P812" s="7" t="n">
        <f aca="false">Tabla2[[#This Row],[Rentabilidad (%)]]/12</f>
        <v>0.0826251296443824</v>
      </c>
    </row>
    <row r="813" customFormat="false" ht="14.25" hidden="false" customHeight="false" outlineLevel="0" collapsed="false">
      <c r="A813" s="1" t="n">
        <v>38565</v>
      </c>
      <c r="B813" s="2" t="s">
        <v>26</v>
      </c>
      <c r="C813" s="3" t="n">
        <v>15093</v>
      </c>
      <c r="D813" s="8" t="s">
        <v>17</v>
      </c>
      <c r="E813" s="3" t="n">
        <f aca="false">IF(Tabla2[[#This Row],[Frecuencia]]="Annual", Tabla2[[#This Row],[Cosecha/Tarea]]/12,Tabla2[[#This Row],[Cosecha/Tarea]])</f>
        <v>15093</v>
      </c>
      <c r="F813" s="3" t="n">
        <v>68969</v>
      </c>
      <c r="G813" s="2" t="s">
        <v>18</v>
      </c>
      <c r="H813" s="2" t="n">
        <f aca="false">F813/Tabla2[[#This Row],[Cosecha Mensual]]</f>
        <v>4.56960180215994</v>
      </c>
      <c r="I813" s="2" t="n">
        <f aca="false">H813*_xlfn.XLOOKUP(Tabla2[[#This Row],[Unidad de producción]],Tabla3[Medida],Tabla3[Equivalencia en Kg],"ELVIS",0)</f>
        <v>207.277137745975</v>
      </c>
      <c r="J813" s="2" t="n">
        <v>480</v>
      </c>
      <c r="K813" s="2" t="s">
        <v>18</v>
      </c>
      <c r="L813" s="2" t="n">
        <f aca="false">J813/_xlfn.XLOOKUP(Tabla2[[#This Row],[Unidad de precio]],Tabla3[Medida],Tabla3[Equivalencia en Kg],"ELVIS",0)</f>
        <v>10.5820105820106</v>
      </c>
      <c r="M813" s="2" t="n">
        <v>906.4</v>
      </c>
      <c r="N813" s="3" t="n">
        <f aca="false">(Tabla2[[#This Row],[Productividad (kg/TAS)]]*Tabla2[[#This Row],[Precio por kg]]-Tabla2[[#This Row],[Costos (En RD$/Tarea)]])</f>
        <v>1287.00886503677</v>
      </c>
      <c r="O813" s="9" t="n">
        <f aca="false">IF(Tabla2[[#This Row],[Costos (En RD$/Tarea)]]=0,0,Tabla2[[#This Row],[Beneficio Neto  (En RD$/Tarea)]]/Tabla2[[#This Row],[Costos (En RD$/Tarea)]])</f>
        <v>1.41991269311206</v>
      </c>
      <c r="P813" s="7" t="n">
        <f aca="false">Tabla2[[#This Row],[Rentabilidad (%)]]/12</f>
        <v>0.118326057759338</v>
      </c>
    </row>
    <row r="814" customFormat="false" ht="14.25" hidden="false" customHeight="false" outlineLevel="0" collapsed="false">
      <c r="A814" s="1" t="n">
        <v>38565</v>
      </c>
      <c r="B814" s="2" t="s">
        <v>27</v>
      </c>
      <c r="C814" s="3" t="n">
        <v>4563</v>
      </c>
      <c r="D814" s="8" t="s">
        <v>17</v>
      </c>
      <c r="E814" s="3" t="n">
        <f aca="false">IF(Tabla2[[#This Row],[Frecuencia]]="Annual", Tabla2[[#This Row],[Cosecha/Tarea]]/12,Tabla2[[#This Row],[Cosecha/Tarea]])</f>
        <v>4563</v>
      </c>
      <c r="F814" s="3" t="n">
        <v>29391</v>
      </c>
      <c r="G814" s="2" t="s">
        <v>18</v>
      </c>
      <c r="H814" s="2" t="n">
        <f aca="false">F814/Tabla2[[#This Row],[Cosecha Mensual]]</f>
        <v>6.44115713346483</v>
      </c>
      <c r="I814" s="2" t="n">
        <f aca="false">H814*_xlfn.XLOOKUP(Tabla2[[#This Row],[Unidad de producción]],Tabla3[Medida],Tabla3[Equivalencia en Kg],"ELVIS",0)</f>
        <v>292.170887573965</v>
      </c>
      <c r="J814" s="2" t="n">
        <v>266</v>
      </c>
      <c r="K814" s="2" t="s">
        <v>18</v>
      </c>
      <c r="L814" s="2" t="n">
        <f aca="false">J814/_xlfn.XLOOKUP(Tabla2[[#This Row],[Unidad de precio]],Tabla3[Medida],Tabla3[Equivalencia en Kg],"ELVIS",0)</f>
        <v>5.8641975308642</v>
      </c>
      <c r="M814" s="2" t="n">
        <v>5157.39</v>
      </c>
      <c r="N814" s="3" t="n">
        <f aca="false">(Tabla2[[#This Row],[Productividad (kg/TAS)]]*Tabla2[[#This Row],[Precio por kg]]-Tabla2[[#This Row],[Costos (En RD$/Tarea)]])</f>
        <v>-3444.04220249836</v>
      </c>
      <c r="O814" s="9" t="n">
        <f aca="false">IF(Tabla2[[#This Row],[Costos (En RD$/Tarea)]]=0,0,Tabla2[[#This Row],[Beneficio Neto  (En RD$/Tarea)]]/Tabla2[[#This Row],[Costos (En RD$/Tarea)]])</f>
        <v>-0.667787815638987</v>
      </c>
      <c r="P814" s="7" t="n">
        <f aca="false">Tabla2[[#This Row],[Rentabilidad (%)]]/12</f>
        <v>-0.0556489846365823</v>
      </c>
    </row>
    <row r="815" customFormat="false" ht="14.25" hidden="false" customHeight="false" outlineLevel="0" collapsed="false">
      <c r="A815" s="1" t="n">
        <v>38565</v>
      </c>
      <c r="B815" s="2" t="s">
        <v>28</v>
      </c>
      <c r="C815" s="3" t="n">
        <v>25185</v>
      </c>
      <c r="D815" s="8" t="s">
        <v>17</v>
      </c>
      <c r="E815" s="3" t="n">
        <f aca="false">IF(Tabla2[[#This Row],[Frecuencia]]="Annual", Tabla2[[#This Row],[Cosecha/Tarea]]/12,Tabla2[[#This Row],[Cosecha/Tarea]])</f>
        <v>25185</v>
      </c>
      <c r="F815" s="3" t="n">
        <v>13751</v>
      </c>
      <c r="G815" s="2" t="s">
        <v>29</v>
      </c>
      <c r="H815" s="2" t="n">
        <f aca="false">F815/Tabla2[[#This Row],[Cosecha Mensual]]</f>
        <v>0.545999602938257</v>
      </c>
      <c r="I815" s="2" t="n">
        <f aca="false">H815*_xlfn.XLOOKUP(Tabla2[[#This Row],[Unidad de producción]],Tabla3[Medida],Tabla3[Equivalencia en Kg],"ELVIS",0)</f>
        <v>307.037416716299</v>
      </c>
      <c r="J815" s="2" t="n">
        <v>2000</v>
      </c>
      <c r="K815" s="2" t="s">
        <v>29</v>
      </c>
      <c r="L815" s="2" t="n">
        <f aca="false">J815/_xlfn.XLOOKUP(Tabla2[[#This Row],[Unidad de precio]],Tabla3[Medida],Tabla3[Equivalencia en Kg],"ELVIS",0)</f>
        <v>3.55656720133727</v>
      </c>
      <c r="M815" s="2" t="n">
        <v>9027.66</v>
      </c>
      <c r="N815" s="3" t="n">
        <f aca="false">(Tabla2[[#This Row],[Productividad (kg/TAS)]]*Tabla2[[#This Row],[Precio por kg]]-Tabla2[[#This Row],[Costos (En RD$/Tarea)]])</f>
        <v>-7935.66079412349</v>
      </c>
      <c r="O815" s="9" t="n">
        <f aca="false">IF(Tabla2[[#This Row],[Costos (En RD$/Tarea)]]=0,0,Tabla2[[#This Row],[Beneficio Neto  (En RD$/Tarea)]]/Tabla2[[#This Row],[Costos (En RD$/Tarea)]])</f>
        <v>-0.879038509882238</v>
      </c>
      <c r="P815" s="7" t="n">
        <f aca="false">Tabla2[[#This Row],[Rentabilidad (%)]]/12</f>
        <v>-0.0732532091568532</v>
      </c>
    </row>
    <row r="816" customFormat="false" ht="14.25" hidden="false" customHeight="false" outlineLevel="0" collapsed="false">
      <c r="A816" s="1" t="n">
        <v>38565</v>
      </c>
      <c r="B816" s="2" t="s">
        <v>30</v>
      </c>
      <c r="C816" s="3" t="n">
        <v>290316</v>
      </c>
      <c r="D816" s="3" t="s">
        <v>31</v>
      </c>
      <c r="E816" s="3" t="n">
        <f aca="false">IF(Tabla2[[#This Row],[Frecuencia]]="Annual", Tabla2[[#This Row],[Cosecha/Tarea]]/12,Tabla2[[#This Row],[Cosecha/Tarea]])</f>
        <v>24193</v>
      </c>
      <c r="F816" s="3" t="n">
        <v>2075068</v>
      </c>
      <c r="G816" s="2" t="s">
        <v>32</v>
      </c>
      <c r="H816" s="2" t="n">
        <f aca="false">F816/Tabla2[[#This Row],[Cosecha Mensual]]</f>
        <v>85.7714214855537</v>
      </c>
      <c r="I816" s="2" t="n">
        <f aca="false">H816*_xlfn.XLOOKUP(Tabla2[[#This Row],[Unidad de producción]],Tabla3[Medida],Tabla3[Equivalencia en Kg],"ELVIS",0)</f>
        <v>2333.84037862192</v>
      </c>
      <c r="J816" s="2" t="n">
        <v>52.5</v>
      </c>
      <c r="K816" s="2" t="s">
        <v>32</v>
      </c>
      <c r="L816" s="2" t="n">
        <f aca="false">J816/_xlfn.XLOOKUP(Tabla2[[#This Row],[Unidad de precio]],Tabla3[Medida],Tabla3[Equivalencia en Kg],"ELVIS",0)</f>
        <v>1.92943770672547</v>
      </c>
      <c r="M816" s="3" t="n">
        <v>7918.62</v>
      </c>
      <c r="N816" s="3" t="n">
        <f aca="false">(Tabla2[[#This Row],[Productividad (kg/TAS)]]*Tabla2[[#This Row],[Precio por kg]]-Tabla2[[#This Row],[Costos (En RD$/Tarea)]])</f>
        <v>-3415.62037200843</v>
      </c>
      <c r="O816" s="9" t="n">
        <f aca="false">IF(Tabla2[[#This Row],[Costos (En RD$/Tarea)]]=0,0,Tabla2[[#This Row],[Beneficio Neto  (En RD$/Tarea)]]/Tabla2[[#This Row],[Costos (En RD$/Tarea)]])</f>
        <v>-0.431340356275264</v>
      </c>
      <c r="P816" s="7" t="n">
        <f aca="false">Tabla2[[#This Row],[Rentabilidad (%)]]/12</f>
        <v>-0.0359450296896054</v>
      </c>
    </row>
    <row r="817" customFormat="false" ht="14.25" hidden="false" customHeight="false" outlineLevel="0" collapsed="false">
      <c r="A817" s="1" t="n">
        <v>38565</v>
      </c>
      <c r="B817" s="2" t="s">
        <v>33</v>
      </c>
      <c r="C817" s="3" t="n">
        <v>629655</v>
      </c>
      <c r="D817" s="3" t="s">
        <v>31</v>
      </c>
      <c r="E817" s="3" t="n">
        <f aca="false">IF(Tabla2[[#This Row],[Frecuencia]]="Annual", Tabla2[[#This Row],[Cosecha/Tarea]]/12,Tabla2[[#This Row],[Cosecha/Tarea]])</f>
        <v>52471.25</v>
      </c>
      <c r="F817" s="3" t="n">
        <v>172027</v>
      </c>
      <c r="G817" s="2" t="s">
        <v>34</v>
      </c>
      <c r="H817" s="2" t="n">
        <f aca="false">F817/Tabla2[[#This Row],[Cosecha Mensual]]</f>
        <v>3.27850013102413</v>
      </c>
      <c r="I817" s="2" t="n">
        <f aca="false">H817*_xlfn.XLOOKUP(Tabla2[[#This Row],[Unidad de producción]],Tabla3[Medida],Tabla3[Equivalencia en Kg],"ELVIS",0)</f>
        <v>1338.1198284775</v>
      </c>
      <c r="J817" s="2" t="n">
        <v>1833</v>
      </c>
      <c r="K817" s="2" t="s">
        <v>34</v>
      </c>
      <c r="L817" s="2" t="n">
        <f aca="false">J817/_xlfn.XLOOKUP(Tabla2[[#This Row],[Unidad de precio]],Tabla3[Medida],Tabla3[Equivalencia en Kg],"ELVIS",0)</f>
        <v>4.49099595736861</v>
      </c>
      <c r="M817" s="3" t="n">
        <v>9928.24</v>
      </c>
      <c r="N817" s="3" t="n">
        <f aca="false">(Tabla2[[#This Row],[Productividad (kg/TAS)]]*Tabla2[[#This Row],[Precio por kg]]-Tabla2[[#This Row],[Costos (En RD$/Tarea)]])</f>
        <v>-3918.74925983277</v>
      </c>
      <c r="O817" s="9" t="n">
        <f aca="false">IF(Tabla2[[#This Row],[Costos (En RD$/Tarea)]]=0,0,Tabla2[[#This Row],[Beneficio Neto  (En RD$/Tarea)]]/Tabla2[[#This Row],[Costos (En RD$/Tarea)]])</f>
        <v>-0.394707345897437</v>
      </c>
      <c r="P817" s="7" t="n">
        <f aca="false">Tabla2[[#This Row],[Rentabilidad (%)]]/12</f>
        <v>-0.0328922788247864</v>
      </c>
    </row>
    <row r="818" customFormat="false" ht="14.25" hidden="false" customHeight="false" outlineLevel="0" collapsed="false">
      <c r="A818" s="1" t="n">
        <v>38596</v>
      </c>
      <c r="B818" s="2" t="s">
        <v>16</v>
      </c>
      <c r="C818" s="3" t="n">
        <v>152010</v>
      </c>
      <c r="D818" s="8" t="s">
        <v>17</v>
      </c>
      <c r="E818" s="3" t="n">
        <f aca="false">IF(Tabla2[[#This Row],[Frecuencia]]="Annual", Tabla2[[#This Row],[Cosecha/Tarea]]/12,Tabla2[[#This Row],[Cosecha/Tarea]])</f>
        <v>152010</v>
      </c>
      <c r="F818" s="3" t="n">
        <v>480974</v>
      </c>
      <c r="G818" s="2" t="s">
        <v>18</v>
      </c>
      <c r="H818" s="2" t="n">
        <f aca="false">F818/Tabla2[[#This Row],[Cosecha Mensual]]</f>
        <v>3.16409446746925</v>
      </c>
      <c r="I818" s="2" t="n">
        <f aca="false">H818*_xlfn.XLOOKUP(Tabla2[[#This Row],[Unidad de producción]],Tabla3[Medida],Tabla3[Equivalencia en Kg],"ELVIS",0)</f>
        <v>143.523325044405</v>
      </c>
      <c r="J818" s="2" t="n">
        <v>1168.66666666667</v>
      </c>
      <c r="K818" s="2" t="s">
        <v>19</v>
      </c>
      <c r="L818" s="2" t="n">
        <f aca="false">J818/_xlfn.XLOOKUP(Tabla2[[#This Row],[Unidad de precio]],Tabla3[Medida],Tabla3[Equivalencia en Kg],"ELVIS",0)</f>
        <v>10.6242424242425</v>
      </c>
      <c r="M818" s="2" t="n">
        <v>4807.32</v>
      </c>
      <c r="N818" s="3" t="n">
        <f aca="false">(Tabla2[[#This Row],[Productividad (kg/TAS)]]*Tabla2[[#This Row],[Precio por kg]]-Tabla2[[#This Row],[Costos (En RD$/Tarea)]])</f>
        <v>-3282.49340119489</v>
      </c>
      <c r="O818" s="9" t="n">
        <f aca="false">IF(Tabla2[[#This Row],[Costos (En RD$/Tarea)]]=0,0,Tabla2[[#This Row],[Beneficio Neto  (En RD$/Tarea)]]/Tabla2[[#This Row],[Costos (En RD$/Tarea)]])</f>
        <v>-0.682811504371436</v>
      </c>
      <c r="P818" s="7" t="n">
        <f aca="false">Tabla2[[#This Row],[Rentabilidad (%)]]/12</f>
        <v>-0.0569009586976197</v>
      </c>
    </row>
    <row r="819" customFormat="false" ht="14.25" hidden="false" customHeight="false" outlineLevel="0" collapsed="false">
      <c r="A819" s="1" t="n">
        <v>38596</v>
      </c>
      <c r="B819" s="2" t="s">
        <v>20</v>
      </c>
      <c r="C819" s="3" t="n">
        <v>82296</v>
      </c>
      <c r="D819" s="8" t="s">
        <v>17</v>
      </c>
      <c r="E819" s="3" t="n">
        <f aca="false">IF(Tabla2[[#This Row],[Frecuencia]]="Annual", Tabla2[[#This Row],[Cosecha/Tarea]]/12,Tabla2[[#This Row],[Cosecha/Tarea]])</f>
        <v>82296</v>
      </c>
      <c r="F819" s="3" t="n">
        <v>153583</v>
      </c>
      <c r="G819" s="2" t="s">
        <v>18</v>
      </c>
      <c r="H819" s="2" t="n">
        <f aca="false">F819/Tabla2[[#This Row],[Cosecha Mensual]]</f>
        <v>1.86622679109556</v>
      </c>
      <c r="I819" s="2" t="n">
        <f aca="false">H819*_xlfn.XLOOKUP(Tabla2[[#This Row],[Unidad de producción]],Tabla3[Medida],Tabla3[Equivalencia en Kg],"ELVIS",0)</f>
        <v>84.6520472440945</v>
      </c>
      <c r="J819" s="2" t="n">
        <v>284.625488888889</v>
      </c>
      <c r="K819" s="2" t="s">
        <v>18</v>
      </c>
      <c r="L819" s="2" t="n">
        <f aca="false">J819/_xlfn.XLOOKUP(Tabla2[[#This Row],[Unidad de precio]],Tabla3[Medida],Tabla3[Equivalencia en Kg],"ELVIS",0)</f>
        <v>6.27481236527533</v>
      </c>
      <c r="M819" s="2" t="n">
        <v>1327.7</v>
      </c>
      <c r="N819" s="3" t="n">
        <f aca="false">(Tabla2[[#This Row],[Productividad (kg/TAS)]]*Tabla2[[#This Row],[Precio por kg]]-Tabla2[[#This Row],[Costos (En RD$/Tarea)]])</f>
        <v>-796.524287206884</v>
      </c>
      <c r="O819" s="9" t="n">
        <f aca="false">IF(Tabla2[[#This Row],[Costos (En RD$/Tarea)]]=0,0,Tabla2[[#This Row],[Beneficio Neto  (En RD$/Tarea)]]/Tabla2[[#This Row],[Costos (En RD$/Tarea)]])</f>
        <v>-0.599927910828413</v>
      </c>
      <c r="P819" s="7" t="n">
        <f aca="false">Tabla2[[#This Row],[Rentabilidad (%)]]/12</f>
        <v>-0.0499939925690344</v>
      </c>
    </row>
    <row r="820" customFormat="false" ht="14.25" hidden="false" customHeight="false" outlineLevel="0" collapsed="false">
      <c r="A820" s="1" t="n">
        <v>38596</v>
      </c>
      <c r="B820" s="2" t="s">
        <v>21</v>
      </c>
      <c r="C820" s="3" t="n">
        <v>6241</v>
      </c>
      <c r="D820" s="8" t="s">
        <v>17</v>
      </c>
      <c r="E820" s="3" t="n">
        <f aca="false">IF(Tabla2[[#This Row],[Frecuencia]]="Annual", Tabla2[[#This Row],[Cosecha/Tarea]]/12,Tabla2[[#This Row],[Cosecha/Tarea]])</f>
        <v>6241</v>
      </c>
      <c r="F820" s="3" t="n">
        <v>56805</v>
      </c>
      <c r="G820" s="2" t="s">
        <v>18</v>
      </c>
      <c r="H820" s="2" t="n">
        <f aca="false">F820/Tabla2[[#This Row],[Cosecha Mensual]]</f>
        <v>9.10190674571383</v>
      </c>
      <c r="I820" s="2" t="n">
        <f aca="false">H820*_xlfn.XLOOKUP(Tabla2[[#This Row],[Unidad de producción]],Tabla3[Medida],Tabla3[Equivalencia en Kg],"ELVIS",0)</f>
        <v>412.862489985579</v>
      </c>
      <c r="J820" s="2" t="n">
        <v>289.420666666667</v>
      </c>
      <c r="K820" s="2" t="s">
        <v>18</v>
      </c>
      <c r="L820" s="2" t="n">
        <f aca="false">J820/_xlfn.XLOOKUP(Tabla2[[#This Row],[Unidad de precio]],Tabla3[Medida],Tabla3[Equivalencia en Kg],"ELVIS",0)</f>
        <v>6.38052616108172</v>
      </c>
      <c r="M820" s="2" t="n">
        <v>2092.86</v>
      </c>
      <c r="N820" s="3" t="n">
        <f aca="false">(Tabla2[[#This Row],[Productividad (kg/TAS)]]*Tabla2[[#This Row],[Precio por kg]]-Tabla2[[#This Row],[Costos (En RD$/Tarea)]])</f>
        <v>541.41991828233</v>
      </c>
      <c r="O820" s="9" t="n">
        <f aca="false">IF(Tabla2[[#This Row],[Costos (En RD$/Tarea)]]=0,0,Tabla2[[#This Row],[Beneficio Neto  (En RD$/Tarea)]]/Tabla2[[#This Row],[Costos (En RD$/Tarea)]])</f>
        <v>0.258698583891101</v>
      </c>
      <c r="P820" s="7" t="n">
        <f aca="false">Tabla2[[#This Row],[Rentabilidad (%)]]/12</f>
        <v>0.0215582153242584</v>
      </c>
    </row>
    <row r="821" customFormat="false" ht="14.25" hidden="false" customHeight="false" outlineLevel="0" collapsed="false">
      <c r="A821" s="1" t="n">
        <v>38596</v>
      </c>
      <c r="B821" s="2" t="s">
        <v>22</v>
      </c>
      <c r="C821" s="3" t="n">
        <v>3147</v>
      </c>
      <c r="D821" s="8" t="s">
        <v>17</v>
      </c>
      <c r="E821" s="3" t="n">
        <f aca="false">IF(Tabla2[[#This Row],[Frecuencia]]="Annual", Tabla2[[#This Row],[Cosecha/Tarea]]/12,Tabla2[[#This Row],[Cosecha/Tarea]])</f>
        <v>3147</v>
      </c>
      <c r="F821" s="3" t="n">
        <v>23073</v>
      </c>
      <c r="G821" s="2" t="s">
        <v>18</v>
      </c>
      <c r="H821" s="2" t="n">
        <f aca="false">F821/Tabla2[[#This Row],[Cosecha Mensual]]</f>
        <v>7.33174451858913</v>
      </c>
      <c r="I821" s="2" t="n">
        <f aca="false">H821*_xlfn.XLOOKUP(Tabla2[[#This Row],[Unidad de producción]],Tabla3[Medida],Tabla3[Equivalencia en Kg],"ELVIS",0)</f>
        <v>332.567931363203</v>
      </c>
      <c r="J821" s="2" t="n">
        <v>620.5</v>
      </c>
      <c r="K821" s="2" t="s">
        <v>18</v>
      </c>
      <c r="L821" s="2" t="n">
        <f aca="false">J821/_xlfn.XLOOKUP(Tabla2[[#This Row],[Unidad de precio]],Tabla3[Medida],Tabla3[Equivalencia en Kg],"ELVIS",0)</f>
        <v>13.6794532627866</v>
      </c>
      <c r="M821" s="2" t="n">
        <v>5853.83</v>
      </c>
      <c r="N821" s="3" t="n">
        <f aca="false">(Tabla2[[#This Row],[Productividad (kg/TAS)]]*Tabla2[[#This Row],[Precio por kg]]-Tabla2[[#This Row],[Costos (En RD$/Tarea)]])</f>
        <v>-1304.48252621544</v>
      </c>
      <c r="O821" s="9" t="n">
        <f aca="false">IF(Tabla2[[#This Row],[Costos (En RD$/Tarea)]]=0,0,Tabla2[[#This Row],[Beneficio Neto  (En RD$/Tarea)]]/Tabla2[[#This Row],[Costos (En RD$/Tarea)]])</f>
        <v>-0.222842570798169</v>
      </c>
      <c r="P821" s="7" t="n">
        <f aca="false">Tabla2[[#This Row],[Rentabilidad (%)]]/12</f>
        <v>-0.0185702142331807</v>
      </c>
    </row>
    <row r="822" customFormat="false" ht="14.25" hidden="false" customHeight="false" outlineLevel="0" collapsed="false">
      <c r="A822" s="1" t="n">
        <v>38596</v>
      </c>
      <c r="B822" s="2" t="s">
        <v>23</v>
      </c>
      <c r="C822" s="3" t="n">
        <v>3964</v>
      </c>
      <c r="D822" s="8" t="s">
        <v>17</v>
      </c>
      <c r="E822" s="3" t="n">
        <f aca="false">IF(Tabla2[[#This Row],[Frecuencia]]="Annual", Tabla2[[#This Row],[Cosecha/Tarea]]/12,Tabla2[[#This Row],[Cosecha/Tarea]])</f>
        <v>3964</v>
      </c>
      <c r="F822" s="3" t="n">
        <v>87000</v>
      </c>
      <c r="G822" s="2" t="s">
        <v>18</v>
      </c>
      <c r="H822" s="2" t="n">
        <f aca="false">F822/Tabla2[[#This Row],[Cosecha Mensual]]</f>
        <v>21.9475277497477</v>
      </c>
      <c r="I822" s="2" t="n">
        <f aca="false">H822*_xlfn.XLOOKUP(Tabla2[[#This Row],[Unidad de producción]],Tabla3[Medida],Tabla3[Equivalencia en Kg],"ELVIS",0)</f>
        <v>995.539858728557</v>
      </c>
      <c r="J822" s="2" t="n">
        <v>726.607625</v>
      </c>
      <c r="K822" s="2" t="s">
        <v>18</v>
      </c>
      <c r="L822" s="2" t="n">
        <f aca="false">J822/_xlfn.XLOOKUP(Tabla2[[#This Row],[Unidad de precio]],Tabla3[Medida],Tabla3[Equivalencia en Kg],"ELVIS",0)</f>
        <v>16.0186866181658</v>
      </c>
      <c r="M822" s="2" t="n">
        <v>10163.53</v>
      </c>
      <c r="N822" s="3" t="n">
        <f aca="false">(Tabla2[[#This Row],[Productividad (kg/TAS)]]*Tabla2[[#This Row],[Precio por kg]]-Tabla2[[#This Row],[Costos (En RD$/Tarea)]])</f>
        <v>5783.71101286579</v>
      </c>
      <c r="O822" s="9" t="n">
        <f aca="false">IF(Tabla2[[#This Row],[Costos (En RD$/Tarea)]]=0,0,Tabla2[[#This Row],[Beneficio Neto  (En RD$/Tarea)]]/Tabla2[[#This Row],[Costos (En RD$/Tarea)]])</f>
        <v>0.569065178423814</v>
      </c>
      <c r="P822" s="7" t="n">
        <f aca="false">Tabla2[[#This Row],[Rentabilidad (%)]]/12</f>
        <v>0.0474220982019845</v>
      </c>
    </row>
    <row r="823" customFormat="false" ht="14.25" hidden="false" customHeight="false" outlineLevel="0" collapsed="false">
      <c r="A823" s="1" t="n">
        <v>38596</v>
      </c>
      <c r="B823" s="2" t="s">
        <v>24</v>
      </c>
      <c r="C823" s="3" t="n">
        <v>3888</v>
      </c>
      <c r="D823" s="8" t="s">
        <v>17</v>
      </c>
      <c r="E823" s="3" t="n">
        <f aca="false">IF(Tabla2[[#This Row],[Frecuencia]]="Annual", Tabla2[[#This Row],[Cosecha/Tarea]]/12,Tabla2[[#This Row],[Cosecha/Tarea]])</f>
        <v>3888</v>
      </c>
      <c r="F823" s="3" t="n">
        <v>27751</v>
      </c>
      <c r="G823" s="2" t="s">
        <v>18</v>
      </c>
      <c r="H823" s="2" t="n">
        <f aca="false">F823/Tabla2[[#This Row],[Cosecha Mensual]]</f>
        <v>7.13760288065844</v>
      </c>
      <c r="I823" s="2" t="n">
        <f aca="false">H823*_xlfn.XLOOKUP(Tabla2[[#This Row],[Unidad de producción]],Tabla3[Medida],Tabla3[Equivalencia en Kg],"ELVIS",0)</f>
        <v>323.761666666667</v>
      </c>
      <c r="J823" s="2" t="n">
        <v>945</v>
      </c>
      <c r="K823" s="2" t="s">
        <v>18</v>
      </c>
      <c r="L823" s="2" t="n">
        <f aca="false">J823/_xlfn.XLOOKUP(Tabla2[[#This Row],[Unidad de precio]],Tabla3[Medida],Tabla3[Equivalencia en Kg],"ELVIS",0)</f>
        <v>20.8333333333333</v>
      </c>
      <c r="M823" s="2" t="n">
        <v>4680.83</v>
      </c>
      <c r="N823" s="3" t="n">
        <f aca="false">(Tabla2[[#This Row],[Productividad (kg/TAS)]]*Tabla2[[#This Row],[Precio por kg]]-Tabla2[[#This Row],[Costos (En RD$/Tarea)]])</f>
        <v>2064.20472222222</v>
      </c>
      <c r="O823" s="9" t="n">
        <f aca="false">IF(Tabla2[[#This Row],[Costos (En RD$/Tarea)]]=0,0,Tabla2[[#This Row],[Beneficio Neto  (En RD$/Tarea)]]/Tabla2[[#This Row],[Costos (En RD$/Tarea)]])</f>
        <v>0.440991175116854</v>
      </c>
      <c r="P823" s="7" t="n">
        <f aca="false">Tabla2[[#This Row],[Rentabilidad (%)]]/12</f>
        <v>0.0367492645930711</v>
      </c>
    </row>
    <row r="824" customFormat="false" ht="14.25" hidden="false" customHeight="false" outlineLevel="0" collapsed="false">
      <c r="A824" s="1" t="n">
        <v>38596</v>
      </c>
      <c r="B824" s="2" t="s">
        <v>25</v>
      </c>
      <c r="C824" s="3" t="n">
        <v>19885</v>
      </c>
      <c r="D824" s="8" t="s">
        <v>17</v>
      </c>
      <c r="E824" s="3" t="n">
        <f aca="false">IF(Tabla2[[#This Row],[Frecuencia]]="Annual", Tabla2[[#This Row],[Cosecha/Tarea]]/12,Tabla2[[#This Row],[Cosecha/Tarea]])</f>
        <v>19885</v>
      </c>
      <c r="F824" s="3" t="n">
        <v>217826</v>
      </c>
      <c r="G824" s="2" t="s">
        <v>18</v>
      </c>
      <c r="H824" s="2" t="n">
        <f aca="false">F824/Tabla2[[#This Row],[Cosecha Mensual]]</f>
        <v>10.9542871511189</v>
      </c>
      <c r="I824" s="2" t="n">
        <f aca="false">H824*_xlfn.XLOOKUP(Tabla2[[#This Row],[Unidad de producción]],Tabla3[Medida],Tabla3[Equivalencia en Kg],"ELVIS",0)</f>
        <v>496.886465174755</v>
      </c>
      <c r="J824" s="2" t="n">
        <v>553.037222222222</v>
      </c>
      <c r="K824" s="2" t="s">
        <v>18</v>
      </c>
      <c r="L824" s="2" t="n">
        <f aca="false">J824/_xlfn.XLOOKUP(Tabla2[[#This Row],[Unidad de precio]],Tabla3[Medida],Tabla3[Equivalencia en Kg],"ELVIS",0)</f>
        <v>12.1921786204194</v>
      </c>
      <c r="M824" s="2" t="n">
        <v>2314.215</v>
      </c>
      <c r="N824" s="3" t="n">
        <f aca="false">(Tabla2[[#This Row],[Productividad (kg/TAS)]]*Tabla2[[#This Row],[Precio por kg]]-Tabla2[[#This Row],[Costos (En RD$/Tarea)]])</f>
        <v>3743.91353747939</v>
      </c>
      <c r="O824" s="9" t="n">
        <f aca="false">IF(Tabla2[[#This Row],[Costos (En RD$/Tarea)]]=0,0,Tabla2[[#This Row],[Beneficio Neto  (En RD$/Tarea)]]/Tabla2[[#This Row],[Costos (En RD$/Tarea)]])</f>
        <v>1.617789849897</v>
      </c>
      <c r="P824" s="7" t="n">
        <f aca="false">Tabla2[[#This Row],[Rentabilidad (%)]]/12</f>
        <v>0.13481582082475</v>
      </c>
    </row>
    <row r="825" customFormat="false" ht="14.25" hidden="false" customHeight="false" outlineLevel="0" collapsed="false">
      <c r="A825" s="1" t="n">
        <v>38596</v>
      </c>
      <c r="B825" s="2" t="s">
        <v>26</v>
      </c>
      <c r="C825" s="3" t="n">
        <v>16251</v>
      </c>
      <c r="D825" s="8" t="s">
        <v>17</v>
      </c>
      <c r="E825" s="3" t="n">
        <f aca="false">IF(Tabla2[[#This Row],[Frecuencia]]="Annual", Tabla2[[#This Row],[Cosecha/Tarea]]/12,Tabla2[[#This Row],[Cosecha/Tarea]])</f>
        <v>16251</v>
      </c>
      <c r="F825" s="3" t="n">
        <v>105183</v>
      </c>
      <c r="G825" s="2" t="s">
        <v>18</v>
      </c>
      <c r="H825" s="2" t="n">
        <f aca="false">F825/Tabla2[[#This Row],[Cosecha Mensual]]</f>
        <v>6.47240169835702</v>
      </c>
      <c r="I825" s="2" t="n">
        <f aca="false">H825*_xlfn.XLOOKUP(Tabla2[[#This Row],[Unidad de producción]],Tabla3[Medida],Tabla3[Equivalencia en Kg],"ELVIS",0)</f>
        <v>293.588141037475</v>
      </c>
      <c r="J825" s="2" t="n">
        <v>345.21</v>
      </c>
      <c r="K825" s="2" t="s">
        <v>18</v>
      </c>
      <c r="L825" s="2" t="n">
        <f aca="false">J825/_xlfn.XLOOKUP(Tabla2[[#This Row],[Unidad de precio]],Tabla3[Medida],Tabla3[Equivalencia en Kg],"ELVIS",0)</f>
        <v>7.61044973544974</v>
      </c>
      <c r="M825" s="2" t="n">
        <v>906.4</v>
      </c>
      <c r="N825" s="3" t="n">
        <f aca="false">(Tabla2[[#This Row],[Productividad (kg/TAS)]]*Tabla2[[#This Row],[Precio por kg]]-Tabla2[[#This Row],[Costos (En RD$/Tarea)]])</f>
        <v>1327.93779028983</v>
      </c>
      <c r="O825" s="9" t="n">
        <f aca="false">IF(Tabla2[[#This Row],[Costos (En RD$/Tarea)]]=0,0,Tabla2[[#This Row],[Beneficio Neto  (En RD$/Tarea)]]/Tabla2[[#This Row],[Costos (En RD$/Tarea)]])</f>
        <v>1.46506817110528</v>
      </c>
      <c r="P825" s="7" t="n">
        <f aca="false">Tabla2[[#This Row],[Rentabilidad (%)]]/12</f>
        <v>0.122089014258774</v>
      </c>
    </row>
    <row r="826" customFormat="false" ht="14.25" hidden="false" customHeight="false" outlineLevel="0" collapsed="false">
      <c r="A826" s="1" t="n">
        <v>38596</v>
      </c>
      <c r="B826" s="2" t="s">
        <v>27</v>
      </c>
      <c r="C826" s="3" t="n">
        <v>4154</v>
      </c>
      <c r="D826" s="8" t="s">
        <v>17</v>
      </c>
      <c r="E826" s="3" t="n">
        <f aca="false">IF(Tabla2[[#This Row],[Frecuencia]]="Annual", Tabla2[[#This Row],[Cosecha/Tarea]]/12,Tabla2[[#This Row],[Cosecha/Tarea]])</f>
        <v>4154</v>
      </c>
      <c r="F826" s="3" t="n">
        <v>29045</v>
      </c>
      <c r="G826" s="2" t="s">
        <v>18</v>
      </c>
      <c r="H826" s="2" t="n">
        <f aca="false">F826/Tabla2[[#This Row],[Cosecha Mensual]]</f>
        <v>6.99205584978334</v>
      </c>
      <c r="I826" s="2" t="n">
        <f aca="false">H826*_xlfn.XLOOKUP(Tabla2[[#This Row],[Unidad de producción]],Tabla3[Medida],Tabla3[Equivalencia en Kg],"ELVIS",0)</f>
        <v>317.159653346172</v>
      </c>
      <c r="J826" s="2" t="n">
        <v>253.08</v>
      </c>
      <c r="K826" s="2" t="s">
        <v>18</v>
      </c>
      <c r="L826" s="2" t="n">
        <f aca="false">J826/_xlfn.XLOOKUP(Tabla2[[#This Row],[Unidad de precio]],Tabla3[Medida],Tabla3[Equivalencia en Kg],"ELVIS",0)</f>
        <v>5.57936507936508</v>
      </c>
      <c r="M826" s="2" t="n">
        <v>5157.39</v>
      </c>
      <c r="N826" s="3" t="n">
        <f aca="false">(Tabla2[[#This Row],[Productividad (kg/TAS)]]*Tabla2[[#This Row],[Precio por kg]]-Tabla2[[#This Row],[Costos (En RD$/Tarea)]])</f>
        <v>-3387.84050553683</v>
      </c>
      <c r="O826" s="9" t="n">
        <f aca="false">IF(Tabla2[[#This Row],[Costos (En RD$/Tarea)]]=0,0,Tabla2[[#This Row],[Beneficio Neto  (En RD$/Tarea)]]/Tabla2[[#This Row],[Costos (En RD$/Tarea)]])</f>
        <v>-0.656890501888907</v>
      </c>
      <c r="P826" s="7" t="n">
        <f aca="false">Tabla2[[#This Row],[Rentabilidad (%)]]/12</f>
        <v>-0.0547408751574089</v>
      </c>
    </row>
    <row r="827" customFormat="false" ht="14.25" hidden="false" customHeight="false" outlineLevel="0" collapsed="false">
      <c r="A827" s="1" t="n">
        <v>38596</v>
      </c>
      <c r="B827" s="2" t="s">
        <v>28</v>
      </c>
      <c r="C827" s="3" t="n">
        <v>36581</v>
      </c>
      <c r="D827" s="8" t="s">
        <v>17</v>
      </c>
      <c r="E827" s="3" t="n">
        <f aca="false">IF(Tabla2[[#This Row],[Frecuencia]]="Annual", Tabla2[[#This Row],[Cosecha/Tarea]]/12,Tabla2[[#This Row],[Cosecha/Tarea]])</f>
        <v>36581</v>
      </c>
      <c r="F827" s="3" t="n">
        <v>28541</v>
      </c>
      <c r="G827" s="2" t="s">
        <v>29</v>
      </c>
      <c r="H827" s="2" t="n">
        <f aca="false">F827/Tabla2[[#This Row],[Cosecha Mensual]]</f>
        <v>0.780213772176813</v>
      </c>
      <c r="I827" s="2" t="n">
        <f aca="false">H827*_xlfn.XLOOKUP(Tabla2[[#This Row],[Unidad de producción]],Tabla3[Medida],Tabla3[Equivalencia en Kg],"ELVIS",0)</f>
        <v>438.745412645909</v>
      </c>
      <c r="J827" s="2" t="n">
        <v>2662.2</v>
      </c>
      <c r="K827" s="2" t="s">
        <v>29</v>
      </c>
      <c r="L827" s="2" t="n">
        <f aca="false">J827/_xlfn.XLOOKUP(Tabla2[[#This Row],[Unidad de precio]],Tabla3[Medida],Tabla3[Equivalencia en Kg],"ELVIS",0)</f>
        <v>4.73414660170004</v>
      </c>
      <c r="M827" s="2" t="n">
        <v>9027.66</v>
      </c>
      <c r="N827" s="3" t="n">
        <f aca="false">(Tabla2[[#This Row],[Productividad (kg/TAS)]]*Tabla2[[#This Row],[Precio por kg]]-Tabla2[[#This Row],[Costos (En RD$/Tarea)]])</f>
        <v>-6950.57489571089</v>
      </c>
      <c r="O827" s="9" t="n">
        <f aca="false">IF(Tabla2[[#This Row],[Costos (En RD$/Tarea)]]=0,0,Tabla2[[#This Row],[Beneficio Neto  (En RD$/Tarea)]]/Tabla2[[#This Row],[Costos (En RD$/Tarea)]])</f>
        <v>-0.769919879095013</v>
      </c>
      <c r="P827" s="7" t="n">
        <f aca="false">Tabla2[[#This Row],[Rentabilidad (%)]]/12</f>
        <v>-0.0641599899245845</v>
      </c>
    </row>
    <row r="828" customFormat="false" ht="14.25" hidden="false" customHeight="false" outlineLevel="0" collapsed="false">
      <c r="A828" s="1" t="n">
        <v>38596</v>
      </c>
      <c r="B828" s="2" t="s">
        <v>30</v>
      </c>
      <c r="C828" s="3" t="n">
        <v>299465</v>
      </c>
      <c r="D828" s="3" t="s">
        <v>31</v>
      </c>
      <c r="E828" s="3" t="n">
        <f aca="false">IF(Tabla2[[#This Row],[Frecuencia]]="Annual", Tabla2[[#This Row],[Cosecha/Tarea]]/12,Tabla2[[#This Row],[Cosecha/Tarea]])</f>
        <v>24955.4166666667</v>
      </c>
      <c r="F828" s="3" t="n">
        <v>2198981</v>
      </c>
      <c r="G828" s="2" t="s">
        <v>32</v>
      </c>
      <c r="H828" s="2" t="n">
        <f aca="false">F828/Tabla2[[#This Row],[Cosecha Mensual]]</f>
        <v>88.1163808792346</v>
      </c>
      <c r="I828" s="2" t="n">
        <f aca="false">H828*_xlfn.XLOOKUP(Tabla2[[#This Row],[Unidad de producción]],Tabla3[Medida],Tabla3[Equivalencia en Kg],"ELVIS",0)</f>
        <v>2397.64672372397</v>
      </c>
      <c r="J828" s="2" t="n">
        <v>56.3538888888889</v>
      </c>
      <c r="K828" s="2" t="s">
        <v>32</v>
      </c>
      <c r="L828" s="2" t="n">
        <f aca="false">J828/_xlfn.XLOOKUP(Tabla2[[#This Row],[Unidad de precio]],Tabla3[Medida],Tabla3[Equivalencia en Kg],"ELVIS",0)</f>
        <v>2.07107272653028</v>
      </c>
      <c r="M828" s="3" t="n">
        <v>7918.62</v>
      </c>
      <c r="N828" s="3" t="n">
        <f aca="false">(Tabla2[[#This Row],[Productividad (kg/TAS)]]*Tabla2[[#This Row],[Precio por kg]]-Tabla2[[#This Row],[Costos (En RD$/Tarea)]])</f>
        <v>-2952.9192626406</v>
      </c>
      <c r="O828" s="9" t="n">
        <f aca="false">IF(Tabla2[[#This Row],[Costos (En RD$/Tarea)]]=0,0,Tabla2[[#This Row],[Beneficio Neto  (En RD$/Tarea)]]/Tabla2[[#This Row],[Costos (En RD$/Tarea)]])</f>
        <v>-0.372908317691794</v>
      </c>
      <c r="P828" s="7" t="n">
        <f aca="false">Tabla2[[#This Row],[Rentabilidad (%)]]/12</f>
        <v>-0.0310756931409829</v>
      </c>
    </row>
    <row r="829" customFormat="false" ht="14.25" hidden="false" customHeight="false" outlineLevel="0" collapsed="false">
      <c r="A829" s="1" t="n">
        <v>38596</v>
      </c>
      <c r="B829" s="2" t="s">
        <v>33</v>
      </c>
      <c r="C829" s="3" t="n">
        <v>664894</v>
      </c>
      <c r="D829" s="3" t="s">
        <v>31</v>
      </c>
      <c r="E829" s="3" t="n">
        <f aca="false">IF(Tabla2[[#This Row],[Frecuencia]]="Annual", Tabla2[[#This Row],[Cosecha/Tarea]]/12,Tabla2[[#This Row],[Cosecha/Tarea]])</f>
        <v>55407.8333333333</v>
      </c>
      <c r="F829" s="3" t="n">
        <v>170513</v>
      </c>
      <c r="G829" s="2" t="s">
        <v>34</v>
      </c>
      <c r="H829" s="2" t="n">
        <f aca="false">F829/Tabla2[[#This Row],[Cosecha Mensual]]</f>
        <v>3.07741685140789</v>
      </c>
      <c r="I829" s="2" t="n">
        <f aca="false">H829*_xlfn.XLOOKUP(Tabla2[[#This Row],[Unidad de producción]],Tabla3[Medida],Tabla3[Equivalencia en Kg],"ELVIS",0)</f>
        <v>1256.04768790213</v>
      </c>
      <c r="J829" s="2" t="n">
        <v>2389.87555555556</v>
      </c>
      <c r="K829" s="2" t="s">
        <v>34</v>
      </c>
      <c r="L829" s="2" t="n">
        <f aca="false">J829/_xlfn.XLOOKUP(Tabla2[[#This Row],[Unidad de precio]],Tabla3[Medida],Tabla3[Equivalencia en Kg],"ELVIS",0)</f>
        <v>5.85538541113698</v>
      </c>
      <c r="M829" s="3" t="n">
        <v>9928.24</v>
      </c>
      <c r="N829" s="3" t="n">
        <f aca="false">(Tabla2[[#This Row],[Productividad (kg/TAS)]]*Tabla2[[#This Row],[Precio por kg]]-Tabla2[[#This Row],[Costos (En RD$/Tarea)]])</f>
        <v>-2573.59669256552</v>
      </c>
      <c r="O829" s="9" t="n">
        <f aca="false">IF(Tabla2[[#This Row],[Costos (En RD$/Tarea)]]=0,0,Tabla2[[#This Row],[Beneficio Neto  (En RD$/Tarea)]]/Tabla2[[#This Row],[Costos (En RD$/Tarea)]])</f>
        <v>-0.259219830762101</v>
      </c>
      <c r="P829" s="7" t="n">
        <f aca="false">Tabla2[[#This Row],[Rentabilidad (%)]]/12</f>
        <v>-0.0216016525635084</v>
      </c>
    </row>
    <row r="830" customFormat="false" ht="14.25" hidden="false" customHeight="false" outlineLevel="0" collapsed="false">
      <c r="A830" s="1" t="n">
        <v>38626</v>
      </c>
      <c r="B830" s="2" t="s">
        <v>16</v>
      </c>
      <c r="C830" s="3" t="n">
        <v>326540</v>
      </c>
      <c r="D830" s="8" t="s">
        <v>17</v>
      </c>
      <c r="E830" s="3" t="n">
        <f aca="false">IF(Tabla2[[#This Row],[Frecuencia]]="Annual", Tabla2[[#This Row],[Cosecha/Tarea]]/12,Tabla2[[#This Row],[Cosecha/Tarea]])</f>
        <v>326540</v>
      </c>
      <c r="F830" s="3" t="n">
        <v>1030427</v>
      </c>
      <c r="G830" s="2" t="s">
        <v>18</v>
      </c>
      <c r="H830" s="2" t="n">
        <f aca="false">F830/Tabla2[[#This Row],[Cosecha Mensual]]</f>
        <v>3.15559196423103</v>
      </c>
      <c r="I830" s="2" t="n">
        <f aca="false">H830*_xlfn.XLOOKUP(Tabla2[[#This Row],[Unidad de producción]],Tabla3[Medida],Tabla3[Equivalencia en Kg],"ELVIS",0)</f>
        <v>143.137651497519</v>
      </c>
      <c r="J830" s="2" t="n">
        <v>1142.66</v>
      </c>
      <c r="K830" s="2" t="s">
        <v>19</v>
      </c>
      <c r="L830" s="2" t="n">
        <f aca="false">J830/_xlfn.XLOOKUP(Tabla2[[#This Row],[Unidad de precio]],Tabla3[Medida],Tabla3[Equivalencia en Kg],"ELVIS",0)</f>
        <v>10.3878181818182</v>
      </c>
      <c r="M830" s="2" t="n">
        <v>4807.32</v>
      </c>
      <c r="N830" s="3" t="n">
        <f aca="false">(Tabla2[[#This Row],[Productividad (kg/TAS)]]*Tabla2[[#This Row],[Precio por kg]]-Tabla2[[#This Row],[Costos (En RD$/Tarea)]])</f>
        <v>-3320.43210127131</v>
      </c>
      <c r="O830" s="9" t="n">
        <f aca="false">IF(Tabla2[[#This Row],[Costos (En RD$/Tarea)]]=0,0,Tabla2[[#This Row],[Beneficio Neto  (En RD$/Tarea)]]/Tabla2[[#This Row],[Costos (En RD$/Tarea)]])</f>
        <v>-0.690703365133029</v>
      </c>
      <c r="P830" s="7" t="n">
        <f aca="false">Tabla2[[#This Row],[Rentabilidad (%)]]/12</f>
        <v>-0.0575586137610858</v>
      </c>
    </row>
    <row r="831" customFormat="false" ht="14.25" hidden="false" customHeight="false" outlineLevel="0" collapsed="false">
      <c r="A831" s="1" t="n">
        <v>38626</v>
      </c>
      <c r="B831" s="2" t="s">
        <v>20</v>
      </c>
      <c r="C831" s="3" t="n">
        <v>38504</v>
      </c>
      <c r="D831" s="8" t="s">
        <v>17</v>
      </c>
      <c r="E831" s="3" t="n">
        <f aca="false">IF(Tabla2[[#This Row],[Frecuencia]]="Annual", Tabla2[[#This Row],[Cosecha/Tarea]]/12,Tabla2[[#This Row],[Cosecha/Tarea]])</f>
        <v>38504</v>
      </c>
      <c r="F831" s="3" t="n">
        <v>98616</v>
      </c>
      <c r="G831" s="2" t="s">
        <v>18</v>
      </c>
      <c r="H831" s="2" t="n">
        <f aca="false">F831/Tabla2[[#This Row],[Cosecha Mensual]]</f>
        <v>2.56118844795346</v>
      </c>
      <c r="I831" s="2" t="n">
        <f aca="false">H831*_xlfn.XLOOKUP(Tabla2[[#This Row],[Unidad de producción]],Tabla3[Medida],Tabla3[Equivalencia en Kg],"ELVIS",0)</f>
        <v>116.175507999169</v>
      </c>
      <c r="J831" s="2" t="n">
        <v>286.8492</v>
      </c>
      <c r="K831" s="2" t="s">
        <v>18</v>
      </c>
      <c r="L831" s="2" t="n">
        <f aca="false">J831/_xlfn.XLOOKUP(Tabla2[[#This Row],[Unidad de precio]],Tabla3[Medida],Tabla3[Equivalencia en Kg],"ELVIS",0)</f>
        <v>6.32383597883598</v>
      </c>
      <c r="M831" s="2" t="n">
        <v>1327.7</v>
      </c>
      <c r="N831" s="3" t="n">
        <f aca="false">(Tabla2[[#This Row],[Productividad (kg/TAS)]]*Tabla2[[#This Row],[Precio por kg]]-Tabla2[[#This Row],[Costos (En RD$/Tarea)]])</f>
        <v>-593.025142655309</v>
      </c>
      <c r="O831" s="9" t="n">
        <f aca="false">IF(Tabla2[[#This Row],[Costos (En RD$/Tarea)]]=0,0,Tabla2[[#This Row],[Beneficio Neto  (En RD$/Tarea)]]/Tabla2[[#This Row],[Costos (En RD$/Tarea)]])</f>
        <v>-0.446655978500647</v>
      </c>
      <c r="P831" s="7" t="n">
        <f aca="false">Tabla2[[#This Row],[Rentabilidad (%)]]/12</f>
        <v>-0.0372213315417206</v>
      </c>
    </row>
    <row r="832" customFormat="false" ht="14.25" hidden="false" customHeight="false" outlineLevel="0" collapsed="false">
      <c r="A832" s="1" t="n">
        <v>38626</v>
      </c>
      <c r="B832" s="2" t="s">
        <v>21</v>
      </c>
      <c r="C832" s="3" t="n">
        <v>10508</v>
      </c>
      <c r="D832" s="8" t="s">
        <v>17</v>
      </c>
      <c r="E832" s="3" t="n">
        <f aca="false">IF(Tabla2[[#This Row],[Frecuencia]]="Annual", Tabla2[[#This Row],[Cosecha/Tarea]]/12,Tabla2[[#This Row],[Cosecha/Tarea]])</f>
        <v>10508</v>
      </c>
      <c r="F832" s="3" t="n">
        <v>81590</v>
      </c>
      <c r="G832" s="2" t="s">
        <v>18</v>
      </c>
      <c r="H832" s="2" t="n">
        <f aca="false">F832/Tabla2[[#This Row],[Cosecha Mensual]]</f>
        <v>7.76456033498287</v>
      </c>
      <c r="I832" s="2" t="n">
        <f aca="false">H832*_xlfn.XLOOKUP(Tabla2[[#This Row],[Unidad de producción]],Tabla3[Medida],Tabla3[Equivalencia en Kg],"ELVIS",0)</f>
        <v>352.200456794823</v>
      </c>
      <c r="J832" s="2" t="n">
        <v>309.646666666667</v>
      </c>
      <c r="K832" s="2" t="s">
        <v>18</v>
      </c>
      <c r="L832" s="2" t="n">
        <f aca="false">J832/_xlfn.XLOOKUP(Tabla2[[#This Row],[Unidad de precio]],Tabla3[Medida],Tabla3[Equivalencia en Kg],"ELVIS",0)</f>
        <v>6.8264256319812</v>
      </c>
      <c r="M832" s="2" t="n">
        <v>2092.86</v>
      </c>
      <c r="N832" s="3" t="n">
        <f aca="false">(Tabla2[[#This Row],[Productividad (kg/TAS)]]*Tabla2[[#This Row],[Precio por kg]]-Tabla2[[#This Row],[Costos (En RD$/Tarea)]])</f>
        <v>311.410225859665</v>
      </c>
      <c r="O832" s="9" t="n">
        <f aca="false">IF(Tabla2[[#This Row],[Costos (En RD$/Tarea)]]=0,0,Tabla2[[#This Row],[Beneficio Neto  (En RD$/Tarea)]]/Tabla2[[#This Row],[Costos (En RD$/Tarea)]])</f>
        <v>0.148796491814868</v>
      </c>
      <c r="P832" s="7" t="n">
        <f aca="false">Tabla2[[#This Row],[Rentabilidad (%)]]/12</f>
        <v>0.012399707651239</v>
      </c>
    </row>
    <row r="833" customFormat="false" ht="14.25" hidden="false" customHeight="false" outlineLevel="0" collapsed="false">
      <c r="A833" s="1" t="n">
        <v>38626</v>
      </c>
      <c r="B833" s="2" t="s">
        <v>22</v>
      </c>
      <c r="C833" s="3" t="n">
        <v>3079</v>
      </c>
      <c r="D833" s="8" t="s">
        <v>17</v>
      </c>
      <c r="E833" s="3" t="n">
        <f aca="false">IF(Tabla2[[#This Row],[Frecuencia]]="Annual", Tabla2[[#This Row],[Cosecha/Tarea]]/12,Tabla2[[#This Row],[Cosecha/Tarea]])</f>
        <v>3079</v>
      </c>
      <c r="F833" s="3" t="n">
        <v>24629</v>
      </c>
      <c r="G833" s="2" t="s">
        <v>18</v>
      </c>
      <c r="H833" s="2" t="n">
        <f aca="false">F833/Tabla2[[#This Row],[Cosecha Mensual]]</f>
        <v>7.99902565768107</v>
      </c>
      <c r="I833" s="2" t="n">
        <f aca="false">H833*_xlfn.XLOOKUP(Tabla2[[#This Row],[Unidad de producción]],Tabla3[Medida],Tabla3[Equivalencia en Kg],"ELVIS",0)</f>
        <v>362.835803832413</v>
      </c>
      <c r="J833" s="2" t="n">
        <v>900</v>
      </c>
      <c r="K833" s="2" t="s">
        <v>18</v>
      </c>
      <c r="L833" s="2" t="n">
        <f aca="false">J833/_xlfn.XLOOKUP(Tabla2[[#This Row],[Unidad de precio]],Tabla3[Medida],Tabla3[Equivalencia en Kg],"ELVIS",0)</f>
        <v>19.8412698412698</v>
      </c>
      <c r="M833" s="2" t="n">
        <v>5853.83</v>
      </c>
      <c r="N833" s="3" t="n">
        <f aca="false">(Tabla2[[#This Row],[Productividad (kg/TAS)]]*Tabla2[[#This Row],[Precio por kg]]-Tabla2[[#This Row],[Costos (En RD$/Tarea)]])</f>
        <v>1345.29309191296</v>
      </c>
      <c r="O833" s="9" t="n">
        <f aca="false">IF(Tabla2[[#This Row],[Costos (En RD$/Tarea)]]=0,0,Tabla2[[#This Row],[Beneficio Neto  (En RD$/Tarea)]]/Tabla2[[#This Row],[Costos (En RD$/Tarea)]])</f>
        <v>0.229814171561689</v>
      </c>
      <c r="P833" s="7" t="n">
        <f aca="false">Tabla2[[#This Row],[Rentabilidad (%)]]/12</f>
        <v>0.019151180963474</v>
      </c>
    </row>
    <row r="834" customFormat="false" ht="14.25" hidden="false" customHeight="false" outlineLevel="0" collapsed="false">
      <c r="A834" s="1" t="n">
        <v>38626</v>
      </c>
      <c r="B834" s="2" t="s">
        <v>23</v>
      </c>
      <c r="C834" s="3" t="n">
        <v>3196</v>
      </c>
      <c r="D834" s="8" t="s">
        <v>17</v>
      </c>
      <c r="E834" s="3" t="n">
        <f aca="false">IF(Tabla2[[#This Row],[Frecuencia]]="Annual", Tabla2[[#This Row],[Cosecha/Tarea]]/12,Tabla2[[#This Row],[Cosecha/Tarea]])</f>
        <v>3196</v>
      </c>
      <c r="F834" s="3" t="n">
        <v>89380</v>
      </c>
      <c r="G834" s="2" t="s">
        <v>18</v>
      </c>
      <c r="H834" s="2" t="n">
        <f aca="false">F834/Tabla2[[#This Row],[Cosecha Mensual]]</f>
        <v>27.9662077596996</v>
      </c>
      <c r="I834" s="2" t="n">
        <f aca="false">H834*_xlfn.XLOOKUP(Tabla2[[#This Row],[Unidad de producción]],Tabla3[Medida],Tabla3[Equivalencia en Kg],"ELVIS",0)</f>
        <v>1268.54718397998</v>
      </c>
      <c r="J834" s="2" t="n">
        <v>736.6695</v>
      </c>
      <c r="K834" s="2" t="s">
        <v>18</v>
      </c>
      <c r="L834" s="2" t="n">
        <f aca="false">J834/_xlfn.XLOOKUP(Tabla2[[#This Row],[Unidad de precio]],Tabla3[Medida],Tabla3[Equivalencia en Kg],"ELVIS",0)</f>
        <v>16.2405092592593</v>
      </c>
      <c r="M834" s="2" t="n">
        <v>10163.53</v>
      </c>
      <c r="N834" s="3" t="n">
        <f aca="false">(Tabla2[[#This Row],[Productividad (kg/TAS)]]*Tabla2[[#This Row],[Precio por kg]]-Tabla2[[#This Row],[Costos (En RD$/Tarea)]])</f>
        <v>10438.322287234</v>
      </c>
      <c r="O834" s="9" t="n">
        <f aca="false">IF(Tabla2[[#This Row],[Costos (En RD$/Tarea)]]=0,0,Tabla2[[#This Row],[Beneficio Neto  (En RD$/Tarea)]]/Tabla2[[#This Row],[Costos (En RD$/Tarea)]])</f>
        <v>1.02703709117148</v>
      </c>
      <c r="P834" s="7" t="n">
        <f aca="false">Tabla2[[#This Row],[Rentabilidad (%)]]/12</f>
        <v>0.0855864242642898</v>
      </c>
    </row>
    <row r="835" customFormat="false" ht="14.25" hidden="false" customHeight="false" outlineLevel="0" collapsed="false">
      <c r="A835" s="1" t="n">
        <v>38626</v>
      </c>
      <c r="B835" s="2" t="s">
        <v>24</v>
      </c>
      <c r="C835" s="3" t="n">
        <v>7651</v>
      </c>
      <c r="D835" s="8" t="s">
        <v>17</v>
      </c>
      <c r="E835" s="3" t="n">
        <f aca="false">IF(Tabla2[[#This Row],[Frecuencia]]="Annual", Tabla2[[#This Row],[Cosecha/Tarea]]/12,Tabla2[[#This Row],[Cosecha/Tarea]])</f>
        <v>7651</v>
      </c>
      <c r="F835" s="3" t="n">
        <v>63130</v>
      </c>
      <c r="G835" s="2" t="s">
        <v>18</v>
      </c>
      <c r="H835" s="2" t="n">
        <f aca="false">F835/Tabla2[[#This Row],[Cosecha Mensual]]</f>
        <v>8.25120899228859</v>
      </c>
      <c r="I835" s="2" t="n">
        <f aca="false">H835*_xlfn.XLOOKUP(Tabla2[[#This Row],[Unidad de producción]],Tabla3[Medida],Tabla3[Equivalencia en Kg],"ELVIS",0)</f>
        <v>374.27483989021</v>
      </c>
      <c r="J835" s="2" t="n">
        <v>995.625</v>
      </c>
      <c r="K835" s="2" t="s">
        <v>18</v>
      </c>
      <c r="L835" s="2" t="n">
        <f aca="false">J835/_xlfn.XLOOKUP(Tabla2[[#This Row],[Unidad de precio]],Tabla3[Medida],Tabla3[Equivalencia en Kg],"ELVIS",0)</f>
        <v>21.9494047619048</v>
      </c>
      <c r="M835" s="2" t="n">
        <v>4680.83</v>
      </c>
      <c r="N835" s="3" t="n">
        <f aca="false">(Tabla2[[#This Row],[Productividad (kg/TAS)]]*Tabla2[[#This Row],[Precio por kg]]-Tabla2[[#This Row],[Costos (En RD$/Tarea)]])</f>
        <v>3534.27995294733</v>
      </c>
      <c r="O835" s="9" t="n">
        <f aca="false">IF(Tabla2[[#This Row],[Costos (En RD$/Tarea)]]=0,0,Tabla2[[#This Row],[Beneficio Neto  (En RD$/Tarea)]]/Tabla2[[#This Row],[Costos (En RD$/Tarea)]])</f>
        <v>0.755054114964083</v>
      </c>
      <c r="P835" s="7" t="n">
        <f aca="false">Tabla2[[#This Row],[Rentabilidad (%)]]/12</f>
        <v>0.0629211762470069</v>
      </c>
    </row>
    <row r="836" customFormat="false" ht="14.25" hidden="false" customHeight="false" outlineLevel="0" collapsed="false">
      <c r="A836" s="1" t="n">
        <v>38626</v>
      </c>
      <c r="B836" s="2" t="s">
        <v>25</v>
      </c>
      <c r="C836" s="3" t="n">
        <v>23596</v>
      </c>
      <c r="D836" s="8" t="s">
        <v>17</v>
      </c>
      <c r="E836" s="3" t="n">
        <f aca="false">IF(Tabla2[[#This Row],[Frecuencia]]="Annual", Tabla2[[#This Row],[Cosecha/Tarea]]/12,Tabla2[[#This Row],[Cosecha/Tarea]])</f>
        <v>23596</v>
      </c>
      <c r="F836" s="3" t="n">
        <v>198800</v>
      </c>
      <c r="G836" s="2" t="s">
        <v>18</v>
      </c>
      <c r="H836" s="2" t="n">
        <f aca="false">F836/Tabla2[[#This Row],[Cosecha Mensual]]</f>
        <v>8.42515680623835</v>
      </c>
      <c r="I836" s="2" t="n">
        <f aca="false">H836*_xlfn.XLOOKUP(Tabla2[[#This Row],[Unidad de producción]],Tabla3[Medida],Tabla3[Equivalencia en Kg],"ELVIS",0)</f>
        <v>382.165112730971</v>
      </c>
      <c r="J836" s="2" t="n">
        <v>501.74</v>
      </c>
      <c r="K836" s="2" t="s">
        <v>18</v>
      </c>
      <c r="L836" s="2" t="n">
        <f aca="false">J836/_xlfn.XLOOKUP(Tabla2[[#This Row],[Unidad de precio]],Tabla3[Medida],Tabla3[Equivalencia en Kg],"ELVIS",0)</f>
        <v>11.0612874779541</v>
      </c>
      <c r="M836" s="2" t="n">
        <v>2314.215</v>
      </c>
      <c r="N836" s="3" t="n">
        <f aca="false">(Tabla2[[#This Row],[Productividad (kg/TAS)]]*Tabla2[[#This Row],[Precio por kg]]-Tabla2[[#This Row],[Costos (En RD$/Tarea)]])</f>
        <v>1913.02317596203</v>
      </c>
      <c r="O836" s="9" t="n">
        <f aca="false">IF(Tabla2[[#This Row],[Costos (En RD$/Tarea)]]=0,0,Tabla2[[#This Row],[Beneficio Neto  (En RD$/Tarea)]]/Tabla2[[#This Row],[Costos (En RD$/Tarea)]])</f>
        <v>0.826640211027077</v>
      </c>
      <c r="P836" s="7" t="n">
        <f aca="false">Tabla2[[#This Row],[Rentabilidad (%)]]/12</f>
        <v>0.0688866842522564</v>
      </c>
    </row>
    <row r="837" customFormat="false" ht="14.25" hidden="false" customHeight="false" outlineLevel="0" collapsed="false">
      <c r="A837" s="1" t="n">
        <v>38626</v>
      </c>
      <c r="B837" s="2" t="s">
        <v>26</v>
      </c>
      <c r="C837" s="3" t="n">
        <v>17680</v>
      </c>
      <c r="D837" s="8" t="s">
        <v>17</v>
      </c>
      <c r="E837" s="3" t="n">
        <f aca="false">IF(Tabla2[[#This Row],[Frecuencia]]="Annual", Tabla2[[#This Row],[Cosecha/Tarea]]/12,Tabla2[[#This Row],[Cosecha/Tarea]])</f>
        <v>17680</v>
      </c>
      <c r="F837" s="3" t="n">
        <v>105538</v>
      </c>
      <c r="G837" s="2" t="s">
        <v>18</v>
      </c>
      <c r="H837" s="2" t="n">
        <f aca="false">F837/Tabla2[[#This Row],[Cosecha Mensual]]</f>
        <v>5.96934389140272</v>
      </c>
      <c r="I837" s="2" t="n">
        <f aca="false">H837*_xlfn.XLOOKUP(Tabla2[[#This Row],[Unidad de producción]],Tabla3[Medida],Tabla3[Equivalencia en Kg],"ELVIS",0)</f>
        <v>270.769438914027</v>
      </c>
      <c r="J837" s="2" t="n">
        <v>399.276666666667</v>
      </c>
      <c r="K837" s="2" t="s">
        <v>18</v>
      </c>
      <c r="L837" s="2" t="n">
        <f aca="false">J837/_xlfn.XLOOKUP(Tabla2[[#This Row],[Unidad de precio]],Tabla3[Medida],Tabla3[Equivalencia en Kg],"ELVIS",0)</f>
        <v>8.80239564961788</v>
      </c>
      <c r="M837" s="2" t="n">
        <v>906.4</v>
      </c>
      <c r="N837" s="3" t="n">
        <f aca="false">(Tabla2[[#This Row],[Productividad (kg/TAS)]]*Tabla2[[#This Row],[Precio por kg]]-Tabla2[[#This Row],[Costos (En RD$/Tarea)]])</f>
        <v>1477.01973114631</v>
      </c>
      <c r="O837" s="9" t="n">
        <f aca="false">IF(Tabla2[[#This Row],[Costos (En RD$/Tarea)]]=0,0,Tabla2[[#This Row],[Beneficio Neto  (En RD$/Tarea)]]/Tabla2[[#This Row],[Costos (En RD$/Tarea)]])</f>
        <v>1.6295451579284</v>
      </c>
      <c r="P837" s="7" t="n">
        <f aca="false">Tabla2[[#This Row],[Rentabilidad (%)]]/12</f>
        <v>0.135795429827367</v>
      </c>
    </row>
    <row r="838" customFormat="false" ht="14.25" hidden="false" customHeight="false" outlineLevel="0" collapsed="false">
      <c r="A838" s="1" t="n">
        <v>38626</v>
      </c>
      <c r="B838" s="2" t="s">
        <v>27</v>
      </c>
      <c r="C838" s="3" t="n">
        <v>3790</v>
      </c>
      <c r="D838" s="8" t="s">
        <v>17</v>
      </c>
      <c r="E838" s="3" t="n">
        <f aca="false">IF(Tabla2[[#This Row],[Frecuencia]]="Annual", Tabla2[[#This Row],[Cosecha/Tarea]]/12,Tabla2[[#This Row],[Cosecha/Tarea]])</f>
        <v>3790</v>
      </c>
      <c r="F838" s="3" t="n">
        <v>27483</v>
      </c>
      <c r="G838" s="2" t="s">
        <v>18</v>
      </c>
      <c r="H838" s="2" t="n">
        <f aca="false">F838/Tabla2[[#This Row],[Cosecha Mensual]]</f>
        <v>7.25145118733509</v>
      </c>
      <c r="I838" s="2" t="n">
        <f aca="false">H838*_xlfn.XLOOKUP(Tabla2[[#This Row],[Unidad de producción]],Tabla3[Medida],Tabla3[Equivalencia en Kg],"ELVIS",0)</f>
        <v>328.92582585752</v>
      </c>
      <c r="J838" s="2" t="n">
        <v>304.761125</v>
      </c>
      <c r="K838" s="2" t="s">
        <v>18</v>
      </c>
      <c r="L838" s="2" t="n">
        <f aca="false">J838/_xlfn.XLOOKUP(Tabla2[[#This Row],[Unidad de precio]],Tabla3[Medida],Tabla3[Equivalencia en Kg],"ELVIS",0)</f>
        <v>6.71871968694885</v>
      </c>
      <c r="M838" s="2" t="n">
        <v>5157.39</v>
      </c>
      <c r="N838" s="3" t="n">
        <f aca="false">(Tabla2[[#This Row],[Productividad (kg/TAS)]]*Tabla2[[#This Row],[Precio por kg]]-Tabla2[[#This Row],[Costos (En RD$/Tarea)]])</f>
        <v>-2947.42957826517</v>
      </c>
      <c r="O838" s="9" t="n">
        <f aca="false">IF(Tabla2[[#This Row],[Costos (En RD$/Tarea)]]=0,0,Tabla2[[#This Row],[Beneficio Neto  (En RD$/Tarea)]]/Tabla2[[#This Row],[Costos (En RD$/Tarea)]])</f>
        <v>-0.571496353439467</v>
      </c>
      <c r="P838" s="7" t="n">
        <f aca="false">Tabla2[[#This Row],[Rentabilidad (%)]]/12</f>
        <v>-0.0476246961199556</v>
      </c>
    </row>
    <row r="839" customFormat="false" ht="14.25" hidden="false" customHeight="false" outlineLevel="0" collapsed="false">
      <c r="A839" s="1" t="n">
        <v>38626</v>
      </c>
      <c r="B839" s="2" t="s">
        <v>28</v>
      </c>
      <c r="C839" s="3" t="n">
        <v>19326</v>
      </c>
      <c r="D839" s="8" t="s">
        <v>17</v>
      </c>
      <c r="E839" s="3" t="n">
        <f aca="false">IF(Tabla2[[#This Row],[Frecuencia]]="Annual", Tabla2[[#This Row],[Cosecha/Tarea]]/12,Tabla2[[#This Row],[Cosecha/Tarea]])</f>
        <v>19326</v>
      </c>
      <c r="F839" s="3" t="n">
        <v>50938</v>
      </c>
      <c r="G839" s="2" t="s">
        <v>29</v>
      </c>
      <c r="H839" s="2" t="n">
        <f aca="false">F839/Tabla2[[#This Row],[Cosecha Mensual]]</f>
        <v>2.63572389527062</v>
      </c>
      <c r="I839" s="2" t="n">
        <f aca="false">H839*_xlfn.XLOOKUP(Tabla2[[#This Row],[Unidad de producción]],Tabla3[Medida],Tabla3[Equivalencia en Kg],"ELVIS",0)</f>
        <v>1482.17297526648</v>
      </c>
      <c r="J839" s="2" t="n">
        <v>2720.3125</v>
      </c>
      <c r="K839" s="2" t="s">
        <v>29</v>
      </c>
      <c r="L839" s="2" t="n">
        <f aca="false">J839/_xlfn.XLOOKUP(Tabla2[[#This Row],[Unidad de precio]],Tabla3[Medida],Tabla3[Equivalencia en Kg],"ELVIS",0)</f>
        <v>4.8374871074439</v>
      </c>
      <c r="M839" s="2" t="n">
        <v>9027.66</v>
      </c>
      <c r="N839" s="3" t="n">
        <f aca="false">(Tabla2[[#This Row],[Productividad (kg/TAS)]]*Tabla2[[#This Row],[Precio por kg]]-Tabla2[[#This Row],[Costos (En RD$/Tarea)]])</f>
        <v>-1857.66734114664</v>
      </c>
      <c r="O839" s="9" t="n">
        <f aca="false">IF(Tabla2[[#This Row],[Costos (En RD$/Tarea)]]=0,0,Tabla2[[#This Row],[Beneficio Neto  (En RD$/Tarea)]]/Tabla2[[#This Row],[Costos (En RD$/Tarea)]])</f>
        <v>-0.205775066977117</v>
      </c>
      <c r="P839" s="7" t="n">
        <f aca="false">Tabla2[[#This Row],[Rentabilidad (%)]]/12</f>
        <v>-0.0171479222480931</v>
      </c>
    </row>
    <row r="840" customFormat="false" ht="14.25" hidden="false" customHeight="false" outlineLevel="0" collapsed="false">
      <c r="A840" s="1" t="n">
        <v>38626</v>
      </c>
      <c r="B840" s="2" t="s">
        <v>30</v>
      </c>
      <c r="C840" s="3" t="n">
        <v>294832</v>
      </c>
      <c r="D840" s="3" t="s">
        <v>31</v>
      </c>
      <c r="E840" s="3" t="n">
        <f aca="false">IF(Tabla2[[#This Row],[Frecuencia]]="Annual", Tabla2[[#This Row],[Cosecha/Tarea]]/12,Tabla2[[#This Row],[Cosecha/Tarea]])</f>
        <v>24569.3333333333</v>
      </c>
      <c r="F840" s="3" t="n">
        <v>2000928</v>
      </c>
      <c r="G840" s="2" t="s">
        <v>32</v>
      </c>
      <c r="H840" s="2" t="n">
        <f aca="false">F840/Tabla2[[#This Row],[Cosecha Mensual]]</f>
        <v>81.4400607803766</v>
      </c>
      <c r="I840" s="2" t="n">
        <f aca="false">H840*_xlfn.XLOOKUP(Tabla2[[#This Row],[Unidad de producción]],Tabla3[Medida],Tabla3[Equivalencia en Kg],"ELVIS",0)</f>
        <v>2215.98405383405</v>
      </c>
      <c r="J840" s="2" t="n">
        <v>58.3125</v>
      </c>
      <c r="K840" s="2" t="s">
        <v>32</v>
      </c>
      <c r="L840" s="2" t="n">
        <f aca="false">J840/_xlfn.XLOOKUP(Tabla2[[#This Row],[Unidad de precio]],Tabla3[Medida],Tabla3[Equivalencia en Kg],"ELVIS",0)</f>
        <v>2.14305402425579</v>
      </c>
      <c r="M840" s="3" t="n">
        <v>7918.62</v>
      </c>
      <c r="N840" s="3" t="n">
        <f aca="false">(Tabla2[[#This Row],[Productividad (kg/TAS)]]*Tabla2[[#This Row],[Precio por kg]]-Tabla2[[#This Row],[Costos (En RD$/Tarea)]])</f>
        <v>-3169.64645574429</v>
      </c>
      <c r="O840" s="9" t="n">
        <f aca="false">IF(Tabla2[[#This Row],[Costos (En RD$/Tarea)]]=0,0,Tabla2[[#This Row],[Beneficio Neto  (En RD$/Tarea)]]/Tabla2[[#This Row],[Costos (En RD$/Tarea)]])</f>
        <v>-0.400277631171124</v>
      </c>
      <c r="P840" s="7" t="n">
        <f aca="false">Tabla2[[#This Row],[Rentabilidad (%)]]/12</f>
        <v>-0.0333564692642604</v>
      </c>
    </row>
    <row r="841" customFormat="false" ht="14.25" hidden="false" customHeight="false" outlineLevel="0" collapsed="false">
      <c r="A841" s="1" t="n">
        <v>38626</v>
      </c>
      <c r="B841" s="2" t="s">
        <v>33</v>
      </c>
      <c r="C841" s="3" t="n">
        <v>671649</v>
      </c>
      <c r="D841" s="3" t="s">
        <v>31</v>
      </c>
      <c r="E841" s="3" t="n">
        <f aca="false">IF(Tabla2[[#This Row],[Frecuencia]]="Annual", Tabla2[[#This Row],[Cosecha/Tarea]]/12,Tabla2[[#This Row],[Cosecha/Tarea]])</f>
        <v>55970.75</v>
      </c>
      <c r="F841" s="3" t="n">
        <v>132929</v>
      </c>
      <c r="G841" s="2" t="s">
        <v>34</v>
      </c>
      <c r="H841" s="2" t="n">
        <f aca="false">F841/Tabla2[[#This Row],[Cosecha Mensual]]</f>
        <v>2.37497264196031</v>
      </c>
      <c r="I841" s="2" t="n">
        <f aca="false">H841*_xlfn.XLOOKUP(Tabla2[[#This Row],[Unidad de producción]],Tabla3[Medida],Tabla3[Equivalencia en Kg],"ELVIS",0)</f>
        <v>969.3450838161</v>
      </c>
      <c r="J841" s="2" t="n">
        <v>1967.5825</v>
      </c>
      <c r="K841" s="2" t="s">
        <v>34</v>
      </c>
      <c r="L841" s="2" t="n">
        <f aca="false">J841/_xlfn.XLOOKUP(Tabla2[[#This Row],[Unidad de precio]],Tabla3[Medida],Tabla3[Equivalencia en Kg],"ELVIS",0)</f>
        <v>4.82073379884846</v>
      </c>
      <c r="M841" s="3" t="n">
        <v>9928.24</v>
      </c>
      <c r="N841" s="3" t="n">
        <f aca="false">(Tabla2[[#This Row],[Productividad (kg/TAS)]]*Tabla2[[#This Row],[Precio por kg]]-Tabla2[[#This Row],[Costos (En RD$/Tarea)]])</f>
        <v>-5255.28539170013</v>
      </c>
      <c r="O841" s="9" t="n">
        <f aca="false">IF(Tabla2[[#This Row],[Costos (En RD$/Tarea)]]=0,0,Tabla2[[#This Row],[Beneficio Neto  (En RD$/Tarea)]]/Tabla2[[#This Row],[Costos (En RD$/Tarea)]])</f>
        <v>-0.529326989647725</v>
      </c>
      <c r="P841" s="7" t="n">
        <f aca="false">Tabla2[[#This Row],[Rentabilidad (%)]]/12</f>
        <v>-0.0441105824706438</v>
      </c>
    </row>
    <row r="842" customFormat="false" ht="14.25" hidden="false" customHeight="false" outlineLevel="0" collapsed="false">
      <c r="A842" s="1" t="n">
        <v>38657</v>
      </c>
      <c r="B842" s="2" t="s">
        <v>16</v>
      </c>
      <c r="C842" s="3" t="n">
        <v>611994</v>
      </c>
      <c r="D842" s="8" t="s">
        <v>17</v>
      </c>
      <c r="E842" s="3" t="n">
        <f aca="false">IF(Tabla2[[#This Row],[Frecuencia]]="Annual", Tabla2[[#This Row],[Cosecha/Tarea]]/12,Tabla2[[#This Row],[Cosecha/Tarea]])</f>
        <v>611994</v>
      </c>
      <c r="F842" s="3" t="n">
        <v>1862391</v>
      </c>
      <c r="G842" s="2" t="s">
        <v>18</v>
      </c>
      <c r="H842" s="2" t="n">
        <f aca="false">F842/Tabla2[[#This Row],[Cosecha Mensual]]</f>
        <v>3.0431523838469</v>
      </c>
      <c r="I842" s="2" t="n">
        <f aca="false">H842*_xlfn.XLOOKUP(Tabla2[[#This Row],[Unidad de producción]],Tabla3[Medida],Tabla3[Equivalencia en Kg],"ELVIS",0)</f>
        <v>138.037392131295</v>
      </c>
      <c r="J842" s="2" t="n">
        <v>1183.984</v>
      </c>
      <c r="K842" s="2" t="s">
        <v>19</v>
      </c>
      <c r="L842" s="2" t="n">
        <f aca="false">J842/_xlfn.XLOOKUP(Tabla2[[#This Row],[Unidad de precio]],Tabla3[Medida],Tabla3[Equivalencia en Kg],"ELVIS",0)</f>
        <v>10.7634909090909</v>
      </c>
      <c r="M842" s="2" t="n">
        <v>4807.32</v>
      </c>
      <c r="N842" s="3" t="n">
        <f aca="false">(Tabla2[[#This Row],[Productividad (kg/TAS)]]*Tabla2[[#This Row],[Precio por kg]]-Tabla2[[#This Row],[Costos (En RD$/Tarea)]])</f>
        <v>-3321.55578468019</v>
      </c>
      <c r="O842" s="9" t="n">
        <f aca="false">IF(Tabla2[[#This Row],[Costos (En RD$/Tarea)]]=0,0,Tabla2[[#This Row],[Beneficio Neto  (En RD$/Tarea)]]/Tabla2[[#This Row],[Costos (En RD$/Tarea)]])</f>
        <v>-0.690937109383229</v>
      </c>
      <c r="P842" s="7" t="n">
        <f aca="false">Tabla2[[#This Row],[Rentabilidad (%)]]/12</f>
        <v>-0.0575780924486024</v>
      </c>
    </row>
    <row r="843" customFormat="false" ht="14.25" hidden="false" customHeight="false" outlineLevel="0" collapsed="false">
      <c r="A843" s="1" t="n">
        <v>38657</v>
      </c>
      <c r="B843" s="2" t="s">
        <v>20</v>
      </c>
      <c r="C843" s="3" t="n">
        <v>36006</v>
      </c>
      <c r="D843" s="8" t="s">
        <v>17</v>
      </c>
      <c r="E843" s="3" t="n">
        <f aca="false">IF(Tabla2[[#This Row],[Frecuencia]]="Annual", Tabla2[[#This Row],[Cosecha/Tarea]]/12,Tabla2[[#This Row],[Cosecha/Tarea]])</f>
        <v>36006</v>
      </c>
      <c r="F843" s="3" t="n">
        <v>66196</v>
      </c>
      <c r="G843" s="2" t="s">
        <v>18</v>
      </c>
      <c r="H843" s="2" t="n">
        <f aca="false">F843/Tabla2[[#This Row],[Cosecha Mensual]]</f>
        <v>1.83847136588346</v>
      </c>
      <c r="I843" s="2" t="n">
        <f aca="false">H843*_xlfn.XLOOKUP(Tabla2[[#This Row],[Unidad de producción]],Tabla3[Medida],Tabla3[Equivalencia en Kg],"ELVIS",0)</f>
        <v>83.3930611564739</v>
      </c>
      <c r="J843" s="2" t="n">
        <v>297.096933333333</v>
      </c>
      <c r="K843" s="2" t="s">
        <v>18</v>
      </c>
      <c r="L843" s="2" t="n">
        <f aca="false">J843/_xlfn.XLOOKUP(Tabla2[[#This Row],[Unidad de precio]],Tabla3[Medida],Tabla3[Equivalencia en Kg],"ELVIS",0)</f>
        <v>6.54975602586713</v>
      </c>
      <c r="M843" s="2" t="n">
        <v>1327.7</v>
      </c>
      <c r="N843" s="3" t="n">
        <f aca="false">(Tabla2[[#This Row],[Productividad (kg/TAS)]]*Tabla2[[#This Row],[Precio por kg]]-Tabla2[[#This Row],[Costos (En RD$/Tarea)]])</f>
        <v>-781.495795174879</v>
      </c>
      <c r="O843" s="9" t="n">
        <f aca="false">IF(Tabla2[[#This Row],[Costos (En RD$/Tarea)]]=0,0,Tabla2[[#This Row],[Beneficio Neto  (En RD$/Tarea)]]/Tabla2[[#This Row],[Costos (En RD$/Tarea)]])</f>
        <v>-0.58860871821562</v>
      </c>
      <c r="P843" s="7" t="n">
        <f aca="false">Tabla2[[#This Row],[Rentabilidad (%)]]/12</f>
        <v>-0.0490507265179684</v>
      </c>
    </row>
    <row r="844" customFormat="false" ht="14.25" hidden="false" customHeight="false" outlineLevel="0" collapsed="false">
      <c r="A844" s="1" t="n">
        <v>38657</v>
      </c>
      <c r="B844" s="2" t="s">
        <v>21</v>
      </c>
      <c r="C844" s="3" t="n">
        <v>9293</v>
      </c>
      <c r="D844" s="8" t="s">
        <v>17</v>
      </c>
      <c r="E844" s="3" t="n">
        <f aca="false">IF(Tabla2[[#This Row],[Frecuencia]]="Annual", Tabla2[[#This Row],[Cosecha/Tarea]]/12,Tabla2[[#This Row],[Cosecha/Tarea]])</f>
        <v>9293</v>
      </c>
      <c r="F844" s="3" t="n">
        <v>68028</v>
      </c>
      <c r="G844" s="2" t="s">
        <v>18</v>
      </c>
      <c r="H844" s="2" t="n">
        <f aca="false">F844/Tabla2[[#This Row],[Cosecha Mensual]]</f>
        <v>7.32034864952115</v>
      </c>
      <c r="I844" s="2" t="n">
        <f aca="false">H844*_xlfn.XLOOKUP(Tabla2[[#This Row],[Unidad de producción]],Tabla3[Medida],Tabla3[Equivalencia en Kg],"ELVIS",0)</f>
        <v>332.051014742279</v>
      </c>
      <c r="J844" s="2" t="n">
        <v>285.075</v>
      </c>
      <c r="K844" s="2" t="s">
        <v>18</v>
      </c>
      <c r="L844" s="2" t="n">
        <f aca="false">J844/_xlfn.XLOOKUP(Tabla2[[#This Row],[Unidad de precio]],Tabla3[Medida],Tabla3[Equivalencia en Kg],"ELVIS",0)</f>
        <v>6.28472222222222</v>
      </c>
      <c r="M844" s="2" t="n">
        <v>2092.86</v>
      </c>
      <c r="N844" s="3" t="n">
        <f aca="false">(Tabla2[[#This Row],[Productividad (kg/TAS)]]*Tabla2[[#This Row],[Precio por kg]]-Tabla2[[#This Row],[Costos (En RD$/Tarea)]])</f>
        <v>-6.01160873775962</v>
      </c>
      <c r="O844" s="9" t="n">
        <f aca="false">IF(Tabla2[[#This Row],[Costos (En RD$/Tarea)]]=0,0,Tabla2[[#This Row],[Beneficio Neto  (En RD$/Tarea)]]/Tabla2[[#This Row],[Costos (En RD$/Tarea)]])</f>
        <v>-0.00287243711369113</v>
      </c>
      <c r="P844" s="7" t="n">
        <f aca="false">Tabla2[[#This Row],[Rentabilidad (%)]]/12</f>
        <v>-0.000239369759474261</v>
      </c>
    </row>
    <row r="845" customFormat="false" ht="14.25" hidden="false" customHeight="false" outlineLevel="0" collapsed="false">
      <c r="A845" s="1" t="n">
        <v>38657</v>
      </c>
      <c r="B845" s="2" t="s">
        <v>22</v>
      </c>
      <c r="C845" s="3" t="n">
        <v>4111</v>
      </c>
      <c r="D845" s="8" t="s">
        <v>17</v>
      </c>
      <c r="E845" s="3" t="n">
        <f aca="false">IF(Tabla2[[#This Row],[Frecuencia]]="Annual", Tabla2[[#This Row],[Cosecha/Tarea]]/12,Tabla2[[#This Row],[Cosecha/Tarea]])</f>
        <v>4111</v>
      </c>
      <c r="F845" s="3" t="n">
        <v>22388</v>
      </c>
      <c r="G845" s="2" t="s">
        <v>18</v>
      </c>
      <c r="H845" s="2" t="n">
        <f aca="false">F845/Tabla2[[#This Row],[Cosecha Mensual]]</f>
        <v>5.44587691559231</v>
      </c>
      <c r="I845" s="2" t="n">
        <f aca="false">H845*_xlfn.XLOOKUP(Tabla2[[#This Row],[Unidad de producción]],Tabla3[Medida],Tabla3[Equivalencia en Kg],"ELVIS",0)</f>
        <v>247.024976891267</v>
      </c>
      <c r="J845" s="2" t="n">
        <v>866.666666666667</v>
      </c>
      <c r="K845" s="2" t="s">
        <v>18</v>
      </c>
      <c r="L845" s="2" t="n">
        <f aca="false">J845/_xlfn.XLOOKUP(Tabla2[[#This Row],[Unidad de precio]],Tabla3[Medida],Tabla3[Equivalencia en Kg],"ELVIS",0)</f>
        <v>19.1064079952969</v>
      </c>
      <c r="M845" s="2" t="n">
        <v>5853.83</v>
      </c>
      <c r="N845" s="3" t="n">
        <f aca="false">(Tabla2[[#This Row],[Productividad (kg/TAS)]]*Tabla2[[#This Row],[Precio por kg]]-Tabla2[[#This Row],[Costos (En RD$/Tarea)]])</f>
        <v>-1134.07000648666</v>
      </c>
      <c r="O845" s="9" t="n">
        <f aca="false">IF(Tabla2[[#This Row],[Costos (En RD$/Tarea)]]=0,0,Tabla2[[#This Row],[Beneficio Neto  (En RD$/Tarea)]]/Tabla2[[#This Row],[Costos (En RD$/Tarea)]])</f>
        <v>-0.193731284729256</v>
      </c>
      <c r="P845" s="7" t="n">
        <f aca="false">Tabla2[[#This Row],[Rentabilidad (%)]]/12</f>
        <v>-0.016144273727438</v>
      </c>
    </row>
    <row r="846" customFormat="false" ht="14.25" hidden="false" customHeight="false" outlineLevel="0" collapsed="false">
      <c r="A846" s="1" t="n">
        <v>38657</v>
      </c>
      <c r="B846" s="2" t="s">
        <v>23</v>
      </c>
      <c r="C846" s="3" t="n">
        <v>2506</v>
      </c>
      <c r="D846" s="8" t="s">
        <v>17</v>
      </c>
      <c r="E846" s="3" t="n">
        <f aca="false">IF(Tabla2[[#This Row],[Frecuencia]]="Annual", Tabla2[[#This Row],[Cosecha/Tarea]]/12,Tabla2[[#This Row],[Cosecha/Tarea]])</f>
        <v>2506</v>
      </c>
      <c r="F846" s="3" t="n">
        <v>66560</v>
      </c>
      <c r="G846" s="2" t="s">
        <v>18</v>
      </c>
      <c r="H846" s="2" t="n">
        <f aca="false">F846/Tabla2[[#This Row],[Cosecha Mensual]]</f>
        <v>26.560255387071</v>
      </c>
      <c r="I846" s="2" t="n">
        <f aca="false">H846*_xlfn.XLOOKUP(Tabla2[[#This Row],[Unidad de producción]],Tabla3[Medida],Tabla3[Equivalencia en Kg],"ELVIS",0)</f>
        <v>1204.77318435754</v>
      </c>
      <c r="J846" s="2" t="n">
        <v>700</v>
      </c>
      <c r="K846" s="2" t="s">
        <v>18</v>
      </c>
      <c r="L846" s="2" t="n">
        <f aca="false">J846/_xlfn.XLOOKUP(Tabla2[[#This Row],[Unidad de precio]],Tabla3[Medida],Tabla3[Equivalencia en Kg],"ELVIS",0)</f>
        <v>15.4320987654321</v>
      </c>
      <c r="M846" s="2" t="n">
        <v>10163.53</v>
      </c>
      <c r="N846" s="3" t="n">
        <f aca="false">(Tabla2[[#This Row],[Productividad (kg/TAS)]]*Tabla2[[#This Row],[Precio por kg]]-Tabla2[[#This Row],[Costos (En RD$/Tarea)]])</f>
        <v>8428.64877094973</v>
      </c>
      <c r="O846" s="9" t="n">
        <f aca="false">IF(Tabla2[[#This Row],[Costos (En RD$/Tarea)]]=0,0,Tabla2[[#This Row],[Beneficio Neto  (En RD$/Tarea)]]/Tabla2[[#This Row],[Costos (En RD$/Tarea)]])</f>
        <v>0.829303280548168</v>
      </c>
      <c r="P846" s="7" t="n">
        <f aca="false">Tabla2[[#This Row],[Rentabilidad (%)]]/12</f>
        <v>0.0691086067123474</v>
      </c>
    </row>
    <row r="847" customFormat="false" ht="14.25" hidden="false" customHeight="false" outlineLevel="0" collapsed="false">
      <c r="A847" s="1" t="n">
        <v>38657</v>
      </c>
      <c r="B847" s="2" t="s">
        <v>24</v>
      </c>
      <c r="C847" s="3" t="n">
        <v>5115</v>
      </c>
      <c r="D847" s="8" t="s">
        <v>17</v>
      </c>
      <c r="E847" s="3" t="n">
        <f aca="false">IF(Tabla2[[#This Row],[Frecuencia]]="Annual", Tabla2[[#This Row],[Cosecha/Tarea]]/12,Tabla2[[#This Row],[Cosecha/Tarea]])</f>
        <v>5115</v>
      </c>
      <c r="F847" s="3" t="n">
        <v>35379</v>
      </c>
      <c r="G847" s="2" t="s">
        <v>18</v>
      </c>
      <c r="H847" s="2" t="n">
        <f aca="false">F847/Tabla2[[#This Row],[Cosecha Mensual]]</f>
        <v>6.91671554252199</v>
      </c>
      <c r="I847" s="2" t="n">
        <f aca="false">H847*_xlfn.XLOOKUP(Tabla2[[#This Row],[Unidad de producción]],Tabla3[Medida],Tabla3[Equivalencia en Kg],"ELVIS",0)</f>
        <v>313.742217008798</v>
      </c>
      <c r="J847" s="2" t="n">
        <v>940.3125</v>
      </c>
      <c r="K847" s="2" t="s">
        <v>18</v>
      </c>
      <c r="L847" s="2" t="n">
        <f aca="false">J847/_xlfn.XLOOKUP(Tabla2[[#This Row],[Unidad de precio]],Tabla3[Medida],Tabla3[Equivalencia en Kg],"ELVIS",0)</f>
        <v>20.7299933862434</v>
      </c>
      <c r="M847" s="2" t="n">
        <v>4680.83</v>
      </c>
      <c r="N847" s="3" t="n">
        <f aca="false">(Tabla2[[#This Row],[Productividad (kg/TAS)]]*Tabla2[[#This Row],[Precio por kg]]-Tabla2[[#This Row],[Costos (En RD$/Tarea)]])</f>
        <v>1823.04408357771</v>
      </c>
      <c r="O847" s="9" t="n">
        <f aca="false">IF(Tabla2[[#This Row],[Costos (En RD$/Tarea)]]=0,0,Tabla2[[#This Row],[Beneficio Neto  (En RD$/Tarea)]]/Tabla2[[#This Row],[Costos (En RD$/Tarea)]])</f>
        <v>0.389470261380506</v>
      </c>
      <c r="P847" s="7" t="n">
        <f aca="false">Tabla2[[#This Row],[Rentabilidad (%)]]/12</f>
        <v>0.0324558551150421</v>
      </c>
    </row>
    <row r="848" customFormat="false" ht="14.25" hidden="false" customHeight="false" outlineLevel="0" collapsed="false">
      <c r="A848" s="1" t="n">
        <v>38657</v>
      </c>
      <c r="B848" s="2" t="s">
        <v>25</v>
      </c>
      <c r="C848" s="3" t="n">
        <v>26278</v>
      </c>
      <c r="D848" s="8" t="s">
        <v>17</v>
      </c>
      <c r="E848" s="3" t="n">
        <f aca="false">IF(Tabla2[[#This Row],[Frecuencia]]="Annual", Tabla2[[#This Row],[Cosecha/Tarea]]/12,Tabla2[[#This Row],[Cosecha/Tarea]])</f>
        <v>26278</v>
      </c>
      <c r="F848" s="3" t="n">
        <v>265179</v>
      </c>
      <c r="G848" s="2" t="s">
        <v>18</v>
      </c>
      <c r="H848" s="2" t="n">
        <f aca="false">F848/Tabla2[[#This Row],[Cosecha Mensual]]</f>
        <v>10.0912930968871</v>
      </c>
      <c r="I848" s="2" t="n">
        <f aca="false">H848*_xlfn.XLOOKUP(Tabla2[[#This Row],[Unidad de producción]],Tabla3[Medida],Tabla3[Equivalencia en Kg],"ELVIS",0)</f>
        <v>457.7410548748</v>
      </c>
      <c r="J848" s="2" t="n">
        <v>375.576</v>
      </c>
      <c r="K848" s="2" t="s">
        <v>18</v>
      </c>
      <c r="L848" s="2" t="n">
        <f aca="false">J848/_xlfn.XLOOKUP(Tabla2[[#This Row],[Unidad de precio]],Tabla3[Medida],Tabla3[Equivalencia en Kg],"ELVIS",0)</f>
        <v>8.27989417989418</v>
      </c>
      <c r="M848" s="2" t="n">
        <v>2314.215</v>
      </c>
      <c r="N848" s="3" t="n">
        <f aca="false">(Tabla2[[#This Row],[Productividad (kg/TAS)]]*Tabla2[[#This Row],[Precio por kg]]-Tabla2[[#This Row],[Costos (En RD$/Tarea)]])</f>
        <v>1475.83249615648</v>
      </c>
      <c r="O848" s="9" t="n">
        <f aca="false">IF(Tabla2[[#This Row],[Costos (En RD$/Tarea)]]=0,0,Tabla2[[#This Row],[Beneficio Neto  (En RD$/Tarea)]]/Tabla2[[#This Row],[Costos (En RD$/Tarea)]])</f>
        <v>0.637724885611959</v>
      </c>
      <c r="P848" s="7" t="n">
        <f aca="false">Tabla2[[#This Row],[Rentabilidad (%)]]/12</f>
        <v>0.0531437404676633</v>
      </c>
    </row>
    <row r="849" customFormat="false" ht="14.25" hidden="false" customHeight="false" outlineLevel="0" collapsed="false">
      <c r="A849" s="1" t="n">
        <v>38657</v>
      </c>
      <c r="B849" s="2" t="s">
        <v>26</v>
      </c>
      <c r="C849" s="3" t="n">
        <v>14305</v>
      </c>
      <c r="D849" s="8" t="s">
        <v>17</v>
      </c>
      <c r="E849" s="3" t="n">
        <f aca="false">IF(Tabla2[[#This Row],[Frecuencia]]="Annual", Tabla2[[#This Row],[Cosecha/Tarea]]/12,Tabla2[[#This Row],[Cosecha/Tarea]])</f>
        <v>14305</v>
      </c>
      <c r="F849" s="3" t="n">
        <v>86355</v>
      </c>
      <c r="G849" s="2" t="s">
        <v>18</v>
      </c>
      <c r="H849" s="2" t="n">
        <f aca="false">F849/Tabla2[[#This Row],[Cosecha Mensual]]</f>
        <v>6.03670045438658</v>
      </c>
      <c r="I849" s="2" t="n">
        <f aca="false">H849*_xlfn.XLOOKUP(Tabla2[[#This Row],[Unidad de producción]],Tabla3[Medida],Tabla3[Equivalencia en Kg],"ELVIS",0)</f>
        <v>273.824732610975</v>
      </c>
      <c r="J849" s="2" t="n">
        <v>357.25</v>
      </c>
      <c r="K849" s="2" t="s">
        <v>18</v>
      </c>
      <c r="L849" s="2" t="n">
        <f aca="false">J849/_xlfn.XLOOKUP(Tabla2[[#This Row],[Unidad de precio]],Tabla3[Medida],Tabla3[Equivalencia en Kg],"ELVIS",0)</f>
        <v>7.87588183421517</v>
      </c>
      <c r="M849" s="2" t="n">
        <v>906.4</v>
      </c>
      <c r="N849" s="3" t="n">
        <f aca="false">(Tabla2[[#This Row],[Productividad (kg/TAS)]]*Tabla2[[#This Row],[Precio por kg]]-Tabla2[[#This Row],[Costos (En RD$/Tarea)]])</f>
        <v>1250.21123732961</v>
      </c>
      <c r="O849" s="9" t="n">
        <f aca="false">IF(Tabla2[[#This Row],[Costos (En RD$/Tarea)]]=0,0,Tabla2[[#This Row],[Beneficio Neto  (En RD$/Tarea)]]/Tabla2[[#This Row],[Costos (En RD$/Tarea)]])</f>
        <v>1.37931513385879</v>
      </c>
      <c r="P849" s="7" t="n">
        <f aca="false">Tabla2[[#This Row],[Rentabilidad (%)]]/12</f>
        <v>0.114942927821566</v>
      </c>
    </row>
    <row r="850" customFormat="false" ht="14.25" hidden="false" customHeight="false" outlineLevel="0" collapsed="false">
      <c r="A850" s="1" t="n">
        <v>38657</v>
      </c>
      <c r="B850" s="2" t="s">
        <v>27</v>
      </c>
      <c r="C850" s="3" t="n">
        <v>5016</v>
      </c>
      <c r="D850" s="8" t="s">
        <v>17</v>
      </c>
      <c r="E850" s="3" t="n">
        <f aca="false">IF(Tabla2[[#This Row],[Frecuencia]]="Annual", Tabla2[[#This Row],[Cosecha/Tarea]]/12,Tabla2[[#This Row],[Cosecha/Tarea]])</f>
        <v>5016</v>
      </c>
      <c r="F850" s="3" t="n">
        <v>38728</v>
      </c>
      <c r="G850" s="2" t="s">
        <v>18</v>
      </c>
      <c r="H850" s="2" t="n">
        <f aca="false">F850/Tabla2[[#This Row],[Cosecha Mensual]]</f>
        <v>7.72089314194577</v>
      </c>
      <c r="I850" s="2" t="n">
        <f aca="false">H850*_xlfn.XLOOKUP(Tabla2[[#This Row],[Unidad de producción]],Tabla3[Medida],Tabla3[Equivalencia en Kg],"ELVIS",0)</f>
        <v>350.21971291866</v>
      </c>
      <c r="J850" s="2" t="n">
        <v>293.1059</v>
      </c>
      <c r="K850" s="2" t="s">
        <v>18</v>
      </c>
      <c r="L850" s="2" t="n">
        <f aca="false">J850/_xlfn.XLOOKUP(Tabla2[[#This Row],[Unidad de precio]],Tabla3[Medida],Tabla3[Equivalencia en Kg],"ELVIS",0)</f>
        <v>6.46177028218695</v>
      </c>
      <c r="M850" s="2" t="n">
        <v>5157.39</v>
      </c>
      <c r="N850" s="3" t="n">
        <f aca="false">(Tabla2[[#This Row],[Productividad (kg/TAS)]]*Tabla2[[#This Row],[Precio por kg]]-Tabla2[[#This Row],[Costos (En RD$/Tarea)]])</f>
        <v>-2894.35066682616</v>
      </c>
      <c r="O850" s="9" t="n">
        <f aca="false">IF(Tabla2[[#This Row],[Costos (En RD$/Tarea)]]=0,0,Tabla2[[#This Row],[Beneficio Neto  (En RD$/Tarea)]]/Tabla2[[#This Row],[Costos (En RD$/Tarea)]])</f>
        <v>-0.561204536951085</v>
      </c>
      <c r="P850" s="7" t="n">
        <f aca="false">Tabla2[[#This Row],[Rentabilidad (%)]]/12</f>
        <v>-0.0467670447459238</v>
      </c>
    </row>
    <row r="851" customFormat="false" ht="14.25" hidden="false" customHeight="false" outlineLevel="0" collapsed="false">
      <c r="A851" s="1" t="n">
        <v>38657</v>
      </c>
      <c r="B851" s="2" t="s">
        <v>28</v>
      </c>
      <c r="C851" s="3" t="n">
        <v>44680</v>
      </c>
      <c r="D851" s="8" t="s">
        <v>17</v>
      </c>
      <c r="E851" s="3" t="n">
        <f aca="false">IF(Tabla2[[#This Row],[Frecuencia]]="Annual", Tabla2[[#This Row],[Cosecha/Tarea]]/12,Tabla2[[#This Row],[Cosecha/Tarea]])</f>
        <v>44680</v>
      </c>
      <c r="F851" s="3" t="n">
        <v>48507</v>
      </c>
      <c r="G851" s="2" t="s">
        <v>29</v>
      </c>
      <c r="H851" s="2" t="n">
        <f aca="false">F851/Tabla2[[#This Row],[Cosecha Mensual]]</f>
        <v>1.08565353625783</v>
      </c>
      <c r="I851" s="2" t="n">
        <f aca="false">H851*_xlfn.XLOOKUP(Tabla2[[#This Row],[Unidad de producción]],Tabla3[Medida],Tabla3[Equivalencia en Kg],"ELVIS",0)</f>
        <v>610.50640957923</v>
      </c>
      <c r="J851" s="2" t="n">
        <v>3058.33333333333</v>
      </c>
      <c r="K851" s="2" t="s">
        <v>29</v>
      </c>
      <c r="L851" s="2" t="n">
        <f aca="false">J851/_xlfn.XLOOKUP(Tabla2[[#This Row],[Unidad de precio]],Tabla3[Medida],Tabla3[Equivalencia en Kg],"ELVIS",0)</f>
        <v>5.4385840120449</v>
      </c>
      <c r="M851" s="2" t="n">
        <v>9027.66</v>
      </c>
      <c r="N851" s="3" t="n">
        <f aca="false">(Tabla2[[#This Row],[Productividad (kg/TAS)]]*Tabla2[[#This Row],[Precio por kg]]-Tabla2[[#This Row],[Costos (En RD$/Tarea)]])</f>
        <v>-5707.36960161146</v>
      </c>
      <c r="O851" s="9" t="n">
        <f aca="false">IF(Tabla2[[#This Row],[Costos (En RD$/Tarea)]]=0,0,Tabla2[[#This Row],[Beneficio Neto  (En RD$/Tarea)]]/Tabla2[[#This Row],[Costos (En RD$/Tarea)]])</f>
        <v>-0.632209188384527</v>
      </c>
      <c r="P851" s="7" t="n">
        <f aca="false">Tabla2[[#This Row],[Rentabilidad (%)]]/12</f>
        <v>-0.052684099032044</v>
      </c>
    </row>
    <row r="852" customFormat="false" ht="14.25" hidden="false" customHeight="false" outlineLevel="0" collapsed="false">
      <c r="A852" s="1" t="n">
        <v>38657</v>
      </c>
      <c r="B852" s="2" t="s">
        <v>30</v>
      </c>
      <c r="C852" s="3" t="n">
        <v>296342</v>
      </c>
      <c r="D852" s="3" t="s">
        <v>31</v>
      </c>
      <c r="E852" s="3" t="n">
        <f aca="false">IF(Tabla2[[#This Row],[Frecuencia]]="Annual", Tabla2[[#This Row],[Cosecha/Tarea]]/12,Tabla2[[#This Row],[Cosecha/Tarea]])</f>
        <v>24695.1666666667</v>
      </c>
      <c r="F852" s="3" t="n">
        <v>1842393</v>
      </c>
      <c r="G852" s="2" t="s">
        <v>32</v>
      </c>
      <c r="H852" s="2" t="n">
        <f aca="false">F852/Tabla2[[#This Row],[Cosecha Mensual]]</f>
        <v>74.605408615721</v>
      </c>
      <c r="I852" s="2" t="n">
        <f aca="false">H852*_xlfn.XLOOKUP(Tabla2[[#This Row],[Unidad de producción]],Tabla3[Medida],Tabla3[Equivalencia en Kg],"ELVIS",0)</f>
        <v>2030.01316843377</v>
      </c>
      <c r="J852" s="2" t="n">
        <v>64.488</v>
      </c>
      <c r="K852" s="2" t="s">
        <v>32</v>
      </c>
      <c r="L852" s="2" t="n">
        <f aca="false">J852/_xlfn.XLOOKUP(Tabla2[[#This Row],[Unidad de precio]],Tabla3[Medida],Tabla3[Equivalencia en Kg],"ELVIS",0)</f>
        <v>2.37001102535832</v>
      </c>
      <c r="M852" s="3" t="n">
        <v>7918.62</v>
      </c>
      <c r="N852" s="3" t="n">
        <f aca="false">(Tabla2[[#This Row],[Productividad (kg/TAS)]]*Tabla2[[#This Row],[Precio por kg]]-Tabla2[[#This Row],[Costos (En RD$/Tarea)]])</f>
        <v>-3107.46640918938</v>
      </c>
      <c r="O852" s="9" t="n">
        <f aca="false">IF(Tabla2[[#This Row],[Costos (En RD$/Tarea)]]=0,0,Tabla2[[#This Row],[Beneficio Neto  (En RD$/Tarea)]]/Tabla2[[#This Row],[Costos (En RD$/Tarea)]])</f>
        <v>-0.392425246973511</v>
      </c>
      <c r="P852" s="7" t="n">
        <f aca="false">Tabla2[[#This Row],[Rentabilidad (%)]]/12</f>
        <v>-0.0327021039144592</v>
      </c>
    </row>
    <row r="853" customFormat="false" ht="14.25" hidden="false" customHeight="false" outlineLevel="0" collapsed="false">
      <c r="A853" s="1" t="n">
        <v>38657</v>
      </c>
      <c r="B853" s="2" t="s">
        <v>33</v>
      </c>
      <c r="C853" s="3" t="n">
        <v>661723</v>
      </c>
      <c r="D853" s="3" t="s">
        <v>31</v>
      </c>
      <c r="E853" s="3" t="n">
        <f aca="false">IF(Tabla2[[#This Row],[Frecuencia]]="Annual", Tabla2[[#This Row],[Cosecha/Tarea]]/12,Tabla2[[#This Row],[Cosecha/Tarea]])</f>
        <v>55143.5833333333</v>
      </c>
      <c r="F853" s="3" t="n">
        <v>109503</v>
      </c>
      <c r="G853" s="2" t="s">
        <v>34</v>
      </c>
      <c r="H853" s="2" t="n">
        <f aca="false">F853/Tabla2[[#This Row],[Cosecha Mensual]]</f>
        <v>1.98577954823997</v>
      </c>
      <c r="I853" s="2" t="n">
        <f aca="false">H853*_xlfn.XLOOKUP(Tabla2[[#This Row],[Unidad de producción]],Tabla3[Medida],Tabla3[Equivalencia en Kg],"ELVIS",0)</f>
        <v>810.495922614145</v>
      </c>
      <c r="J853" s="2" t="n">
        <v>2464.666</v>
      </c>
      <c r="K853" s="2" t="s">
        <v>34</v>
      </c>
      <c r="L853" s="2" t="n">
        <f aca="false">J853/_xlfn.XLOOKUP(Tabla2[[#This Row],[Unidad de precio]],Tabla3[Medida],Tabla3[Equivalencia en Kg],"ELVIS",0)</f>
        <v>6.03862795540855</v>
      </c>
      <c r="M853" s="3" t="n">
        <v>9928.24</v>
      </c>
      <c r="N853" s="3" t="n">
        <f aca="false">(Tabla2[[#This Row],[Productividad (kg/TAS)]]*Tabla2[[#This Row],[Precio por kg]]-Tabla2[[#This Row],[Costos (En RD$/Tarea)]])</f>
        <v>-5033.95666395758</v>
      </c>
      <c r="O853" s="9" t="n">
        <f aca="false">IF(Tabla2[[#This Row],[Costos (En RD$/Tarea)]]=0,0,Tabla2[[#This Row],[Beneficio Neto  (En RD$/Tarea)]]/Tabla2[[#This Row],[Costos (En RD$/Tarea)]])</f>
        <v>-0.50703414340886</v>
      </c>
      <c r="P853" s="7" t="n">
        <f aca="false">Tabla2[[#This Row],[Rentabilidad (%)]]/12</f>
        <v>-0.0422528452840716</v>
      </c>
    </row>
    <row r="854" customFormat="false" ht="14.25" hidden="false" customHeight="false" outlineLevel="0" collapsed="false">
      <c r="A854" s="1" t="n">
        <v>38687</v>
      </c>
      <c r="B854" s="2" t="s">
        <v>16</v>
      </c>
      <c r="C854" s="3" t="n">
        <v>90914</v>
      </c>
      <c r="D854" s="8" t="s">
        <v>17</v>
      </c>
      <c r="E854" s="3" t="n">
        <f aca="false">IF(Tabla2[[#This Row],[Frecuencia]]="Annual", Tabla2[[#This Row],[Cosecha/Tarea]]/12,Tabla2[[#This Row],[Cosecha/Tarea]])</f>
        <v>90914</v>
      </c>
      <c r="F854" s="3" t="n">
        <v>328051</v>
      </c>
      <c r="G854" s="2" t="s">
        <v>18</v>
      </c>
      <c r="H854" s="2" t="n">
        <f aca="false">F854/Tabla2[[#This Row],[Cosecha Mensual]]</f>
        <v>3.608366148228</v>
      </c>
      <c r="I854" s="2" t="n">
        <f aca="false">H854*_xlfn.XLOOKUP(Tabla2[[#This Row],[Unidad de producción]],Tabla3[Medida],Tabla3[Equivalencia en Kg],"ELVIS",0)</f>
        <v>163.675488483622</v>
      </c>
      <c r="J854" s="2" t="n">
        <v>1102.87166666667</v>
      </c>
      <c r="K854" s="2" t="s">
        <v>19</v>
      </c>
      <c r="L854" s="2" t="n">
        <f aca="false">J854/_xlfn.XLOOKUP(Tabla2[[#This Row],[Unidad de precio]],Tabla3[Medida],Tabla3[Equivalencia en Kg],"ELVIS",0)</f>
        <v>10.0261060606061</v>
      </c>
      <c r="M854" s="2" t="n">
        <v>4807.32</v>
      </c>
      <c r="N854" s="3" t="n">
        <f aca="false">(Tabla2[[#This Row],[Productividad (kg/TAS)]]*Tabla2[[#This Row],[Precio por kg]]-Tabla2[[#This Row],[Costos (En RD$/Tarea)]])</f>
        <v>-3166.2921929417</v>
      </c>
      <c r="O854" s="9" t="n">
        <f aca="false">IF(Tabla2[[#This Row],[Costos (En RD$/Tarea)]]=0,0,Tabla2[[#This Row],[Beneficio Neto  (En RD$/Tarea)]]/Tabla2[[#This Row],[Costos (En RD$/Tarea)]])</f>
        <v>-0.658639781196529</v>
      </c>
      <c r="P854" s="7" t="n">
        <f aca="false">Tabla2[[#This Row],[Rentabilidad (%)]]/12</f>
        <v>-0.0548866484330441</v>
      </c>
    </row>
    <row r="855" customFormat="false" ht="14.25" hidden="false" customHeight="false" outlineLevel="0" collapsed="false">
      <c r="A855" s="1" t="n">
        <v>38687</v>
      </c>
      <c r="B855" s="2" t="s">
        <v>20</v>
      </c>
      <c r="C855" s="3" t="n">
        <v>31395</v>
      </c>
      <c r="D855" s="8" t="s">
        <v>17</v>
      </c>
      <c r="E855" s="3" t="n">
        <f aca="false">IF(Tabla2[[#This Row],[Frecuencia]]="Annual", Tabla2[[#This Row],[Cosecha/Tarea]]/12,Tabla2[[#This Row],[Cosecha/Tarea]])</f>
        <v>31395</v>
      </c>
      <c r="F855" s="3" t="n">
        <v>54371</v>
      </c>
      <c r="G855" s="2" t="s">
        <v>18</v>
      </c>
      <c r="H855" s="2" t="n">
        <f aca="false">F855/Tabla2[[#This Row],[Cosecha Mensual]]</f>
        <v>1.73183627966237</v>
      </c>
      <c r="I855" s="2" t="n">
        <f aca="false">H855*_xlfn.XLOOKUP(Tabla2[[#This Row],[Unidad de producción]],Tabla3[Medida],Tabla3[Equivalencia en Kg],"ELVIS",0)</f>
        <v>78.556093645485</v>
      </c>
      <c r="J855" s="2" t="n">
        <v>296.252914285714</v>
      </c>
      <c r="K855" s="2" t="s">
        <v>18</v>
      </c>
      <c r="L855" s="2" t="n">
        <f aca="false">J855/_xlfn.XLOOKUP(Tabla2[[#This Row],[Unidad de precio]],Tabla3[Medida],Tabla3[Equivalencia en Kg],"ELVIS",0)</f>
        <v>6.53114890400604</v>
      </c>
      <c r="M855" s="2" t="n">
        <v>1327.7</v>
      </c>
      <c r="N855" s="3" t="n">
        <f aca="false">(Tabla2[[#This Row],[Productividad (kg/TAS)]]*Tabla2[[#This Row],[Precio por kg]]-Tabla2[[#This Row],[Costos (En RD$/Tarea)]])</f>
        <v>-814.638455084295</v>
      </c>
      <c r="O855" s="9" t="n">
        <f aca="false">IF(Tabla2[[#This Row],[Costos (En RD$/Tarea)]]=0,0,Tabla2[[#This Row],[Beneficio Neto  (En RD$/Tarea)]]/Tabla2[[#This Row],[Costos (En RD$/Tarea)]])</f>
        <v>-0.613571179546807</v>
      </c>
      <c r="P855" s="7" t="n">
        <f aca="false">Tabla2[[#This Row],[Rentabilidad (%)]]/12</f>
        <v>-0.0511309316289006</v>
      </c>
    </row>
    <row r="856" customFormat="false" ht="14.25" hidden="false" customHeight="false" outlineLevel="0" collapsed="false">
      <c r="A856" s="1" t="n">
        <v>38687</v>
      </c>
      <c r="B856" s="2" t="s">
        <v>21</v>
      </c>
      <c r="C856" s="3" t="n">
        <v>5382</v>
      </c>
      <c r="D856" s="8" t="s">
        <v>17</v>
      </c>
      <c r="E856" s="3" t="n">
        <f aca="false">IF(Tabla2[[#This Row],[Frecuencia]]="Annual", Tabla2[[#This Row],[Cosecha/Tarea]]/12,Tabla2[[#This Row],[Cosecha/Tarea]])</f>
        <v>5382</v>
      </c>
      <c r="F856" s="3" t="n">
        <v>43941</v>
      </c>
      <c r="G856" s="2" t="s">
        <v>18</v>
      </c>
      <c r="H856" s="2" t="n">
        <f aca="false">F856/Tabla2[[#This Row],[Cosecha Mensual]]</f>
        <v>8.1644370122631</v>
      </c>
      <c r="I856" s="2" t="n">
        <f aca="false">H856*_xlfn.XLOOKUP(Tabla2[[#This Row],[Unidad de producción]],Tabla3[Medida],Tabla3[Equivalencia en Kg],"ELVIS",0)</f>
        <v>370.338862876254</v>
      </c>
      <c r="J856" s="2" t="n">
        <v>284.992166666667</v>
      </c>
      <c r="K856" s="2" t="s">
        <v>18</v>
      </c>
      <c r="L856" s="2" t="n">
        <f aca="false">J856/_xlfn.XLOOKUP(Tabla2[[#This Row],[Unidad de precio]],Tabla3[Medida],Tabla3[Equivalencia en Kg],"ELVIS",0)</f>
        <v>6.28289609053499</v>
      </c>
      <c r="M856" s="2" t="n">
        <v>2092.86</v>
      </c>
      <c r="N856" s="3" t="n">
        <f aca="false">(Tabla2[[#This Row],[Productividad (kg/TAS)]]*Tabla2[[#This Row],[Precio por kg]]-Tabla2[[#This Row],[Costos (En RD$/Tarea)]])</f>
        <v>233.940593738389</v>
      </c>
      <c r="O856" s="9" t="n">
        <f aca="false">IF(Tabla2[[#This Row],[Costos (En RD$/Tarea)]]=0,0,Tabla2[[#This Row],[Beneficio Neto  (En RD$/Tarea)]]/Tabla2[[#This Row],[Costos (En RD$/Tarea)]])</f>
        <v>0.11178033587454</v>
      </c>
      <c r="P856" s="7" t="n">
        <f aca="false">Tabla2[[#This Row],[Rentabilidad (%)]]/12</f>
        <v>0.00931502798954499</v>
      </c>
    </row>
    <row r="857" customFormat="false" ht="14.25" hidden="false" customHeight="false" outlineLevel="0" collapsed="false">
      <c r="A857" s="1" t="n">
        <v>38687</v>
      </c>
      <c r="B857" s="2" t="s">
        <v>22</v>
      </c>
      <c r="C857" s="3" t="n">
        <v>4221</v>
      </c>
      <c r="D857" s="8" t="s">
        <v>17</v>
      </c>
      <c r="E857" s="3" t="n">
        <f aca="false">IF(Tabla2[[#This Row],[Frecuencia]]="Annual", Tabla2[[#This Row],[Cosecha/Tarea]]/12,Tabla2[[#This Row],[Cosecha/Tarea]])</f>
        <v>4221</v>
      </c>
      <c r="F857" s="3" t="n">
        <v>35446</v>
      </c>
      <c r="G857" s="2" t="s">
        <v>18</v>
      </c>
      <c r="H857" s="2" t="n">
        <f aca="false">F857/Tabla2[[#This Row],[Cosecha Mensual]]</f>
        <v>8.39753612887941</v>
      </c>
      <c r="I857" s="2" t="n">
        <f aca="false">H857*_xlfn.XLOOKUP(Tabla2[[#This Row],[Unidad de producción]],Tabla3[Medida],Tabla3[Equivalencia en Kg],"ELVIS",0)</f>
        <v>380.91223880597</v>
      </c>
      <c r="J857" s="2" t="n">
        <v>810.4175</v>
      </c>
      <c r="K857" s="2" t="s">
        <v>18</v>
      </c>
      <c r="L857" s="2" t="n">
        <f aca="false">J857/_xlfn.XLOOKUP(Tabla2[[#This Row],[Unidad de precio]],Tabla3[Medida],Tabla3[Equivalencia en Kg],"ELVIS",0)</f>
        <v>17.8663470017637</v>
      </c>
      <c r="M857" s="2" t="n">
        <v>5853.83</v>
      </c>
      <c r="N857" s="3" t="n">
        <f aca="false">(Tabla2[[#This Row],[Productividad (kg/TAS)]]*Tabla2[[#This Row],[Precio por kg]]-Tabla2[[#This Row],[Costos (En RD$/Tarea)]])</f>
        <v>951.680235726131</v>
      </c>
      <c r="O857" s="9" t="n">
        <f aca="false">IF(Tabla2[[#This Row],[Costos (En RD$/Tarea)]]=0,0,Tabla2[[#This Row],[Beneficio Neto  (En RD$/Tarea)]]/Tabla2[[#This Row],[Costos (En RD$/Tarea)]])</f>
        <v>0.162573944874745</v>
      </c>
      <c r="P857" s="7" t="n">
        <f aca="false">Tabla2[[#This Row],[Rentabilidad (%)]]/12</f>
        <v>0.0135478287395621</v>
      </c>
    </row>
    <row r="858" customFormat="false" ht="14.25" hidden="false" customHeight="false" outlineLevel="0" collapsed="false">
      <c r="A858" s="1" t="n">
        <v>38687</v>
      </c>
      <c r="B858" s="2" t="s">
        <v>23</v>
      </c>
      <c r="C858" s="3" t="n">
        <v>1317</v>
      </c>
      <c r="D858" s="8" t="s">
        <v>17</v>
      </c>
      <c r="E858" s="3" t="n">
        <f aca="false">IF(Tabla2[[#This Row],[Frecuencia]]="Annual", Tabla2[[#This Row],[Cosecha/Tarea]]/12,Tabla2[[#This Row],[Cosecha/Tarea]])</f>
        <v>1317</v>
      </c>
      <c r="F858" s="3" t="n">
        <v>41005</v>
      </c>
      <c r="G858" s="2" t="s">
        <v>18</v>
      </c>
      <c r="H858" s="2" t="n">
        <f aca="false">F858/Tabla2[[#This Row],[Cosecha Mensual]]</f>
        <v>31.1351556567958</v>
      </c>
      <c r="I858" s="2" t="n">
        <f aca="false">H858*_xlfn.XLOOKUP(Tabla2[[#This Row],[Unidad de producción]],Tabla3[Medida],Tabla3[Equivalencia en Kg],"ELVIS",0)</f>
        <v>1412.29066059226</v>
      </c>
      <c r="J858" s="2" t="n">
        <v>891.666666666667</v>
      </c>
      <c r="K858" s="2" t="s">
        <v>18</v>
      </c>
      <c r="L858" s="2" t="n">
        <f aca="false">J858/_xlfn.XLOOKUP(Tabla2[[#This Row],[Unidad de precio]],Tabla3[Medida],Tabla3[Equivalencia en Kg],"ELVIS",0)</f>
        <v>19.6575543797766</v>
      </c>
      <c r="M858" s="2" t="n">
        <v>10163.53</v>
      </c>
      <c r="N858" s="3" t="n">
        <f aca="false">(Tabla2[[#This Row],[Productividad (kg/TAS)]]*Tabla2[[#This Row],[Precio por kg]]-Tabla2[[#This Row],[Costos (En RD$/Tarea)]])</f>
        <v>17598.6504606429</v>
      </c>
      <c r="O858" s="9" t="n">
        <f aca="false">IF(Tabla2[[#This Row],[Costos (En RD$/Tarea)]]=0,0,Tabla2[[#This Row],[Beneficio Neto  (En RD$/Tarea)]]/Tabla2[[#This Row],[Costos (En RD$/Tarea)]])</f>
        <v>1.73154902486074</v>
      </c>
      <c r="P858" s="7" t="n">
        <f aca="false">Tabla2[[#This Row],[Rentabilidad (%)]]/12</f>
        <v>0.144295752071728</v>
      </c>
    </row>
    <row r="859" customFormat="false" ht="14.25" hidden="false" customHeight="false" outlineLevel="0" collapsed="false">
      <c r="A859" s="1" t="n">
        <v>38687</v>
      </c>
      <c r="B859" s="2" t="s">
        <v>24</v>
      </c>
      <c r="C859" s="3" t="n">
        <v>6085</v>
      </c>
      <c r="D859" s="8" t="s">
        <v>17</v>
      </c>
      <c r="E859" s="3" t="n">
        <f aca="false">IF(Tabla2[[#This Row],[Frecuencia]]="Annual", Tabla2[[#This Row],[Cosecha/Tarea]]/12,Tabla2[[#This Row],[Cosecha/Tarea]])</f>
        <v>6085</v>
      </c>
      <c r="F859" s="3" t="n">
        <v>60087</v>
      </c>
      <c r="G859" s="2" t="s">
        <v>18</v>
      </c>
      <c r="H859" s="2" t="n">
        <f aca="false">F859/Tabla2[[#This Row],[Cosecha Mensual]]</f>
        <v>9.87460969597371</v>
      </c>
      <c r="I859" s="2" t="n">
        <f aca="false">H859*_xlfn.XLOOKUP(Tabla2[[#This Row],[Unidad de producción]],Tabla3[Medida],Tabla3[Equivalencia en Kg],"ELVIS",0)</f>
        <v>447.912295809367</v>
      </c>
      <c r="J859" s="2" t="n">
        <v>924.6</v>
      </c>
      <c r="K859" s="2" t="s">
        <v>18</v>
      </c>
      <c r="L859" s="2" t="n">
        <f aca="false">J859/_xlfn.XLOOKUP(Tabla2[[#This Row],[Unidad de precio]],Tabla3[Medida],Tabla3[Equivalencia en Kg],"ELVIS",0)</f>
        <v>20.3835978835979</v>
      </c>
      <c r="M859" s="2" t="n">
        <v>4680.83</v>
      </c>
      <c r="N859" s="3" t="n">
        <f aca="false">(Tabla2[[#This Row],[Productividad (kg/TAS)]]*Tabla2[[#This Row],[Precio por kg]]-Tabla2[[#This Row],[Costos (En RD$/Tarea)]])</f>
        <v>4449.23412489729</v>
      </c>
      <c r="O859" s="9" t="n">
        <f aca="false">IF(Tabla2[[#This Row],[Costos (En RD$/Tarea)]]=0,0,Tabla2[[#This Row],[Beneficio Neto  (En RD$/Tarea)]]/Tabla2[[#This Row],[Costos (En RD$/Tarea)]])</f>
        <v>0.950522476761021</v>
      </c>
      <c r="P859" s="7" t="n">
        <f aca="false">Tabla2[[#This Row],[Rentabilidad (%)]]/12</f>
        <v>0.0792102063967517</v>
      </c>
    </row>
    <row r="860" customFormat="false" ht="14.25" hidden="false" customHeight="false" outlineLevel="0" collapsed="false">
      <c r="A860" s="1" t="n">
        <v>38687</v>
      </c>
      <c r="B860" s="2" t="s">
        <v>25</v>
      </c>
      <c r="C860" s="3" t="n">
        <v>23727</v>
      </c>
      <c r="D860" s="8" t="s">
        <v>17</v>
      </c>
      <c r="E860" s="3" t="n">
        <f aca="false">IF(Tabla2[[#This Row],[Frecuencia]]="Annual", Tabla2[[#This Row],[Cosecha/Tarea]]/12,Tabla2[[#This Row],[Cosecha/Tarea]])</f>
        <v>23727</v>
      </c>
      <c r="F860" s="3" t="n">
        <v>214155</v>
      </c>
      <c r="G860" s="2" t="s">
        <v>18</v>
      </c>
      <c r="H860" s="2" t="n">
        <f aca="false">F860/Tabla2[[#This Row],[Cosecha Mensual]]</f>
        <v>9.02579339992414</v>
      </c>
      <c r="I860" s="2" t="n">
        <f aca="false">H860*_xlfn.XLOOKUP(Tabla2[[#This Row],[Unidad de producción]],Tabla3[Medida],Tabla3[Equivalencia en Kg],"ELVIS",0)</f>
        <v>409.409988620559</v>
      </c>
      <c r="J860" s="2" t="n">
        <v>278.972571428571</v>
      </c>
      <c r="K860" s="2" t="s">
        <v>18</v>
      </c>
      <c r="L860" s="2" t="n">
        <f aca="false">J860/_xlfn.XLOOKUP(Tabla2[[#This Row],[Unidad de precio]],Tabla3[Medida],Tabla3[Equivalencia en Kg],"ELVIS",0)</f>
        <v>6.15018896447467</v>
      </c>
      <c r="M860" s="2" t="n">
        <v>2314.215</v>
      </c>
      <c r="N860" s="3" t="n">
        <f aca="false">(Tabla2[[#This Row],[Productividad (kg/TAS)]]*Tabla2[[#This Row],[Precio por kg]]-Tabla2[[#This Row],[Costos (En RD$/Tarea)]])</f>
        <v>203.733793959861</v>
      </c>
      <c r="O860" s="9" t="n">
        <f aca="false">IF(Tabla2[[#This Row],[Costos (En RD$/Tarea)]]=0,0,Tabla2[[#This Row],[Beneficio Neto  (En RD$/Tarea)]]/Tabla2[[#This Row],[Costos (En RD$/Tarea)]])</f>
        <v>0.088035810829962</v>
      </c>
      <c r="P860" s="7" t="n">
        <f aca="false">Tabla2[[#This Row],[Rentabilidad (%)]]/12</f>
        <v>0.0073363175691635</v>
      </c>
    </row>
    <row r="861" customFormat="false" ht="14.25" hidden="false" customHeight="false" outlineLevel="0" collapsed="false">
      <c r="A861" s="1" t="n">
        <v>38687</v>
      </c>
      <c r="B861" s="2" t="s">
        <v>26</v>
      </c>
      <c r="C861" s="3" t="n">
        <v>12880</v>
      </c>
      <c r="D861" s="8" t="s">
        <v>17</v>
      </c>
      <c r="E861" s="3" t="n">
        <f aca="false">IF(Tabla2[[#This Row],[Frecuencia]]="Annual", Tabla2[[#This Row],[Cosecha/Tarea]]/12,Tabla2[[#This Row],[Cosecha/Tarea]])</f>
        <v>12880</v>
      </c>
      <c r="F861" s="3" t="n">
        <v>68630</v>
      </c>
      <c r="G861" s="2" t="s">
        <v>18</v>
      </c>
      <c r="H861" s="2" t="n">
        <f aca="false">F861/Tabla2[[#This Row],[Cosecha Mensual]]</f>
        <v>5.32841614906832</v>
      </c>
      <c r="I861" s="2" t="n">
        <f aca="false">H861*_xlfn.XLOOKUP(Tabla2[[#This Row],[Unidad de producción]],Tabla3[Medida],Tabla3[Equivalencia en Kg],"ELVIS",0)</f>
        <v>241.696956521739</v>
      </c>
      <c r="J861" s="2" t="n">
        <v>404.75</v>
      </c>
      <c r="K861" s="2" t="s">
        <v>18</v>
      </c>
      <c r="L861" s="2" t="n">
        <f aca="false">J861/_xlfn.XLOOKUP(Tabla2[[#This Row],[Unidad de precio]],Tabla3[Medida],Tabla3[Equivalencia en Kg],"ELVIS",0)</f>
        <v>8.92305996472663</v>
      </c>
      <c r="M861" s="2" t="n">
        <v>906.4</v>
      </c>
      <c r="N861" s="3" t="n">
        <f aca="false">(Tabla2[[#This Row],[Productividad (kg/TAS)]]*Tabla2[[#This Row],[Precio por kg]]-Tabla2[[#This Row],[Costos (En RD$/Tarea)]])</f>
        <v>1250.2764363354</v>
      </c>
      <c r="O861" s="9" t="n">
        <f aca="false">IF(Tabla2[[#This Row],[Costos (En RD$/Tarea)]]=0,0,Tabla2[[#This Row],[Beneficio Neto  (En RD$/Tarea)]]/Tabla2[[#This Row],[Costos (En RD$/Tarea)]])</f>
        <v>1.37938706568337</v>
      </c>
      <c r="P861" s="7" t="n">
        <f aca="false">Tabla2[[#This Row],[Rentabilidad (%)]]/12</f>
        <v>0.114948922140281</v>
      </c>
    </row>
    <row r="862" customFormat="false" ht="14.25" hidden="false" customHeight="false" outlineLevel="0" collapsed="false">
      <c r="A862" s="1" t="n">
        <v>38687</v>
      </c>
      <c r="B862" s="2" t="s">
        <v>27</v>
      </c>
      <c r="C862" s="3" t="n">
        <v>5407</v>
      </c>
      <c r="D862" s="8" t="s">
        <v>17</v>
      </c>
      <c r="E862" s="3" t="n">
        <f aca="false">IF(Tabla2[[#This Row],[Frecuencia]]="Annual", Tabla2[[#This Row],[Cosecha/Tarea]]/12,Tabla2[[#This Row],[Cosecha/Tarea]])</f>
        <v>5407</v>
      </c>
      <c r="F862" s="3" t="n">
        <v>36132</v>
      </c>
      <c r="G862" s="2" t="s">
        <v>18</v>
      </c>
      <c r="H862" s="2" t="n">
        <f aca="false">F862/Tabla2[[#This Row],[Cosecha Mensual]]</f>
        <v>6.6824486776401</v>
      </c>
      <c r="I862" s="2" t="n">
        <f aca="false">H862*_xlfn.XLOOKUP(Tabla2[[#This Row],[Unidad de producción]],Tabla3[Medida],Tabla3[Equivalencia en Kg],"ELVIS",0)</f>
        <v>303.115872017755</v>
      </c>
      <c r="J862" s="2" t="n">
        <v>280.7725</v>
      </c>
      <c r="K862" s="2" t="s">
        <v>18</v>
      </c>
      <c r="L862" s="2" t="n">
        <f aca="false">J862/_xlfn.XLOOKUP(Tabla2[[#This Row],[Unidad de precio]],Tabla3[Medida],Tabla3[Equivalencia en Kg],"ELVIS",0)</f>
        <v>6.18986992945326</v>
      </c>
      <c r="M862" s="2" t="n">
        <v>5157.39</v>
      </c>
      <c r="N862" s="3" t="n">
        <f aca="false">(Tabla2[[#This Row],[Productividad (kg/TAS)]]*Tabla2[[#This Row],[Precio por kg]]-Tabla2[[#This Row],[Costos (En RD$/Tarea)]])</f>
        <v>-3281.1421786573</v>
      </c>
      <c r="O862" s="9" t="n">
        <f aca="false">IF(Tabla2[[#This Row],[Costos (En RD$/Tarea)]]=0,0,Tabla2[[#This Row],[Beneficio Neto  (En RD$/Tarea)]]/Tabla2[[#This Row],[Costos (En RD$/Tarea)]])</f>
        <v>-0.636202067064406</v>
      </c>
      <c r="P862" s="7" t="n">
        <f aca="false">Tabla2[[#This Row],[Rentabilidad (%)]]/12</f>
        <v>-0.0530168389220338</v>
      </c>
    </row>
    <row r="863" customFormat="false" ht="14.25" hidden="false" customHeight="false" outlineLevel="0" collapsed="false">
      <c r="A863" s="1" t="n">
        <v>38687</v>
      </c>
      <c r="B863" s="2" t="s">
        <v>28</v>
      </c>
      <c r="C863" s="3" t="n">
        <v>39291</v>
      </c>
      <c r="D863" s="8" t="s">
        <v>17</v>
      </c>
      <c r="E863" s="3" t="n">
        <f aca="false">IF(Tabla2[[#This Row],[Frecuencia]]="Annual", Tabla2[[#This Row],[Cosecha/Tarea]]/12,Tabla2[[#This Row],[Cosecha/Tarea]])</f>
        <v>39291</v>
      </c>
      <c r="F863" s="3" t="n">
        <v>38502</v>
      </c>
      <c r="G863" s="2" t="s">
        <v>29</v>
      </c>
      <c r="H863" s="2" t="n">
        <f aca="false">F863/Tabla2[[#This Row],[Cosecha Mensual]]</f>
        <v>0.979919065434832</v>
      </c>
      <c r="I863" s="2" t="n">
        <f aca="false">H863*_xlfn.XLOOKUP(Tabla2[[#This Row],[Unidad de producción]],Tabla3[Medida],Tabla3[Equivalencia en Kg],"ELVIS",0)</f>
        <v>551.047687256624</v>
      </c>
      <c r="J863" s="2" t="n">
        <v>4449.5</v>
      </c>
      <c r="K863" s="2" t="s">
        <v>29</v>
      </c>
      <c r="L863" s="2" t="n">
        <f aca="false">J863/_xlfn.XLOOKUP(Tabla2[[#This Row],[Unidad de precio]],Tabla3[Medida],Tabla3[Equivalencia en Kg],"ELVIS",0)</f>
        <v>7.91247288117509</v>
      </c>
      <c r="M863" s="2" t="n">
        <v>9027.66</v>
      </c>
      <c r="N863" s="3" t="n">
        <f aca="false">(Tabla2[[#This Row],[Productividad (kg/TAS)]]*Tabla2[[#This Row],[Precio por kg]]-Tabla2[[#This Row],[Costos (En RD$/Tarea)]])</f>
        <v>-4667.51011834771</v>
      </c>
      <c r="O863" s="9" t="n">
        <f aca="false">IF(Tabla2[[#This Row],[Costos (En RD$/Tarea)]]=0,0,Tabla2[[#This Row],[Beneficio Neto  (En RD$/Tarea)]]/Tabla2[[#This Row],[Costos (En RD$/Tarea)]])</f>
        <v>-0.517023250581847</v>
      </c>
      <c r="P863" s="7" t="n">
        <f aca="false">Tabla2[[#This Row],[Rentabilidad (%)]]/12</f>
        <v>-0.0430852708818205</v>
      </c>
    </row>
    <row r="864" customFormat="false" ht="14.25" hidden="false" customHeight="false" outlineLevel="0" collapsed="false">
      <c r="A864" s="1" t="n">
        <v>38687</v>
      </c>
      <c r="B864" s="2" t="s">
        <v>30</v>
      </c>
      <c r="C864" s="3" t="n">
        <v>299058</v>
      </c>
      <c r="D864" s="3" t="s">
        <v>31</v>
      </c>
      <c r="E864" s="3" t="n">
        <f aca="false">IF(Tabla2[[#This Row],[Frecuencia]]="Annual", Tabla2[[#This Row],[Cosecha/Tarea]]/12,Tabla2[[#This Row],[Cosecha/Tarea]])</f>
        <v>24921.5</v>
      </c>
      <c r="F864" s="3" t="n">
        <v>1839455</v>
      </c>
      <c r="G864" s="2" t="s">
        <v>32</v>
      </c>
      <c r="H864" s="2" t="n">
        <f aca="false">F864/Tabla2[[#This Row],[Cosecha Mensual]]</f>
        <v>73.809963284714</v>
      </c>
      <c r="I864" s="2" t="n">
        <f aca="false">H864*_xlfn.XLOOKUP(Tabla2[[#This Row],[Unidad de producción]],Tabla3[Medida],Tabla3[Equivalencia en Kg],"ELVIS",0)</f>
        <v>2008.36910097707</v>
      </c>
      <c r="J864" s="2" t="n">
        <v>67.1014285714286</v>
      </c>
      <c r="K864" s="2" t="s">
        <v>32</v>
      </c>
      <c r="L864" s="2" t="n">
        <f aca="false">J864/_xlfn.XLOOKUP(Tabla2[[#This Row],[Unidad de precio]],Tabla3[Medida],Tabla3[Equivalencia en Kg],"ELVIS",0)</f>
        <v>2.46605764687352</v>
      </c>
      <c r="M864" s="3" t="n">
        <v>7918.62</v>
      </c>
      <c r="N864" s="3" t="n">
        <f aca="false">(Tabla2[[#This Row],[Productividad (kg/TAS)]]*Tabla2[[#This Row],[Precio por kg]]-Tabla2[[#This Row],[Costos (En RD$/Tarea)]])</f>
        <v>-2965.866020791</v>
      </c>
      <c r="O864" s="9" t="n">
        <f aca="false">IF(Tabla2[[#This Row],[Costos (En RD$/Tarea)]]=0,0,Tabla2[[#This Row],[Beneficio Neto  (En RD$/Tarea)]]/Tabla2[[#This Row],[Costos (En RD$/Tarea)]])</f>
        <v>-0.374543294259732</v>
      </c>
      <c r="P864" s="7" t="n">
        <f aca="false">Tabla2[[#This Row],[Rentabilidad (%)]]/12</f>
        <v>-0.031211941188311</v>
      </c>
    </row>
    <row r="865" customFormat="false" ht="14.25" hidden="false" customHeight="false" outlineLevel="0" collapsed="false">
      <c r="A865" s="1" t="n">
        <v>38687</v>
      </c>
      <c r="B865" s="2" t="s">
        <v>33</v>
      </c>
      <c r="C865" s="3" t="n">
        <v>660917</v>
      </c>
      <c r="D865" s="3" t="s">
        <v>31</v>
      </c>
      <c r="E865" s="3" t="n">
        <f aca="false">IF(Tabla2[[#This Row],[Frecuencia]]="Annual", Tabla2[[#This Row],[Cosecha/Tarea]]/12,Tabla2[[#This Row],[Cosecha/Tarea]])</f>
        <v>55076.4166666667</v>
      </c>
      <c r="F865" s="3" t="n">
        <v>119748</v>
      </c>
      <c r="G865" s="2" t="s">
        <v>34</v>
      </c>
      <c r="H865" s="2" t="n">
        <f aca="false">F865/Tabla2[[#This Row],[Cosecha Mensual]]</f>
        <v>2.17421552176748</v>
      </c>
      <c r="I865" s="2" t="n">
        <f aca="false">H865*_xlfn.XLOOKUP(Tabla2[[#This Row],[Unidad de producción]],Tabla3[Medida],Tabla3[Equivalencia en Kg],"ELVIS",0)</f>
        <v>887.406065209398</v>
      </c>
      <c r="J865" s="2" t="n">
        <v>2583.07142857143</v>
      </c>
      <c r="K865" s="2" t="s">
        <v>34</v>
      </c>
      <c r="L865" s="2" t="n">
        <f aca="false">J865/_xlfn.XLOOKUP(Tabla2[[#This Row],[Unidad de precio]],Tabla3[Medida],Tabla3[Equivalencia en Kg],"ELVIS",0)</f>
        <v>6.32873068374723</v>
      </c>
      <c r="M865" s="3" t="n">
        <v>9928.24</v>
      </c>
      <c r="N865" s="3" t="n">
        <f aca="false">(Tabla2[[#This Row],[Productividad (kg/TAS)]]*Tabla2[[#This Row],[Precio por kg]]-Tabla2[[#This Row],[Costos (En RD$/Tarea)]])</f>
        <v>-4312.08600616589</v>
      </c>
      <c r="O865" s="9" t="n">
        <f aca="false">IF(Tabla2[[#This Row],[Costos (En RD$/Tarea)]]=0,0,Tabla2[[#This Row],[Beneficio Neto  (En RD$/Tarea)]]/Tabla2[[#This Row],[Costos (En RD$/Tarea)]])</f>
        <v>-0.434325319106497</v>
      </c>
      <c r="P865" s="7" t="n">
        <f aca="false">Tabla2[[#This Row],[Rentabilidad (%)]]/12</f>
        <v>-0.0361937765922081</v>
      </c>
    </row>
    <row r="866" customFormat="false" ht="14.25" hidden="false" customHeight="false" outlineLevel="0" collapsed="false">
      <c r="A866" s="1" t="n">
        <v>38718</v>
      </c>
      <c r="B866" s="2" t="s">
        <v>16</v>
      </c>
      <c r="C866" s="3" t="n">
        <v>24389</v>
      </c>
      <c r="D866" s="8" t="s">
        <v>17</v>
      </c>
      <c r="E866" s="3" t="n">
        <f aca="false">IF(Tabla2[[#This Row],[Frecuencia]]="Annual", Tabla2[[#This Row],[Cosecha/Tarea]]/12,Tabla2[[#This Row],[Cosecha/Tarea]])</f>
        <v>24389</v>
      </c>
      <c r="F866" s="3" t="n">
        <v>81152</v>
      </c>
      <c r="G866" s="2" t="s">
        <v>18</v>
      </c>
      <c r="H866" s="2" t="n">
        <f aca="false">F866/Tabla2[[#This Row],[Cosecha Mensual]]</f>
        <v>3.32740169748657</v>
      </c>
      <c r="I866" s="2" t="n">
        <f aca="false">H866*_xlfn.XLOOKUP(Tabla2[[#This Row],[Unidad de producción]],Tabla3[Medida],Tabla3[Equivalencia en Kg],"ELVIS",0)</f>
        <v>150.930940997991</v>
      </c>
      <c r="J866" s="2" t="n">
        <v>913</v>
      </c>
      <c r="K866" s="2" t="s">
        <v>19</v>
      </c>
      <c r="L866" s="2" t="n">
        <f aca="false">J866/_xlfn.XLOOKUP(Tabla2[[#This Row],[Unidad de precio]],Tabla3[Medida],Tabla3[Equivalencia en Kg],"ELVIS",0)</f>
        <v>8.3</v>
      </c>
      <c r="M866" s="2" t="n">
        <v>4756.775</v>
      </c>
      <c r="N866" s="3" t="n">
        <f aca="false">(Tabla2[[#This Row],[Productividad (kg/TAS)]]*Tabla2[[#This Row],[Precio por kg]]-Tabla2[[#This Row],[Costos (En RD$/Tarea)]])</f>
        <v>-3504.04818971668</v>
      </c>
      <c r="O866" s="9" t="n">
        <f aca="false">IF(Tabla2[[#This Row],[Costos (En RD$/Tarea)]]=0,0,Tabla2[[#This Row],[Beneficio Neto  (En RD$/Tarea)]]/Tabla2[[#This Row],[Costos (En RD$/Tarea)]])</f>
        <v>-0.736643669233183</v>
      </c>
      <c r="P866" s="7" t="n">
        <f aca="false">Tabla2[[#This Row],[Rentabilidad (%)]]/12</f>
        <v>-0.0613869724360986</v>
      </c>
    </row>
    <row r="867" customFormat="false" ht="14.25" hidden="false" customHeight="false" outlineLevel="0" collapsed="false">
      <c r="A867" s="1" t="n">
        <v>38718</v>
      </c>
      <c r="B867" s="2" t="s">
        <v>20</v>
      </c>
      <c r="C867" s="3" t="n">
        <v>32790</v>
      </c>
      <c r="D867" s="8" t="s">
        <v>17</v>
      </c>
      <c r="E867" s="3" t="n">
        <f aca="false">IF(Tabla2[[#This Row],[Frecuencia]]="Annual", Tabla2[[#This Row],[Cosecha/Tarea]]/12,Tabla2[[#This Row],[Cosecha/Tarea]])</f>
        <v>32790</v>
      </c>
      <c r="F867" s="3" t="n">
        <v>48772</v>
      </c>
      <c r="G867" s="2" t="s">
        <v>18</v>
      </c>
      <c r="H867" s="2" t="n">
        <f aca="false">F867/Tabla2[[#This Row],[Cosecha Mensual]]</f>
        <v>1.48740469655383</v>
      </c>
      <c r="I867" s="2" t="n">
        <f aca="false">H867*_xlfn.XLOOKUP(Tabla2[[#This Row],[Unidad de producción]],Tabla3[Medida],Tabla3[Equivalencia en Kg],"ELVIS",0)</f>
        <v>67.4686770356816</v>
      </c>
      <c r="J867" s="2" t="n">
        <v>310.3212</v>
      </c>
      <c r="K867" s="2" t="s">
        <v>18</v>
      </c>
      <c r="L867" s="2" t="n">
        <f aca="false">J867/_xlfn.XLOOKUP(Tabla2[[#This Row],[Unidad de precio]],Tabla3[Medida],Tabla3[Equivalencia en Kg],"ELVIS",0)</f>
        <v>6.8412962962963</v>
      </c>
      <c r="M867" s="2" t="n">
        <v>1341.48</v>
      </c>
      <c r="N867" s="3" t="n">
        <f aca="false">(Tabla2[[#This Row],[Productividad (kg/TAS)]]*Tabla2[[#This Row],[Precio por kg]]-Tabla2[[#This Row],[Costos (En RD$/Tarea)]])</f>
        <v>-879.906789679781</v>
      </c>
      <c r="O867" s="9" t="n">
        <f aca="false">IF(Tabla2[[#This Row],[Costos (En RD$/Tarea)]]=0,0,Tabla2[[#This Row],[Beneficio Neto  (En RD$/Tarea)]]/Tabla2[[#This Row],[Costos (En RD$/Tarea)]])</f>
        <v>-0.655922406356994</v>
      </c>
      <c r="P867" s="7" t="n">
        <f aca="false">Tabla2[[#This Row],[Rentabilidad (%)]]/12</f>
        <v>-0.0546602005297495</v>
      </c>
    </row>
    <row r="868" customFormat="false" ht="14.25" hidden="false" customHeight="false" outlineLevel="0" collapsed="false">
      <c r="A868" s="1" t="n">
        <v>38718</v>
      </c>
      <c r="B868" s="2" t="s">
        <v>21</v>
      </c>
      <c r="C868" s="3" t="n">
        <v>6119</v>
      </c>
      <c r="D868" s="8" t="s">
        <v>17</v>
      </c>
      <c r="E868" s="3" t="n">
        <f aca="false">IF(Tabla2[[#This Row],[Frecuencia]]="Annual", Tabla2[[#This Row],[Cosecha/Tarea]]/12,Tabla2[[#This Row],[Cosecha/Tarea]])</f>
        <v>6119</v>
      </c>
      <c r="F868" s="3" t="n">
        <v>57113</v>
      </c>
      <c r="G868" s="2" t="s">
        <v>18</v>
      </c>
      <c r="H868" s="2" t="n">
        <f aca="false">F868/Tabla2[[#This Row],[Cosecha Mensual]]</f>
        <v>9.33371465925805</v>
      </c>
      <c r="I868" s="2" t="n">
        <f aca="false">H868*_xlfn.XLOOKUP(Tabla2[[#This Row],[Unidad de producción]],Tabla3[Medida],Tabla3[Equivalencia en Kg],"ELVIS",0)</f>
        <v>423.377296943945</v>
      </c>
      <c r="J868" s="2" t="n">
        <v>226.10005</v>
      </c>
      <c r="K868" s="2" t="s">
        <v>18</v>
      </c>
      <c r="L868" s="2" t="n">
        <f aca="false">J868/_xlfn.XLOOKUP(Tabla2[[#This Row],[Unidad de precio]],Tabla3[Medida],Tabla3[Equivalencia en Kg],"ELVIS",0)</f>
        <v>4.98456900352734</v>
      </c>
      <c r="M868" s="2" t="n">
        <v>2058.755</v>
      </c>
      <c r="N868" s="3" t="n">
        <f aca="false">(Tabla2[[#This Row],[Productividad (kg/TAS)]]*Tabla2[[#This Row],[Precio por kg]]-Tabla2[[#This Row],[Costos (En RD$/Tarea)]])</f>
        <v>51.5983511439781</v>
      </c>
      <c r="O868" s="9" t="n">
        <f aca="false">IF(Tabla2[[#This Row],[Costos (En RD$/Tarea)]]=0,0,Tabla2[[#This Row],[Beneficio Neto  (En RD$/Tarea)]]/Tabla2[[#This Row],[Costos (En RD$/Tarea)]])</f>
        <v>0.0250628905061448</v>
      </c>
      <c r="P868" s="7" t="n">
        <f aca="false">Tabla2[[#This Row],[Rentabilidad (%)]]/12</f>
        <v>0.0020885742088454</v>
      </c>
    </row>
    <row r="869" customFormat="false" ht="14.25" hidden="false" customHeight="false" outlineLevel="0" collapsed="false">
      <c r="A869" s="1" t="n">
        <v>38718</v>
      </c>
      <c r="B869" s="2" t="s">
        <v>22</v>
      </c>
      <c r="C869" s="3" t="n">
        <v>12260</v>
      </c>
      <c r="D869" s="8" t="s">
        <v>17</v>
      </c>
      <c r="E869" s="3" t="n">
        <f aca="false">IF(Tabla2[[#This Row],[Frecuencia]]="Annual", Tabla2[[#This Row],[Cosecha/Tarea]]/12,Tabla2[[#This Row],[Cosecha/Tarea]])</f>
        <v>12260</v>
      </c>
      <c r="F869" s="3" t="n">
        <v>112275</v>
      </c>
      <c r="G869" s="2" t="s">
        <v>18</v>
      </c>
      <c r="H869" s="2" t="n">
        <f aca="false">F869/Tabla2[[#This Row],[Cosecha Mensual]]</f>
        <v>9.15783034257749</v>
      </c>
      <c r="I869" s="2" t="n">
        <f aca="false">H869*_xlfn.XLOOKUP(Tabla2[[#This Row],[Unidad de producción]],Tabla3[Medida],Tabla3[Equivalencia en Kg],"ELVIS",0)</f>
        <v>415.399184339315</v>
      </c>
      <c r="J869" s="2" t="n">
        <v>901.666666666667</v>
      </c>
      <c r="K869" s="2" t="s">
        <v>18</v>
      </c>
      <c r="L869" s="2" t="n">
        <f aca="false">J869/_xlfn.XLOOKUP(Tabla2[[#This Row],[Unidad de precio]],Tabla3[Medida],Tabla3[Equivalencia en Kg],"ELVIS",0)</f>
        <v>19.8780129335685</v>
      </c>
      <c r="M869" s="2" t="n">
        <v>5691.88</v>
      </c>
      <c r="N869" s="3" t="n">
        <f aca="false">(Tabla2[[#This Row],[Productividad (kg/TAS)]]*Tabla2[[#This Row],[Precio por kg]]-Tabla2[[#This Row],[Costos (En RD$/Tarea)]])</f>
        <v>2565.4303588907</v>
      </c>
      <c r="O869" s="9" t="n">
        <f aca="false">IF(Tabla2[[#This Row],[Costos (En RD$/Tarea)]]=0,0,Tabla2[[#This Row],[Beneficio Neto  (En RD$/Tarea)]]/Tabla2[[#This Row],[Costos (En RD$/Tarea)]])</f>
        <v>0.450717576423028</v>
      </c>
      <c r="P869" s="7" t="n">
        <f aca="false">Tabla2[[#This Row],[Rentabilidad (%)]]/12</f>
        <v>0.0375597980352523</v>
      </c>
    </row>
    <row r="870" customFormat="false" ht="14.25" hidden="false" customHeight="false" outlineLevel="0" collapsed="false">
      <c r="A870" s="1" t="n">
        <v>38718</v>
      </c>
      <c r="B870" s="2" t="s">
        <v>23</v>
      </c>
      <c r="C870" s="3" t="n">
        <v>4959</v>
      </c>
      <c r="D870" s="8" t="s">
        <v>17</v>
      </c>
      <c r="E870" s="3" t="n">
        <f aca="false">IF(Tabla2[[#This Row],[Frecuencia]]="Annual", Tabla2[[#This Row],[Cosecha/Tarea]]/12,Tabla2[[#This Row],[Cosecha/Tarea]])</f>
        <v>4959</v>
      </c>
      <c r="F870" s="3" t="n">
        <v>124149</v>
      </c>
      <c r="G870" s="2" t="s">
        <v>18</v>
      </c>
      <c r="H870" s="2" t="n">
        <f aca="false">F870/Tabla2[[#This Row],[Cosecha Mensual]]</f>
        <v>25.0350877192982</v>
      </c>
      <c r="I870" s="2" t="n">
        <f aca="false">H870*_xlfn.XLOOKUP(Tabla2[[#This Row],[Unidad de producción]],Tabla3[Medida],Tabla3[Equivalencia en Kg],"ELVIS",0)</f>
        <v>1135.59157894737</v>
      </c>
      <c r="J870" s="2" t="n">
        <v>738.79025</v>
      </c>
      <c r="K870" s="2" t="s">
        <v>18</v>
      </c>
      <c r="L870" s="2" t="n">
        <f aca="false">J870/_xlfn.XLOOKUP(Tabla2[[#This Row],[Unidad de precio]],Tabla3[Medida],Tabla3[Equivalencia en Kg],"ELVIS",0)</f>
        <v>16.2872630070547</v>
      </c>
      <c r="M870" s="2" t="n">
        <v>10412.05</v>
      </c>
      <c r="N870" s="3" t="n">
        <f aca="false">(Tabla2[[#This Row],[Productividad (kg/TAS)]]*Tabla2[[#This Row],[Precio por kg]]-Tabla2[[#This Row],[Costos (En RD$/Tarea)]])</f>
        <v>8083.62871491228</v>
      </c>
      <c r="O870" s="9" t="n">
        <f aca="false">IF(Tabla2[[#This Row],[Costos (En RD$/Tarea)]]=0,0,Tabla2[[#This Row],[Beneficio Neto  (En RD$/Tarea)]]/Tabla2[[#This Row],[Costos (En RD$/Tarea)]])</f>
        <v>0.776372444899158</v>
      </c>
      <c r="P870" s="7" t="n">
        <f aca="false">Tabla2[[#This Row],[Rentabilidad (%)]]/12</f>
        <v>0.0646977037415965</v>
      </c>
    </row>
    <row r="871" customFormat="false" ht="14.25" hidden="false" customHeight="false" outlineLevel="0" collapsed="false">
      <c r="A871" s="1" t="n">
        <v>38718</v>
      </c>
      <c r="B871" s="2" t="s">
        <v>24</v>
      </c>
      <c r="C871" s="3" t="n">
        <v>9044</v>
      </c>
      <c r="D871" s="8" t="s">
        <v>17</v>
      </c>
      <c r="E871" s="3" t="n">
        <f aca="false">IF(Tabla2[[#This Row],[Frecuencia]]="Annual", Tabla2[[#This Row],[Cosecha/Tarea]]/12,Tabla2[[#This Row],[Cosecha/Tarea]])</f>
        <v>9044</v>
      </c>
      <c r="F871" s="3" t="n">
        <v>71787</v>
      </c>
      <c r="G871" s="2" t="s">
        <v>18</v>
      </c>
      <c r="H871" s="2" t="n">
        <f aca="false">F871/Tabla2[[#This Row],[Cosecha Mensual]]</f>
        <v>7.937527642636</v>
      </c>
      <c r="I871" s="2" t="n">
        <f aca="false">H871*_xlfn.XLOOKUP(Tabla2[[#This Row],[Unidad de producción]],Tabla3[Medida],Tabla3[Equivalencia en Kg],"ELVIS",0)</f>
        <v>360.046253869969</v>
      </c>
      <c r="J871" s="2" t="n">
        <v>953.60625</v>
      </c>
      <c r="K871" s="2" t="s">
        <v>18</v>
      </c>
      <c r="L871" s="2" t="n">
        <f aca="false">J871/_xlfn.XLOOKUP(Tabla2[[#This Row],[Unidad de precio]],Tabla3[Medida],Tabla3[Equivalencia en Kg],"ELVIS",0)</f>
        <v>21.0230654761905</v>
      </c>
      <c r="M871" s="2" t="n">
        <v>4593.1</v>
      </c>
      <c r="N871" s="3" t="n">
        <f aca="false">(Tabla2[[#This Row],[Productividad (kg/TAS)]]*Tabla2[[#This Row],[Precio por kg]]-Tabla2[[#This Row],[Costos (En RD$/Tarea)]])</f>
        <v>2976.17596956546</v>
      </c>
      <c r="O871" s="9" t="n">
        <f aca="false">IF(Tabla2[[#This Row],[Costos (En RD$/Tarea)]]=0,0,Tabla2[[#This Row],[Beneficio Neto  (En RD$/Tarea)]]/Tabla2[[#This Row],[Costos (En RD$/Tarea)]])</f>
        <v>0.647966726081613</v>
      </c>
      <c r="P871" s="7" t="n">
        <f aca="false">Tabla2[[#This Row],[Rentabilidad (%)]]/12</f>
        <v>0.0539972271734678</v>
      </c>
    </row>
    <row r="872" customFormat="false" ht="14.25" hidden="false" customHeight="false" outlineLevel="0" collapsed="false">
      <c r="A872" s="1" t="n">
        <v>38718</v>
      </c>
      <c r="B872" s="2" t="s">
        <v>25</v>
      </c>
      <c r="C872" s="3" t="n">
        <v>27129</v>
      </c>
      <c r="D872" s="8" t="s">
        <v>17</v>
      </c>
      <c r="E872" s="3" t="n">
        <f aca="false">IF(Tabla2[[#This Row],[Frecuencia]]="Annual", Tabla2[[#This Row],[Cosecha/Tarea]]/12,Tabla2[[#This Row],[Cosecha/Tarea]])</f>
        <v>27129</v>
      </c>
      <c r="F872" s="3" t="n">
        <v>249658</v>
      </c>
      <c r="G872" s="2" t="s">
        <v>18</v>
      </c>
      <c r="H872" s="2" t="n">
        <f aca="false">F872/Tabla2[[#This Row],[Cosecha Mensual]]</f>
        <v>9.20262449776991</v>
      </c>
      <c r="I872" s="2" t="n">
        <f aca="false">H872*_xlfn.XLOOKUP(Tabla2[[#This Row],[Unidad de producción]],Tabla3[Medida],Tabla3[Equivalencia en Kg],"ELVIS",0)</f>
        <v>417.431047218843</v>
      </c>
      <c r="J872" s="2" t="n">
        <v>282.672</v>
      </c>
      <c r="K872" s="2" t="s">
        <v>18</v>
      </c>
      <c r="L872" s="2" t="n">
        <f aca="false">J872/_xlfn.XLOOKUP(Tabla2[[#This Row],[Unidad de precio]],Tabla3[Medida],Tabla3[Equivalencia en Kg],"ELVIS",0)</f>
        <v>6.23174603174603</v>
      </c>
      <c r="M872" s="2" t="n">
        <v>2287.145</v>
      </c>
      <c r="N872" s="3" t="n">
        <f aca="false">(Tabla2[[#This Row],[Productividad (kg/TAS)]]*Tabla2[[#This Row],[Precio por kg]]-Tabla2[[#This Row],[Costos (En RD$/Tarea)]])</f>
        <v>314.179272033618</v>
      </c>
      <c r="O872" s="9" t="n">
        <f aca="false">IF(Tabla2[[#This Row],[Costos (En RD$/Tarea)]]=0,0,Tabla2[[#This Row],[Beneficio Neto  (En RD$/Tarea)]]/Tabla2[[#This Row],[Costos (En RD$/Tarea)]])</f>
        <v>0.137367448077677</v>
      </c>
      <c r="P872" s="7" t="n">
        <f aca="false">Tabla2[[#This Row],[Rentabilidad (%)]]/12</f>
        <v>0.0114472873398064</v>
      </c>
    </row>
    <row r="873" customFormat="false" ht="14.25" hidden="false" customHeight="false" outlineLevel="0" collapsed="false">
      <c r="A873" s="1" t="n">
        <v>38718</v>
      </c>
      <c r="B873" s="2" t="s">
        <v>26</v>
      </c>
      <c r="C873" s="3" t="n">
        <v>12099</v>
      </c>
      <c r="D873" s="8" t="s">
        <v>17</v>
      </c>
      <c r="E873" s="3" t="n">
        <f aca="false">IF(Tabla2[[#This Row],[Frecuencia]]="Annual", Tabla2[[#This Row],[Cosecha/Tarea]]/12,Tabla2[[#This Row],[Cosecha/Tarea]])</f>
        <v>12099</v>
      </c>
      <c r="F873" s="3" t="n">
        <v>63156</v>
      </c>
      <c r="G873" s="2" t="s">
        <v>18</v>
      </c>
      <c r="H873" s="2" t="n">
        <f aca="false">F873/Tabla2[[#This Row],[Cosecha Mensual]]</f>
        <v>5.21993553186214</v>
      </c>
      <c r="I873" s="2" t="n">
        <f aca="false">H873*_xlfn.XLOOKUP(Tabla2[[#This Row],[Unidad de producción]],Tabla3[Medida],Tabla3[Equivalencia en Kg],"ELVIS",0)</f>
        <v>236.776275725267</v>
      </c>
      <c r="J873" s="2" t="n">
        <v>458.028333333333</v>
      </c>
      <c r="K873" s="2" t="s">
        <v>18</v>
      </c>
      <c r="L873" s="2" t="n">
        <f aca="false">J873/_xlfn.XLOOKUP(Tabla2[[#This Row],[Unidad de precio]],Tabla3[Medida],Tabla3[Equivalencia en Kg],"ELVIS",0)</f>
        <v>10.0976263962375</v>
      </c>
      <c r="M873" s="2" t="n">
        <v>864.56</v>
      </c>
      <c r="N873" s="3" t="n">
        <f aca="false">(Tabla2[[#This Row],[Productividad (kg/TAS)]]*Tabla2[[#This Row],[Precio por kg]]-Tabla2[[#This Row],[Costos (En RD$/Tarea)]])</f>
        <v>1526.31837176626</v>
      </c>
      <c r="O873" s="9" t="n">
        <f aca="false">IF(Tabla2[[#This Row],[Costos (En RD$/Tarea)]]=0,0,Tabla2[[#This Row],[Beneficio Neto  (En RD$/Tarea)]]/Tabla2[[#This Row],[Costos (En RD$/Tarea)]])</f>
        <v>1.76542793070031</v>
      </c>
      <c r="P873" s="7" t="n">
        <f aca="false">Tabla2[[#This Row],[Rentabilidad (%)]]/12</f>
        <v>0.147118994225026</v>
      </c>
    </row>
    <row r="874" customFormat="false" ht="14.25" hidden="false" customHeight="false" outlineLevel="0" collapsed="false">
      <c r="A874" s="1" t="n">
        <v>38718</v>
      </c>
      <c r="B874" s="2" t="s">
        <v>27</v>
      </c>
      <c r="C874" s="3" t="n">
        <v>6425</v>
      </c>
      <c r="D874" s="8" t="s">
        <v>17</v>
      </c>
      <c r="E874" s="3" t="n">
        <f aca="false">IF(Tabla2[[#This Row],[Frecuencia]]="Annual", Tabla2[[#This Row],[Cosecha/Tarea]]/12,Tabla2[[#This Row],[Cosecha/Tarea]])</f>
        <v>6425</v>
      </c>
      <c r="F874" s="3" t="n">
        <v>35117</v>
      </c>
      <c r="G874" s="2" t="s">
        <v>18</v>
      </c>
      <c r="H874" s="2" t="n">
        <f aca="false">F874/Tabla2[[#This Row],[Cosecha Mensual]]</f>
        <v>5.46568093385214</v>
      </c>
      <c r="I874" s="2" t="n">
        <f aca="false">H874*_xlfn.XLOOKUP(Tabla2[[#This Row],[Unidad de producción]],Tabla3[Medida],Tabla3[Equivalencia en Kg],"ELVIS",0)</f>
        <v>247.923287159533</v>
      </c>
      <c r="J874" s="2" t="n">
        <v>277.96</v>
      </c>
      <c r="K874" s="2" t="s">
        <v>18</v>
      </c>
      <c r="L874" s="2" t="n">
        <f aca="false">J874/_xlfn.XLOOKUP(Tabla2[[#This Row],[Unidad de precio]],Tabla3[Medida],Tabla3[Equivalencia en Kg],"ELVIS",0)</f>
        <v>6.12786596119929</v>
      </c>
      <c r="M874" s="2" t="n">
        <v>4742.13</v>
      </c>
      <c r="N874" s="3" t="n">
        <f aca="false">(Tabla2[[#This Row],[Productividad (kg/TAS)]]*Tabla2[[#This Row],[Precio por kg]]-Tabla2[[#This Row],[Costos (En RD$/Tarea)]])</f>
        <v>-3222.88932762646</v>
      </c>
      <c r="O874" s="9" t="n">
        <f aca="false">IF(Tabla2[[#This Row],[Costos (En RD$/Tarea)]]=0,0,Tabla2[[#This Row],[Beneficio Neto  (En RD$/Tarea)]]/Tabla2[[#This Row],[Costos (En RD$/Tarea)]])</f>
        <v>-0.679629054375662</v>
      </c>
      <c r="P874" s="7" t="n">
        <f aca="false">Tabla2[[#This Row],[Rentabilidad (%)]]/12</f>
        <v>-0.0566357545313052</v>
      </c>
    </row>
    <row r="875" customFormat="false" ht="14.25" hidden="false" customHeight="false" outlineLevel="0" collapsed="false">
      <c r="A875" s="1" t="n">
        <v>38718</v>
      </c>
      <c r="B875" s="2" t="s">
        <v>28</v>
      </c>
      <c r="C875" s="3" t="n">
        <v>36981</v>
      </c>
      <c r="D875" s="8" t="s">
        <v>17</v>
      </c>
      <c r="E875" s="3" t="n">
        <f aca="false">IF(Tabla2[[#This Row],[Frecuencia]]="Annual", Tabla2[[#This Row],[Cosecha/Tarea]]/12,Tabla2[[#This Row],[Cosecha/Tarea]])</f>
        <v>36981</v>
      </c>
      <c r="F875" s="3" t="n">
        <v>63734</v>
      </c>
      <c r="G875" s="2" t="s">
        <v>29</v>
      </c>
      <c r="H875" s="2" t="n">
        <f aca="false">F875/Tabla2[[#This Row],[Cosecha Mensual]]</f>
        <v>1.72342554284633</v>
      </c>
      <c r="I875" s="2" t="n">
        <f aca="false">H875*_xlfn.XLOOKUP(Tabla2[[#This Row],[Unidad de producción]],Tabla3[Medida],Tabla3[Equivalencia en Kg],"ELVIS",0)</f>
        <v>969.151119764203</v>
      </c>
      <c r="J875" s="2" t="n">
        <v>5062</v>
      </c>
      <c r="K875" s="2" t="s">
        <v>29</v>
      </c>
      <c r="L875" s="2" t="n">
        <f aca="false">J875/_xlfn.XLOOKUP(Tabla2[[#This Row],[Unidad de precio]],Tabla3[Medida],Tabla3[Equivalencia en Kg],"ELVIS",0)</f>
        <v>9.00167158658463</v>
      </c>
      <c r="M875" s="2" t="n">
        <v>8196.87</v>
      </c>
      <c r="N875" s="3" t="n">
        <f aca="false">(Tabla2[[#This Row],[Productividad (kg/TAS)]]*Tabla2[[#This Row],[Precio por kg]]-Tabla2[[#This Row],[Costos (En RD$/Tarea)]])</f>
        <v>527.110097888104</v>
      </c>
      <c r="O875" s="9" t="n">
        <f aca="false">IF(Tabla2[[#This Row],[Costos (En RD$/Tarea)]]=0,0,Tabla2[[#This Row],[Beneficio Neto  (En RD$/Tarea)]]/Tabla2[[#This Row],[Costos (En RD$/Tarea)]])</f>
        <v>0.0643062654266939</v>
      </c>
      <c r="P875" s="7" t="n">
        <f aca="false">Tabla2[[#This Row],[Rentabilidad (%)]]/12</f>
        <v>0.00535885545222449</v>
      </c>
    </row>
    <row r="876" customFormat="false" ht="14.25" hidden="false" customHeight="false" outlineLevel="0" collapsed="false">
      <c r="A876" s="1" t="n">
        <v>38718</v>
      </c>
      <c r="B876" s="2" t="s">
        <v>30</v>
      </c>
      <c r="C876" s="3" t="n">
        <v>325902</v>
      </c>
      <c r="D876" s="3" t="s">
        <v>31</v>
      </c>
      <c r="E876" s="3" t="n">
        <f aca="false">IF(Tabla2[[#This Row],[Frecuencia]]="Annual", Tabla2[[#This Row],[Cosecha/Tarea]]/12,Tabla2[[#This Row],[Cosecha/Tarea]])</f>
        <v>27158.5</v>
      </c>
      <c r="F876" s="3" t="n">
        <v>1819453</v>
      </c>
      <c r="G876" s="2" t="s">
        <v>32</v>
      </c>
      <c r="H876" s="2" t="n">
        <f aca="false">F876/Tabla2[[#This Row],[Cosecha Mensual]]</f>
        <v>66.9938693226798</v>
      </c>
      <c r="I876" s="2" t="n">
        <f aca="false">H876*_xlfn.XLOOKUP(Tabla2[[#This Row],[Unidad de producción]],Tabla3[Medida],Tabla3[Equivalencia en Kg],"ELVIS",0)</f>
        <v>1822.90318427012</v>
      </c>
      <c r="J876" s="2" t="n">
        <v>66.4925</v>
      </c>
      <c r="K876" s="2" t="s">
        <v>32</v>
      </c>
      <c r="L876" s="2" t="n">
        <f aca="false">J876/_xlfn.XLOOKUP(Tabla2[[#This Row],[Unidad de precio]],Tabla3[Medida],Tabla3[Equivalencia en Kg],"ELVIS",0)</f>
        <v>2.44367879456082</v>
      </c>
      <c r="M876" s="3" t="n">
        <v>7154.19</v>
      </c>
      <c r="N876" s="3" t="n">
        <f aca="false">(Tabla2[[#This Row],[Productividad (kg/TAS)]]*Tabla2[[#This Row],[Precio por kg]]-Tabla2[[#This Row],[Costos (En RD$/Tarea)]])</f>
        <v>-2699.60014406171</v>
      </c>
      <c r="O876" s="9" t="n">
        <f aca="false">IF(Tabla2[[#This Row],[Costos (En RD$/Tarea)]]=0,0,Tabla2[[#This Row],[Beneficio Neto  (En RD$/Tarea)]]/Tabla2[[#This Row],[Costos (En RD$/Tarea)]])</f>
        <v>-0.377345324077458</v>
      </c>
      <c r="P876" s="7" t="n">
        <f aca="false">Tabla2[[#This Row],[Rentabilidad (%)]]/12</f>
        <v>-0.0314454436731215</v>
      </c>
    </row>
    <row r="877" customFormat="false" ht="14.25" hidden="false" customHeight="false" outlineLevel="0" collapsed="false">
      <c r="A877" s="1" t="n">
        <v>38718</v>
      </c>
      <c r="B877" s="2" t="s">
        <v>33</v>
      </c>
      <c r="C877" s="3" t="n">
        <v>704149</v>
      </c>
      <c r="D877" s="3" t="s">
        <v>31</v>
      </c>
      <c r="E877" s="3" t="n">
        <f aca="false">IF(Tabla2[[#This Row],[Frecuencia]]="Annual", Tabla2[[#This Row],[Cosecha/Tarea]]/12,Tabla2[[#This Row],[Cosecha/Tarea]])</f>
        <v>58679.0833333333</v>
      </c>
      <c r="F877" s="3" t="n">
        <v>151275</v>
      </c>
      <c r="G877" s="2" t="s">
        <v>34</v>
      </c>
      <c r="H877" s="2" t="n">
        <f aca="false">F877/Tabla2[[#This Row],[Cosecha Mensual]]</f>
        <v>2.57800550735711</v>
      </c>
      <c r="I877" s="2" t="n">
        <f aca="false">H877*_xlfn.XLOOKUP(Tabla2[[#This Row],[Unidad de producción]],Tabla3[Medida],Tabla3[Equivalencia en Kg],"ELVIS",0)</f>
        <v>1052.2129478278</v>
      </c>
      <c r="J877" s="2" t="n">
        <v>3038.09875</v>
      </c>
      <c r="K877" s="2" t="s">
        <v>34</v>
      </c>
      <c r="L877" s="2" t="n">
        <f aca="false">J877/_xlfn.XLOOKUP(Tabla2[[#This Row],[Unidad de precio]],Tabla3[Medida],Tabla3[Equivalencia en Kg],"ELVIS",0)</f>
        <v>7.44358385397526</v>
      </c>
      <c r="M877" s="3" t="n">
        <v>9504.44</v>
      </c>
      <c r="N877" s="3" t="n">
        <f aca="false">(Tabla2[[#This Row],[Productividad (kg/TAS)]]*Tabla2[[#This Row],[Precio por kg]]-Tabla2[[#This Row],[Costos (En RD$/Tarea)]])</f>
        <v>-1672.20469060526</v>
      </c>
      <c r="O877" s="9" t="n">
        <f aca="false">IF(Tabla2[[#This Row],[Costos (En RD$/Tarea)]]=0,0,Tabla2[[#This Row],[Beneficio Neto  (En RD$/Tarea)]]/Tabla2[[#This Row],[Costos (En RD$/Tarea)]])</f>
        <v>-0.175939317898293</v>
      </c>
      <c r="P877" s="7" t="n">
        <f aca="false">Tabla2[[#This Row],[Rentabilidad (%)]]/12</f>
        <v>-0.0146616098248578</v>
      </c>
    </row>
    <row r="878" customFormat="false" ht="14.25" hidden="false" customHeight="false" outlineLevel="0" collapsed="false">
      <c r="A878" s="1" t="n">
        <v>38749</v>
      </c>
      <c r="B878" s="2" t="s">
        <v>16</v>
      </c>
      <c r="C878" s="3" t="n">
        <v>2259</v>
      </c>
      <c r="D878" s="8" t="s">
        <v>17</v>
      </c>
      <c r="E878" s="3" t="n">
        <f aca="false">IF(Tabla2[[#This Row],[Frecuencia]]="Annual", Tabla2[[#This Row],[Cosecha/Tarea]]/12,Tabla2[[#This Row],[Cosecha/Tarea]])</f>
        <v>2259</v>
      </c>
      <c r="F878" s="3" t="n">
        <v>6682</v>
      </c>
      <c r="G878" s="2" t="s">
        <v>18</v>
      </c>
      <c r="H878" s="2" t="n">
        <f aca="false">F878/Tabla2[[#This Row],[Cosecha Mensual]]</f>
        <v>2.95794599380257</v>
      </c>
      <c r="I878" s="2" t="n">
        <f aca="false">H878*_xlfn.XLOOKUP(Tabla2[[#This Row],[Unidad de producción]],Tabla3[Medida],Tabla3[Equivalencia en Kg],"ELVIS",0)</f>
        <v>134.172430278884</v>
      </c>
      <c r="J878" s="2" t="n">
        <v>1000</v>
      </c>
      <c r="K878" s="2" t="s">
        <v>19</v>
      </c>
      <c r="L878" s="2" t="n">
        <f aca="false">J878/_xlfn.XLOOKUP(Tabla2[[#This Row],[Unidad de precio]],Tabla3[Medida],Tabla3[Equivalencia en Kg],"ELVIS",0)</f>
        <v>9.09090909090909</v>
      </c>
      <c r="M878" s="2" t="n">
        <v>4756.775</v>
      </c>
      <c r="N878" s="3" t="n">
        <f aca="false">(Tabla2[[#This Row],[Productividad (kg/TAS)]]*Tabla2[[#This Row],[Precio por kg]]-Tabla2[[#This Row],[Costos (En RD$/Tarea)]])</f>
        <v>-3537.02563382832</v>
      </c>
      <c r="O878" s="9" t="n">
        <f aca="false">IF(Tabla2[[#This Row],[Costos (En RD$/Tarea)]]=0,0,Tabla2[[#This Row],[Beneficio Neto  (En RD$/Tarea)]]/Tabla2[[#This Row],[Costos (En RD$/Tarea)]])</f>
        <v>-0.74357640078169</v>
      </c>
      <c r="P878" s="7" t="n">
        <f aca="false">Tabla2[[#This Row],[Rentabilidad (%)]]/12</f>
        <v>-0.0619647000651408</v>
      </c>
    </row>
    <row r="879" customFormat="false" ht="14.25" hidden="false" customHeight="false" outlineLevel="0" collapsed="false">
      <c r="A879" s="1" t="n">
        <v>38749</v>
      </c>
      <c r="B879" s="2" t="s">
        <v>20</v>
      </c>
      <c r="C879" s="3" t="n">
        <v>17881</v>
      </c>
      <c r="D879" s="8" t="s">
        <v>17</v>
      </c>
      <c r="E879" s="3" t="n">
        <f aca="false">IF(Tabla2[[#This Row],[Frecuencia]]="Annual", Tabla2[[#This Row],[Cosecha/Tarea]]/12,Tabla2[[#This Row],[Cosecha/Tarea]])</f>
        <v>17881</v>
      </c>
      <c r="F879" s="3" t="n">
        <v>46167</v>
      </c>
      <c r="G879" s="2" t="s">
        <v>18</v>
      </c>
      <c r="H879" s="2" t="n">
        <f aca="false">F879/Tabla2[[#This Row],[Cosecha Mensual]]</f>
        <v>2.58190257815558</v>
      </c>
      <c r="I879" s="2" t="n">
        <f aca="false">H879*_xlfn.XLOOKUP(Tabla2[[#This Row],[Unidad de producción]],Tabla3[Medida],Tabla3[Equivalencia en Kg],"ELVIS",0)</f>
        <v>117.115100945137</v>
      </c>
      <c r="J879" s="2" t="n">
        <v>384.78524</v>
      </c>
      <c r="K879" s="2" t="s">
        <v>18</v>
      </c>
      <c r="L879" s="2" t="n">
        <f aca="false">J879/_xlfn.XLOOKUP(Tabla2[[#This Row],[Unidad de precio]],Tabla3[Medida],Tabla3[Equivalencia en Kg],"ELVIS",0)</f>
        <v>8.48291975308642</v>
      </c>
      <c r="M879" s="2" t="n">
        <v>1341.48</v>
      </c>
      <c r="N879" s="3" t="n">
        <f aca="false">(Tabla2[[#This Row],[Productividad (kg/TAS)]]*Tabla2[[#This Row],[Precio por kg]]-Tabla2[[#This Row],[Costos (En RD$/Tarea)]])</f>
        <v>-348.001996807785</v>
      </c>
      <c r="O879" s="9" t="n">
        <f aca="false">IF(Tabla2[[#This Row],[Costos (En RD$/Tarea)]]=0,0,Tabla2[[#This Row],[Beneficio Neto  (En RD$/Tarea)]]/Tabla2[[#This Row],[Costos (En RD$/Tarea)]])</f>
        <v>-0.259416463016806</v>
      </c>
      <c r="P879" s="7" t="n">
        <f aca="false">Tabla2[[#This Row],[Rentabilidad (%)]]/12</f>
        <v>-0.0216180385847338</v>
      </c>
    </row>
    <row r="880" customFormat="false" ht="14.25" hidden="false" customHeight="false" outlineLevel="0" collapsed="false">
      <c r="A880" s="1" t="n">
        <v>38749</v>
      </c>
      <c r="B880" s="2" t="s">
        <v>21</v>
      </c>
      <c r="C880" s="3" t="n">
        <v>5109</v>
      </c>
      <c r="D880" s="8" t="s">
        <v>17</v>
      </c>
      <c r="E880" s="3" t="n">
        <f aca="false">IF(Tabla2[[#This Row],[Frecuencia]]="Annual", Tabla2[[#This Row],[Cosecha/Tarea]]/12,Tabla2[[#This Row],[Cosecha/Tarea]])</f>
        <v>5109</v>
      </c>
      <c r="F880" s="3" t="n">
        <v>46414</v>
      </c>
      <c r="G880" s="2" t="s">
        <v>18</v>
      </c>
      <c r="H880" s="2" t="n">
        <f aca="false">F880/Tabla2[[#This Row],[Cosecha Mensual]]</f>
        <v>9.0847523977295</v>
      </c>
      <c r="I880" s="2" t="n">
        <f aca="false">H880*_xlfn.XLOOKUP(Tabla2[[#This Row],[Unidad de producción]],Tabla3[Medida],Tabla3[Equivalencia en Kg],"ELVIS",0)</f>
        <v>412.08436876101</v>
      </c>
      <c r="J880" s="2" t="n">
        <v>234.402366666667</v>
      </c>
      <c r="K880" s="2" t="s">
        <v>18</v>
      </c>
      <c r="L880" s="2" t="n">
        <f aca="false">J880/_xlfn.XLOOKUP(Tabla2[[#This Row],[Unidad de precio]],Tabla3[Medida],Tabla3[Equivalencia en Kg],"ELVIS",0)</f>
        <v>5.16760067607291</v>
      </c>
      <c r="M880" s="2" t="n">
        <v>2058.755</v>
      </c>
      <c r="N880" s="3" t="n">
        <f aca="false">(Tabla2[[#This Row],[Productividad (kg/TAS)]]*Tabla2[[#This Row],[Precio por kg]]-Tabla2[[#This Row],[Costos (En RD$/Tarea)]])</f>
        <v>70.7324626084719</v>
      </c>
      <c r="O880" s="9" t="n">
        <f aca="false">IF(Tabla2[[#This Row],[Costos (En RD$/Tarea)]]=0,0,Tabla2[[#This Row],[Beneficio Neto  (En RD$/Tarea)]]/Tabla2[[#This Row],[Costos (En RD$/Tarea)]])</f>
        <v>0.0343569111470145</v>
      </c>
      <c r="P880" s="7" t="n">
        <f aca="false">Tabla2[[#This Row],[Rentabilidad (%)]]/12</f>
        <v>0.00286307592891788</v>
      </c>
    </row>
    <row r="881" customFormat="false" ht="14.25" hidden="false" customHeight="false" outlineLevel="0" collapsed="false">
      <c r="A881" s="1" t="n">
        <v>38749</v>
      </c>
      <c r="B881" s="2" t="s">
        <v>22</v>
      </c>
      <c r="C881" s="3" t="n">
        <v>9702</v>
      </c>
      <c r="D881" s="8" t="s">
        <v>17</v>
      </c>
      <c r="E881" s="3" t="n">
        <f aca="false">IF(Tabla2[[#This Row],[Frecuencia]]="Annual", Tabla2[[#This Row],[Cosecha/Tarea]]/12,Tabla2[[#This Row],[Cosecha/Tarea]])</f>
        <v>9702</v>
      </c>
      <c r="F881" s="3" t="n">
        <v>80107</v>
      </c>
      <c r="G881" s="2" t="s">
        <v>18</v>
      </c>
      <c r="H881" s="2" t="n">
        <f aca="false">F881/Tabla2[[#This Row],[Cosecha Mensual]]</f>
        <v>8.25675118532261</v>
      </c>
      <c r="I881" s="2" t="n">
        <f aca="false">H881*_xlfn.XLOOKUP(Tabla2[[#This Row],[Unidad de producción]],Tabla3[Medida],Tabla3[Equivalencia en Kg],"ELVIS",0)</f>
        <v>374.526233766234</v>
      </c>
      <c r="J881" s="2" t="n">
        <v>880.833333333333</v>
      </c>
      <c r="K881" s="2" t="s">
        <v>18</v>
      </c>
      <c r="L881" s="2" t="n">
        <f aca="false">J881/_xlfn.XLOOKUP(Tabla2[[#This Row],[Unidad de precio]],Tabla3[Medida],Tabla3[Equivalencia en Kg],"ELVIS",0)</f>
        <v>19.4187242798354</v>
      </c>
      <c r="M881" s="2" t="n">
        <v>5691.88</v>
      </c>
      <c r="N881" s="3" t="n">
        <f aca="false">(Tabla2[[#This Row],[Productividad (kg/TAS)]]*Tabla2[[#This Row],[Precio por kg]]-Tabla2[[#This Row],[Costos (En RD$/Tarea)]])</f>
        <v>1580.94166907167</v>
      </c>
      <c r="O881" s="9" t="n">
        <f aca="false">IF(Tabla2[[#This Row],[Costos (En RD$/Tarea)]]=0,0,Tabla2[[#This Row],[Beneficio Neto  (En RD$/Tarea)]]/Tabla2[[#This Row],[Costos (En RD$/Tarea)]])</f>
        <v>0.277753864992176</v>
      </c>
      <c r="P881" s="7" t="n">
        <f aca="false">Tabla2[[#This Row],[Rentabilidad (%)]]/12</f>
        <v>0.0231461554160147</v>
      </c>
    </row>
    <row r="882" customFormat="false" ht="14.25" hidden="false" customHeight="false" outlineLevel="0" collapsed="false">
      <c r="A882" s="1" t="n">
        <v>38749</v>
      </c>
      <c r="B882" s="2" t="s">
        <v>23</v>
      </c>
      <c r="C882" s="3" t="n">
        <v>3264</v>
      </c>
      <c r="D882" s="8" t="s">
        <v>17</v>
      </c>
      <c r="E882" s="3" t="n">
        <f aca="false">IF(Tabla2[[#This Row],[Frecuencia]]="Annual", Tabla2[[#This Row],[Cosecha/Tarea]]/12,Tabla2[[#This Row],[Cosecha/Tarea]])</f>
        <v>3264</v>
      </c>
      <c r="F882" s="3" t="n">
        <v>110075</v>
      </c>
      <c r="G882" s="2" t="s">
        <v>18</v>
      </c>
      <c r="H882" s="2" t="n">
        <f aca="false">F882/Tabla2[[#This Row],[Cosecha Mensual]]</f>
        <v>33.7239583333333</v>
      </c>
      <c r="I882" s="2" t="n">
        <f aca="false">H882*_xlfn.XLOOKUP(Tabla2[[#This Row],[Unidad de producción]],Tabla3[Medida],Tabla3[Equivalencia en Kg],"ELVIS",0)</f>
        <v>1529.71875</v>
      </c>
      <c r="J882" s="2" t="n">
        <v>666.1875</v>
      </c>
      <c r="K882" s="2" t="s">
        <v>18</v>
      </c>
      <c r="L882" s="2" t="n">
        <f aca="false">J882/_xlfn.XLOOKUP(Tabla2[[#This Row],[Unidad de precio]],Tabla3[Medida],Tabla3[Equivalencia en Kg],"ELVIS",0)</f>
        <v>14.6866732804233</v>
      </c>
      <c r="M882" s="2" t="n">
        <v>10412.05</v>
      </c>
      <c r="N882" s="3" t="n">
        <f aca="false">(Tabla2[[#This Row],[Productividad (kg/TAS)]]*Tabla2[[#This Row],[Precio por kg]]-Tabla2[[#This Row],[Costos (En RD$/Tarea)]])</f>
        <v>12054.4294921875</v>
      </c>
      <c r="O882" s="9" t="n">
        <f aca="false">IF(Tabla2[[#This Row],[Costos (En RD$/Tarea)]]=0,0,Tabla2[[#This Row],[Beneficio Neto  (En RD$/Tarea)]]/Tabla2[[#This Row],[Costos (En RD$/Tarea)]])</f>
        <v>1.15773834088268</v>
      </c>
      <c r="P882" s="7" t="n">
        <f aca="false">Tabla2[[#This Row],[Rentabilidad (%)]]/12</f>
        <v>0.0964781950735566</v>
      </c>
    </row>
    <row r="883" customFormat="false" ht="14.25" hidden="false" customHeight="false" outlineLevel="0" collapsed="false">
      <c r="A883" s="1" t="n">
        <v>38749</v>
      </c>
      <c r="B883" s="2" t="s">
        <v>24</v>
      </c>
      <c r="C883" s="3" t="n">
        <v>9706</v>
      </c>
      <c r="D883" s="8" t="s">
        <v>17</v>
      </c>
      <c r="E883" s="3" t="n">
        <f aca="false">IF(Tabla2[[#This Row],[Frecuencia]]="Annual", Tabla2[[#This Row],[Cosecha/Tarea]]/12,Tabla2[[#This Row],[Cosecha/Tarea]])</f>
        <v>9706</v>
      </c>
      <c r="F883" s="3" t="n">
        <v>77787</v>
      </c>
      <c r="G883" s="2" t="s">
        <v>18</v>
      </c>
      <c r="H883" s="2" t="n">
        <f aca="false">F883/Tabla2[[#This Row],[Cosecha Mensual]]</f>
        <v>8.01432103853287</v>
      </c>
      <c r="I883" s="2" t="n">
        <f aca="false">H883*_xlfn.XLOOKUP(Tabla2[[#This Row],[Unidad de producción]],Tabla3[Medida],Tabla3[Equivalencia en Kg],"ELVIS",0)</f>
        <v>363.529602307851</v>
      </c>
      <c r="J883" s="2" t="n">
        <v>897.583333333333</v>
      </c>
      <c r="K883" s="2" t="s">
        <v>18</v>
      </c>
      <c r="L883" s="2" t="n">
        <f aca="false">J883/_xlfn.XLOOKUP(Tabla2[[#This Row],[Unidad de precio]],Tabla3[Medida],Tabla3[Equivalencia en Kg],"ELVIS",0)</f>
        <v>19.7879923574368</v>
      </c>
      <c r="M883" s="2" t="n">
        <v>4593.1</v>
      </c>
      <c r="N883" s="3" t="n">
        <f aca="false">(Tabla2[[#This Row],[Productividad (kg/TAS)]]*Tabla2[[#This Row],[Precio por kg]]-Tabla2[[#This Row],[Costos (En RD$/Tarea)]])</f>
        <v>2600.42099216979</v>
      </c>
      <c r="O883" s="9" t="n">
        <f aca="false">IF(Tabla2[[#This Row],[Costos (En RD$/Tarea)]]=0,0,Tabla2[[#This Row],[Beneficio Neto  (En RD$/Tarea)]]/Tabla2[[#This Row],[Costos (En RD$/Tarea)]])</f>
        <v>0.566158148564105</v>
      </c>
      <c r="P883" s="7" t="n">
        <f aca="false">Tabla2[[#This Row],[Rentabilidad (%)]]/12</f>
        <v>0.0471798457136754</v>
      </c>
    </row>
    <row r="884" customFormat="false" ht="14.25" hidden="false" customHeight="false" outlineLevel="0" collapsed="false">
      <c r="A884" s="1" t="n">
        <v>38749</v>
      </c>
      <c r="B884" s="2" t="s">
        <v>25</v>
      </c>
      <c r="C884" s="3" t="n">
        <v>32460</v>
      </c>
      <c r="D884" s="8" t="s">
        <v>17</v>
      </c>
      <c r="E884" s="3" t="n">
        <f aca="false">IF(Tabla2[[#This Row],[Frecuencia]]="Annual", Tabla2[[#This Row],[Cosecha/Tarea]]/12,Tabla2[[#This Row],[Cosecha/Tarea]])</f>
        <v>32460</v>
      </c>
      <c r="F884" s="3" t="n">
        <v>348521</v>
      </c>
      <c r="G884" s="2" t="s">
        <v>18</v>
      </c>
      <c r="H884" s="2" t="n">
        <f aca="false">F884/Tabla2[[#This Row],[Cosecha Mensual]]</f>
        <v>10.7369377695625</v>
      </c>
      <c r="I884" s="2" t="n">
        <f aca="false">H884*_xlfn.XLOOKUP(Tabla2[[#This Row],[Unidad de producción]],Tabla3[Medida],Tabla3[Equivalencia en Kg],"ELVIS",0)</f>
        <v>487.027497227357</v>
      </c>
      <c r="J884" s="2" t="n">
        <v>277.8628125</v>
      </c>
      <c r="K884" s="2" t="s">
        <v>18</v>
      </c>
      <c r="L884" s="2" t="n">
        <f aca="false">J884/_xlfn.XLOOKUP(Tabla2[[#This Row],[Unidad de precio]],Tabla3[Medida],Tabla3[Equivalencia en Kg],"ELVIS",0)</f>
        <v>6.12572337962963</v>
      </c>
      <c r="M884" s="2" t="n">
        <v>2287.145</v>
      </c>
      <c r="N884" s="3" t="n">
        <f aca="false">(Tabla2[[#This Row],[Productividad (kg/TAS)]]*Tabla2[[#This Row],[Precio por kg]]-Tabla2[[#This Row],[Costos (En RD$/Tarea)]])</f>
        <v>696.250726288124</v>
      </c>
      <c r="O884" s="9" t="n">
        <f aca="false">IF(Tabla2[[#This Row],[Costos (En RD$/Tarea)]]=0,0,Tabla2[[#This Row],[Beneficio Neto  (En RD$/Tarea)]]/Tabla2[[#This Row],[Costos (En RD$/Tarea)]])</f>
        <v>0.304419145392235</v>
      </c>
      <c r="P884" s="7" t="n">
        <f aca="false">Tabla2[[#This Row],[Rentabilidad (%)]]/12</f>
        <v>0.0253682621160196</v>
      </c>
    </row>
    <row r="885" customFormat="false" ht="14.25" hidden="false" customHeight="false" outlineLevel="0" collapsed="false">
      <c r="A885" s="1" t="n">
        <v>38749</v>
      </c>
      <c r="B885" s="2" t="s">
        <v>26</v>
      </c>
      <c r="C885" s="3" t="n">
        <v>11408</v>
      </c>
      <c r="D885" s="8" t="s">
        <v>17</v>
      </c>
      <c r="E885" s="3" t="n">
        <f aca="false">IF(Tabla2[[#This Row],[Frecuencia]]="Annual", Tabla2[[#This Row],[Cosecha/Tarea]]/12,Tabla2[[#This Row],[Cosecha/Tarea]])</f>
        <v>11408</v>
      </c>
      <c r="F885" s="3" t="n">
        <v>66014</v>
      </c>
      <c r="G885" s="2" t="s">
        <v>18</v>
      </c>
      <c r="H885" s="2" t="n">
        <f aca="false">F885/Tabla2[[#This Row],[Cosecha Mensual]]</f>
        <v>5.78664095371669</v>
      </c>
      <c r="I885" s="2" t="n">
        <f aca="false">H885*_xlfn.XLOOKUP(Tabla2[[#This Row],[Unidad de producción]],Tabla3[Medida],Tabla3[Equivalencia en Kg],"ELVIS",0)</f>
        <v>262.482033660589</v>
      </c>
      <c r="J885" s="2" t="n">
        <v>516.625</v>
      </c>
      <c r="K885" s="2" t="s">
        <v>18</v>
      </c>
      <c r="L885" s="2" t="n">
        <f aca="false">J885/_xlfn.XLOOKUP(Tabla2[[#This Row],[Unidad de precio]],Tabla3[Medida],Tabla3[Equivalencia en Kg],"ELVIS",0)</f>
        <v>11.3894400352734</v>
      </c>
      <c r="M885" s="2" t="n">
        <v>864.56</v>
      </c>
      <c r="N885" s="3" t="n">
        <f aca="false">(Tabla2[[#This Row],[Productividad (kg/TAS)]]*Tabla2[[#This Row],[Precio por kg]]-Tabla2[[#This Row],[Costos (En RD$/Tarea)]])</f>
        <v>2124.96338271388</v>
      </c>
      <c r="O885" s="9" t="n">
        <f aca="false">IF(Tabla2[[#This Row],[Costos (En RD$/Tarea)]]=0,0,Tabla2[[#This Row],[Beneficio Neto  (En RD$/Tarea)]]/Tabla2[[#This Row],[Costos (En RD$/Tarea)]])</f>
        <v>2.45785530525803</v>
      </c>
      <c r="P885" s="7" t="n">
        <f aca="false">Tabla2[[#This Row],[Rentabilidad (%)]]/12</f>
        <v>0.204821275438169</v>
      </c>
    </row>
    <row r="886" customFormat="false" ht="14.25" hidden="false" customHeight="false" outlineLevel="0" collapsed="false">
      <c r="A886" s="1" t="n">
        <v>38749</v>
      </c>
      <c r="B886" s="2" t="s">
        <v>27</v>
      </c>
      <c r="C886" s="3" t="n">
        <v>5032</v>
      </c>
      <c r="D886" s="8" t="s">
        <v>17</v>
      </c>
      <c r="E886" s="3" t="n">
        <f aca="false">IF(Tabla2[[#This Row],[Frecuencia]]="Annual", Tabla2[[#This Row],[Cosecha/Tarea]]/12,Tabla2[[#This Row],[Cosecha/Tarea]])</f>
        <v>5032</v>
      </c>
      <c r="F886" s="3" t="n">
        <v>43811</v>
      </c>
      <c r="G886" s="2" t="s">
        <v>18</v>
      </c>
      <c r="H886" s="2" t="n">
        <f aca="false">F886/Tabla2[[#This Row],[Cosecha Mensual]]</f>
        <v>8.70647853736089</v>
      </c>
      <c r="I886" s="2" t="n">
        <f aca="false">H886*_xlfn.XLOOKUP(Tabla2[[#This Row],[Unidad de producción]],Tabla3[Medida],Tabla3[Equivalencia en Kg],"ELVIS",0)</f>
        <v>394.92586645469</v>
      </c>
      <c r="J886" s="2" t="n">
        <v>256.2620595</v>
      </c>
      <c r="K886" s="2" t="s">
        <v>18</v>
      </c>
      <c r="L886" s="2" t="n">
        <f aca="false">J886/_xlfn.XLOOKUP(Tabla2[[#This Row],[Unidad de precio]],Tabla3[Medida],Tabla3[Equivalencia en Kg],"ELVIS",0)</f>
        <v>5.64951630291005</v>
      </c>
      <c r="M886" s="2" t="n">
        <v>4742.13</v>
      </c>
      <c r="N886" s="3" t="n">
        <f aca="false">(Tabla2[[#This Row],[Productividad (kg/TAS)]]*Tabla2[[#This Row],[Precio por kg]]-Tabla2[[#This Row],[Costos (En RD$/Tarea)]])</f>
        <v>-2510.98987902335</v>
      </c>
      <c r="O886" s="9" t="n">
        <f aca="false">IF(Tabla2[[#This Row],[Costos (En RD$/Tarea)]]=0,0,Tabla2[[#This Row],[Beneficio Neto  (En RD$/Tarea)]]/Tabla2[[#This Row],[Costos (En RD$/Tarea)]])</f>
        <v>-0.529506757305968</v>
      </c>
      <c r="P886" s="7" t="n">
        <f aca="false">Tabla2[[#This Row],[Rentabilidad (%)]]/12</f>
        <v>-0.0441255631088307</v>
      </c>
    </row>
    <row r="887" customFormat="false" ht="14.25" hidden="false" customHeight="false" outlineLevel="0" collapsed="false">
      <c r="A887" s="1" t="n">
        <v>38749</v>
      </c>
      <c r="B887" s="2" t="s">
        <v>28</v>
      </c>
      <c r="C887" s="3" t="n">
        <v>11514</v>
      </c>
      <c r="D887" s="8" t="s">
        <v>17</v>
      </c>
      <c r="E887" s="3" t="n">
        <f aca="false">IF(Tabla2[[#This Row],[Frecuencia]]="Annual", Tabla2[[#This Row],[Cosecha/Tarea]]/12,Tabla2[[#This Row],[Cosecha/Tarea]])</f>
        <v>11514</v>
      </c>
      <c r="F887" s="3" t="n">
        <v>6918</v>
      </c>
      <c r="G887" s="2" t="s">
        <v>29</v>
      </c>
      <c r="H887" s="2" t="n">
        <f aca="false">F887/Tabla2[[#This Row],[Cosecha Mensual]]</f>
        <v>0.600833767587285</v>
      </c>
      <c r="I887" s="2" t="n">
        <f aca="false">H887*_xlfn.XLOOKUP(Tabla2[[#This Row],[Unidad de producción]],Tabla3[Medida],Tabla3[Equivalencia en Kg],"ELVIS",0)</f>
        <v>337.872860865034</v>
      </c>
      <c r="J887" s="2" t="n">
        <v>3440.5</v>
      </c>
      <c r="K887" s="2" t="s">
        <v>29</v>
      </c>
      <c r="L887" s="2" t="n">
        <f aca="false">J887/_xlfn.XLOOKUP(Tabla2[[#This Row],[Unidad de precio]],Tabla3[Medida],Tabla3[Equivalencia en Kg],"ELVIS",0)</f>
        <v>6.11818472810044</v>
      </c>
      <c r="M887" s="2" t="n">
        <v>8196.87</v>
      </c>
      <c r="N887" s="3" t="n">
        <f aca="false">(Tabla2[[#This Row],[Productividad (kg/TAS)]]*Tabla2[[#This Row],[Precio por kg]]-Tabla2[[#This Row],[Costos (En RD$/Tarea)]])</f>
        <v>-6129.70142261595</v>
      </c>
      <c r="O887" s="9" t="n">
        <f aca="false">IF(Tabla2[[#This Row],[Costos (En RD$/Tarea)]]=0,0,Tabla2[[#This Row],[Beneficio Neto  (En RD$/Tarea)]]/Tabla2[[#This Row],[Costos (En RD$/Tarea)]])</f>
        <v>-0.747810008285595</v>
      </c>
      <c r="P887" s="7" t="n">
        <f aca="false">Tabla2[[#This Row],[Rentabilidad (%)]]/12</f>
        <v>-0.0623175006904663</v>
      </c>
    </row>
    <row r="888" customFormat="false" ht="14.25" hidden="false" customHeight="false" outlineLevel="0" collapsed="false">
      <c r="A888" s="1" t="n">
        <v>38749</v>
      </c>
      <c r="B888" s="2" t="s">
        <v>30</v>
      </c>
      <c r="C888" s="3" t="n">
        <v>318832</v>
      </c>
      <c r="D888" s="3" t="s">
        <v>31</v>
      </c>
      <c r="E888" s="3" t="n">
        <f aca="false">IF(Tabla2[[#This Row],[Frecuencia]]="Annual", Tabla2[[#This Row],[Cosecha/Tarea]]/12,Tabla2[[#This Row],[Cosecha/Tarea]])</f>
        <v>26569.3333333333</v>
      </c>
      <c r="F888" s="3" t="n">
        <v>1271115</v>
      </c>
      <c r="G888" s="2" t="s">
        <v>32</v>
      </c>
      <c r="H888" s="2" t="n">
        <f aca="false">F888/Tabla2[[#This Row],[Cosecha Mensual]]</f>
        <v>47.8414337331259</v>
      </c>
      <c r="I888" s="2" t="n">
        <f aca="false">H888*_xlfn.XLOOKUP(Tabla2[[#This Row],[Unidad de producción]],Tabla3[Medida],Tabla3[Equivalencia en Kg],"ELVIS",0)</f>
        <v>1301.76541187836</v>
      </c>
      <c r="J888" s="2" t="n">
        <v>67.5525</v>
      </c>
      <c r="K888" s="2" t="s">
        <v>32</v>
      </c>
      <c r="L888" s="2" t="n">
        <f aca="false">J888/_xlfn.XLOOKUP(Tabla2[[#This Row],[Unidad de precio]],Tabla3[Medida],Tabla3[Equivalencia en Kg],"ELVIS",0)</f>
        <v>2.48263506063947</v>
      </c>
      <c r="M888" s="3" t="n">
        <v>7154.19</v>
      </c>
      <c r="N888" s="3" t="n">
        <f aca="false">(Tabla2[[#This Row],[Productividad (kg/TAS)]]*Tabla2[[#This Row],[Precio por kg]]-Tabla2[[#This Row],[Costos (En RD$/Tarea)]])</f>
        <v>-3922.38154774301</v>
      </c>
      <c r="O888" s="9" t="n">
        <f aca="false">IF(Tabla2[[#This Row],[Costos (En RD$/Tarea)]]=0,0,Tabla2[[#This Row],[Beneficio Neto  (En RD$/Tarea)]]/Tabla2[[#This Row],[Costos (En RD$/Tarea)]])</f>
        <v>-0.548263541748683</v>
      </c>
      <c r="P888" s="7" t="n">
        <f aca="false">Tabla2[[#This Row],[Rentabilidad (%)]]/12</f>
        <v>-0.0456886284790569</v>
      </c>
    </row>
    <row r="889" customFormat="false" ht="14.25" hidden="false" customHeight="false" outlineLevel="0" collapsed="false">
      <c r="A889" s="1" t="n">
        <v>38749</v>
      </c>
      <c r="B889" s="2" t="s">
        <v>33</v>
      </c>
      <c r="C889" s="3" t="n">
        <v>652695</v>
      </c>
      <c r="D889" s="3" t="s">
        <v>31</v>
      </c>
      <c r="E889" s="11" t="n">
        <f aca="false">IF(Tabla2[[#This Row],[Frecuencia]]="Annual", Tabla2[[#This Row],[Cosecha/Tarea]]/12,Tabla2[[#This Row],[Cosecha/Tarea]])</f>
        <v>54391.25</v>
      </c>
      <c r="F889" s="3" t="n">
        <v>178281</v>
      </c>
      <c r="G889" s="2" t="s">
        <v>34</v>
      </c>
      <c r="H889" s="2" t="n">
        <f aca="false">F889/Tabla2[[#This Row],[Cosecha Mensual]]</f>
        <v>3.27775147657022</v>
      </c>
      <c r="I889" s="2" t="n">
        <f aca="false">H889*_xlfn.XLOOKUP(Tabla2[[#This Row],[Unidad de producción]],Tabla3[Medida],Tabla3[Equivalencia en Kg],"ELVIS",0)</f>
        <v>1337.81426516214</v>
      </c>
      <c r="J889" s="2" t="n">
        <v>3288.1</v>
      </c>
      <c r="K889" s="2" t="s">
        <v>34</v>
      </c>
      <c r="L889" s="2" t="n">
        <f aca="false">J889/_xlfn.XLOOKUP(Tabla2[[#This Row],[Unidad de precio]],Tabla3[Medida],Tabla3[Equivalencia en Kg],"ELVIS",0)</f>
        <v>8.05610682347176</v>
      </c>
      <c r="M889" s="3" t="n">
        <v>9504.44</v>
      </c>
      <c r="N889" s="3" t="n">
        <f aca="false">(Tabla2[[#This Row],[Productividad (kg/TAS)]]*Tabla2[[#This Row],[Precio por kg]]-Tabla2[[#This Row],[Costos (En RD$/Tarea)]])</f>
        <v>1273.13463011054</v>
      </c>
      <c r="O889" s="9" t="n">
        <f aca="false">IF(Tabla2[[#This Row],[Costos (En RD$/Tarea)]]=0,0,Tabla2[[#This Row],[Beneficio Neto  (En RD$/Tarea)]]/Tabla2[[#This Row],[Costos (En RD$/Tarea)]])</f>
        <v>0.133951566858283</v>
      </c>
      <c r="P889" s="7" t="n">
        <f aca="false">Tabla2[[#This Row],[Rentabilidad (%)]]/12</f>
        <v>0.0111626305715236</v>
      </c>
    </row>
    <row r="890" customFormat="false" ht="14.25" hidden="false" customHeight="false" outlineLevel="0" collapsed="false">
      <c r="A890" s="1" t="n">
        <v>38777</v>
      </c>
      <c r="B890" s="2" t="s">
        <v>16</v>
      </c>
      <c r="C890" s="3" t="n">
        <v>7222</v>
      </c>
      <c r="D890" s="8" t="s">
        <v>17</v>
      </c>
      <c r="E890" s="3" t="n">
        <f aca="false">IF(Tabla2[[#This Row],[Frecuencia]]="Annual", Tabla2[[#This Row],[Cosecha/Tarea]]/12,Tabla2[[#This Row],[Cosecha/Tarea]])</f>
        <v>7222</v>
      </c>
      <c r="F890" s="3" t="n">
        <v>23534</v>
      </c>
      <c r="G890" s="2" t="s">
        <v>18</v>
      </c>
      <c r="H890" s="2" t="n">
        <f aca="false">F890/Tabla2[[#This Row],[Cosecha Mensual]]</f>
        <v>3.25865411243423</v>
      </c>
      <c r="I890" s="2" t="n">
        <f aca="false">H890*_xlfn.XLOOKUP(Tabla2[[#This Row],[Unidad de producción]],Tabla3[Medida],Tabla3[Equivalencia en Kg],"ELVIS",0)</f>
        <v>147.812550540017</v>
      </c>
      <c r="J890" s="2" t="n">
        <v>948</v>
      </c>
      <c r="K890" s="2" t="s">
        <v>19</v>
      </c>
      <c r="L890" s="2" t="n">
        <f aca="false">J890/_xlfn.XLOOKUP(Tabla2[[#This Row],[Unidad de precio]],Tabla3[Medida],Tabla3[Equivalencia en Kg],"ELVIS",0)</f>
        <v>8.61818181818182</v>
      </c>
      <c r="M890" s="2" t="n">
        <v>4756.775</v>
      </c>
      <c r="N890" s="3" t="n">
        <f aca="false">(Tabla2[[#This Row],[Productividad (kg/TAS)]]*Tabla2[[#This Row],[Precio por kg]]-Tabla2[[#This Row],[Costos (En RD$/Tarea)]])</f>
        <v>-3482.89956443695</v>
      </c>
      <c r="O890" s="9" t="n">
        <f aca="false">IF(Tabla2[[#This Row],[Costos (En RD$/Tarea)]]=0,0,Tabla2[[#This Row],[Beneficio Neto  (En RD$/Tarea)]]/Tabla2[[#This Row],[Costos (En RD$/Tarea)]])</f>
        <v>-0.732197668470118</v>
      </c>
      <c r="P890" s="7" t="n">
        <f aca="false">Tabla2[[#This Row],[Rentabilidad (%)]]/12</f>
        <v>-0.0610164723725099</v>
      </c>
    </row>
    <row r="891" customFormat="false" ht="14.25" hidden="false" customHeight="false" outlineLevel="0" collapsed="false">
      <c r="A891" s="1" t="n">
        <v>38777</v>
      </c>
      <c r="B891" s="2" t="s">
        <v>20</v>
      </c>
      <c r="C891" s="3" t="n">
        <v>11130</v>
      </c>
      <c r="D891" s="8" t="s">
        <v>17</v>
      </c>
      <c r="E891" s="3" t="n">
        <f aca="false">IF(Tabla2[[#This Row],[Frecuencia]]="Annual", Tabla2[[#This Row],[Cosecha/Tarea]]/12,Tabla2[[#This Row],[Cosecha/Tarea]])</f>
        <v>11130</v>
      </c>
      <c r="F891" s="3" t="n">
        <v>18628</v>
      </c>
      <c r="G891" s="2" t="s">
        <v>18</v>
      </c>
      <c r="H891" s="2" t="n">
        <f aca="false">F891/Tabla2[[#This Row],[Cosecha Mensual]]</f>
        <v>1.67367475292004</v>
      </c>
      <c r="I891" s="2" t="n">
        <f aca="false">H891*_xlfn.XLOOKUP(Tabla2[[#This Row],[Unidad de producción]],Tabla3[Medida],Tabla3[Equivalencia en Kg],"ELVIS",0)</f>
        <v>75.9178867924528</v>
      </c>
      <c r="J891" s="2" t="n">
        <v>337.92048</v>
      </c>
      <c r="K891" s="2" t="s">
        <v>18</v>
      </c>
      <c r="L891" s="2" t="n">
        <f aca="false">J891/_xlfn.XLOOKUP(Tabla2[[#This Row],[Unidad de precio]],Tabla3[Medida],Tabla3[Equivalencia en Kg],"ELVIS",0)</f>
        <v>7.44974603174603</v>
      </c>
      <c r="M891" s="2" t="n">
        <v>1341.48</v>
      </c>
      <c r="N891" s="3" t="n">
        <f aca="false">(Tabla2[[#This Row],[Productividad (kg/TAS)]]*Tabla2[[#This Row],[Precio por kg]]-Tabla2[[#This Row],[Costos (En RD$/Tarea)]])</f>
        <v>-775.91102412938</v>
      </c>
      <c r="O891" s="9" t="n">
        <f aca="false">IF(Tabla2[[#This Row],[Costos (En RD$/Tarea)]]=0,0,Tabla2[[#This Row],[Beneficio Neto  (En RD$/Tarea)]]/Tabla2[[#This Row],[Costos (En RD$/Tarea)]])</f>
        <v>-0.578399248687554</v>
      </c>
      <c r="P891" s="7" t="n">
        <f aca="false">Tabla2[[#This Row],[Rentabilidad (%)]]/12</f>
        <v>-0.0481999373906295</v>
      </c>
    </row>
    <row r="892" customFormat="false" ht="14.25" hidden="false" customHeight="false" outlineLevel="0" collapsed="false">
      <c r="A892" s="1" t="n">
        <v>38777</v>
      </c>
      <c r="B892" s="2" t="s">
        <v>21</v>
      </c>
      <c r="C892" s="3" t="n">
        <v>6376</v>
      </c>
      <c r="D892" s="8" t="s">
        <v>17</v>
      </c>
      <c r="E892" s="3" t="n">
        <f aca="false">IF(Tabla2[[#This Row],[Frecuencia]]="Annual", Tabla2[[#This Row],[Cosecha/Tarea]]/12,Tabla2[[#This Row],[Cosecha/Tarea]])</f>
        <v>6376</v>
      </c>
      <c r="F892" s="3" t="n">
        <v>62364</v>
      </c>
      <c r="G892" s="2" t="s">
        <v>18</v>
      </c>
      <c r="H892" s="2" t="n">
        <f aca="false">F892/Tabla2[[#This Row],[Cosecha Mensual]]</f>
        <v>9.78105395232121</v>
      </c>
      <c r="I892" s="2" t="n">
        <f aca="false">H892*_xlfn.XLOOKUP(Tabla2[[#This Row],[Unidad de producción]],Tabla3[Medida],Tabla3[Equivalencia en Kg],"ELVIS",0)</f>
        <v>443.66860727729</v>
      </c>
      <c r="J892" s="2" t="n">
        <v>392.166</v>
      </c>
      <c r="K892" s="2" t="s">
        <v>18</v>
      </c>
      <c r="L892" s="2" t="n">
        <f aca="false">J892/_xlfn.XLOOKUP(Tabla2[[#This Row],[Unidad de precio]],Tabla3[Medida],Tabla3[Equivalencia en Kg],"ELVIS",0)</f>
        <v>8.64563492063492</v>
      </c>
      <c r="M892" s="2" t="n">
        <v>2058.755</v>
      </c>
      <c r="N892" s="3" t="n">
        <f aca="false">(Tabla2[[#This Row],[Productividad (kg/TAS)]]*Tabla2[[#This Row],[Precio por kg]]-Tabla2[[#This Row],[Costos (En RD$/Tarea)]])</f>
        <v>1777.041804266</v>
      </c>
      <c r="O892" s="9" t="n">
        <f aca="false">IF(Tabla2[[#This Row],[Costos (En RD$/Tarea)]]=0,0,Tabla2[[#This Row],[Beneficio Neto  (En RD$/Tarea)]]/Tabla2[[#This Row],[Costos (En RD$/Tarea)]])</f>
        <v>0.863163321651191</v>
      </c>
      <c r="P892" s="7" t="n">
        <f aca="false">Tabla2[[#This Row],[Rentabilidad (%)]]/12</f>
        <v>0.0719302768042659</v>
      </c>
    </row>
    <row r="893" customFormat="false" ht="14.25" hidden="false" customHeight="false" outlineLevel="0" collapsed="false">
      <c r="A893" s="1" t="n">
        <v>38777</v>
      </c>
      <c r="B893" s="2" t="s">
        <v>22</v>
      </c>
      <c r="C893" s="3" t="n">
        <v>4820</v>
      </c>
      <c r="D893" s="8" t="s">
        <v>17</v>
      </c>
      <c r="E893" s="3" t="n">
        <f aca="false">IF(Tabla2[[#This Row],[Frecuencia]]="Annual", Tabla2[[#This Row],[Cosecha/Tarea]]/12,Tabla2[[#This Row],[Cosecha/Tarea]])</f>
        <v>4820</v>
      </c>
      <c r="F893" s="3" t="n">
        <v>40490</v>
      </c>
      <c r="G893" s="2" t="s">
        <v>18</v>
      </c>
      <c r="H893" s="2" t="n">
        <f aca="false">F893/Tabla2[[#This Row],[Cosecha Mensual]]</f>
        <v>8.40041493775934</v>
      </c>
      <c r="I893" s="2" t="n">
        <f aca="false">H893*_xlfn.XLOOKUP(Tabla2[[#This Row],[Unidad de producción]],Tabla3[Medida],Tabla3[Equivalencia en Kg],"ELVIS",0)</f>
        <v>381.042821576764</v>
      </c>
      <c r="J893" s="2" t="n">
        <v>750.4</v>
      </c>
      <c r="K893" s="2" t="s">
        <v>18</v>
      </c>
      <c r="L893" s="2" t="n">
        <f aca="false">J893/_xlfn.XLOOKUP(Tabla2[[#This Row],[Unidad de precio]],Tabla3[Medida],Tabla3[Equivalencia en Kg],"ELVIS",0)</f>
        <v>16.5432098765432</v>
      </c>
      <c r="M893" s="2" t="n">
        <v>5691.88</v>
      </c>
      <c r="N893" s="3" t="n">
        <f aca="false">(Tabla2[[#This Row],[Productividad (kg/TAS)]]*Tabla2[[#This Row],[Precio por kg]]-Tabla2[[#This Row],[Costos (En RD$/Tarea)]])</f>
        <v>611.791369294606</v>
      </c>
      <c r="O893" s="9" t="n">
        <f aca="false">IF(Tabla2[[#This Row],[Costos (En RD$/Tarea)]]=0,0,Tabla2[[#This Row],[Beneficio Neto  (En RD$/Tarea)]]/Tabla2[[#This Row],[Costos (En RD$/Tarea)]])</f>
        <v>0.107484938068723</v>
      </c>
      <c r="P893" s="7" t="n">
        <f aca="false">Tabla2[[#This Row],[Rentabilidad (%)]]/12</f>
        <v>0.00895707817239362</v>
      </c>
    </row>
    <row r="894" customFormat="false" ht="14.25" hidden="false" customHeight="false" outlineLevel="0" collapsed="false">
      <c r="A894" s="1" t="n">
        <v>38777</v>
      </c>
      <c r="B894" s="2" t="s">
        <v>23</v>
      </c>
      <c r="C894" s="3" t="n">
        <v>2733</v>
      </c>
      <c r="D894" s="8" t="s">
        <v>17</v>
      </c>
      <c r="E894" s="3" t="n">
        <f aca="false">IF(Tabla2[[#This Row],[Frecuencia]]="Annual", Tabla2[[#This Row],[Cosecha/Tarea]]/12,Tabla2[[#This Row],[Cosecha/Tarea]])</f>
        <v>2733</v>
      </c>
      <c r="F894" s="3" t="n">
        <v>89445</v>
      </c>
      <c r="G894" s="2" t="s">
        <v>18</v>
      </c>
      <c r="H894" s="2" t="n">
        <f aca="false">F894/Tabla2[[#This Row],[Cosecha Mensual]]</f>
        <v>32.7277716794731</v>
      </c>
      <c r="I894" s="2" t="n">
        <f aca="false">H894*_xlfn.XLOOKUP(Tabla2[[#This Row],[Unidad de producción]],Tabla3[Medida],Tabla3[Equivalencia en Kg],"ELVIS",0)</f>
        <v>1484.5317233809</v>
      </c>
      <c r="J894" s="2" t="n">
        <v>544.45485</v>
      </c>
      <c r="K894" s="2" t="s">
        <v>18</v>
      </c>
      <c r="L894" s="2" t="n">
        <f aca="false">J894/_xlfn.XLOOKUP(Tabla2[[#This Row],[Unidad de precio]],Tabla3[Medida],Tabla3[Equivalencia en Kg],"ELVIS",0)</f>
        <v>12.0029728835979</v>
      </c>
      <c r="M894" s="2" t="n">
        <v>10412.05</v>
      </c>
      <c r="N894" s="3" t="n">
        <f aca="false">(Tabla2[[#This Row],[Productividad (kg/TAS)]]*Tabla2[[#This Row],[Precio por kg]]-Tabla2[[#This Row],[Costos (En RD$/Tarea)]])</f>
        <v>7406.74402058178</v>
      </c>
      <c r="O894" s="9" t="n">
        <f aca="false">IF(Tabla2[[#This Row],[Costos (En RD$/Tarea)]]=0,0,Tabla2[[#This Row],[Beneficio Neto  (En RD$/Tarea)]]/Tabla2[[#This Row],[Costos (En RD$/Tarea)]])</f>
        <v>0.711362701925344</v>
      </c>
      <c r="P894" s="7" t="n">
        <f aca="false">Tabla2[[#This Row],[Rentabilidad (%)]]/12</f>
        <v>0.0592802251604453</v>
      </c>
    </row>
    <row r="895" customFormat="false" ht="14.25" hidden="false" customHeight="false" outlineLevel="0" collapsed="false">
      <c r="A895" s="1" t="n">
        <v>38777</v>
      </c>
      <c r="B895" s="2" t="s">
        <v>24</v>
      </c>
      <c r="C895" s="3" t="n">
        <v>5983</v>
      </c>
      <c r="D895" s="8" t="s">
        <v>17</v>
      </c>
      <c r="E895" s="3" t="n">
        <f aca="false">IF(Tabla2[[#This Row],[Frecuencia]]="Annual", Tabla2[[#This Row],[Cosecha/Tarea]]/12,Tabla2[[#This Row],[Cosecha/Tarea]])</f>
        <v>5983</v>
      </c>
      <c r="F895" s="3" t="n">
        <v>46939</v>
      </c>
      <c r="G895" s="2" t="s">
        <v>18</v>
      </c>
      <c r="H895" s="2" t="n">
        <f aca="false">F895/Tabla2[[#This Row],[Cosecha Mensual]]</f>
        <v>7.8453952866455</v>
      </c>
      <c r="I895" s="2" t="n">
        <f aca="false">H895*_xlfn.XLOOKUP(Tabla2[[#This Row],[Unidad de producción]],Tabla3[Medida],Tabla3[Equivalencia en Kg],"ELVIS",0)</f>
        <v>355.86713020224</v>
      </c>
      <c r="J895" s="2" t="n">
        <v>972.35</v>
      </c>
      <c r="K895" s="2" t="s">
        <v>18</v>
      </c>
      <c r="L895" s="2" t="n">
        <f aca="false">J895/_xlfn.XLOOKUP(Tabla2[[#This Row],[Unidad de precio]],Tabla3[Medida],Tabla3[Equivalencia en Kg],"ELVIS",0)</f>
        <v>21.4362874779541</v>
      </c>
      <c r="M895" s="2" t="n">
        <v>4593.1</v>
      </c>
      <c r="N895" s="3" t="n">
        <f aca="false">(Tabla2[[#This Row],[Productividad (kg/TAS)]]*Tabla2[[#This Row],[Precio por kg]]-Tabla2[[#This Row],[Costos (En RD$/Tarea)]])</f>
        <v>3035.37010696975</v>
      </c>
      <c r="O895" s="9" t="n">
        <f aca="false">IF(Tabla2[[#This Row],[Costos (En RD$/Tarea)]]=0,0,Tabla2[[#This Row],[Beneficio Neto  (En RD$/Tarea)]]/Tabla2[[#This Row],[Costos (En RD$/Tarea)]])</f>
        <v>0.660854348254936</v>
      </c>
      <c r="P895" s="7" t="n">
        <f aca="false">Tabla2[[#This Row],[Rentabilidad (%)]]/12</f>
        <v>0.0550711956879114</v>
      </c>
    </row>
    <row r="896" customFormat="false" ht="14.25" hidden="false" customHeight="false" outlineLevel="0" collapsed="false">
      <c r="A896" s="1" t="n">
        <v>38777</v>
      </c>
      <c r="B896" s="2" t="s">
        <v>25</v>
      </c>
      <c r="C896" s="3" t="n">
        <v>26663</v>
      </c>
      <c r="D896" s="8" t="s">
        <v>17</v>
      </c>
      <c r="E896" s="3" t="n">
        <f aca="false">IF(Tabla2[[#This Row],[Frecuencia]]="Annual", Tabla2[[#This Row],[Cosecha/Tarea]]/12,Tabla2[[#This Row],[Cosecha/Tarea]])</f>
        <v>26663</v>
      </c>
      <c r="F896" s="3" t="n">
        <v>268251</v>
      </c>
      <c r="G896" s="2" t="s">
        <v>18</v>
      </c>
      <c r="H896" s="2" t="n">
        <f aca="false">F896/Tabla2[[#This Row],[Cosecha Mensual]]</f>
        <v>10.0607958594307</v>
      </c>
      <c r="I896" s="2" t="n">
        <f aca="false">H896*_xlfn.XLOOKUP(Tabla2[[#This Row],[Unidad de producción]],Tabla3[Medida],Tabla3[Equivalencia en Kg],"ELVIS",0)</f>
        <v>456.357700183775</v>
      </c>
      <c r="J896" s="2" t="n">
        <v>430.892857142857</v>
      </c>
      <c r="K896" s="2" t="s">
        <v>18</v>
      </c>
      <c r="L896" s="2" t="n">
        <f aca="false">J896/_xlfn.XLOOKUP(Tabla2[[#This Row],[Unidad de precio]],Tabla3[Medida],Tabla3[Equivalencia en Kg],"ELVIS",0)</f>
        <v>9.49940161249685</v>
      </c>
      <c r="M896" s="2" t="n">
        <v>2287.145</v>
      </c>
      <c r="N896" s="3" t="n">
        <f aca="false">(Tabla2[[#This Row],[Productividad (kg/TAS)]]*Tabla2[[#This Row],[Precio por kg]]-Tabla2[[#This Row],[Costos (En RD$/Tarea)]])</f>
        <v>2047.98007300111</v>
      </c>
      <c r="O896" s="9" t="n">
        <f aca="false">IF(Tabla2[[#This Row],[Costos (En RD$/Tarea)]]=0,0,Tabla2[[#This Row],[Beneficio Neto  (En RD$/Tarea)]]/Tabla2[[#This Row],[Costos (En RD$/Tarea)]])</f>
        <v>0.895430798222722</v>
      </c>
      <c r="P896" s="7" t="n">
        <f aca="false">Tabla2[[#This Row],[Rentabilidad (%)]]/12</f>
        <v>0.0746192331852268</v>
      </c>
    </row>
    <row r="897" customFormat="false" ht="14.25" hidden="false" customHeight="false" outlineLevel="0" collapsed="false">
      <c r="A897" s="1" t="n">
        <v>38777</v>
      </c>
      <c r="B897" s="2" t="s">
        <v>26</v>
      </c>
      <c r="C897" s="3" t="n">
        <v>9925</v>
      </c>
      <c r="D897" s="8" t="s">
        <v>17</v>
      </c>
      <c r="E897" s="3" t="n">
        <f aca="false">IF(Tabla2[[#This Row],[Frecuencia]]="Annual", Tabla2[[#This Row],[Cosecha/Tarea]]/12,Tabla2[[#This Row],[Cosecha/Tarea]])</f>
        <v>9925</v>
      </c>
      <c r="F897" s="3" t="n">
        <v>53770</v>
      </c>
      <c r="G897" s="2" t="s">
        <v>18</v>
      </c>
      <c r="H897" s="2" t="n">
        <f aca="false">F897/Tabla2[[#This Row],[Cosecha Mensual]]</f>
        <v>5.4176322418136</v>
      </c>
      <c r="I897" s="2" t="n">
        <f aca="false">H897*_xlfn.XLOOKUP(Tabla2[[#This Row],[Unidad de producción]],Tabla3[Medida],Tabla3[Equivalencia en Kg],"ELVIS",0)</f>
        <v>245.743798488665</v>
      </c>
      <c r="J897" s="2" t="n">
        <v>582.166</v>
      </c>
      <c r="K897" s="2" t="s">
        <v>18</v>
      </c>
      <c r="L897" s="2" t="n">
        <f aca="false">J897/_xlfn.XLOOKUP(Tabla2[[#This Row],[Unidad de precio]],Tabla3[Medida],Tabla3[Equivalencia en Kg],"ELVIS",0)</f>
        <v>12.8343474426808</v>
      </c>
      <c r="M897" s="2" t="n">
        <v>864.56</v>
      </c>
      <c r="N897" s="3" t="n">
        <f aca="false">(Tabla2[[#This Row],[Productividad (kg/TAS)]]*Tabla2[[#This Row],[Precio por kg]]-Tabla2[[#This Row],[Costos (En RD$/Tarea)]])</f>
        <v>2289.40129168766</v>
      </c>
      <c r="O897" s="9" t="n">
        <f aca="false">IF(Tabla2[[#This Row],[Costos (En RD$/Tarea)]]=0,0,Tabla2[[#This Row],[Beneficio Neto  (En RD$/Tarea)]]/Tabla2[[#This Row],[Costos (En RD$/Tarea)]])</f>
        <v>2.64805368243691</v>
      </c>
      <c r="P897" s="7" t="n">
        <f aca="false">Tabla2[[#This Row],[Rentabilidad (%)]]/12</f>
        <v>0.220671140203076</v>
      </c>
    </row>
    <row r="898" customFormat="false" ht="14.25" hidden="false" customHeight="false" outlineLevel="0" collapsed="false">
      <c r="A898" s="1" t="n">
        <v>38777</v>
      </c>
      <c r="B898" s="2" t="s">
        <v>27</v>
      </c>
      <c r="C898" s="3" t="n">
        <v>5709</v>
      </c>
      <c r="D898" s="8" t="s">
        <v>17</v>
      </c>
      <c r="E898" s="3" t="n">
        <f aca="false">IF(Tabla2[[#This Row],[Frecuencia]]="Annual", Tabla2[[#This Row],[Cosecha/Tarea]]/12,Tabla2[[#This Row],[Cosecha/Tarea]])</f>
        <v>5709</v>
      </c>
      <c r="F898" s="3" t="n">
        <v>50682</v>
      </c>
      <c r="G898" s="2" t="s">
        <v>18</v>
      </c>
      <c r="H898" s="2" t="n">
        <f aca="false">F898/Tabla2[[#This Row],[Cosecha Mensual]]</f>
        <v>8.87756174461377</v>
      </c>
      <c r="I898" s="2" t="n">
        <f aca="false">H898*_xlfn.XLOOKUP(Tabla2[[#This Row],[Unidad de producción]],Tabla3[Medida],Tabla3[Equivalencia en Kg],"ELVIS",0)</f>
        <v>402.686200735681</v>
      </c>
      <c r="J898" s="2" t="n">
        <v>200.876</v>
      </c>
      <c r="K898" s="2" t="s">
        <v>18</v>
      </c>
      <c r="L898" s="2" t="n">
        <f aca="false">J898/_xlfn.XLOOKUP(Tabla2[[#This Row],[Unidad de precio]],Tabla3[Medida],Tabla3[Equivalencia en Kg],"ELVIS",0)</f>
        <v>4.42848324514991</v>
      </c>
      <c r="M898" s="2" t="n">
        <v>4742.13</v>
      </c>
      <c r="N898" s="3" t="n">
        <f aca="false">(Tabla2[[#This Row],[Productividad (kg/TAS)]]*Tabla2[[#This Row],[Precio por kg]]-Tabla2[[#This Row],[Costos (En RD$/Tarea)]])</f>
        <v>-2958.84090698897</v>
      </c>
      <c r="O898" s="9" t="n">
        <f aca="false">IF(Tabla2[[#This Row],[Costos (En RD$/Tarea)]]=0,0,Tabla2[[#This Row],[Beneficio Neto  (En RD$/Tarea)]]/Tabla2[[#This Row],[Costos (En RD$/Tarea)]])</f>
        <v>-0.623947657906672</v>
      </c>
      <c r="P898" s="7" t="n">
        <f aca="false">Tabla2[[#This Row],[Rentabilidad (%)]]/12</f>
        <v>-0.0519956381588893</v>
      </c>
    </row>
    <row r="899" customFormat="false" ht="14.25" hidden="false" customHeight="false" outlineLevel="0" collapsed="false">
      <c r="A899" s="1" t="n">
        <v>38777</v>
      </c>
      <c r="B899" s="2" t="s">
        <v>28</v>
      </c>
      <c r="C899" s="3" t="n">
        <v>2062</v>
      </c>
      <c r="D899" s="8" t="s">
        <v>17</v>
      </c>
      <c r="E899" s="3" t="n">
        <f aca="false">IF(Tabla2[[#This Row],[Frecuencia]]="Annual", Tabla2[[#This Row],[Cosecha/Tarea]]/12,Tabla2[[#This Row],[Cosecha/Tarea]])</f>
        <v>2062</v>
      </c>
      <c r="F899" s="3" t="n">
        <v>980</v>
      </c>
      <c r="G899" s="2" t="s">
        <v>29</v>
      </c>
      <c r="H899" s="2" t="n">
        <f aca="false">F899/Tabla2[[#This Row],[Cosecha Mensual]]</f>
        <v>0.475266731328807</v>
      </c>
      <c r="I899" s="2" t="n">
        <f aca="false">H899*_xlfn.XLOOKUP(Tabla2[[#This Row],[Unidad de producción]],Tabla3[Medida],Tabla3[Equivalencia en Kg],"ELVIS",0)</f>
        <v>267.261493695441</v>
      </c>
      <c r="J899" s="2" t="n">
        <v>4345.66666666667</v>
      </c>
      <c r="K899" s="2" t="s">
        <v>29</v>
      </c>
      <c r="L899" s="2" t="n">
        <f aca="false">J899/_xlfn.XLOOKUP(Tabla2[[#This Row],[Unidad de precio]],Tabla3[Medida],Tabla3[Equivalencia en Kg],"ELVIS",0)</f>
        <v>7.72782776730567</v>
      </c>
      <c r="M899" s="2" t="n">
        <v>8196.87</v>
      </c>
      <c r="N899" s="3" t="n">
        <f aca="false">(Tabla2[[#This Row],[Productividad (kg/TAS)]]*Tabla2[[#This Row],[Precio por kg]]-Tabla2[[#This Row],[Costos (En RD$/Tarea)]])</f>
        <v>-6131.51920788878</v>
      </c>
      <c r="O899" s="9" t="n">
        <f aca="false">IF(Tabla2[[#This Row],[Costos (En RD$/Tarea)]]=0,0,Tabla2[[#This Row],[Beneficio Neto  (En RD$/Tarea)]]/Tabla2[[#This Row],[Costos (En RD$/Tarea)]])</f>
        <v>-0.74803177406605</v>
      </c>
      <c r="P899" s="7" t="n">
        <f aca="false">Tabla2[[#This Row],[Rentabilidad (%)]]/12</f>
        <v>-0.0623359811721708</v>
      </c>
    </row>
    <row r="900" customFormat="false" ht="14.25" hidden="false" customHeight="false" outlineLevel="0" collapsed="false">
      <c r="A900" s="1" t="n">
        <v>38777</v>
      </c>
      <c r="B900" s="2" t="s">
        <v>30</v>
      </c>
      <c r="C900" s="3" t="n">
        <v>308074</v>
      </c>
      <c r="D900" s="3" t="s">
        <v>31</v>
      </c>
      <c r="E900" s="3" t="n">
        <f aca="false">IF(Tabla2[[#This Row],[Frecuencia]]="Annual", Tabla2[[#This Row],[Cosecha/Tarea]]/12,Tabla2[[#This Row],[Cosecha/Tarea]])</f>
        <v>25672.8333333333</v>
      </c>
      <c r="F900" s="3" t="n">
        <v>1274186</v>
      </c>
      <c r="G900" s="2" t="s">
        <v>32</v>
      </c>
      <c r="H900" s="2" t="n">
        <f aca="false">F900/Tabla2[[#This Row],[Cosecha Mensual]]</f>
        <v>49.6316858936489</v>
      </c>
      <c r="I900" s="2" t="n">
        <f aca="false">H900*_xlfn.XLOOKUP(Tabla2[[#This Row],[Unidad de producción]],Tabla3[Medida],Tabla3[Equivalencia en Kg],"ELVIS",0)</f>
        <v>1350.47817316619</v>
      </c>
      <c r="J900" s="2" t="n">
        <v>68.4166666666667</v>
      </c>
      <c r="K900" s="2" t="s">
        <v>32</v>
      </c>
      <c r="L900" s="2" t="n">
        <f aca="false">J900/_xlfn.XLOOKUP(Tabla2[[#This Row],[Unidad de precio]],Tabla3[Medida],Tabla3[Equivalencia en Kg],"ELVIS",0)</f>
        <v>2.51439421781208</v>
      </c>
      <c r="M900" s="3" t="n">
        <v>7154.19</v>
      </c>
      <c r="N900" s="3" t="n">
        <f aca="false">(Tabla2[[#This Row],[Productividad (kg/TAS)]]*Tabla2[[#This Row],[Precio por kg]]-Tabla2[[#This Row],[Costos (En RD$/Tarea)]])</f>
        <v>-3758.55549010952</v>
      </c>
      <c r="O900" s="9" t="n">
        <f aca="false">IF(Tabla2[[#This Row],[Costos (En RD$/Tarea)]]=0,0,Tabla2[[#This Row],[Beneficio Neto  (En RD$/Tarea)]]/Tabla2[[#This Row],[Costos (En RD$/Tarea)]])</f>
        <v>-0.525364225734782</v>
      </c>
      <c r="P900" s="7" t="n">
        <f aca="false">Tabla2[[#This Row],[Rentabilidad (%)]]/12</f>
        <v>-0.0437803521445651</v>
      </c>
    </row>
    <row r="901" customFormat="false" ht="14.25" hidden="false" customHeight="false" outlineLevel="0" collapsed="false">
      <c r="A901" s="1" t="n">
        <v>38777</v>
      </c>
      <c r="B901" s="2" t="s">
        <v>33</v>
      </c>
      <c r="C901" s="3" t="n">
        <v>661239</v>
      </c>
      <c r="D901" s="3" t="s">
        <v>31</v>
      </c>
      <c r="E901" s="3" t="n">
        <f aca="false">IF(Tabla2[[#This Row],[Frecuencia]]="Annual", Tabla2[[#This Row],[Cosecha/Tarea]]/12,Tabla2[[#This Row],[Cosecha/Tarea]])</f>
        <v>55103.25</v>
      </c>
      <c r="F901" s="3" t="n">
        <v>126497</v>
      </c>
      <c r="G901" s="2" t="s">
        <v>34</v>
      </c>
      <c r="H901" s="2" t="n">
        <f aca="false">F901/Tabla2[[#This Row],[Cosecha Mensual]]</f>
        <v>2.29563591984139</v>
      </c>
      <c r="I901" s="2" t="n">
        <f aca="false">H901*_xlfn.XLOOKUP(Tabla2[[#This Row],[Unidad de producción]],Tabla3[Medida],Tabla3[Equivalencia en Kg],"ELVIS",0)</f>
        <v>936.963800683263</v>
      </c>
      <c r="J901" s="2" t="n">
        <v>2836.5</v>
      </c>
      <c r="K901" s="2" t="s">
        <v>34</v>
      </c>
      <c r="L901" s="2" t="n">
        <f aca="false">J901/_xlfn.XLOOKUP(Tabla2[[#This Row],[Unidad de precio]],Tabla3[Medida],Tabla3[Equivalencia en Kg],"ELVIS",0)</f>
        <v>6.94965086365307</v>
      </c>
      <c r="M901" s="3" t="n">
        <v>9504.44</v>
      </c>
      <c r="N901" s="3" t="n">
        <f aca="false">(Tabla2[[#This Row],[Productividad (kg/TAS)]]*Tabla2[[#This Row],[Precio por kg]]-Tabla2[[#This Row],[Costos (En RD$/Tarea)]])</f>
        <v>-2992.8687133699</v>
      </c>
      <c r="O901" s="9" t="n">
        <f aca="false">IF(Tabla2[[#This Row],[Costos (En RD$/Tarea)]]=0,0,Tabla2[[#This Row],[Beneficio Neto  (En RD$/Tarea)]]/Tabla2[[#This Row],[Costos (En RD$/Tarea)]])</f>
        <v>-0.314891641524372</v>
      </c>
      <c r="P901" s="7" t="n">
        <f aca="false">Tabla2[[#This Row],[Rentabilidad (%)]]/12</f>
        <v>-0.026240970127031</v>
      </c>
    </row>
    <row r="902" customFormat="false" ht="14.25" hidden="false" customHeight="false" outlineLevel="0" collapsed="false">
      <c r="A902" s="1" t="n">
        <v>38808</v>
      </c>
      <c r="B902" s="2" t="s">
        <v>16</v>
      </c>
      <c r="C902" s="3" t="n">
        <v>114875</v>
      </c>
      <c r="D902" s="8" t="s">
        <v>17</v>
      </c>
      <c r="E902" s="3" t="n">
        <f aca="false">IF(Tabla2[[#This Row],[Frecuencia]]="Annual", Tabla2[[#This Row],[Cosecha/Tarea]]/12,Tabla2[[#This Row],[Cosecha/Tarea]])</f>
        <v>114875</v>
      </c>
      <c r="F902" s="3" t="n">
        <v>457673</v>
      </c>
      <c r="G902" s="2" t="s">
        <v>18</v>
      </c>
      <c r="H902" s="2" t="n">
        <f aca="false">F902/Tabla2[[#This Row],[Cosecha Mensual]]</f>
        <v>3.9840957562568</v>
      </c>
      <c r="I902" s="2" t="n">
        <f aca="false">H902*_xlfn.XLOOKUP(Tabla2[[#This Row],[Unidad de producción]],Tabla3[Medida],Tabla3[Equivalencia en Kg],"ELVIS",0)</f>
        <v>180.718583503808</v>
      </c>
      <c r="J902" s="2" t="n">
        <v>1052</v>
      </c>
      <c r="K902" s="2" t="s">
        <v>19</v>
      </c>
      <c r="L902" s="2" t="n">
        <f aca="false">J902/_xlfn.XLOOKUP(Tabla2[[#This Row],[Unidad de precio]],Tabla3[Medida],Tabla3[Equivalencia en Kg],"ELVIS",0)</f>
        <v>9.56363636363636</v>
      </c>
      <c r="M902" s="2" t="n">
        <v>4756.775</v>
      </c>
      <c r="N902" s="3" t="n">
        <f aca="false">(Tabla2[[#This Row],[Productividad (kg/TAS)]]*Tabla2[[#This Row],[Precio por kg]]-Tabla2[[#This Row],[Costos (En RD$/Tarea)]])</f>
        <v>-3028.44818321812</v>
      </c>
      <c r="O902" s="9" t="n">
        <f aca="false">IF(Tabla2[[#This Row],[Costos (En RD$/Tarea)]]=0,0,Tabla2[[#This Row],[Beneficio Neto  (En RD$/Tarea)]]/Tabla2[[#This Row],[Costos (En RD$/Tarea)]])</f>
        <v>-0.636659960418166</v>
      </c>
      <c r="P902" s="7" t="n">
        <f aca="false">Tabla2[[#This Row],[Rentabilidad (%)]]/12</f>
        <v>-0.0530549967015138</v>
      </c>
    </row>
    <row r="903" customFormat="false" ht="14.25" hidden="false" customHeight="false" outlineLevel="0" collapsed="false">
      <c r="A903" s="1" t="n">
        <v>38808</v>
      </c>
      <c r="B903" s="2" t="s">
        <v>20</v>
      </c>
      <c r="C903" s="3" t="n">
        <v>14314</v>
      </c>
      <c r="D903" s="8" t="s">
        <v>17</v>
      </c>
      <c r="E903" s="3" t="n">
        <f aca="false">IF(Tabla2[[#This Row],[Frecuencia]]="Annual", Tabla2[[#This Row],[Cosecha/Tarea]]/12,Tabla2[[#This Row],[Cosecha/Tarea]])</f>
        <v>14314</v>
      </c>
      <c r="F903" s="3" t="n">
        <v>27972</v>
      </c>
      <c r="G903" s="2" t="s">
        <v>18</v>
      </c>
      <c r="H903" s="2" t="n">
        <f aca="false">F903/Tabla2[[#This Row],[Cosecha Mensual]]</f>
        <v>1.95417074193098</v>
      </c>
      <c r="I903" s="2" t="n">
        <f aca="false">H903*_xlfn.XLOOKUP(Tabla2[[#This Row],[Unidad de producción]],Tabla3[Medida],Tabla3[Equivalencia en Kg],"ELVIS",0)</f>
        <v>88.6411848539891</v>
      </c>
      <c r="J903" s="2" t="n">
        <v>447</v>
      </c>
      <c r="K903" s="2" t="s">
        <v>18</v>
      </c>
      <c r="L903" s="2" t="n">
        <f aca="false">J903/_xlfn.XLOOKUP(Tabla2[[#This Row],[Unidad de precio]],Tabla3[Medida],Tabla3[Equivalencia en Kg],"ELVIS",0)</f>
        <v>9.85449735449735</v>
      </c>
      <c r="M903" s="2" t="n">
        <v>1341.48</v>
      </c>
      <c r="N903" s="3" t="n">
        <f aca="false">(Tabla2[[#This Row],[Productividad (kg/TAS)]]*Tabla2[[#This Row],[Precio por kg]]-Tabla2[[#This Row],[Costos (En RD$/Tarea)]])</f>
        <v>-467.965678356853</v>
      </c>
      <c r="O903" s="9" t="n">
        <f aca="false">IF(Tabla2[[#This Row],[Costos (En RD$/Tarea)]]=0,0,Tabla2[[#This Row],[Beneficio Neto  (En RD$/Tarea)]]/Tabla2[[#This Row],[Costos (En RD$/Tarea)]])</f>
        <v>-0.348842829081949</v>
      </c>
      <c r="P903" s="7" t="n">
        <f aca="false">Tabla2[[#This Row],[Rentabilidad (%)]]/12</f>
        <v>-0.0290702357568291</v>
      </c>
    </row>
    <row r="904" customFormat="false" ht="14.25" hidden="false" customHeight="false" outlineLevel="0" collapsed="false">
      <c r="A904" s="1" t="n">
        <v>38808</v>
      </c>
      <c r="B904" s="2" t="s">
        <v>21</v>
      </c>
      <c r="C904" s="3" t="n">
        <v>8472</v>
      </c>
      <c r="D904" s="8" t="s">
        <v>17</v>
      </c>
      <c r="E904" s="3" t="n">
        <f aca="false">IF(Tabla2[[#This Row],[Frecuencia]]="Annual", Tabla2[[#This Row],[Cosecha/Tarea]]/12,Tabla2[[#This Row],[Cosecha/Tarea]])</f>
        <v>8472</v>
      </c>
      <c r="F904" s="3" t="n">
        <v>102511</v>
      </c>
      <c r="G904" s="2" t="s">
        <v>18</v>
      </c>
      <c r="H904" s="2" t="n">
        <f aca="false">F904/Tabla2[[#This Row],[Cosecha Mensual]]</f>
        <v>12.0999763928234</v>
      </c>
      <c r="I904" s="2" t="n">
        <f aca="false">H904*_xlfn.XLOOKUP(Tabla2[[#This Row],[Unidad de producción]],Tabla3[Medida],Tabla3[Equivalencia en Kg],"ELVIS",0)</f>
        <v>548.85492917847</v>
      </c>
      <c r="J904" s="2" t="n">
        <v>356.992</v>
      </c>
      <c r="K904" s="2" t="s">
        <v>18</v>
      </c>
      <c r="L904" s="2" t="n">
        <f aca="false">J904/_xlfn.XLOOKUP(Tabla2[[#This Row],[Unidad de precio]],Tabla3[Medida],Tabla3[Equivalencia en Kg],"ELVIS",0)</f>
        <v>7.87019400352734</v>
      </c>
      <c r="M904" s="2" t="n">
        <v>2058.755</v>
      </c>
      <c r="N904" s="3" t="n">
        <f aca="false">(Tabla2[[#This Row],[Productividad (kg/TAS)]]*Tabla2[[#This Row],[Precio por kg]]-Tabla2[[#This Row],[Costos (En RD$/Tarea)]])</f>
        <v>2260.83977242682</v>
      </c>
      <c r="O904" s="9" t="n">
        <f aca="false">IF(Tabla2[[#This Row],[Costos (En RD$/Tarea)]]=0,0,Tabla2[[#This Row],[Beneficio Neto  (En RD$/Tarea)]]/Tabla2[[#This Row],[Costos (En RD$/Tarea)]])</f>
        <v>1.09815872817641</v>
      </c>
      <c r="P904" s="7" t="n">
        <f aca="false">Tabla2[[#This Row],[Rentabilidad (%)]]/12</f>
        <v>0.0915132273480339</v>
      </c>
    </row>
    <row r="905" customFormat="false" ht="14.25" hidden="false" customHeight="false" outlineLevel="0" collapsed="false">
      <c r="A905" s="1" t="n">
        <v>38808</v>
      </c>
      <c r="B905" s="2" t="s">
        <v>22</v>
      </c>
      <c r="C905" s="3" t="n">
        <v>4570</v>
      </c>
      <c r="D905" s="8" t="s">
        <v>17</v>
      </c>
      <c r="E905" s="3" t="n">
        <f aca="false">IF(Tabla2[[#This Row],[Frecuencia]]="Annual", Tabla2[[#This Row],[Cosecha/Tarea]]/12,Tabla2[[#This Row],[Cosecha/Tarea]])</f>
        <v>4570</v>
      </c>
      <c r="F905" s="3" t="n">
        <v>42772</v>
      </c>
      <c r="G905" s="2" t="s">
        <v>18</v>
      </c>
      <c r="H905" s="2" t="n">
        <f aca="false">F905/Tabla2[[#This Row],[Cosecha Mensual]]</f>
        <v>9.35929978118162</v>
      </c>
      <c r="I905" s="2" t="n">
        <f aca="false">H905*_xlfn.XLOOKUP(Tabla2[[#This Row],[Unidad de producción]],Tabla3[Medida],Tabla3[Equivalencia en Kg],"ELVIS",0)</f>
        <v>424.537838074398</v>
      </c>
      <c r="J905" s="2" t="n">
        <v>576.5825</v>
      </c>
      <c r="K905" s="2" t="s">
        <v>18</v>
      </c>
      <c r="L905" s="2" t="n">
        <f aca="false">J905/_xlfn.XLOOKUP(Tabla2[[#This Row],[Unidad de precio]],Tabla3[Medida],Tabla3[Equivalencia en Kg],"ELVIS",0)</f>
        <v>12.7112544091711</v>
      </c>
      <c r="M905" s="2" t="n">
        <v>5691.88</v>
      </c>
      <c r="N905" s="3" t="n">
        <f aca="false">(Tabla2[[#This Row],[Productividad (kg/TAS)]]*Tabla2[[#This Row],[Precio por kg]]-Tabla2[[#This Row],[Costos (En RD$/Tarea)]])</f>
        <v>-295.47153391685</v>
      </c>
      <c r="O905" s="9" t="n">
        <f aca="false">IF(Tabla2[[#This Row],[Costos (En RD$/Tarea)]]=0,0,Tabla2[[#This Row],[Beneficio Neto  (En RD$/Tarea)]]/Tabla2[[#This Row],[Costos (En RD$/Tarea)]])</f>
        <v>-0.0519110617084074</v>
      </c>
      <c r="P905" s="7" t="n">
        <f aca="false">Tabla2[[#This Row],[Rentabilidad (%)]]/12</f>
        <v>-0.00432592180903395</v>
      </c>
    </row>
    <row r="906" customFormat="false" ht="14.25" hidden="false" customHeight="false" outlineLevel="0" collapsed="false">
      <c r="A906" s="1" t="n">
        <v>38808</v>
      </c>
      <c r="B906" s="2" t="s">
        <v>23</v>
      </c>
      <c r="C906" s="3" t="n">
        <v>3098</v>
      </c>
      <c r="D906" s="8" t="s">
        <v>17</v>
      </c>
      <c r="E906" s="3" t="n">
        <f aca="false">IF(Tabla2[[#This Row],[Frecuencia]]="Annual", Tabla2[[#This Row],[Cosecha/Tarea]]/12,Tabla2[[#This Row],[Cosecha/Tarea]])</f>
        <v>3098</v>
      </c>
      <c r="F906" s="3" t="n">
        <v>91019</v>
      </c>
      <c r="G906" s="2" t="s">
        <v>18</v>
      </c>
      <c r="H906" s="2" t="n">
        <f aca="false">F906/Tabla2[[#This Row],[Cosecha Mensual]]</f>
        <v>29.3799225306649</v>
      </c>
      <c r="I906" s="2" t="n">
        <f aca="false">H906*_xlfn.XLOOKUP(Tabla2[[#This Row],[Unidad de producción]],Tabla3[Medida],Tabla3[Equivalencia en Kg],"ELVIS",0)</f>
        <v>1332.67328599096</v>
      </c>
      <c r="J906" s="2" t="n">
        <v>474.75</v>
      </c>
      <c r="K906" s="2" t="s">
        <v>18</v>
      </c>
      <c r="L906" s="2" t="n">
        <f aca="false">J906/_xlfn.XLOOKUP(Tabla2[[#This Row],[Unidad de precio]],Tabla3[Medida],Tabla3[Equivalencia en Kg],"ELVIS",0)</f>
        <v>10.4662698412698</v>
      </c>
      <c r="M906" s="2" t="n">
        <v>10412.05</v>
      </c>
      <c r="N906" s="3" t="n">
        <f aca="false">(Tabla2[[#This Row],[Productividad (kg/TAS)]]*Tabla2[[#This Row],[Precio por kg]]-Tabla2[[#This Row],[Costos (En RD$/Tarea)]])</f>
        <v>3536.06822143318</v>
      </c>
      <c r="O906" s="9" t="n">
        <f aca="false">IF(Tabla2[[#This Row],[Costos (En RD$/Tarea)]]=0,0,Tabla2[[#This Row],[Beneficio Neto  (En RD$/Tarea)]]/Tabla2[[#This Row],[Costos (En RD$/Tarea)]])</f>
        <v>0.339613065768334</v>
      </c>
      <c r="P906" s="7" t="n">
        <f aca="false">Tabla2[[#This Row],[Rentabilidad (%)]]/12</f>
        <v>0.0283010888140278</v>
      </c>
    </row>
    <row r="907" customFormat="false" ht="14.25" hidden="false" customHeight="false" outlineLevel="0" collapsed="false">
      <c r="A907" s="1" t="n">
        <v>38808</v>
      </c>
      <c r="B907" s="2" t="s">
        <v>24</v>
      </c>
      <c r="C907" s="3" t="n">
        <v>6215</v>
      </c>
      <c r="D907" s="8" t="s">
        <v>17</v>
      </c>
      <c r="E907" s="3" t="n">
        <f aca="false">IF(Tabla2[[#This Row],[Frecuencia]]="Annual", Tabla2[[#This Row],[Cosecha/Tarea]]/12,Tabla2[[#This Row],[Cosecha/Tarea]])</f>
        <v>6215</v>
      </c>
      <c r="F907" s="3" t="n">
        <v>58097</v>
      </c>
      <c r="G907" s="2" t="s">
        <v>18</v>
      </c>
      <c r="H907" s="2" t="n">
        <f aca="false">F907/Tabla2[[#This Row],[Cosecha Mensual]]</f>
        <v>9.3478680611424</v>
      </c>
      <c r="I907" s="2" t="n">
        <f aca="false">H907*_xlfn.XLOOKUP(Tabla2[[#This Row],[Unidad de producción]],Tabla3[Medida],Tabla3[Equivalencia en Kg],"ELVIS",0)</f>
        <v>424.019295253419</v>
      </c>
      <c r="J907" s="2" t="n">
        <v>984.64</v>
      </c>
      <c r="K907" s="2" t="s">
        <v>18</v>
      </c>
      <c r="L907" s="2" t="n">
        <f aca="false">J907/_xlfn.XLOOKUP(Tabla2[[#This Row],[Unidad de precio]],Tabla3[Medida],Tabla3[Equivalencia en Kg],"ELVIS",0)</f>
        <v>21.7072310405644</v>
      </c>
      <c r="M907" s="2" t="n">
        <v>4593.1</v>
      </c>
      <c r="N907" s="3" t="n">
        <f aca="false">(Tabla2[[#This Row],[Productividad (kg/TAS)]]*Tabla2[[#This Row],[Precio por kg]]-Tabla2[[#This Row],[Costos (En RD$/Tarea)]])</f>
        <v>4611.18480772325</v>
      </c>
      <c r="O907" s="9" t="n">
        <f aca="false">IF(Tabla2[[#This Row],[Costos (En RD$/Tarea)]]=0,0,Tabla2[[#This Row],[Beneficio Neto  (En RD$/Tarea)]]/Tabla2[[#This Row],[Costos (En RD$/Tarea)]])</f>
        <v>1.00393738601887</v>
      </c>
      <c r="P907" s="7" t="n">
        <f aca="false">Tabla2[[#This Row],[Rentabilidad (%)]]/12</f>
        <v>0.0836614488349054</v>
      </c>
    </row>
    <row r="908" customFormat="false" ht="14.25" hidden="false" customHeight="false" outlineLevel="0" collapsed="false">
      <c r="A908" s="1" t="n">
        <v>38808</v>
      </c>
      <c r="B908" s="2" t="s">
        <v>25</v>
      </c>
      <c r="C908" s="3" t="n">
        <v>29022</v>
      </c>
      <c r="D908" s="8" t="s">
        <v>17</v>
      </c>
      <c r="E908" s="3" t="n">
        <f aca="false">IF(Tabla2[[#This Row],[Frecuencia]]="Annual", Tabla2[[#This Row],[Cosecha/Tarea]]/12,Tabla2[[#This Row],[Cosecha/Tarea]])</f>
        <v>29022</v>
      </c>
      <c r="F908" s="3" t="n">
        <v>291466</v>
      </c>
      <c r="G908" s="2" t="s">
        <v>18</v>
      </c>
      <c r="H908" s="2" t="n">
        <f aca="false">F908/Tabla2[[#This Row],[Cosecha Mensual]]</f>
        <v>10.0429329474192</v>
      </c>
      <c r="I908" s="2" t="n">
        <f aca="false">H908*_xlfn.XLOOKUP(Tabla2[[#This Row],[Unidad de producción]],Tabla3[Medida],Tabla3[Equivalencia en Kg],"ELVIS",0)</f>
        <v>455.547438494935</v>
      </c>
      <c r="J908" s="2" t="n">
        <v>287.45496</v>
      </c>
      <c r="K908" s="2" t="s">
        <v>18</v>
      </c>
      <c r="L908" s="2" t="n">
        <f aca="false">J908/_xlfn.XLOOKUP(Tabla2[[#This Row],[Unidad de precio]],Tabla3[Medida],Tabla3[Equivalencia en Kg],"ELVIS",0)</f>
        <v>6.33719047619048</v>
      </c>
      <c r="M908" s="2" t="n">
        <v>2287.145</v>
      </c>
      <c r="N908" s="3" t="n">
        <f aca="false">(Tabla2[[#This Row],[Productividad (kg/TAS)]]*Tabla2[[#This Row],[Precio por kg]]-Tabla2[[#This Row],[Costos (En RD$/Tarea)]])</f>
        <v>599.745888683069</v>
      </c>
      <c r="O908" s="9" t="n">
        <f aca="false">IF(Tabla2[[#This Row],[Costos (En RD$/Tarea)]]=0,0,Tabla2[[#This Row],[Beneficio Neto  (En RD$/Tarea)]]/Tabla2[[#This Row],[Costos (En RD$/Tarea)]])</f>
        <v>0.262224690031926</v>
      </c>
      <c r="P908" s="7" t="n">
        <f aca="false">Tabla2[[#This Row],[Rentabilidad (%)]]/12</f>
        <v>0.0218520575026605</v>
      </c>
    </row>
    <row r="909" customFormat="false" ht="14.25" hidden="false" customHeight="false" outlineLevel="0" collapsed="false">
      <c r="A909" s="1" t="n">
        <v>38808</v>
      </c>
      <c r="B909" s="2" t="s">
        <v>26</v>
      </c>
      <c r="C909" s="3" t="n">
        <v>8253</v>
      </c>
      <c r="D909" s="8" t="s">
        <v>17</v>
      </c>
      <c r="E909" s="3" t="n">
        <f aca="false">IF(Tabla2[[#This Row],[Frecuencia]]="Annual", Tabla2[[#This Row],[Cosecha/Tarea]]/12,Tabla2[[#This Row],[Cosecha/Tarea]])</f>
        <v>8253</v>
      </c>
      <c r="F909" s="3" t="n">
        <v>59980</v>
      </c>
      <c r="G909" s="2" t="s">
        <v>18</v>
      </c>
      <c r="H909" s="2" t="n">
        <f aca="false">F909/Tabla2[[#This Row],[Cosecha Mensual]]</f>
        <v>7.26766024475948</v>
      </c>
      <c r="I909" s="2" t="n">
        <f aca="false">H909*_xlfn.XLOOKUP(Tabla2[[#This Row],[Unidad de producción]],Tabla3[Medida],Tabla3[Equivalencia en Kg],"ELVIS",0)</f>
        <v>329.66106870229</v>
      </c>
      <c r="J909" s="2" t="n">
        <v>424.4</v>
      </c>
      <c r="K909" s="2" t="s">
        <v>18</v>
      </c>
      <c r="L909" s="2" t="n">
        <f aca="false">J909/_xlfn.XLOOKUP(Tabla2[[#This Row],[Unidad de precio]],Tabla3[Medida],Tabla3[Equivalencia en Kg],"ELVIS",0)</f>
        <v>9.35626102292769</v>
      </c>
      <c r="M909" s="2" t="n">
        <v>864.56</v>
      </c>
      <c r="N909" s="3" t="n">
        <f aca="false">(Tabla2[[#This Row],[Productividad (kg/TAS)]]*Tabla2[[#This Row],[Precio por kg]]-Tabla2[[#This Row],[Costos (En RD$/Tarea)]])</f>
        <v>2219.83500787592</v>
      </c>
      <c r="O909" s="9" t="n">
        <f aca="false">IF(Tabla2[[#This Row],[Costos (En RD$/Tarea)]]=0,0,Tabla2[[#This Row],[Beneficio Neto  (En RD$/Tarea)]]/Tabla2[[#This Row],[Costos (En RD$/Tarea)]])</f>
        <v>2.56758930308588</v>
      </c>
      <c r="P909" s="7" t="n">
        <f aca="false">Tabla2[[#This Row],[Rentabilidad (%)]]/12</f>
        <v>0.213965775257156</v>
      </c>
    </row>
    <row r="910" customFormat="false" ht="14.25" hidden="false" customHeight="false" outlineLevel="0" collapsed="false">
      <c r="A910" s="1" t="n">
        <v>38808</v>
      </c>
      <c r="B910" s="2" t="s">
        <v>27</v>
      </c>
      <c r="C910" s="3" t="n">
        <v>6796</v>
      </c>
      <c r="D910" s="8" t="s">
        <v>17</v>
      </c>
      <c r="E910" s="3" t="n">
        <f aca="false">IF(Tabla2[[#This Row],[Frecuencia]]="Annual", Tabla2[[#This Row],[Cosecha/Tarea]]/12,Tabla2[[#This Row],[Cosecha/Tarea]])</f>
        <v>6796</v>
      </c>
      <c r="F910" s="3" t="n">
        <v>59363</v>
      </c>
      <c r="G910" s="2" t="s">
        <v>18</v>
      </c>
      <c r="H910" s="2" t="n">
        <f aca="false">F910/Tabla2[[#This Row],[Cosecha Mensual]]</f>
        <v>8.73499117127722</v>
      </c>
      <c r="I910" s="2" t="n">
        <f aca="false">H910*_xlfn.XLOOKUP(Tabla2[[#This Row],[Unidad de producción]],Tabla3[Medida],Tabla3[Equivalencia en Kg],"ELVIS",0)</f>
        <v>396.219199529135</v>
      </c>
      <c r="J910" s="2" t="n">
        <v>203.72</v>
      </c>
      <c r="K910" s="2" t="s">
        <v>18</v>
      </c>
      <c r="L910" s="2" t="n">
        <f aca="false">J910/_xlfn.XLOOKUP(Tabla2[[#This Row],[Unidad de precio]],Tabla3[Medida],Tabla3[Equivalencia en Kg],"ELVIS",0)</f>
        <v>4.49118165784832</v>
      </c>
      <c r="M910" s="2" t="n">
        <v>4742.13</v>
      </c>
      <c r="N910" s="3" t="n">
        <f aca="false">(Tabla2[[#This Row],[Productividad (kg/TAS)]]*Tabla2[[#This Row],[Precio por kg]]-Tabla2[[#This Row],[Costos (En RD$/Tarea)]])</f>
        <v>-2962.6375985874</v>
      </c>
      <c r="O910" s="9" t="n">
        <f aca="false">IF(Tabla2[[#This Row],[Costos (En RD$/Tarea)]]=0,0,Tabla2[[#This Row],[Beneficio Neto  (En RD$/Tarea)]]/Tabla2[[#This Row],[Costos (En RD$/Tarea)]])</f>
        <v>-0.624748287918595</v>
      </c>
      <c r="P910" s="7" t="n">
        <f aca="false">Tabla2[[#This Row],[Rentabilidad (%)]]/12</f>
        <v>-0.0520623573265495</v>
      </c>
    </row>
    <row r="911" customFormat="false" ht="14.25" hidden="false" customHeight="false" outlineLevel="0" collapsed="false">
      <c r="A911" s="1" t="n">
        <v>38808</v>
      </c>
      <c r="B911" s="2" t="s">
        <v>28</v>
      </c>
      <c r="C911" s="3" t="n">
        <v>488</v>
      </c>
      <c r="D911" s="8" t="s">
        <v>17</v>
      </c>
      <c r="E911" s="3" t="n">
        <f aca="false">IF(Tabla2[[#This Row],[Frecuencia]]="Annual", Tabla2[[#This Row],[Cosecha/Tarea]]/12,Tabla2[[#This Row],[Cosecha/Tarea]])</f>
        <v>488</v>
      </c>
      <c r="F911" s="3" t="n">
        <v>302</v>
      </c>
      <c r="G911" s="2" t="s">
        <v>29</v>
      </c>
      <c r="H911" s="2" t="n">
        <f aca="false">F911/Tabla2[[#This Row],[Cosecha Mensual]]</f>
        <v>0.618852459016393</v>
      </c>
      <c r="I911" s="2" t="n">
        <f aca="false">H911*_xlfn.XLOOKUP(Tabla2[[#This Row],[Unidad de producción]],Tabla3[Medida],Tabla3[Equivalencia en Kg],"ELVIS",0)</f>
        <v>348.005491803279</v>
      </c>
      <c r="J911" s="2" t="n">
        <v>5757.5</v>
      </c>
      <c r="K911" s="2" t="s">
        <v>29</v>
      </c>
      <c r="L911" s="2" t="n">
        <f aca="false">J911/_xlfn.XLOOKUP(Tabla2[[#This Row],[Unidad de precio]],Tabla3[Medida],Tabla3[Equivalencia en Kg],"ELVIS",0)</f>
        <v>10.2384678308497</v>
      </c>
      <c r="M911" s="2" t="n">
        <v>8196.87</v>
      </c>
      <c r="N911" s="3" t="n">
        <f aca="false">(Tabla2[[#This Row],[Productividad (kg/TAS)]]*Tabla2[[#This Row],[Precio por kg]]-Tabla2[[#This Row],[Costos (En RD$/Tarea)]])</f>
        <v>-4633.82696721312</v>
      </c>
      <c r="O911" s="9" t="n">
        <f aca="false">IF(Tabla2[[#This Row],[Costos (En RD$/Tarea)]]=0,0,Tabla2[[#This Row],[Beneficio Neto  (En RD$/Tarea)]]/Tabla2[[#This Row],[Costos (En RD$/Tarea)]])</f>
        <v>-0.565316635156238</v>
      </c>
      <c r="P911" s="7" t="n">
        <f aca="false">Tabla2[[#This Row],[Rentabilidad (%)]]/12</f>
        <v>-0.0471097195963532</v>
      </c>
    </row>
    <row r="912" customFormat="false" ht="14.25" hidden="false" customHeight="false" outlineLevel="0" collapsed="false">
      <c r="A912" s="1" t="n">
        <v>38808</v>
      </c>
      <c r="B912" s="2" t="s">
        <v>30</v>
      </c>
      <c r="C912" s="3" t="n">
        <v>295016</v>
      </c>
      <c r="D912" s="3" t="s">
        <v>31</v>
      </c>
      <c r="E912" s="3" t="n">
        <f aca="false">IF(Tabla2[[#This Row],[Frecuencia]]="Annual", Tabla2[[#This Row],[Cosecha/Tarea]]/12,Tabla2[[#This Row],[Cosecha/Tarea]])</f>
        <v>24584.6666666667</v>
      </c>
      <c r="F912" s="3" t="n">
        <v>1437807</v>
      </c>
      <c r="G912" s="2" t="s">
        <v>32</v>
      </c>
      <c r="H912" s="2" t="n">
        <f aca="false">F912/Tabla2[[#This Row],[Cosecha Mensual]]</f>
        <v>58.4838923990563</v>
      </c>
      <c r="I912" s="2" t="n">
        <f aca="false">H912*_xlfn.XLOOKUP(Tabla2[[#This Row],[Unidad de producción]],Tabla3[Medida],Tabla3[Equivalencia en Kg],"ELVIS",0)</f>
        <v>1591.34671217832</v>
      </c>
      <c r="J912" s="2" t="n">
        <v>62.1383333333333</v>
      </c>
      <c r="K912" s="2" t="s">
        <v>32</v>
      </c>
      <c r="L912" s="2" t="n">
        <f aca="false">J912/_xlfn.XLOOKUP(Tabla2[[#This Row],[Unidad de precio]],Tabla3[Medida],Tabla3[Equivalencia en Kg],"ELVIS",0)</f>
        <v>2.28365796888399</v>
      </c>
      <c r="M912" s="3" t="n">
        <v>7154.19</v>
      </c>
      <c r="N912" s="3" t="n">
        <f aca="false">(Tabla2[[#This Row],[Productividad (kg/TAS)]]*Tabla2[[#This Row],[Precio por kg]]-Tabla2[[#This Row],[Costos (En RD$/Tarea)]])</f>
        <v>-3520.09839947664</v>
      </c>
      <c r="O912" s="9" t="n">
        <f aca="false">IF(Tabla2[[#This Row],[Costos (En RD$/Tarea)]]=0,0,Tabla2[[#This Row],[Beneficio Neto  (En RD$/Tarea)]]/Tabla2[[#This Row],[Costos (En RD$/Tarea)]])</f>
        <v>-0.492033116184591</v>
      </c>
      <c r="P912" s="7" t="n">
        <f aca="false">Tabla2[[#This Row],[Rentabilidad (%)]]/12</f>
        <v>-0.0410027596820493</v>
      </c>
    </row>
    <row r="913" customFormat="false" ht="14.25" hidden="false" customHeight="false" outlineLevel="0" collapsed="false">
      <c r="A913" s="1" t="n">
        <v>38808</v>
      </c>
      <c r="B913" s="2" t="s">
        <v>33</v>
      </c>
      <c r="C913" s="3" t="n">
        <v>652495</v>
      </c>
      <c r="D913" s="3" t="s">
        <v>31</v>
      </c>
      <c r="E913" s="3" t="n">
        <f aca="false">IF(Tabla2[[#This Row],[Frecuencia]]="Annual", Tabla2[[#This Row],[Cosecha/Tarea]]/12,Tabla2[[#This Row],[Cosecha/Tarea]])</f>
        <v>54374.5833333333</v>
      </c>
      <c r="F913" s="3" t="n">
        <v>146839</v>
      </c>
      <c r="G913" s="2" t="s">
        <v>34</v>
      </c>
      <c r="H913" s="2" t="n">
        <f aca="false">F913/Tabla2[[#This Row],[Cosecha Mensual]]</f>
        <v>2.70050804987011</v>
      </c>
      <c r="I913" s="2" t="n">
        <f aca="false">H913*_xlfn.XLOOKUP(Tabla2[[#This Row],[Unidad de producción]],Tabla3[Medida],Tabla3[Equivalencia en Kg],"ELVIS",0)</f>
        <v>1102.21236055449</v>
      </c>
      <c r="J913" s="2" t="n">
        <v>2487.305</v>
      </c>
      <c r="K913" s="2" t="s">
        <v>34</v>
      </c>
      <c r="L913" s="2" t="n">
        <f aca="false">J913/_xlfn.XLOOKUP(Tabla2[[#This Row],[Unidad de precio]],Tabla3[Medida],Tabla3[Equivalencia en Kg],"ELVIS",0)</f>
        <v>6.09409530809751</v>
      </c>
      <c r="M913" s="3" t="n">
        <v>9504.44</v>
      </c>
      <c r="N913" s="3" t="n">
        <f aca="false">(Tabla2[[#This Row],[Productividad (kg/TAS)]]*Tabla2[[#This Row],[Precio por kg]]-Tabla2[[#This Row],[Costos (En RD$/Tarea)]])</f>
        <v>-2787.45282501782</v>
      </c>
      <c r="O913" s="9" t="n">
        <f aca="false">IF(Tabla2[[#This Row],[Costos (En RD$/Tarea)]]=0,0,Tabla2[[#This Row],[Beneficio Neto  (En RD$/Tarea)]]/Tabla2[[#This Row],[Costos (En RD$/Tarea)]])</f>
        <v>-0.293279017492647</v>
      </c>
      <c r="P913" s="7" t="n">
        <f aca="false">Tabla2[[#This Row],[Rentabilidad (%)]]/12</f>
        <v>-0.0244399181243873</v>
      </c>
    </row>
    <row r="914" customFormat="false" ht="14.25" hidden="false" customHeight="false" outlineLevel="0" collapsed="false">
      <c r="A914" s="1" t="n">
        <v>38838</v>
      </c>
      <c r="B914" s="2" t="s">
        <v>16</v>
      </c>
      <c r="C914" s="3" t="n">
        <v>332764</v>
      </c>
      <c r="D914" s="8" t="s">
        <v>17</v>
      </c>
      <c r="E914" s="3" t="n">
        <f aca="false">IF(Tabla2[[#This Row],[Frecuencia]]="Annual", Tabla2[[#This Row],[Cosecha/Tarea]]/12,Tabla2[[#This Row],[Cosecha/Tarea]])</f>
        <v>332764</v>
      </c>
      <c r="F914" s="3" t="n">
        <v>1550101</v>
      </c>
      <c r="G914" s="2" t="s">
        <v>18</v>
      </c>
      <c r="H914" s="2" t="n">
        <f aca="false">F914/Tabla2[[#This Row],[Cosecha Mensual]]</f>
        <v>4.65825930689618</v>
      </c>
      <c r="I914" s="2" t="n">
        <f aca="false">H914*_xlfn.XLOOKUP(Tabla2[[#This Row],[Unidad de producción]],Tabla3[Medida],Tabla3[Equivalencia en Kg],"ELVIS",0)</f>
        <v>211.298642160811</v>
      </c>
      <c r="J914" s="2" t="n">
        <v>881.932</v>
      </c>
      <c r="K914" s="2" t="s">
        <v>19</v>
      </c>
      <c r="L914" s="2" t="n">
        <f aca="false">J914/_xlfn.XLOOKUP(Tabla2[[#This Row],[Unidad de precio]],Tabla3[Medida],Tabla3[Equivalencia en Kg],"ELVIS",0)</f>
        <v>8.01756363636364</v>
      </c>
      <c r="M914" s="2" t="n">
        <v>4756.775</v>
      </c>
      <c r="N914" s="3" t="n">
        <f aca="false">(Tabla2[[#This Row],[Productividad (kg/TAS)]]*Tabla2[[#This Row],[Precio por kg]]-Tabla2[[#This Row],[Costos (En RD$/Tarea)]])</f>
        <v>-3062.67469019847</v>
      </c>
      <c r="O914" s="9" t="n">
        <f aca="false">IF(Tabla2[[#This Row],[Costos (En RD$/Tarea)]]=0,0,Tabla2[[#This Row],[Beneficio Neto  (En RD$/Tarea)]]/Tabla2[[#This Row],[Costos (En RD$/Tarea)]])</f>
        <v>-0.643855278039948</v>
      </c>
      <c r="P914" s="7" t="n">
        <f aca="false">Tabla2[[#This Row],[Rentabilidad (%)]]/12</f>
        <v>-0.053654606503329</v>
      </c>
    </row>
    <row r="915" customFormat="false" ht="14.25" hidden="false" customHeight="false" outlineLevel="0" collapsed="false">
      <c r="A915" s="1" t="n">
        <v>38838</v>
      </c>
      <c r="B915" s="2" t="s">
        <v>20</v>
      </c>
      <c r="C915" s="3" t="n">
        <v>14614</v>
      </c>
      <c r="D915" s="8" t="s">
        <v>17</v>
      </c>
      <c r="E915" s="3" t="n">
        <f aca="false">IF(Tabla2[[#This Row],[Frecuencia]]="Annual", Tabla2[[#This Row],[Cosecha/Tarea]]/12,Tabla2[[#This Row],[Cosecha/Tarea]])</f>
        <v>14614</v>
      </c>
      <c r="F915" s="3" t="n">
        <v>27774</v>
      </c>
      <c r="G915" s="2" t="s">
        <v>18</v>
      </c>
      <c r="H915" s="2" t="n">
        <f aca="false">F915/Tabla2[[#This Row],[Cosecha Mensual]]</f>
        <v>1.90050636376078</v>
      </c>
      <c r="I915" s="2" t="n">
        <f aca="false">H915*_xlfn.XLOOKUP(Tabla2[[#This Row],[Unidad de producción]],Tabla3[Medida],Tabla3[Equivalencia en Kg],"ELVIS",0)</f>
        <v>86.2069686601889</v>
      </c>
      <c r="J915" s="2" t="n">
        <v>499.666666666667</v>
      </c>
      <c r="K915" s="2" t="s">
        <v>18</v>
      </c>
      <c r="L915" s="2" t="n">
        <f aca="false">J915/_xlfn.XLOOKUP(Tabla2[[#This Row],[Unidad de precio]],Tabla3[Medida],Tabla3[Equivalencia en Kg],"ELVIS",0)</f>
        <v>11.0155790711346</v>
      </c>
      <c r="M915" s="2" t="n">
        <v>1341.48</v>
      </c>
      <c r="N915" s="3" t="n">
        <f aca="false">(Tabla2[[#This Row],[Productividad (kg/TAS)]]*Tabla2[[#This Row],[Precio por kg]]-Tabla2[[#This Row],[Costos (En RD$/Tarea)]])</f>
        <v>-391.860320240864</v>
      </c>
      <c r="O915" s="9" t="n">
        <f aca="false">IF(Tabla2[[#This Row],[Costos (En RD$/Tarea)]]=0,0,Tabla2[[#This Row],[Beneficio Neto  (En RD$/Tarea)]]/Tabla2[[#This Row],[Costos (En RD$/Tarea)]])</f>
        <v>-0.292110445359502</v>
      </c>
      <c r="P915" s="7" t="n">
        <f aca="false">Tabla2[[#This Row],[Rentabilidad (%)]]/12</f>
        <v>-0.0243425371132918</v>
      </c>
    </row>
    <row r="916" customFormat="false" ht="14.25" hidden="false" customHeight="false" outlineLevel="0" collapsed="false">
      <c r="A916" s="1" t="n">
        <v>38838</v>
      </c>
      <c r="B916" s="2" t="s">
        <v>21</v>
      </c>
      <c r="C916" s="3" t="n">
        <v>3250</v>
      </c>
      <c r="D916" s="8" t="s">
        <v>17</v>
      </c>
      <c r="E916" s="3" t="n">
        <f aca="false">IF(Tabla2[[#This Row],[Frecuencia]]="Annual", Tabla2[[#This Row],[Cosecha/Tarea]]/12,Tabla2[[#This Row],[Cosecha/Tarea]])</f>
        <v>3250</v>
      </c>
      <c r="F916" s="3" t="n">
        <v>32475</v>
      </c>
      <c r="G916" s="2" t="s">
        <v>18</v>
      </c>
      <c r="H916" s="2" t="n">
        <f aca="false">F916/Tabla2[[#This Row],[Cosecha Mensual]]</f>
        <v>9.99230769230769</v>
      </c>
      <c r="I916" s="2" t="n">
        <f aca="false">H916*_xlfn.XLOOKUP(Tabla2[[#This Row],[Unidad de producción]],Tabla3[Medida],Tabla3[Equivalencia en Kg],"ELVIS",0)</f>
        <v>453.251076923077</v>
      </c>
      <c r="J916" s="2" t="n">
        <v>253.425</v>
      </c>
      <c r="K916" s="2" t="s">
        <v>18</v>
      </c>
      <c r="L916" s="2" t="n">
        <f aca="false">J916/_xlfn.XLOOKUP(Tabla2[[#This Row],[Unidad de precio]],Tabla3[Medida],Tabla3[Equivalencia en Kg],"ELVIS",0)</f>
        <v>5.5869708994709</v>
      </c>
      <c r="M916" s="2" t="n">
        <v>2058.755</v>
      </c>
      <c r="N916" s="3" t="n">
        <f aca="false">(Tabla2[[#This Row],[Productividad (kg/TAS)]]*Tabla2[[#This Row],[Precio por kg]]-Tabla2[[#This Row],[Costos (En RD$/Tarea)]])</f>
        <v>473.545576923077</v>
      </c>
      <c r="O916" s="9" t="n">
        <f aca="false">IF(Tabla2[[#This Row],[Costos (En RD$/Tarea)]]=0,0,Tabla2[[#This Row],[Beneficio Neto  (En RD$/Tarea)]]/Tabla2[[#This Row],[Costos (En RD$/Tarea)]])</f>
        <v>0.230015507878828</v>
      </c>
      <c r="P916" s="7" t="n">
        <f aca="false">Tabla2[[#This Row],[Rentabilidad (%)]]/12</f>
        <v>0.0191679589899024</v>
      </c>
    </row>
    <row r="917" customFormat="false" ht="14.25" hidden="false" customHeight="false" outlineLevel="0" collapsed="false">
      <c r="A917" s="1" t="n">
        <v>38838</v>
      </c>
      <c r="B917" s="2" t="s">
        <v>22</v>
      </c>
      <c r="C917" s="3" t="n">
        <v>7275</v>
      </c>
      <c r="D917" s="8" t="s">
        <v>17</v>
      </c>
      <c r="E917" s="3" t="n">
        <f aca="false">IF(Tabla2[[#This Row],[Frecuencia]]="Annual", Tabla2[[#This Row],[Cosecha/Tarea]]/12,Tabla2[[#This Row],[Cosecha/Tarea]])</f>
        <v>7275</v>
      </c>
      <c r="F917" s="3" t="n">
        <v>68589</v>
      </c>
      <c r="G917" s="2" t="s">
        <v>18</v>
      </c>
      <c r="H917" s="2" t="n">
        <f aca="false">F917/Tabla2[[#This Row],[Cosecha Mensual]]</f>
        <v>9.4280412371134</v>
      </c>
      <c r="I917" s="2" t="n">
        <f aca="false">H917*_xlfn.XLOOKUP(Tabla2[[#This Row],[Unidad de producción]],Tabla3[Medida],Tabla3[Equivalencia en Kg],"ELVIS",0)</f>
        <v>427.655950515464</v>
      </c>
      <c r="J917" s="2" t="n">
        <v>854</v>
      </c>
      <c r="K917" s="2" t="s">
        <v>18</v>
      </c>
      <c r="L917" s="2" t="n">
        <f aca="false">J917/_xlfn.XLOOKUP(Tabla2[[#This Row],[Unidad de precio]],Tabla3[Medida],Tabla3[Equivalencia en Kg],"ELVIS",0)</f>
        <v>18.8271604938272</v>
      </c>
      <c r="M917" s="2" t="n">
        <v>5691.88</v>
      </c>
      <c r="N917" s="3" t="n">
        <f aca="false">(Tabla2[[#This Row],[Productividad (kg/TAS)]]*Tabla2[[#This Row],[Precio por kg]]-Tabla2[[#This Row],[Costos (En RD$/Tarea)]])</f>
        <v>2359.66721649485</v>
      </c>
      <c r="O917" s="9" t="n">
        <f aca="false">IF(Tabla2[[#This Row],[Costos (En RD$/Tarea)]]=0,0,Tabla2[[#This Row],[Beneficio Neto  (En RD$/Tarea)]]/Tabla2[[#This Row],[Costos (En RD$/Tarea)]])</f>
        <v>0.414567281196168</v>
      </c>
      <c r="P917" s="7" t="n">
        <f aca="false">Tabla2[[#This Row],[Rentabilidad (%)]]/12</f>
        <v>0.034547273433014</v>
      </c>
    </row>
    <row r="918" customFormat="false" ht="14.25" hidden="false" customHeight="false" outlineLevel="0" collapsed="false">
      <c r="A918" s="1" t="n">
        <v>38838</v>
      </c>
      <c r="B918" s="2" t="s">
        <v>23</v>
      </c>
      <c r="C918" s="3" t="n">
        <v>3499</v>
      </c>
      <c r="D918" s="8" t="s">
        <v>17</v>
      </c>
      <c r="E918" s="3" t="n">
        <f aca="false">IF(Tabla2[[#This Row],[Frecuencia]]="Annual", Tabla2[[#This Row],[Cosecha/Tarea]]/12,Tabla2[[#This Row],[Cosecha/Tarea]])</f>
        <v>3499</v>
      </c>
      <c r="F918" s="3" t="n">
        <v>118225</v>
      </c>
      <c r="G918" s="2" t="s">
        <v>18</v>
      </c>
      <c r="H918" s="2" t="n">
        <f aca="false">F918/Tabla2[[#This Row],[Cosecha Mensual]]</f>
        <v>33.7882252072021</v>
      </c>
      <c r="I918" s="2" t="n">
        <f aca="false">H918*_xlfn.XLOOKUP(Tabla2[[#This Row],[Unidad de producción]],Tabla3[Medida],Tabla3[Equivalencia en Kg],"ELVIS",0)</f>
        <v>1532.63389539869</v>
      </c>
      <c r="J918" s="2" t="n">
        <v>418.125</v>
      </c>
      <c r="K918" s="2" t="s">
        <v>18</v>
      </c>
      <c r="L918" s="2" t="n">
        <f aca="false">J918/_xlfn.XLOOKUP(Tabla2[[#This Row],[Unidad de precio]],Tabla3[Medida],Tabla3[Equivalencia en Kg],"ELVIS",0)</f>
        <v>9.21792328042328</v>
      </c>
      <c r="M918" s="2" t="n">
        <v>10412.05</v>
      </c>
      <c r="N918" s="3" t="n">
        <f aca="false">(Tabla2[[#This Row],[Productividad (kg/TAS)]]*Tabla2[[#This Row],[Precio por kg]]-Tabla2[[#This Row],[Costos (En RD$/Tarea)]])</f>
        <v>3715.65166476136</v>
      </c>
      <c r="O918" s="9" t="n">
        <f aca="false">IF(Tabla2[[#This Row],[Costos (En RD$/Tarea)]]=0,0,Tabla2[[#This Row],[Beneficio Neto  (En RD$/Tarea)]]/Tabla2[[#This Row],[Costos (En RD$/Tarea)]])</f>
        <v>0.356860720488411</v>
      </c>
      <c r="P918" s="7" t="n">
        <f aca="false">Tabla2[[#This Row],[Rentabilidad (%)]]/12</f>
        <v>0.0297383933740343</v>
      </c>
    </row>
    <row r="919" customFormat="false" ht="14.25" hidden="false" customHeight="false" outlineLevel="0" collapsed="false">
      <c r="A919" s="1" t="n">
        <v>38838</v>
      </c>
      <c r="B919" s="2" t="s">
        <v>24</v>
      </c>
      <c r="C919" s="3" t="n">
        <v>5839</v>
      </c>
      <c r="D919" s="8" t="s">
        <v>17</v>
      </c>
      <c r="E919" s="3" t="n">
        <f aca="false">IF(Tabla2[[#This Row],[Frecuencia]]="Annual", Tabla2[[#This Row],[Cosecha/Tarea]]/12,Tabla2[[#This Row],[Cosecha/Tarea]])</f>
        <v>5839</v>
      </c>
      <c r="F919" s="3" t="n">
        <v>46789</v>
      </c>
      <c r="G919" s="2" t="s">
        <v>18</v>
      </c>
      <c r="H919" s="2" t="n">
        <f aca="false">F919/Tabla2[[#This Row],[Cosecha Mensual]]</f>
        <v>8.01318718958726</v>
      </c>
      <c r="I919" s="2" t="n">
        <f aca="false">H919*_xlfn.XLOOKUP(Tabla2[[#This Row],[Unidad de producción]],Tabla3[Medida],Tabla3[Equivalencia en Kg],"ELVIS",0)</f>
        <v>363.478170919678</v>
      </c>
      <c r="J919" s="2" t="n">
        <v>860.334</v>
      </c>
      <c r="K919" s="2" t="s">
        <v>18</v>
      </c>
      <c r="L919" s="2" t="n">
        <f aca="false">J919/_xlfn.XLOOKUP(Tabla2[[#This Row],[Unidad de precio]],Tabla3[Medida],Tabla3[Equivalencia en Kg],"ELVIS",0)</f>
        <v>18.9667989417989</v>
      </c>
      <c r="M919" s="2" t="n">
        <v>4593.1</v>
      </c>
      <c r="N919" s="3" t="n">
        <f aca="false">(Tabla2[[#This Row],[Productividad (kg/TAS)]]*Tabla2[[#This Row],[Precio por kg]]-Tabla2[[#This Row],[Costos (En RD$/Tarea)]])</f>
        <v>2300.91738756636</v>
      </c>
      <c r="O919" s="9" t="n">
        <f aca="false">IF(Tabla2[[#This Row],[Costos (En RD$/Tarea)]]=0,0,Tabla2[[#This Row],[Beneficio Neto  (En RD$/Tarea)]]/Tabla2[[#This Row],[Costos (En RD$/Tarea)]])</f>
        <v>0.500950858367195</v>
      </c>
      <c r="P919" s="7" t="n">
        <f aca="false">Tabla2[[#This Row],[Rentabilidad (%)]]/12</f>
        <v>0.0417459048639329</v>
      </c>
    </row>
    <row r="920" customFormat="false" ht="14.25" hidden="false" customHeight="false" outlineLevel="0" collapsed="false">
      <c r="A920" s="1" t="n">
        <v>38838</v>
      </c>
      <c r="B920" s="2" t="s">
        <v>25</v>
      </c>
      <c r="C920" s="3" t="n">
        <v>26056</v>
      </c>
      <c r="D920" s="8" t="s">
        <v>17</v>
      </c>
      <c r="E920" s="3" t="n">
        <f aca="false">IF(Tabla2[[#This Row],[Frecuencia]]="Annual", Tabla2[[#This Row],[Cosecha/Tarea]]/12,Tabla2[[#This Row],[Cosecha/Tarea]])</f>
        <v>26056</v>
      </c>
      <c r="F920" s="3" t="n">
        <v>261680</v>
      </c>
      <c r="G920" s="2" t="s">
        <v>18</v>
      </c>
      <c r="H920" s="2" t="n">
        <f aca="false">F920/Tabla2[[#This Row],[Cosecha Mensual]]</f>
        <v>10.0429843414185</v>
      </c>
      <c r="I920" s="2" t="n">
        <f aca="false">H920*_xlfn.XLOOKUP(Tabla2[[#This Row],[Unidad de producción]],Tabla3[Medida],Tabla3[Equivalencia en Kg],"ELVIS",0)</f>
        <v>455.549769726742</v>
      </c>
      <c r="J920" s="2" t="n">
        <v>440.696666666667</v>
      </c>
      <c r="K920" s="2" t="s">
        <v>18</v>
      </c>
      <c r="L920" s="2" t="n">
        <f aca="false">J920/_xlfn.XLOOKUP(Tabla2[[#This Row],[Unidad de precio]],Tabla3[Medida],Tabla3[Equivalencia en Kg],"ELVIS",0)</f>
        <v>9.71553497942388</v>
      </c>
      <c r="M920" s="2" t="n">
        <v>2287.145</v>
      </c>
      <c r="N920" s="3" t="n">
        <f aca="false">(Tabla2[[#This Row],[Productividad (kg/TAS)]]*Tabla2[[#This Row],[Precio por kg]]-Tabla2[[#This Row],[Costos (En RD$/Tarea)]])</f>
        <v>2138.76472264866</v>
      </c>
      <c r="O920" s="9" t="n">
        <f aca="false">IF(Tabla2[[#This Row],[Costos (En RD$/Tarea)]]=0,0,Tabla2[[#This Row],[Beneficio Neto  (En RD$/Tarea)]]/Tabla2[[#This Row],[Costos (En RD$/Tarea)]])</f>
        <v>0.935124236831796</v>
      </c>
      <c r="P920" s="7" t="n">
        <f aca="false">Tabla2[[#This Row],[Rentabilidad (%)]]/12</f>
        <v>0.077927019735983</v>
      </c>
    </row>
    <row r="921" customFormat="false" ht="14.25" hidden="false" customHeight="false" outlineLevel="0" collapsed="false">
      <c r="A921" s="1" t="n">
        <v>38838</v>
      </c>
      <c r="B921" s="2" t="s">
        <v>26</v>
      </c>
      <c r="C921" s="3" t="n">
        <v>5969</v>
      </c>
      <c r="D921" s="8" t="s">
        <v>17</v>
      </c>
      <c r="E921" s="3" t="n">
        <f aca="false">IF(Tabla2[[#This Row],[Frecuencia]]="Annual", Tabla2[[#This Row],[Cosecha/Tarea]]/12,Tabla2[[#This Row],[Cosecha/Tarea]])</f>
        <v>5969</v>
      </c>
      <c r="F921" s="3" t="n">
        <v>40046</v>
      </c>
      <c r="G921" s="2" t="s">
        <v>18</v>
      </c>
      <c r="H921" s="2" t="n">
        <f aca="false">F921/Tabla2[[#This Row],[Cosecha Mensual]]</f>
        <v>6.70899648182275</v>
      </c>
      <c r="I921" s="2" t="n">
        <f aca="false">H921*_xlfn.XLOOKUP(Tabla2[[#This Row],[Unidad de producción]],Tabla3[Medida],Tabla3[Equivalencia en Kg],"ELVIS",0)</f>
        <v>304.32008041548</v>
      </c>
      <c r="J921" s="2" t="n">
        <v>352.083333333333</v>
      </c>
      <c r="K921" s="2" t="s">
        <v>18</v>
      </c>
      <c r="L921" s="2" t="n">
        <f aca="false">J921/_xlfn.XLOOKUP(Tabla2[[#This Row],[Unidad de precio]],Tabla3[Medida],Tabla3[Equivalencia en Kg],"ELVIS",0)</f>
        <v>7.76197824808935</v>
      </c>
      <c r="M921" s="2" t="n">
        <v>864.56</v>
      </c>
      <c r="N921" s="3" t="n">
        <f aca="false">(Tabla2[[#This Row],[Productividad (kg/TAS)]]*Tabla2[[#This Row],[Precio por kg]]-Tabla2[[#This Row],[Costos (En RD$/Tarea)]])</f>
        <v>1497.56584464176</v>
      </c>
      <c r="O921" s="9" t="n">
        <f aca="false">IF(Tabla2[[#This Row],[Costos (En RD$/Tarea)]]=0,0,Tabla2[[#This Row],[Beneficio Neto  (En RD$/Tarea)]]/Tabla2[[#This Row],[Costos (En RD$/Tarea)]])</f>
        <v>1.73217109817914</v>
      </c>
      <c r="P921" s="7" t="n">
        <f aca="false">Tabla2[[#This Row],[Rentabilidad (%)]]/12</f>
        <v>0.144347591514928</v>
      </c>
    </row>
    <row r="922" customFormat="false" ht="14.25" hidden="false" customHeight="false" outlineLevel="0" collapsed="false">
      <c r="A922" s="1" t="n">
        <v>38838</v>
      </c>
      <c r="B922" s="2" t="s">
        <v>27</v>
      </c>
      <c r="C922" s="3" t="n">
        <v>5869</v>
      </c>
      <c r="D922" s="8" t="s">
        <v>17</v>
      </c>
      <c r="E922" s="3" t="n">
        <f aca="false">IF(Tabla2[[#This Row],[Frecuencia]]="Annual", Tabla2[[#This Row],[Cosecha/Tarea]]/12,Tabla2[[#This Row],[Cosecha/Tarea]])</f>
        <v>5869</v>
      </c>
      <c r="F922" s="3" t="n">
        <v>51899</v>
      </c>
      <c r="G922" s="2" t="s">
        <v>18</v>
      </c>
      <c r="H922" s="2" t="n">
        <f aca="false">F922/Tabla2[[#This Row],[Cosecha Mensual]]</f>
        <v>8.84290339069688</v>
      </c>
      <c r="I922" s="2" t="n">
        <f aca="false">H922*_xlfn.XLOOKUP(Tabla2[[#This Row],[Unidad de producción]],Tabla3[Medida],Tabla3[Equivalencia en Kg],"ELVIS",0)</f>
        <v>401.114097802011</v>
      </c>
      <c r="J922" s="2" t="n">
        <v>220.3345375</v>
      </c>
      <c r="K922" s="2" t="s">
        <v>18</v>
      </c>
      <c r="L922" s="2" t="n">
        <f aca="false">J922/_xlfn.XLOOKUP(Tabla2[[#This Row],[Unidad de precio]],Tabla3[Medida],Tabla3[Equivalencia en Kg],"ELVIS",0)</f>
        <v>4.85746334876543</v>
      </c>
      <c r="M922" s="2" t="n">
        <v>4742.13</v>
      </c>
      <c r="N922" s="3" t="n">
        <f aca="false">(Tabla2[[#This Row],[Productividad (kg/TAS)]]*Tabla2[[#This Row],[Precio por kg]]-Tabla2[[#This Row],[Costos (En RD$/Tarea)]])</f>
        <v>-2793.73297125362</v>
      </c>
      <c r="O922" s="9" t="n">
        <f aca="false">IF(Tabla2[[#This Row],[Costos (En RD$/Tarea)]]=0,0,Tabla2[[#This Row],[Beneficio Neto  (En RD$/Tarea)]]/Tabla2[[#This Row],[Costos (En RD$/Tarea)]])</f>
        <v>-0.589130405799424</v>
      </c>
      <c r="P922" s="7" t="n">
        <f aca="false">Tabla2[[#This Row],[Rentabilidad (%)]]/12</f>
        <v>-0.0490942004832853</v>
      </c>
    </row>
    <row r="923" customFormat="false" ht="14.25" hidden="false" customHeight="false" outlineLevel="0" collapsed="false">
      <c r="A923" s="1" t="n">
        <v>38838</v>
      </c>
      <c r="B923" s="2" t="s">
        <v>28</v>
      </c>
      <c r="C923" s="3" t="n">
        <v>3</v>
      </c>
      <c r="D923" s="8" t="s">
        <v>17</v>
      </c>
      <c r="E923" s="3" t="n">
        <f aca="false">IF(Tabla2[[#This Row],[Frecuencia]]="Annual", Tabla2[[#This Row],[Cosecha/Tarea]]/12,Tabla2[[#This Row],[Cosecha/Tarea]])</f>
        <v>3</v>
      </c>
      <c r="F923" s="3" t="n">
        <v>4</v>
      </c>
      <c r="G923" s="2" t="s">
        <v>29</v>
      </c>
      <c r="H923" s="2" t="n">
        <f aca="false">F923/Tabla2[[#This Row],[Cosecha Mensual]]</f>
        <v>1.33333333333333</v>
      </c>
      <c r="I923" s="2" t="n">
        <f aca="false">H923*_xlfn.XLOOKUP(Tabla2[[#This Row],[Unidad de producción]],Tabla3[Medida],Tabla3[Equivalencia en Kg],"ELVIS",0)</f>
        <v>749.786666666667</v>
      </c>
      <c r="J923" s="2" t="n">
        <v>3900</v>
      </c>
      <c r="K923" s="2" t="s">
        <v>29</v>
      </c>
      <c r="L923" s="2" t="n">
        <f aca="false">J923/_xlfn.XLOOKUP(Tabla2[[#This Row],[Unidad de precio]],Tabla3[Medida],Tabla3[Equivalencia en Kg],"ELVIS",0)</f>
        <v>6.93530604260767</v>
      </c>
      <c r="M923" s="2" t="n">
        <v>8196.87</v>
      </c>
      <c r="N923" s="3" t="n">
        <f aca="false">(Tabla2[[#This Row],[Productividad (kg/TAS)]]*Tabla2[[#This Row],[Precio por kg]]-Tabla2[[#This Row],[Costos (En RD$/Tarea)]])</f>
        <v>-2996.87</v>
      </c>
      <c r="O923" s="9" t="n">
        <f aca="false">IF(Tabla2[[#This Row],[Costos (En RD$/Tarea)]]=0,0,Tabla2[[#This Row],[Beneficio Neto  (En RD$/Tarea)]]/Tabla2[[#This Row],[Costos (En RD$/Tarea)]])</f>
        <v>-0.365611507807249</v>
      </c>
      <c r="P923" s="7" t="n">
        <f aca="false">Tabla2[[#This Row],[Rentabilidad (%)]]/12</f>
        <v>-0.030467625650604</v>
      </c>
    </row>
    <row r="924" customFormat="false" ht="14.25" hidden="false" customHeight="false" outlineLevel="0" collapsed="false">
      <c r="A924" s="1" t="n">
        <v>38838</v>
      </c>
      <c r="B924" s="2" t="s">
        <v>30</v>
      </c>
      <c r="C924" s="3" t="n">
        <v>274438</v>
      </c>
      <c r="D924" s="3" t="s">
        <v>31</v>
      </c>
      <c r="E924" s="3" t="n">
        <f aca="false">IF(Tabla2[[#This Row],[Frecuencia]]="Annual", Tabla2[[#This Row],[Cosecha/Tarea]]/12,Tabla2[[#This Row],[Cosecha/Tarea]])</f>
        <v>22869.8333333333</v>
      </c>
      <c r="F924" s="3" t="n">
        <v>1611888</v>
      </c>
      <c r="G924" s="2" t="s">
        <v>32</v>
      </c>
      <c r="H924" s="2" t="n">
        <f aca="false">F924/Tabla2[[#This Row],[Cosecha Mensual]]</f>
        <v>70.4809683790146</v>
      </c>
      <c r="I924" s="2" t="n">
        <f aca="false">H924*_xlfn.XLOOKUP(Tabla2[[#This Row],[Unidad de producción]],Tabla3[Medida],Tabla3[Equivalencia en Kg],"ELVIS",0)</f>
        <v>1917.78714959299</v>
      </c>
      <c r="J924" s="2" t="n">
        <v>62.09</v>
      </c>
      <c r="K924" s="2" t="s">
        <v>32</v>
      </c>
      <c r="L924" s="2" t="n">
        <f aca="false">J924/_xlfn.XLOOKUP(Tabla2[[#This Row],[Unidad de precio]],Tabla3[Medida],Tabla3[Equivalencia en Kg],"ELVIS",0)</f>
        <v>2.28188166115399</v>
      </c>
      <c r="M924" s="3" t="n">
        <v>7154.19</v>
      </c>
      <c r="N924" s="3" t="n">
        <f aca="false">(Tabla2[[#This Row],[Productividad (kg/TAS)]]*Tabla2[[#This Row],[Precio por kg]]-Tabla2[[#This Row],[Costos (En RD$/Tarea)]])</f>
        <v>-2778.02667334699</v>
      </c>
      <c r="O924" s="9" t="n">
        <f aca="false">IF(Tabla2[[#This Row],[Costos (En RD$/Tarea)]]=0,0,Tabla2[[#This Row],[Beneficio Neto  (En RD$/Tarea)]]/Tabla2[[#This Row],[Costos (En RD$/Tarea)]])</f>
        <v>-0.388307645358452</v>
      </c>
      <c r="P924" s="7" t="n">
        <f aca="false">Tabla2[[#This Row],[Rentabilidad (%)]]/12</f>
        <v>-0.0323589704465377</v>
      </c>
    </row>
    <row r="925" customFormat="false" ht="14.25" hidden="false" customHeight="false" outlineLevel="0" collapsed="false">
      <c r="A925" s="1" t="n">
        <v>38838</v>
      </c>
      <c r="B925" s="2" t="s">
        <v>33</v>
      </c>
      <c r="C925" s="3" t="n">
        <v>665839</v>
      </c>
      <c r="D925" s="3" t="s">
        <v>31</v>
      </c>
      <c r="E925" s="3" t="n">
        <f aca="false">IF(Tabla2[[#This Row],[Frecuencia]]="Annual", Tabla2[[#This Row],[Cosecha/Tarea]]/12,Tabla2[[#This Row],[Cosecha/Tarea]])</f>
        <v>55486.5833333333</v>
      </c>
      <c r="F925" s="3" t="n">
        <v>154734</v>
      </c>
      <c r="G925" s="2" t="s">
        <v>34</v>
      </c>
      <c r="H925" s="2" t="n">
        <f aca="false">F925/Tabla2[[#This Row],[Cosecha Mensual]]</f>
        <v>2.7886741389435</v>
      </c>
      <c r="I925" s="2" t="n">
        <f aca="false">H925*_xlfn.XLOOKUP(Tabla2[[#This Row],[Unidad de producción]],Tabla3[Medida],Tabla3[Equivalencia en Kg],"ELVIS",0)</f>
        <v>1138.19734980979</v>
      </c>
      <c r="J925" s="2" t="n">
        <v>2222.285</v>
      </c>
      <c r="K925" s="2" t="s">
        <v>34</v>
      </c>
      <c r="L925" s="2" t="n">
        <f aca="false">J925/_xlfn.XLOOKUP(Tabla2[[#This Row],[Unidad de precio]],Tabla3[Medida],Tabla3[Equivalencia en Kg],"ELVIS",0)</f>
        <v>5.44477520519417</v>
      </c>
      <c r="M925" s="3" t="n">
        <v>9504.44</v>
      </c>
      <c r="N925" s="3" t="n">
        <f aca="false">(Tabla2[[#This Row],[Productividad (kg/TAS)]]*Tabla2[[#This Row],[Precio por kg]]-Tabla2[[#This Row],[Costos (En RD$/Tarea)]])</f>
        <v>-3307.21129113795</v>
      </c>
      <c r="O925" s="9" t="n">
        <f aca="false">IF(Tabla2[[#This Row],[Costos (En RD$/Tarea)]]=0,0,Tabla2[[#This Row],[Beneficio Neto  (En RD$/Tarea)]]/Tabla2[[#This Row],[Costos (En RD$/Tarea)]])</f>
        <v>-0.347964876535382</v>
      </c>
      <c r="P925" s="7" t="n">
        <f aca="false">Tabla2[[#This Row],[Rentabilidad (%)]]/12</f>
        <v>-0.0289970730446152</v>
      </c>
    </row>
    <row r="926" customFormat="false" ht="14.25" hidden="false" customHeight="false" outlineLevel="0" collapsed="false">
      <c r="A926" s="1" t="n">
        <v>38869</v>
      </c>
      <c r="B926" s="2" t="s">
        <v>16</v>
      </c>
      <c r="C926" s="3" t="n">
        <v>438480</v>
      </c>
      <c r="D926" s="8" t="s">
        <v>17</v>
      </c>
      <c r="E926" s="3" t="n">
        <f aca="false">IF(Tabla2[[#This Row],[Frecuencia]]="Annual", Tabla2[[#This Row],[Cosecha/Tarea]]/12,Tabla2[[#This Row],[Cosecha/Tarea]])</f>
        <v>438480</v>
      </c>
      <c r="F926" s="3" t="n">
        <v>2327610</v>
      </c>
      <c r="G926" s="2" t="s">
        <v>18</v>
      </c>
      <c r="H926" s="2" t="n">
        <f aca="false">F926/Tabla2[[#This Row],[Cosecha Mensual]]</f>
        <v>5.30836070060208</v>
      </c>
      <c r="I926" s="2" t="n">
        <f aca="false">H926*_xlfn.XLOOKUP(Tabla2[[#This Row],[Unidad de producción]],Tabla3[Medida],Tabla3[Equivalencia en Kg],"ELVIS",0)</f>
        <v>240.78724137931</v>
      </c>
      <c r="J926" s="2" t="n">
        <v>1100.352</v>
      </c>
      <c r="K926" s="2" t="s">
        <v>19</v>
      </c>
      <c r="L926" s="2" t="n">
        <f aca="false">J926/_xlfn.XLOOKUP(Tabla2[[#This Row],[Unidad de precio]],Tabla3[Medida],Tabla3[Equivalencia en Kg],"ELVIS",0)</f>
        <v>10.0032</v>
      </c>
      <c r="M926" s="2" t="n">
        <v>4756.775</v>
      </c>
      <c r="N926" s="3" t="n">
        <f aca="false">(Tabla2[[#This Row],[Productividad (kg/TAS)]]*Tabla2[[#This Row],[Precio por kg]]-Tabla2[[#This Row],[Costos (En RD$/Tarea)]])</f>
        <v>-2348.13206703448</v>
      </c>
      <c r="O926" s="9" t="n">
        <f aca="false">IF(Tabla2[[#This Row],[Costos (En RD$/Tarea)]]=0,0,Tabla2[[#This Row],[Beneficio Neto  (En RD$/Tarea)]]/Tabla2[[#This Row],[Costos (En RD$/Tarea)]])</f>
        <v>-0.493639507236412</v>
      </c>
      <c r="P926" s="7" t="n">
        <f aca="false">Tabla2[[#This Row],[Rentabilidad (%)]]/12</f>
        <v>-0.0411366256030343</v>
      </c>
    </row>
    <row r="927" customFormat="false" ht="14.25" hidden="false" customHeight="false" outlineLevel="0" collapsed="false">
      <c r="A927" s="1" t="n">
        <v>38869</v>
      </c>
      <c r="B927" s="2" t="s">
        <v>20</v>
      </c>
      <c r="C927" s="3" t="n">
        <v>20596</v>
      </c>
      <c r="D927" s="8" t="s">
        <v>17</v>
      </c>
      <c r="E927" s="3" t="n">
        <f aca="false">IF(Tabla2[[#This Row],[Frecuencia]]="Annual", Tabla2[[#This Row],[Cosecha/Tarea]]/12,Tabla2[[#This Row],[Cosecha/Tarea]])</f>
        <v>20596</v>
      </c>
      <c r="F927" s="3" t="n">
        <v>44032</v>
      </c>
      <c r="G927" s="2" t="s">
        <v>18</v>
      </c>
      <c r="H927" s="2" t="n">
        <f aca="false">F927/Tabla2[[#This Row],[Cosecha Mensual]]</f>
        <v>2.13789085259274</v>
      </c>
      <c r="I927" s="2" t="n">
        <f aca="false">H927*_xlfn.XLOOKUP(Tabla2[[#This Row],[Unidad de producción]],Tabla3[Medida],Tabla3[Equivalencia en Kg],"ELVIS",0)</f>
        <v>96.9747290736065</v>
      </c>
      <c r="J927" s="2" t="n">
        <v>566.0425</v>
      </c>
      <c r="K927" s="2" t="s">
        <v>18</v>
      </c>
      <c r="L927" s="2" t="n">
        <f aca="false">J927/_xlfn.XLOOKUP(Tabla2[[#This Row],[Unidad de precio]],Tabla3[Medida],Tabla3[Equivalencia en Kg],"ELVIS",0)</f>
        <v>12.4788910934744</v>
      </c>
      <c r="M927" s="2" t="n">
        <v>1341.48</v>
      </c>
      <c r="N927" s="3" t="n">
        <f aca="false">(Tabla2[[#This Row],[Productividad (kg/TAS)]]*Tabla2[[#This Row],[Precio por kg]]-Tabla2[[#This Row],[Costos (En RD$/Tarea)]])</f>
        <v>-131.342917071276</v>
      </c>
      <c r="O927" s="9" t="n">
        <f aca="false">IF(Tabla2[[#This Row],[Costos (En RD$/Tarea)]]=0,0,Tabla2[[#This Row],[Beneficio Neto  (En RD$/Tarea)]]/Tabla2[[#This Row],[Costos (En RD$/Tarea)]])</f>
        <v>-0.097908964033214</v>
      </c>
      <c r="P927" s="7" t="n">
        <f aca="false">Tabla2[[#This Row],[Rentabilidad (%)]]/12</f>
        <v>-0.00815908033610117</v>
      </c>
    </row>
    <row r="928" customFormat="false" ht="14.25" hidden="false" customHeight="false" outlineLevel="0" collapsed="false">
      <c r="A928" s="1" t="n">
        <v>38869</v>
      </c>
      <c r="B928" s="2" t="s">
        <v>21</v>
      </c>
      <c r="C928" s="3" t="n">
        <v>4249</v>
      </c>
      <c r="D928" s="8" t="s">
        <v>17</v>
      </c>
      <c r="E928" s="3" t="n">
        <f aca="false">IF(Tabla2[[#This Row],[Frecuencia]]="Annual", Tabla2[[#This Row],[Cosecha/Tarea]]/12,Tabla2[[#This Row],[Cosecha/Tarea]])</f>
        <v>4249</v>
      </c>
      <c r="F928" s="3" t="n">
        <v>43053</v>
      </c>
      <c r="G928" s="2" t="s">
        <v>18</v>
      </c>
      <c r="H928" s="2" t="n">
        <f aca="false">F928/Tabla2[[#This Row],[Cosecha Mensual]]</f>
        <v>10.1325017651212</v>
      </c>
      <c r="I928" s="2" t="n">
        <f aca="false">H928*_xlfn.XLOOKUP(Tabla2[[#This Row],[Unidad de producción]],Tabla3[Medida],Tabla3[Equivalencia en Kg],"ELVIS",0)</f>
        <v>459.610280065898</v>
      </c>
      <c r="J928" s="2" t="n">
        <v>267.24604</v>
      </c>
      <c r="K928" s="2" t="s">
        <v>18</v>
      </c>
      <c r="L928" s="2" t="n">
        <f aca="false">J928/_xlfn.XLOOKUP(Tabla2[[#This Row],[Unidad de precio]],Tabla3[Medida],Tabla3[Equivalencia en Kg],"ELVIS",0)</f>
        <v>5.89166754850088</v>
      </c>
      <c r="M928" s="2" t="n">
        <v>2058.755</v>
      </c>
      <c r="N928" s="3" t="n">
        <f aca="false">(Tabla2[[#This Row],[Productividad (kg/TAS)]]*Tabla2[[#This Row],[Precio por kg]]-Tabla2[[#This Row],[Costos (En RD$/Tarea)]])</f>
        <v>649.115972021652</v>
      </c>
      <c r="O928" s="9" t="n">
        <f aca="false">IF(Tabla2[[#This Row],[Costos (En RD$/Tarea)]]=0,0,Tabla2[[#This Row],[Beneficio Neto  (En RD$/Tarea)]]/Tabla2[[#This Row],[Costos (En RD$/Tarea)]])</f>
        <v>0.315295395528682</v>
      </c>
      <c r="P928" s="7" t="n">
        <f aca="false">Tabla2[[#This Row],[Rentabilidad (%)]]/12</f>
        <v>0.0262746162940569</v>
      </c>
    </row>
    <row r="929" customFormat="false" ht="14.25" hidden="false" customHeight="false" outlineLevel="0" collapsed="false">
      <c r="A929" s="1" t="n">
        <v>38869</v>
      </c>
      <c r="B929" s="2" t="s">
        <v>22</v>
      </c>
      <c r="C929" s="3" t="n">
        <v>6182</v>
      </c>
      <c r="D929" s="8" t="s">
        <v>17</v>
      </c>
      <c r="E929" s="3" t="n">
        <f aca="false">IF(Tabla2[[#This Row],[Frecuencia]]="Annual", Tabla2[[#This Row],[Cosecha/Tarea]]/12,Tabla2[[#This Row],[Cosecha/Tarea]])</f>
        <v>6182</v>
      </c>
      <c r="F929" s="3" t="n">
        <v>60218</v>
      </c>
      <c r="G929" s="2" t="s">
        <v>18</v>
      </c>
      <c r="H929" s="2" t="n">
        <f aca="false">F929/Tabla2[[#This Row],[Cosecha Mensual]]</f>
        <v>9.74086056292462</v>
      </c>
      <c r="I929" s="2" t="n">
        <f aca="false">H929*_xlfn.XLOOKUP(Tabla2[[#This Row],[Unidad de producción]],Tabla3[Medida],Tabla3[Equivalencia en Kg],"ELVIS",0)</f>
        <v>441.845435134261</v>
      </c>
      <c r="J929" s="2" t="n">
        <v>795.75</v>
      </c>
      <c r="K929" s="2" t="s">
        <v>18</v>
      </c>
      <c r="L929" s="2" t="n">
        <f aca="false">J929/_xlfn.XLOOKUP(Tabla2[[#This Row],[Unidad de precio]],Tabla3[Medida],Tabla3[Equivalencia en Kg],"ELVIS",0)</f>
        <v>17.5429894179894</v>
      </c>
      <c r="M929" s="2" t="n">
        <v>5691.88</v>
      </c>
      <c r="N929" s="3" t="n">
        <f aca="false">(Tabla2[[#This Row],[Productividad (kg/TAS)]]*Tabla2[[#This Row],[Precio por kg]]-Tabla2[[#This Row],[Costos (En RD$/Tarea)]])</f>
        <v>2059.40979294727</v>
      </c>
      <c r="O929" s="9" t="n">
        <f aca="false">IF(Tabla2[[#This Row],[Costos (En RD$/Tarea)]]=0,0,Tabla2[[#This Row],[Beneficio Neto  (En RD$/Tarea)]]/Tabla2[[#This Row],[Costos (En RD$/Tarea)]])</f>
        <v>0.36181539191748</v>
      </c>
      <c r="P929" s="7" t="n">
        <f aca="false">Tabla2[[#This Row],[Rentabilidad (%)]]/12</f>
        <v>0.03015128265979</v>
      </c>
    </row>
    <row r="930" customFormat="false" ht="14.25" hidden="false" customHeight="false" outlineLevel="0" collapsed="false">
      <c r="A930" s="1" t="n">
        <v>38869</v>
      </c>
      <c r="B930" s="2" t="s">
        <v>23</v>
      </c>
      <c r="C930" s="3" t="n">
        <v>3890</v>
      </c>
      <c r="D930" s="8" t="s">
        <v>17</v>
      </c>
      <c r="E930" s="3" t="n">
        <f aca="false">IF(Tabla2[[#This Row],[Frecuencia]]="Annual", Tabla2[[#This Row],[Cosecha/Tarea]]/12,Tabla2[[#This Row],[Cosecha/Tarea]])</f>
        <v>3890</v>
      </c>
      <c r="F930" s="3" t="n">
        <v>114260</v>
      </c>
      <c r="G930" s="2" t="s">
        <v>18</v>
      </c>
      <c r="H930" s="2" t="n">
        <f aca="false">F930/Tabla2[[#This Row],[Cosecha Mensual]]</f>
        <v>29.3727506426735</v>
      </c>
      <c r="I930" s="2" t="n">
        <f aca="false">H930*_xlfn.XLOOKUP(Tabla2[[#This Row],[Unidad de producción]],Tabla3[Medida],Tabla3[Equivalencia en Kg],"ELVIS",0)</f>
        <v>1332.34796915167</v>
      </c>
      <c r="J930" s="2" t="n">
        <v>495</v>
      </c>
      <c r="K930" s="2" t="s">
        <v>18</v>
      </c>
      <c r="L930" s="2" t="n">
        <f aca="false">J930/_xlfn.XLOOKUP(Tabla2[[#This Row],[Unidad de precio]],Tabla3[Medida],Tabla3[Equivalencia en Kg],"ELVIS",0)</f>
        <v>10.9126984126984</v>
      </c>
      <c r="M930" s="2" t="n">
        <v>10412.05</v>
      </c>
      <c r="N930" s="3" t="n">
        <f aca="false">(Tabla2[[#This Row],[Productividad (kg/TAS)]]*Tabla2[[#This Row],[Precio por kg]]-Tabla2[[#This Row],[Costos (En RD$/Tarea)]])</f>
        <v>4127.46156812339</v>
      </c>
      <c r="O930" s="9" t="n">
        <f aca="false">IF(Tabla2[[#This Row],[Costos (En RD$/Tarea)]]=0,0,Tabla2[[#This Row],[Beneficio Neto  (En RD$/Tarea)]]/Tabla2[[#This Row],[Costos (En RD$/Tarea)]])</f>
        <v>0.396412000338396</v>
      </c>
      <c r="P930" s="7" t="n">
        <f aca="false">Tabla2[[#This Row],[Rentabilidad (%)]]/12</f>
        <v>0.033034333361533</v>
      </c>
    </row>
    <row r="931" customFormat="false" ht="14.25" hidden="false" customHeight="false" outlineLevel="0" collapsed="false">
      <c r="A931" s="1" t="n">
        <v>38869</v>
      </c>
      <c r="B931" s="2" t="s">
        <v>24</v>
      </c>
      <c r="C931" s="3" t="n">
        <v>6409</v>
      </c>
      <c r="D931" s="8" t="s">
        <v>17</v>
      </c>
      <c r="E931" s="3" t="n">
        <f aca="false">IF(Tabla2[[#This Row],[Frecuencia]]="Annual", Tabla2[[#This Row],[Cosecha/Tarea]]/12,Tabla2[[#This Row],[Cosecha/Tarea]])</f>
        <v>6409</v>
      </c>
      <c r="F931" s="3" t="n">
        <v>58206</v>
      </c>
      <c r="G931" s="2" t="s">
        <v>18</v>
      </c>
      <c r="H931" s="2" t="n">
        <f aca="false">F931/Tabla2[[#This Row],[Cosecha Mensual]]</f>
        <v>9.08191605554689</v>
      </c>
      <c r="I931" s="2" t="n">
        <f aca="false">H931*_xlfn.XLOOKUP(Tabla2[[#This Row],[Unidad de producción]],Tabla3[Medida],Tabla3[Equivalencia en Kg],"ELVIS",0)</f>
        <v>411.955712279607</v>
      </c>
      <c r="J931" s="2" t="n">
        <v>878.5</v>
      </c>
      <c r="K931" s="2" t="s">
        <v>18</v>
      </c>
      <c r="L931" s="2" t="n">
        <f aca="false">J931/_xlfn.XLOOKUP(Tabla2[[#This Row],[Unidad de precio]],Tabla3[Medida],Tabla3[Equivalencia en Kg],"ELVIS",0)</f>
        <v>19.3672839506173</v>
      </c>
      <c r="M931" s="2" t="n">
        <v>4593.1</v>
      </c>
      <c r="N931" s="3" t="n">
        <f aca="false">(Tabla2[[#This Row],[Productividad (kg/TAS)]]*Tabla2[[#This Row],[Precio por kg]]-Tabla2[[#This Row],[Costos (En RD$/Tarea)]])</f>
        <v>3385.36325479794</v>
      </c>
      <c r="O931" s="9" t="n">
        <f aca="false">IF(Tabla2[[#This Row],[Costos (En RD$/Tarea)]]=0,0,Tabla2[[#This Row],[Beneficio Neto  (En RD$/Tarea)]]/Tabla2[[#This Row],[Costos (En RD$/Tarea)]])</f>
        <v>0.737054114823962</v>
      </c>
      <c r="P931" s="7" t="n">
        <f aca="false">Tabla2[[#This Row],[Rentabilidad (%)]]/12</f>
        <v>0.0614211762353302</v>
      </c>
    </row>
    <row r="932" customFormat="false" ht="14.25" hidden="false" customHeight="false" outlineLevel="0" collapsed="false">
      <c r="A932" s="1" t="n">
        <v>38869</v>
      </c>
      <c r="B932" s="2" t="s">
        <v>25</v>
      </c>
      <c r="C932" s="3" t="n">
        <v>23496</v>
      </c>
      <c r="D932" s="8" t="s">
        <v>17</v>
      </c>
      <c r="E932" s="3" t="n">
        <f aca="false">IF(Tabla2[[#This Row],[Frecuencia]]="Annual", Tabla2[[#This Row],[Cosecha/Tarea]]/12,Tabla2[[#This Row],[Cosecha/Tarea]])</f>
        <v>23496</v>
      </c>
      <c r="F932" s="3" t="n">
        <v>236640</v>
      </c>
      <c r="G932" s="2" t="s">
        <v>18</v>
      </c>
      <c r="H932" s="2" t="n">
        <f aca="false">F932/Tabla2[[#This Row],[Cosecha Mensual]]</f>
        <v>10.0715015321757</v>
      </c>
      <c r="I932" s="2" t="n">
        <f aca="false">H932*_xlfn.XLOOKUP(Tabla2[[#This Row],[Unidad de producción]],Tabla3[Medida],Tabla3[Equivalencia en Kg],"ELVIS",0)</f>
        <v>456.843309499489</v>
      </c>
      <c r="J932" s="2" t="n">
        <v>463.745714285714</v>
      </c>
      <c r="K932" s="2" t="s">
        <v>18</v>
      </c>
      <c r="L932" s="2" t="n">
        <f aca="false">J932/_xlfn.XLOOKUP(Tabla2[[#This Row],[Unidad de precio]],Tabla3[Medida],Tabla3[Equivalencia en Kg],"ELVIS",0)</f>
        <v>10.2236709498614</v>
      </c>
      <c r="M932" s="2" t="n">
        <v>2287.145</v>
      </c>
      <c r="N932" s="3" t="n">
        <f aca="false">(Tabla2[[#This Row],[Productividad (kg/TAS)]]*Tabla2[[#This Row],[Precio por kg]]-Tabla2[[#This Row],[Costos (En RD$/Tarea)]])</f>
        <v>2383.47067196848</v>
      </c>
      <c r="O932" s="9" t="n">
        <f aca="false">IF(Tabla2[[#This Row],[Costos (En RD$/Tarea)]]=0,0,Tabla2[[#This Row],[Beneficio Neto  (En RD$/Tarea)]]/Tabla2[[#This Row],[Costos (En RD$/Tarea)]])</f>
        <v>1.04211611942771</v>
      </c>
      <c r="P932" s="7" t="n">
        <f aca="false">Tabla2[[#This Row],[Rentabilidad (%)]]/12</f>
        <v>0.0868430099523088</v>
      </c>
    </row>
    <row r="933" customFormat="false" ht="14.25" hidden="false" customHeight="false" outlineLevel="0" collapsed="false">
      <c r="A933" s="1" t="n">
        <v>38869</v>
      </c>
      <c r="B933" s="2" t="s">
        <v>26</v>
      </c>
      <c r="C933" s="3" t="n">
        <v>9049</v>
      </c>
      <c r="D933" s="8" t="s">
        <v>17</v>
      </c>
      <c r="E933" s="3" t="n">
        <f aca="false">IF(Tabla2[[#This Row],[Frecuencia]]="Annual", Tabla2[[#This Row],[Cosecha/Tarea]]/12,Tabla2[[#This Row],[Cosecha/Tarea]])</f>
        <v>9049</v>
      </c>
      <c r="F933" s="3" t="n">
        <v>61376</v>
      </c>
      <c r="G933" s="2" t="s">
        <v>18</v>
      </c>
      <c r="H933" s="2" t="n">
        <f aca="false">F933/Tabla2[[#This Row],[Cosecha Mensual]]</f>
        <v>6.78262791468671</v>
      </c>
      <c r="I933" s="2" t="n">
        <f aca="false">H933*_xlfn.XLOOKUP(Tabla2[[#This Row],[Unidad de producción]],Tabla3[Medida],Tabla3[Equivalencia en Kg],"ELVIS",0)</f>
        <v>307.660002210189</v>
      </c>
      <c r="J933" s="2" t="n">
        <v>434.9175</v>
      </c>
      <c r="K933" s="2" t="s">
        <v>18</v>
      </c>
      <c r="L933" s="2" t="n">
        <f aca="false">J933/_xlfn.XLOOKUP(Tabla2[[#This Row],[Unidad de precio]],Tabla3[Medida],Tabla3[Equivalencia en Kg],"ELVIS",0)</f>
        <v>9.58812830687831</v>
      </c>
      <c r="M933" s="2" t="n">
        <v>864.56</v>
      </c>
      <c r="N933" s="3" t="n">
        <f aca="false">(Tabla2[[#This Row],[Productividad (kg/TAS)]]*Tabla2[[#This Row],[Precio por kg]]-Tabla2[[#This Row],[Costos (En RD$/Tarea)]])</f>
        <v>2085.32357608576</v>
      </c>
      <c r="O933" s="9" t="n">
        <f aca="false">IF(Tabla2[[#This Row],[Costos (En RD$/Tarea)]]=0,0,Tabla2[[#This Row],[Beneficio Neto  (En RD$/Tarea)]]/Tabla2[[#This Row],[Costos (En RD$/Tarea)]])</f>
        <v>2.41200561682909</v>
      </c>
      <c r="P933" s="7" t="n">
        <f aca="false">Tabla2[[#This Row],[Rentabilidad (%)]]/12</f>
        <v>0.201000468069091</v>
      </c>
    </row>
    <row r="934" customFormat="false" ht="14.25" hidden="false" customHeight="false" outlineLevel="0" collapsed="false">
      <c r="A934" s="1" t="n">
        <v>38869</v>
      </c>
      <c r="B934" s="2" t="s">
        <v>27</v>
      </c>
      <c r="C934" s="3" t="n">
        <v>5739</v>
      </c>
      <c r="D934" s="8" t="s">
        <v>17</v>
      </c>
      <c r="E934" s="3" t="n">
        <f aca="false">IF(Tabla2[[#This Row],[Frecuencia]]="Annual", Tabla2[[#This Row],[Cosecha/Tarea]]/12,Tabla2[[#This Row],[Cosecha/Tarea]])</f>
        <v>5739</v>
      </c>
      <c r="F934" s="3" t="n">
        <v>61851</v>
      </c>
      <c r="G934" s="2" t="s">
        <v>18</v>
      </c>
      <c r="H934" s="2" t="n">
        <f aca="false">F934/Tabla2[[#This Row],[Cosecha Mensual]]</f>
        <v>10.7773131207527</v>
      </c>
      <c r="I934" s="2" t="n">
        <f aca="false">H934*_xlfn.XLOOKUP(Tabla2[[#This Row],[Unidad de producción]],Tabla3[Medida],Tabla3[Equivalencia en Kg],"ELVIS",0)</f>
        <v>488.858923157344</v>
      </c>
      <c r="J934" s="2" t="n">
        <v>292.676783333333</v>
      </c>
      <c r="K934" s="2" t="s">
        <v>18</v>
      </c>
      <c r="L934" s="2" t="n">
        <f aca="false">J934/_xlfn.XLOOKUP(Tabla2[[#This Row],[Unidad de precio]],Tabla3[Medida],Tabla3[Equivalencia en Kg],"ELVIS",0)</f>
        <v>6.45231003821281</v>
      </c>
      <c r="M934" s="2" t="n">
        <v>4742.13</v>
      </c>
      <c r="N934" s="3" t="n">
        <f aca="false">(Tabla2[[#This Row],[Productividad (kg/TAS)]]*Tabla2[[#This Row],[Precio por kg]]-Tabla2[[#This Row],[Costos (En RD$/Tarea)]])</f>
        <v>-1587.86066284196</v>
      </c>
      <c r="O934" s="9" t="n">
        <f aca="false">IF(Tabla2[[#This Row],[Costos (En RD$/Tarea)]]=0,0,Tabla2[[#This Row],[Beneficio Neto  (En RD$/Tarea)]]/Tabla2[[#This Row],[Costos (En RD$/Tarea)]])</f>
        <v>-0.334841234390867</v>
      </c>
      <c r="P934" s="7" t="n">
        <f aca="false">Tabla2[[#This Row],[Rentabilidad (%)]]/12</f>
        <v>-0.0279034361992389</v>
      </c>
    </row>
    <row r="935" customFormat="false" ht="14.25" hidden="false" customHeight="false" outlineLevel="0" collapsed="false">
      <c r="A935" s="1" t="n">
        <v>38869</v>
      </c>
      <c r="B935" s="2" t="s">
        <v>28</v>
      </c>
      <c r="C935" s="3" t="n">
        <v>646</v>
      </c>
      <c r="D935" s="8" t="s">
        <v>17</v>
      </c>
      <c r="E935" s="3" t="n">
        <f aca="false">IF(Tabla2[[#This Row],[Frecuencia]]="Annual", Tabla2[[#This Row],[Cosecha/Tarea]]/12,Tabla2[[#This Row],[Cosecha/Tarea]])</f>
        <v>646</v>
      </c>
      <c r="F935" s="3" t="n">
        <v>450</v>
      </c>
      <c r="G935" s="2" t="s">
        <v>29</v>
      </c>
      <c r="H935" s="2" t="n">
        <f aca="false">F935/Tabla2[[#This Row],[Cosecha Mensual]]</f>
        <v>0.696594427244582</v>
      </c>
      <c r="I935" s="2" t="n">
        <f aca="false">H935*_xlfn.XLOOKUP(Tabla2[[#This Row],[Unidad de producción]],Tabla3[Medida],Tabla3[Equivalencia en Kg],"ELVIS",0)</f>
        <v>391.722910216718</v>
      </c>
      <c r="J935" s="2" t="n">
        <v>5975</v>
      </c>
      <c r="K935" s="2" t="s">
        <v>29</v>
      </c>
      <c r="L935" s="2" t="n">
        <f aca="false">J935/_xlfn.XLOOKUP(Tabla2[[#This Row],[Unidad de precio]],Tabla3[Medida],Tabla3[Equivalencia en Kg],"ELVIS",0)</f>
        <v>10.6252445139951</v>
      </c>
      <c r="M935" s="2" t="n">
        <v>8196.87</v>
      </c>
      <c r="N935" s="3" t="n">
        <f aca="false">(Tabla2[[#This Row],[Productividad (kg/TAS)]]*Tabla2[[#This Row],[Precio por kg]]-Tabla2[[#This Row],[Costos (En RD$/Tarea)]])</f>
        <v>-4034.71829721362</v>
      </c>
      <c r="O935" s="9" t="n">
        <f aca="false">IF(Tabla2[[#This Row],[Costos (En RD$/Tarea)]]=0,0,Tabla2[[#This Row],[Beneficio Neto  (En RD$/Tarea)]]/Tabla2[[#This Row],[Costos (En RD$/Tarea)]])</f>
        <v>-0.492226703267665</v>
      </c>
      <c r="P935" s="7" t="n">
        <f aca="false">Tabla2[[#This Row],[Rentabilidad (%)]]/12</f>
        <v>-0.0410188919389721</v>
      </c>
    </row>
    <row r="936" customFormat="false" ht="14.25" hidden="false" customHeight="false" outlineLevel="0" collapsed="false">
      <c r="A936" s="1" t="n">
        <v>38869</v>
      </c>
      <c r="B936" s="2" t="s">
        <v>30</v>
      </c>
      <c r="C936" s="3" t="n">
        <v>292953</v>
      </c>
      <c r="D936" s="3" t="s">
        <v>31</v>
      </c>
      <c r="E936" s="3" t="n">
        <f aca="false">IF(Tabla2[[#This Row],[Frecuencia]]="Annual", Tabla2[[#This Row],[Cosecha/Tarea]]/12,Tabla2[[#This Row],[Cosecha/Tarea]])</f>
        <v>24412.75</v>
      </c>
      <c r="F936" s="3" t="n">
        <v>1620444</v>
      </c>
      <c r="G936" s="2" t="s">
        <v>32</v>
      </c>
      <c r="H936" s="2" t="n">
        <f aca="false">F936/Tabla2[[#This Row],[Cosecha Mensual]]</f>
        <v>66.3769546650828</v>
      </c>
      <c r="I936" s="2" t="n">
        <f aca="false">H936*_xlfn.XLOOKUP(Tabla2[[#This Row],[Unidad de producción]],Tabla3[Medida],Tabla3[Equivalencia en Kg],"ELVIS",0)</f>
        <v>1806.1169364369</v>
      </c>
      <c r="J936" s="2" t="n">
        <v>70.6642857142857</v>
      </c>
      <c r="K936" s="2" t="s">
        <v>32</v>
      </c>
      <c r="L936" s="2" t="n">
        <f aca="false">J936/_xlfn.XLOOKUP(Tabla2[[#This Row],[Unidad de precio]],Tabla3[Medida],Tabla3[Equivalencia en Kg],"ELVIS",0)</f>
        <v>2.59699690239933</v>
      </c>
      <c r="M936" s="3" t="n">
        <v>7154.19</v>
      </c>
      <c r="N936" s="3" t="n">
        <f aca="false">(Tabla2[[#This Row],[Productividad (kg/TAS)]]*Tabla2[[#This Row],[Precio por kg]]-Tabla2[[#This Row],[Costos (En RD$/Tarea)]])</f>
        <v>-2463.7099107024</v>
      </c>
      <c r="O936" s="9" t="n">
        <f aca="false">IF(Tabla2[[#This Row],[Costos (En RD$/Tarea)]]=0,0,Tabla2[[#This Row],[Beneficio Neto  (En RD$/Tarea)]]/Tabla2[[#This Row],[Costos (En RD$/Tarea)]])</f>
        <v>-0.344373005288146</v>
      </c>
      <c r="P936" s="7" t="n">
        <f aca="false">Tabla2[[#This Row],[Rentabilidad (%)]]/12</f>
        <v>-0.0286977504406788</v>
      </c>
    </row>
    <row r="937" customFormat="false" ht="14.25" hidden="false" customHeight="false" outlineLevel="0" collapsed="false">
      <c r="A937" s="1" t="n">
        <v>38869</v>
      </c>
      <c r="B937" s="2" t="s">
        <v>33</v>
      </c>
      <c r="C937" s="3" t="n">
        <v>683898</v>
      </c>
      <c r="D937" s="3" t="s">
        <v>31</v>
      </c>
      <c r="E937" s="3" t="n">
        <f aca="false">IF(Tabla2[[#This Row],[Frecuencia]]="Annual", Tabla2[[#This Row],[Cosecha/Tarea]]/12,Tabla2[[#This Row],[Cosecha/Tarea]])</f>
        <v>56991.5</v>
      </c>
      <c r="F937" s="3" t="n">
        <v>223214</v>
      </c>
      <c r="G937" s="2" t="s">
        <v>34</v>
      </c>
      <c r="H937" s="2" t="n">
        <f aca="false">F937/Tabla2[[#This Row],[Cosecha Mensual]]</f>
        <v>3.91661914496021</v>
      </c>
      <c r="I937" s="2" t="n">
        <f aca="false">H937*_xlfn.XLOOKUP(Tabla2[[#This Row],[Unidad de producción]],Tabla3[Medida],Tabla3[Equivalencia en Kg],"ELVIS",0)</f>
        <v>1598.56810401551</v>
      </c>
      <c r="J937" s="2" t="n">
        <v>2126.64285714286</v>
      </c>
      <c r="K937" s="2" t="s">
        <v>34</v>
      </c>
      <c r="L937" s="2" t="n">
        <f aca="false">J937/_xlfn.XLOOKUP(Tabla2[[#This Row],[Unidad de precio]],Tabla3[Medida],Tabla3[Equivalencia en Kg],"ELVIS",0)</f>
        <v>5.21044433944104</v>
      </c>
      <c r="M937" s="3" t="n">
        <v>9504.44</v>
      </c>
      <c r="N937" s="3" t="n">
        <f aca="false">(Tabla2[[#This Row],[Productividad (kg/TAS)]]*Tabla2[[#This Row],[Precio por kg]]-Tabla2[[#This Row],[Costos (En RD$/Tarea)]])</f>
        <v>-1175.18987122139</v>
      </c>
      <c r="O937" s="9" t="n">
        <f aca="false">IF(Tabla2[[#This Row],[Costos (En RD$/Tarea)]]=0,0,Tabla2[[#This Row],[Beneficio Neto  (En RD$/Tarea)]]/Tabla2[[#This Row],[Costos (En RD$/Tarea)]])</f>
        <v>-0.123646408543942</v>
      </c>
      <c r="P937" s="7" t="n">
        <f aca="false">Tabla2[[#This Row],[Rentabilidad (%)]]/12</f>
        <v>-0.0103038673786619</v>
      </c>
    </row>
    <row r="938" customFormat="false" ht="14.25" hidden="false" customHeight="false" outlineLevel="0" collapsed="false">
      <c r="A938" s="1" t="n">
        <v>38899</v>
      </c>
      <c r="B938" s="2" t="s">
        <v>16</v>
      </c>
      <c r="C938" s="3" t="n">
        <v>219428</v>
      </c>
      <c r="D938" s="8" t="s">
        <v>17</v>
      </c>
      <c r="E938" s="3" t="n">
        <f aca="false">IF(Tabla2[[#This Row],[Frecuencia]]="Annual", Tabla2[[#This Row],[Cosecha/Tarea]]/12,Tabla2[[#This Row],[Cosecha/Tarea]])</f>
        <v>219428</v>
      </c>
      <c r="F938" s="3" t="n">
        <v>1088701</v>
      </c>
      <c r="G938" s="2" t="s">
        <v>18</v>
      </c>
      <c r="H938" s="2" t="n">
        <f aca="false">F938/Tabla2[[#This Row],[Cosecha Mensual]]</f>
        <v>4.96154091547113</v>
      </c>
      <c r="I938" s="2" t="n">
        <f aca="false">H938*_xlfn.XLOOKUP(Tabla2[[#This Row],[Unidad de producción]],Tabla3[Medida],Tabla3[Equivalencia en Kg],"ELVIS",0)</f>
        <v>225.055495925771</v>
      </c>
      <c r="J938" s="2" t="n">
        <v>868</v>
      </c>
      <c r="K938" s="2" t="s">
        <v>19</v>
      </c>
      <c r="L938" s="2" t="n">
        <f aca="false">J938/_xlfn.XLOOKUP(Tabla2[[#This Row],[Unidad de precio]],Tabla3[Medida],Tabla3[Equivalencia en Kg],"ELVIS",0)</f>
        <v>7.89090909090909</v>
      </c>
      <c r="M938" s="2" t="n">
        <v>4756.775</v>
      </c>
      <c r="N938" s="3" t="n">
        <f aca="false">(Tabla2[[#This Row],[Productividad (kg/TAS)]]*Tabla2[[#This Row],[Precio por kg]]-Tabla2[[#This Row],[Costos (En RD$/Tarea)]])</f>
        <v>-2980.88254124028</v>
      </c>
      <c r="O938" s="9" t="n">
        <f aca="false">IF(Tabla2[[#This Row],[Costos (En RD$/Tarea)]]=0,0,Tabla2[[#This Row],[Beneficio Neto  (En RD$/Tarea)]]/Tabla2[[#This Row],[Costos (En RD$/Tarea)]])</f>
        <v>-0.626660403580216</v>
      </c>
      <c r="P938" s="7" t="n">
        <f aca="false">Tabla2[[#This Row],[Rentabilidad (%)]]/12</f>
        <v>-0.0522217002983513</v>
      </c>
    </row>
    <row r="939" customFormat="false" ht="14.25" hidden="false" customHeight="false" outlineLevel="0" collapsed="false">
      <c r="A939" s="1" t="n">
        <v>38899</v>
      </c>
      <c r="B939" s="2" t="s">
        <v>20</v>
      </c>
      <c r="C939" s="3" t="n">
        <v>28897</v>
      </c>
      <c r="D939" s="8" t="s">
        <v>17</v>
      </c>
      <c r="E939" s="3" t="n">
        <f aca="false">IF(Tabla2[[#This Row],[Frecuencia]]="Annual", Tabla2[[#This Row],[Cosecha/Tarea]]/12,Tabla2[[#This Row],[Cosecha/Tarea]])</f>
        <v>28897</v>
      </c>
      <c r="F939" s="3" t="n">
        <v>64689</v>
      </c>
      <c r="G939" s="2" t="s">
        <v>18</v>
      </c>
      <c r="H939" s="2" t="n">
        <f aca="false">F939/Tabla2[[#This Row],[Cosecha Mensual]]</f>
        <v>2.23860608367651</v>
      </c>
      <c r="I939" s="2" t="n">
        <f aca="false">H939*_xlfn.XLOOKUP(Tabla2[[#This Row],[Unidad de producción]],Tabla3[Medida],Tabla3[Equivalencia en Kg],"ELVIS",0)</f>
        <v>101.543171955566</v>
      </c>
      <c r="J939" s="2" t="n">
        <v>432</v>
      </c>
      <c r="K939" s="2" t="s">
        <v>18</v>
      </c>
      <c r="L939" s="2" t="n">
        <f aca="false">J939/_xlfn.XLOOKUP(Tabla2[[#This Row],[Unidad de precio]],Tabla3[Medida],Tabla3[Equivalencia en Kg],"ELVIS",0)</f>
        <v>9.52380952380952</v>
      </c>
      <c r="M939" s="2" t="n">
        <v>1341.48</v>
      </c>
      <c r="N939" s="3" t="n">
        <f aca="false">(Tabla2[[#This Row],[Productividad (kg/TAS)]]*Tabla2[[#This Row],[Precio por kg]]-Tabla2[[#This Row],[Costos (En RD$/Tarea)]])</f>
        <v>-374.40217185175</v>
      </c>
      <c r="O939" s="9" t="n">
        <f aca="false">IF(Tabla2[[#This Row],[Costos (En RD$/Tarea)]]=0,0,Tabla2[[#This Row],[Beneficio Neto  (En RD$/Tarea)]]/Tabla2[[#This Row],[Costos (En RD$/Tarea)]])</f>
        <v>-0.279096350189156</v>
      </c>
      <c r="P939" s="7" t="n">
        <f aca="false">Tabla2[[#This Row],[Rentabilidad (%)]]/12</f>
        <v>-0.0232580291824297</v>
      </c>
    </row>
    <row r="940" customFormat="false" ht="14.25" hidden="false" customHeight="false" outlineLevel="0" collapsed="false">
      <c r="A940" s="1" t="n">
        <v>38899</v>
      </c>
      <c r="B940" s="2" t="s">
        <v>21</v>
      </c>
      <c r="C940" s="3" t="n">
        <v>4482</v>
      </c>
      <c r="D940" s="8" t="s">
        <v>17</v>
      </c>
      <c r="E940" s="3" t="n">
        <f aca="false">IF(Tabla2[[#This Row],[Frecuencia]]="Annual", Tabla2[[#This Row],[Cosecha/Tarea]]/12,Tabla2[[#This Row],[Cosecha/Tarea]])</f>
        <v>4482</v>
      </c>
      <c r="F940" s="3" t="n">
        <v>44835</v>
      </c>
      <c r="G940" s="2" t="s">
        <v>18</v>
      </c>
      <c r="H940" s="2" t="n">
        <f aca="false">F940/Tabla2[[#This Row],[Cosecha Mensual]]</f>
        <v>10.0033467202142</v>
      </c>
      <c r="I940" s="2" t="n">
        <f aca="false">H940*_xlfn.XLOOKUP(Tabla2[[#This Row],[Unidad de producción]],Tabla3[Medida],Tabla3[Equivalencia en Kg],"ELVIS",0)</f>
        <v>453.751807228916</v>
      </c>
      <c r="J940" s="2" t="n">
        <v>281.407666666667</v>
      </c>
      <c r="K940" s="2" t="s">
        <v>18</v>
      </c>
      <c r="L940" s="2" t="n">
        <f aca="false">J940/_xlfn.XLOOKUP(Tabla2[[#This Row],[Unidad de precio]],Tabla3[Medida],Tabla3[Equivalencia en Kg],"ELVIS",0)</f>
        <v>6.20387272192829</v>
      </c>
      <c r="M940" s="2" t="n">
        <v>2058.755</v>
      </c>
      <c r="N940" s="3" t="n">
        <f aca="false">(Tabla2[[#This Row],[Productividad (kg/TAS)]]*Tabla2[[#This Row],[Precio por kg]]-Tabla2[[#This Row],[Costos (En RD$/Tarea)]])</f>
        <v>756.263459393131</v>
      </c>
      <c r="O940" s="9" t="n">
        <f aca="false">IF(Tabla2[[#This Row],[Costos (En RD$/Tarea)]]=0,0,Tabla2[[#This Row],[Beneficio Neto  (En RD$/Tarea)]]/Tabla2[[#This Row],[Costos (En RD$/Tarea)]])</f>
        <v>0.367340193171665</v>
      </c>
      <c r="P940" s="7" t="n">
        <f aca="false">Tabla2[[#This Row],[Rentabilidad (%)]]/12</f>
        <v>0.0306116827643054</v>
      </c>
    </row>
    <row r="941" customFormat="false" ht="14.25" hidden="false" customHeight="false" outlineLevel="0" collapsed="false">
      <c r="A941" s="1" t="n">
        <v>38899</v>
      </c>
      <c r="B941" s="2" t="s">
        <v>22</v>
      </c>
      <c r="C941" s="3" t="n">
        <v>1954</v>
      </c>
      <c r="D941" s="8" t="s">
        <v>17</v>
      </c>
      <c r="E941" s="3" t="n">
        <f aca="false">IF(Tabla2[[#This Row],[Frecuencia]]="Annual", Tabla2[[#This Row],[Cosecha/Tarea]]/12,Tabla2[[#This Row],[Cosecha/Tarea]])</f>
        <v>1954</v>
      </c>
      <c r="F941" s="3" t="n">
        <v>17129</v>
      </c>
      <c r="G941" s="2" t="s">
        <v>18</v>
      </c>
      <c r="H941" s="2" t="n">
        <f aca="false">F941/Tabla2[[#This Row],[Cosecha Mensual]]</f>
        <v>8.76612077789151</v>
      </c>
      <c r="I941" s="2" t="n">
        <f aca="false">H941*_xlfn.XLOOKUP(Tabla2[[#This Row],[Unidad de producción]],Tabla3[Medida],Tabla3[Equivalencia en Kg],"ELVIS",0)</f>
        <v>397.631238485159</v>
      </c>
      <c r="J941" s="2" t="n">
        <v>766.708333333333</v>
      </c>
      <c r="K941" s="2" t="s">
        <v>18</v>
      </c>
      <c r="L941" s="2" t="n">
        <f aca="false">J941/_xlfn.XLOOKUP(Tabla2[[#This Row],[Unidad de precio]],Tabla3[Medida],Tabla3[Equivalencia en Kg],"ELVIS",0)</f>
        <v>16.9027410346855</v>
      </c>
      <c r="M941" s="2" t="n">
        <v>5691.88</v>
      </c>
      <c r="N941" s="3" t="n">
        <f aca="false">(Tabla2[[#This Row],[Productividad (kg/TAS)]]*Tabla2[[#This Row],[Precio por kg]]-Tabla2[[#This Row],[Costos (En RD$/Tarea)]])</f>
        <v>1029.1778514159</v>
      </c>
      <c r="O941" s="9" t="n">
        <f aca="false">IF(Tabla2[[#This Row],[Costos (En RD$/Tarea)]]=0,0,Tabla2[[#This Row],[Beneficio Neto  (En RD$/Tarea)]]/Tabla2[[#This Row],[Costos (En RD$/Tarea)]])</f>
        <v>0.180815100004901</v>
      </c>
      <c r="P941" s="7" t="n">
        <f aca="false">Tabla2[[#This Row],[Rentabilidad (%)]]/12</f>
        <v>0.0150679250004084</v>
      </c>
    </row>
    <row r="942" customFormat="false" ht="14.25" hidden="false" customHeight="false" outlineLevel="0" collapsed="false">
      <c r="A942" s="1" t="n">
        <v>38899</v>
      </c>
      <c r="B942" s="2" t="s">
        <v>23</v>
      </c>
      <c r="C942" s="3" t="n">
        <v>1738</v>
      </c>
      <c r="D942" s="8" t="s">
        <v>17</v>
      </c>
      <c r="E942" s="3" t="n">
        <f aca="false">IF(Tabla2[[#This Row],[Frecuencia]]="Annual", Tabla2[[#This Row],[Cosecha/Tarea]]/12,Tabla2[[#This Row],[Cosecha/Tarea]])</f>
        <v>1738</v>
      </c>
      <c r="F942" s="3" t="n">
        <v>52432</v>
      </c>
      <c r="G942" s="2" t="s">
        <v>18</v>
      </c>
      <c r="H942" s="2" t="n">
        <f aca="false">F942/Tabla2[[#This Row],[Cosecha Mensual]]</f>
        <v>30.1680092059839</v>
      </c>
      <c r="I942" s="2" t="n">
        <f aca="false">H942*_xlfn.XLOOKUP(Tabla2[[#This Row],[Unidad de producción]],Tabla3[Medida],Tabla3[Equivalencia en Kg],"ELVIS",0)</f>
        <v>1368.42089758343</v>
      </c>
      <c r="J942" s="2" t="n">
        <v>456.5625</v>
      </c>
      <c r="K942" s="2" t="s">
        <v>18</v>
      </c>
      <c r="L942" s="2" t="n">
        <f aca="false">J942/_xlfn.XLOOKUP(Tabla2[[#This Row],[Unidad de precio]],Tabla3[Medida],Tabla3[Equivalencia en Kg],"ELVIS",0)</f>
        <v>10.0653108465608</v>
      </c>
      <c r="M942" s="2" t="n">
        <v>10412.05</v>
      </c>
      <c r="N942" s="3" t="n">
        <f aca="false">(Tabla2[[#This Row],[Productividad (kg/TAS)]]*Tabla2[[#This Row],[Precio por kg]]-Tabla2[[#This Row],[Costos (En RD$/Tarea)]])</f>
        <v>3361.53170310702</v>
      </c>
      <c r="O942" s="9" t="n">
        <f aca="false">IF(Tabla2[[#This Row],[Costos (En RD$/Tarea)]]=0,0,Tabla2[[#This Row],[Beneficio Neto  (En RD$/Tarea)]]/Tabla2[[#This Row],[Costos (En RD$/Tarea)]])</f>
        <v>0.32285013067619</v>
      </c>
      <c r="P942" s="7" t="n">
        <f aca="false">Tabla2[[#This Row],[Rentabilidad (%)]]/12</f>
        <v>0.0269041775563491</v>
      </c>
    </row>
    <row r="943" customFormat="false" ht="14.25" hidden="false" customHeight="false" outlineLevel="0" collapsed="false">
      <c r="A943" s="1" t="n">
        <v>38899</v>
      </c>
      <c r="B943" s="2" t="s">
        <v>24</v>
      </c>
      <c r="C943" s="3" t="n">
        <v>4803</v>
      </c>
      <c r="D943" s="8" t="s">
        <v>17</v>
      </c>
      <c r="E943" s="3" t="n">
        <f aca="false">IF(Tabla2[[#This Row],[Frecuencia]]="Annual", Tabla2[[#This Row],[Cosecha/Tarea]]/12,Tabla2[[#This Row],[Cosecha/Tarea]])</f>
        <v>4803</v>
      </c>
      <c r="F943" s="3" t="n">
        <v>39304</v>
      </c>
      <c r="G943" s="2" t="s">
        <v>18</v>
      </c>
      <c r="H943" s="2" t="n">
        <f aca="false">F943/Tabla2[[#This Row],[Cosecha Mensual]]</f>
        <v>8.18321882156985</v>
      </c>
      <c r="I943" s="2" t="n">
        <f aca="false">H943*_xlfn.XLOOKUP(Tabla2[[#This Row],[Unidad de producción]],Tabla3[Medida],Tabla3[Equivalencia en Kg],"ELVIS",0)</f>
        <v>371.190805746409</v>
      </c>
      <c r="J943" s="2" t="n">
        <v>869.417</v>
      </c>
      <c r="K943" s="2" t="s">
        <v>18</v>
      </c>
      <c r="L943" s="2" t="n">
        <f aca="false">J943/_xlfn.XLOOKUP(Tabla2[[#This Row],[Unidad de precio]],Tabla3[Medida],Tabla3[Equivalencia en Kg],"ELVIS",0)</f>
        <v>19.1670414462081</v>
      </c>
      <c r="M943" s="2" t="n">
        <v>4593.1</v>
      </c>
      <c r="N943" s="3" t="n">
        <f aca="false">(Tabla2[[#This Row],[Productividad (kg/TAS)]]*Tabla2[[#This Row],[Precio por kg]]-Tabla2[[#This Row],[Costos (En RD$/Tarea)]])</f>
        <v>2521.5295581928</v>
      </c>
      <c r="O943" s="9" t="n">
        <f aca="false">IF(Tabla2[[#This Row],[Costos (En RD$/Tarea)]]=0,0,Tabla2[[#This Row],[Beneficio Neto  (En RD$/Tarea)]]/Tabla2[[#This Row],[Costos (En RD$/Tarea)]])</f>
        <v>0.548982072716204</v>
      </c>
      <c r="P943" s="7" t="n">
        <f aca="false">Tabla2[[#This Row],[Rentabilidad (%)]]/12</f>
        <v>0.0457485060596837</v>
      </c>
    </row>
    <row r="944" customFormat="false" ht="14.25" hidden="false" customHeight="false" outlineLevel="0" collapsed="false">
      <c r="A944" s="1" t="n">
        <v>38899</v>
      </c>
      <c r="B944" s="2" t="s">
        <v>25</v>
      </c>
      <c r="C944" s="3" t="n">
        <v>17094</v>
      </c>
      <c r="D944" s="8" t="s">
        <v>17</v>
      </c>
      <c r="E944" s="3" t="n">
        <f aca="false">IF(Tabla2[[#This Row],[Frecuencia]]="Annual", Tabla2[[#This Row],[Cosecha/Tarea]]/12,Tabla2[[#This Row],[Cosecha/Tarea]])</f>
        <v>17094</v>
      </c>
      <c r="F944" s="3" t="n">
        <v>172387</v>
      </c>
      <c r="G944" s="2" t="s">
        <v>18</v>
      </c>
      <c r="H944" s="2" t="n">
        <f aca="false">F944/Tabla2[[#This Row],[Cosecha Mensual]]</f>
        <v>10.0846495846496</v>
      </c>
      <c r="I944" s="2" t="n">
        <f aca="false">H944*_xlfn.XLOOKUP(Tabla2[[#This Row],[Unidad de producción]],Tabla3[Medida],Tabla3[Equivalencia en Kg],"ELVIS",0)</f>
        <v>457.439705159705</v>
      </c>
      <c r="J944" s="2" t="n">
        <v>400.61</v>
      </c>
      <c r="K944" s="2" t="s">
        <v>18</v>
      </c>
      <c r="L944" s="2" t="n">
        <f aca="false">J944/_xlfn.XLOOKUP(Tabla2[[#This Row],[Unidad de precio]],Tabla3[Medida],Tabla3[Equivalencia en Kg],"ELVIS",0)</f>
        <v>8.83179012345679</v>
      </c>
      <c r="M944" s="2" t="n">
        <v>2287.145</v>
      </c>
      <c r="N944" s="3" t="n">
        <f aca="false">(Tabla2[[#This Row],[Productividad (kg/TAS)]]*Tabla2[[#This Row],[Precio por kg]]-Tabla2[[#This Row],[Costos (En RD$/Tarea)]])</f>
        <v>1752.86647010647</v>
      </c>
      <c r="O944" s="9" t="n">
        <f aca="false">IF(Tabla2[[#This Row],[Costos (En RD$/Tarea)]]=0,0,Tabla2[[#This Row],[Beneficio Neto  (En RD$/Tarea)]]/Tabla2[[#This Row],[Costos (En RD$/Tarea)]])</f>
        <v>0.766399362570572</v>
      </c>
      <c r="P944" s="7" t="n">
        <f aca="false">Tabla2[[#This Row],[Rentabilidad (%)]]/12</f>
        <v>0.0638666135475477</v>
      </c>
    </row>
    <row r="945" customFormat="false" ht="14.25" hidden="false" customHeight="false" outlineLevel="0" collapsed="false">
      <c r="A945" s="1" t="n">
        <v>38899</v>
      </c>
      <c r="B945" s="2" t="s">
        <v>26</v>
      </c>
      <c r="C945" s="3" t="n">
        <v>9508</v>
      </c>
      <c r="D945" s="8" t="s">
        <v>17</v>
      </c>
      <c r="E945" s="3" t="n">
        <f aca="false">IF(Tabla2[[#This Row],[Frecuencia]]="Annual", Tabla2[[#This Row],[Cosecha/Tarea]]/12,Tabla2[[#This Row],[Cosecha/Tarea]])</f>
        <v>9508</v>
      </c>
      <c r="F945" s="3" t="n">
        <v>65422</v>
      </c>
      <c r="G945" s="2" t="s">
        <v>18</v>
      </c>
      <c r="H945" s="2" t="n">
        <f aca="false">F945/Tabla2[[#This Row],[Cosecha Mensual]]</f>
        <v>6.88073201514514</v>
      </c>
      <c r="I945" s="2" t="n">
        <f aca="false">H945*_xlfn.XLOOKUP(Tabla2[[#This Row],[Unidad de producción]],Tabla3[Medida],Tabla3[Equivalencia en Kg],"ELVIS",0)</f>
        <v>312.110004206984</v>
      </c>
      <c r="J945" s="2" t="n">
        <v>350</v>
      </c>
      <c r="K945" s="2" t="s">
        <v>18</v>
      </c>
      <c r="L945" s="2" t="n">
        <f aca="false">J945/_xlfn.XLOOKUP(Tabla2[[#This Row],[Unidad de precio]],Tabla3[Medida],Tabla3[Equivalencia en Kg],"ELVIS",0)</f>
        <v>7.71604938271605</v>
      </c>
      <c r="M945" s="2" t="n">
        <v>864.56</v>
      </c>
      <c r="N945" s="3" t="n">
        <f aca="false">(Tabla2[[#This Row],[Productividad (kg/TAS)]]*Tabla2[[#This Row],[Precio por kg]]-Tabla2[[#This Row],[Costos (En RD$/Tarea)]])</f>
        <v>1543.6962053008</v>
      </c>
      <c r="O945" s="9" t="n">
        <f aca="false">IF(Tabla2[[#This Row],[Costos (En RD$/Tarea)]]=0,0,Tabla2[[#This Row],[Beneficio Neto  (En RD$/Tarea)]]/Tabla2[[#This Row],[Costos (En RD$/Tarea)]])</f>
        <v>1.78552813604701</v>
      </c>
      <c r="P945" s="7" t="n">
        <f aca="false">Tabla2[[#This Row],[Rentabilidad (%)]]/12</f>
        <v>0.148794011337251</v>
      </c>
    </row>
    <row r="946" customFormat="false" ht="14.25" hidden="false" customHeight="false" outlineLevel="0" collapsed="false">
      <c r="A946" s="1" t="n">
        <v>38899</v>
      </c>
      <c r="B946" s="2" t="s">
        <v>27</v>
      </c>
      <c r="C946" s="3" t="n">
        <v>5463</v>
      </c>
      <c r="D946" s="8" t="s">
        <v>17</v>
      </c>
      <c r="E946" s="3" t="n">
        <f aca="false">IF(Tabla2[[#This Row],[Frecuencia]]="Annual", Tabla2[[#This Row],[Cosecha/Tarea]]/12,Tabla2[[#This Row],[Cosecha/Tarea]])</f>
        <v>5463</v>
      </c>
      <c r="F946" s="3" t="n">
        <v>45756</v>
      </c>
      <c r="G946" s="2" t="s">
        <v>18</v>
      </c>
      <c r="H946" s="2" t="n">
        <f aca="false">F946/Tabla2[[#This Row],[Cosecha Mensual]]</f>
        <v>8.37561779242175</v>
      </c>
      <c r="I946" s="2" t="n">
        <f aca="false">H946*_xlfn.XLOOKUP(Tabla2[[#This Row],[Unidad de producción]],Tabla3[Medida],Tabla3[Equivalencia en Kg],"ELVIS",0)</f>
        <v>379.91802306425</v>
      </c>
      <c r="J946" s="2" t="n">
        <v>267.616266666667</v>
      </c>
      <c r="K946" s="2" t="s">
        <v>18</v>
      </c>
      <c r="L946" s="2" t="n">
        <f aca="false">J946/_xlfn.XLOOKUP(Tabla2[[#This Row],[Unidad de precio]],Tabla3[Medida],Tabla3[Equivalencia en Kg],"ELVIS",0)</f>
        <v>5.89982951205174</v>
      </c>
      <c r="M946" s="2" t="n">
        <v>4742.13</v>
      </c>
      <c r="N946" s="3" t="n">
        <f aca="false">(Tabla2[[#This Row],[Productividad (kg/TAS)]]*Tabla2[[#This Row],[Precio por kg]]-Tabla2[[#This Row],[Costos (En RD$/Tarea)]])</f>
        <v>-2500.67843536518</v>
      </c>
      <c r="O946" s="9" t="n">
        <f aca="false">IF(Tabla2[[#This Row],[Costos (En RD$/Tarea)]]=0,0,Tabla2[[#This Row],[Beneficio Neto  (En RD$/Tarea)]]/Tabla2[[#This Row],[Costos (En RD$/Tarea)]])</f>
        <v>-0.5273323243701</v>
      </c>
      <c r="P946" s="7" t="n">
        <f aca="false">Tabla2[[#This Row],[Rentabilidad (%)]]/12</f>
        <v>-0.043944360364175</v>
      </c>
    </row>
    <row r="947" customFormat="false" ht="14.25" hidden="false" customHeight="false" outlineLevel="0" collapsed="false">
      <c r="A947" s="1" t="n">
        <v>38899</v>
      </c>
      <c r="B947" s="2" t="s">
        <v>28</v>
      </c>
      <c r="C947" s="3" t="n">
        <v>5522</v>
      </c>
      <c r="D947" s="8" t="s">
        <v>17</v>
      </c>
      <c r="E947" s="3" t="n">
        <f aca="false">IF(Tabla2[[#This Row],[Frecuencia]]="Annual", Tabla2[[#This Row],[Cosecha/Tarea]]/12,Tabla2[[#This Row],[Cosecha/Tarea]])</f>
        <v>5522</v>
      </c>
      <c r="F947" s="3" t="n">
        <v>2417</v>
      </c>
      <c r="G947" s="2" t="s">
        <v>29</v>
      </c>
      <c r="H947" s="2" t="n">
        <f aca="false">F947/Tabla2[[#This Row],[Cosecha Mensual]]</f>
        <v>0.437703730532416</v>
      </c>
      <c r="I947" s="2" t="n">
        <f aca="false">H947*_xlfn.XLOOKUP(Tabla2[[#This Row],[Unidad de producción]],Tabla3[Medida],Tabla3[Equivalencia en Kg],"ELVIS",0)</f>
        <v>246.138315827599</v>
      </c>
      <c r="J947" s="2" t="n">
        <v>5462.5</v>
      </c>
      <c r="K947" s="2" t="s">
        <v>29</v>
      </c>
      <c r="L947" s="2" t="n">
        <f aca="false">J947/_xlfn.XLOOKUP(Tabla2[[#This Row],[Unidad de precio]],Tabla3[Medida],Tabla3[Equivalencia en Kg],"ELVIS",0)</f>
        <v>9.71387416865242</v>
      </c>
      <c r="M947" s="2" t="n">
        <v>8196.87</v>
      </c>
      <c r="N947" s="3" t="n">
        <f aca="false">(Tabla2[[#This Row],[Productividad (kg/TAS)]]*Tabla2[[#This Row],[Precio por kg]]-Tabla2[[#This Row],[Costos (En RD$/Tarea)]])</f>
        <v>-5805.91337196668</v>
      </c>
      <c r="O947" s="9" t="n">
        <f aca="false">IF(Tabla2[[#This Row],[Costos (En RD$/Tarea)]]=0,0,Tabla2[[#This Row],[Beneficio Neto  (En RD$/Tarea)]]/Tabla2[[#This Row],[Costos (En RD$/Tarea)]])</f>
        <v>-0.708308582662245</v>
      </c>
      <c r="P947" s="7" t="n">
        <f aca="false">Tabla2[[#This Row],[Rentabilidad (%)]]/12</f>
        <v>-0.0590257152218538</v>
      </c>
    </row>
    <row r="948" customFormat="false" ht="14.25" hidden="false" customHeight="false" outlineLevel="0" collapsed="false">
      <c r="A948" s="1" t="n">
        <v>38899</v>
      </c>
      <c r="B948" s="2" t="s">
        <v>30</v>
      </c>
      <c r="C948" s="3" t="n">
        <v>312792</v>
      </c>
      <c r="D948" s="3" t="s">
        <v>31</v>
      </c>
      <c r="E948" s="3" t="n">
        <f aca="false">IF(Tabla2[[#This Row],[Frecuencia]]="Annual", Tabla2[[#This Row],[Cosecha/Tarea]]/12,Tabla2[[#This Row],[Cosecha/Tarea]])</f>
        <v>26066</v>
      </c>
      <c r="F948" s="3" t="n">
        <v>2046320</v>
      </c>
      <c r="G948" s="2" t="s">
        <v>32</v>
      </c>
      <c r="H948" s="2" t="n">
        <f aca="false">F948/Tabla2[[#This Row],[Cosecha Mensual]]</f>
        <v>78.5053326172025</v>
      </c>
      <c r="I948" s="2" t="n">
        <f aca="false">H948*_xlfn.XLOOKUP(Tabla2[[#This Row],[Unidad de producción]],Tabla3[Medida],Tabla3[Equivalencia en Kg],"ELVIS",0)</f>
        <v>2136.13010051408</v>
      </c>
      <c r="J948" s="2" t="n">
        <v>68.2766666666667</v>
      </c>
      <c r="K948" s="2" t="s">
        <v>32</v>
      </c>
      <c r="L948" s="2" t="n">
        <f aca="false">J948/_xlfn.XLOOKUP(Tabla2[[#This Row],[Unidad de precio]],Tabla3[Medida],Tabla3[Equivalencia en Kg],"ELVIS",0)</f>
        <v>2.50924905059415</v>
      </c>
      <c r="M948" s="3" t="n">
        <v>7154.19</v>
      </c>
      <c r="N948" s="3" t="n">
        <f aca="false">(Tabla2[[#This Row],[Productividad (kg/TAS)]]*Tabla2[[#This Row],[Precio por kg]]-Tabla2[[#This Row],[Costos (En RD$/Tarea)]])</f>
        <v>-1794.10757333947</v>
      </c>
      <c r="O948" s="9" t="n">
        <f aca="false">IF(Tabla2[[#This Row],[Costos (En RD$/Tarea)]]=0,0,Tabla2[[#This Row],[Beneficio Neto  (En RD$/Tarea)]]/Tabla2[[#This Row],[Costos (En RD$/Tarea)]])</f>
        <v>-0.250777177198183</v>
      </c>
      <c r="P948" s="7" t="n">
        <f aca="false">Tabla2[[#This Row],[Rentabilidad (%)]]/12</f>
        <v>-0.0208980980998486</v>
      </c>
    </row>
    <row r="949" customFormat="false" ht="14.25" hidden="false" customHeight="false" outlineLevel="0" collapsed="false">
      <c r="A949" s="1" t="n">
        <v>38899</v>
      </c>
      <c r="B949" s="2" t="s">
        <v>33</v>
      </c>
      <c r="C949" s="3" t="n">
        <v>711178</v>
      </c>
      <c r="D949" s="3" t="s">
        <v>31</v>
      </c>
      <c r="E949" s="3" t="n">
        <f aca="false">IF(Tabla2[[#This Row],[Frecuencia]]="Annual", Tabla2[[#This Row],[Cosecha/Tarea]]/12,Tabla2[[#This Row],[Cosecha/Tarea]])</f>
        <v>59264.8333333333</v>
      </c>
      <c r="F949" s="3" t="n">
        <v>196537</v>
      </c>
      <c r="G949" s="2" t="s">
        <v>34</v>
      </c>
      <c r="H949" s="2" t="n">
        <f aca="false">F949/Tabla2[[#This Row],[Cosecha Mensual]]</f>
        <v>3.31624994024</v>
      </c>
      <c r="I949" s="2" t="n">
        <f aca="false">H949*_xlfn.XLOOKUP(Tabla2[[#This Row],[Unidad de producción]],Tabla3[Medida],Tabla3[Equivalencia en Kg],"ELVIS",0)</f>
        <v>1353.52741310895</v>
      </c>
      <c r="J949" s="2" t="n">
        <v>2174.16666666667</v>
      </c>
      <c r="K949" s="2" t="s">
        <v>34</v>
      </c>
      <c r="L949" s="2" t="n">
        <f aca="false">J949/_xlfn.XLOOKUP(Tabla2[[#This Row],[Unidad de precio]],Tabla3[Medida],Tabla3[Equivalencia en Kg],"ELVIS",0)</f>
        <v>5.32688145698069</v>
      </c>
      <c r="M949" s="3" t="n">
        <v>9504.44</v>
      </c>
      <c r="N949" s="3" t="n">
        <f aca="false">(Tabla2[[#This Row],[Productividad (kg/TAS)]]*Tabla2[[#This Row],[Precio por kg]]-Tabla2[[#This Row],[Costos (En RD$/Tarea)]])</f>
        <v>-2294.35992159486</v>
      </c>
      <c r="O949" s="9" t="n">
        <f aca="false">IF(Tabla2[[#This Row],[Costos (En RD$/Tarea)]]=0,0,Tabla2[[#This Row],[Beneficio Neto  (En RD$/Tarea)]]/Tabla2[[#This Row],[Costos (En RD$/Tarea)]])</f>
        <v>-0.241398748542246</v>
      </c>
      <c r="P949" s="7" t="n">
        <f aca="false">Tabla2[[#This Row],[Rentabilidad (%)]]/12</f>
        <v>-0.0201165623785205</v>
      </c>
    </row>
    <row r="950" customFormat="false" ht="14.25" hidden="false" customHeight="false" outlineLevel="0" collapsed="false">
      <c r="A950" s="1" t="n">
        <v>38930</v>
      </c>
      <c r="B950" s="2" t="s">
        <v>16</v>
      </c>
      <c r="C950" s="3" t="n">
        <v>129993</v>
      </c>
      <c r="D950" s="8" t="s">
        <v>17</v>
      </c>
      <c r="E950" s="3" t="n">
        <f aca="false">IF(Tabla2[[#This Row],[Frecuencia]]="Annual", Tabla2[[#This Row],[Cosecha/Tarea]]/12,Tabla2[[#This Row],[Cosecha/Tarea]])</f>
        <v>129993</v>
      </c>
      <c r="F950" s="3" t="n">
        <v>517858</v>
      </c>
      <c r="G950" s="2" t="s">
        <v>18</v>
      </c>
      <c r="H950" s="2" t="n">
        <f aca="false">F950/Tabla2[[#This Row],[Cosecha Mensual]]</f>
        <v>3.98373758587001</v>
      </c>
      <c r="I950" s="2" t="n">
        <f aca="false">H950*_xlfn.XLOOKUP(Tabla2[[#This Row],[Unidad de producción]],Tabla3[Medida],Tabla3[Equivalencia en Kg],"ELVIS",0)</f>
        <v>180.702336895064</v>
      </c>
      <c r="J950" s="2" t="n">
        <v>1065</v>
      </c>
      <c r="K950" s="2" t="s">
        <v>19</v>
      </c>
      <c r="L950" s="2" t="n">
        <f aca="false">J950/_xlfn.XLOOKUP(Tabla2[[#This Row],[Unidad de precio]],Tabla3[Medida],Tabla3[Equivalencia en Kg],"ELVIS",0)</f>
        <v>9.68181818181818</v>
      </c>
      <c r="M950" s="2" t="n">
        <v>4756.775</v>
      </c>
      <c r="N950" s="3" t="n">
        <f aca="false">(Tabla2[[#This Row],[Productividad (kg/TAS)]]*Tabla2[[#This Row],[Precio por kg]]-Tabla2[[#This Row],[Costos (En RD$/Tarea)]])</f>
        <v>-3007.24782915234</v>
      </c>
      <c r="O950" s="9" t="n">
        <f aca="false">IF(Tabla2[[#This Row],[Costos (En RD$/Tarea)]]=0,0,Tabla2[[#This Row],[Beneficio Neto  (En RD$/Tarea)]]/Tabla2[[#This Row],[Costos (En RD$/Tarea)]])</f>
        <v>-0.632203084895195</v>
      </c>
      <c r="P950" s="7" t="n">
        <f aca="false">Tabla2[[#This Row],[Rentabilidad (%)]]/12</f>
        <v>-0.0526835904079329</v>
      </c>
    </row>
    <row r="951" customFormat="false" ht="14.25" hidden="false" customHeight="false" outlineLevel="0" collapsed="false">
      <c r="A951" s="1" t="n">
        <v>38930</v>
      </c>
      <c r="B951" s="2" t="s">
        <v>20</v>
      </c>
      <c r="C951" s="3" t="n">
        <v>46892</v>
      </c>
      <c r="D951" s="8" t="s">
        <v>17</v>
      </c>
      <c r="E951" s="3" t="n">
        <f aca="false">IF(Tabla2[[#This Row],[Frecuencia]]="Annual", Tabla2[[#This Row],[Cosecha/Tarea]]/12,Tabla2[[#This Row],[Cosecha/Tarea]])</f>
        <v>46892</v>
      </c>
      <c r="F951" s="3" t="n">
        <v>90595</v>
      </c>
      <c r="G951" s="2" t="s">
        <v>18</v>
      </c>
      <c r="H951" s="2" t="n">
        <f aca="false">F951/Tabla2[[#This Row],[Cosecha Mensual]]</f>
        <v>1.93199266399386</v>
      </c>
      <c r="I951" s="2" t="n">
        <f aca="false">H951*_xlfn.XLOOKUP(Tabla2[[#This Row],[Unidad de producción]],Tabla3[Medida],Tabla3[Equivalencia en Kg],"ELVIS",0)</f>
        <v>87.6351872387614</v>
      </c>
      <c r="J951" s="2" t="n">
        <v>494.496</v>
      </c>
      <c r="K951" s="2" t="s">
        <v>18</v>
      </c>
      <c r="L951" s="2" t="n">
        <f aca="false">J951/_xlfn.XLOOKUP(Tabla2[[#This Row],[Unidad de precio]],Tabla3[Medida],Tabla3[Equivalencia en Kg],"ELVIS",0)</f>
        <v>10.9015873015873</v>
      </c>
      <c r="M951" s="2" t="n">
        <v>1341.48</v>
      </c>
      <c r="N951" s="3" t="n">
        <f aca="false">(Tabla2[[#This Row],[Productividad (kg/TAS)]]*Tabla2[[#This Row],[Precio por kg]]-Tabla2[[#This Row],[Costos (En RD$/Tarea)]])</f>
        <v>-386.117355625693</v>
      </c>
      <c r="O951" s="9" t="n">
        <f aca="false">IF(Tabla2[[#This Row],[Costos (En RD$/Tarea)]]=0,0,Tabla2[[#This Row],[Beneficio Neto  (En RD$/Tarea)]]/Tabla2[[#This Row],[Costos (En RD$/Tarea)]])</f>
        <v>-0.287829379212283</v>
      </c>
      <c r="P951" s="7" t="n">
        <f aca="false">Tabla2[[#This Row],[Rentabilidad (%)]]/12</f>
        <v>-0.0239857816010236</v>
      </c>
    </row>
    <row r="952" customFormat="false" ht="14.25" hidden="false" customHeight="false" outlineLevel="0" collapsed="false">
      <c r="A952" s="1" t="n">
        <v>38930</v>
      </c>
      <c r="B952" s="2" t="s">
        <v>21</v>
      </c>
      <c r="C952" s="3" t="n">
        <v>3916</v>
      </c>
      <c r="D952" s="8" t="s">
        <v>17</v>
      </c>
      <c r="E952" s="3" t="n">
        <f aca="false">IF(Tabla2[[#This Row],[Frecuencia]]="Annual", Tabla2[[#This Row],[Cosecha/Tarea]]/12,Tabla2[[#This Row],[Cosecha/Tarea]])</f>
        <v>3916</v>
      </c>
      <c r="F952" s="3" t="n">
        <v>36600</v>
      </c>
      <c r="G952" s="2" t="s">
        <v>18</v>
      </c>
      <c r="H952" s="2" t="n">
        <f aca="false">F952/Tabla2[[#This Row],[Cosecha Mensual]]</f>
        <v>9.34627170582227</v>
      </c>
      <c r="I952" s="2" t="n">
        <f aca="false">H952*_xlfn.XLOOKUP(Tabla2[[#This Row],[Unidad de producción]],Tabla3[Medida],Tabla3[Equivalencia en Kg],"ELVIS",0)</f>
        <v>423.946884576098</v>
      </c>
      <c r="J952" s="2" t="n">
        <v>379.366</v>
      </c>
      <c r="K952" s="2" t="s">
        <v>18</v>
      </c>
      <c r="L952" s="2" t="n">
        <f aca="false">J952/_xlfn.XLOOKUP(Tabla2[[#This Row],[Unidad de precio]],Tabla3[Medida],Tabla3[Equivalencia en Kg],"ELVIS",0)</f>
        <v>8.36344797178131</v>
      </c>
      <c r="M952" s="2" t="n">
        <v>2058.755</v>
      </c>
      <c r="N952" s="3" t="n">
        <f aca="false">(Tabla2[[#This Row],[Productividad (kg/TAS)]]*Tabla2[[#This Row],[Precio por kg]]-Tabla2[[#This Row],[Costos (En RD$/Tarea)]])</f>
        <v>1486.90271195097</v>
      </c>
      <c r="O952" s="9" t="n">
        <f aca="false">IF(Tabla2[[#This Row],[Costos (En RD$/Tarea)]]=0,0,Tabla2[[#This Row],[Beneficio Neto  (En RD$/Tarea)]]/Tabla2[[#This Row],[Costos (En RD$/Tarea)]])</f>
        <v>0.722233928734099</v>
      </c>
      <c r="P952" s="7" t="n">
        <f aca="false">Tabla2[[#This Row],[Rentabilidad (%)]]/12</f>
        <v>0.0601861607278416</v>
      </c>
    </row>
    <row r="953" customFormat="false" ht="14.25" hidden="false" customHeight="false" outlineLevel="0" collapsed="false">
      <c r="A953" s="1" t="n">
        <v>38930</v>
      </c>
      <c r="B953" s="2" t="s">
        <v>22</v>
      </c>
      <c r="C953" s="3" t="n">
        <v>2566</v>
      </c>
      <c r="D953" s="8" t="s">
        <v>17</v>
      </c>
      <c r="E953" s="3" t="n">
        <f aca="false">IF(Tabla2[[#This Row],[Frecuencia]]="Annual", Tabla2[[#This Row],[Cosecha/Tarea]]/12,Tabla2[[#This Row],[Cosecha/Tarea]])</f>
        <v>2566</v>
      </c>
      <c r="F953" s="3" t="n">
        <v>23054</v>
      </c>
      <c r="G953" s="2" t="s">
        <v>18</v>
      </c>
      <c r="H953" s="2" t="n">
        <f aca="false">F953/Tabla2[[#This Row],[Cosecha Mensual]]</f>
        <v>8.98441153546376</v>
      </c>
      <c r="I953" s="2" t="n">
        <f aca="false">H953*_xlfn.XLOOKUP(Tabla2[[#This Row],[Unidad de producción]],Tabla3[Medida],Tabla3[Equivalencia en Kg],"ELVIS",0)</f>
        <v>407.532907248636</v>
      </c>
      <c r="J953" s="2" t="n">
        <v>737.666666666667</v>
      </c>
      <c r="K953" s="2" t="s">
        <v>18</v>
      </c>
      <c r="L953" s="2" t="n">
        <f aca="false">J953/_xlfn.XLOOKUP(Tabla2[[#This Row],[Unidad de precio]],Tabla3[Medida],Tabla3[Equivalencia en Kg],"ELVIS",0)</f>
        <v>16.2624926513815</v>
      </c>
      <c r="M953" s="2" t="n">
        <v>5691.88</v>
      </c>
      <c r="N953" s="3" t="n">
        <f aca="false">(Tabla2[[#This Row],[Productividad (kg/TAS)]]*Tabla2[[#This Row],[Precio por kg]]-Tabla2[[#This Row],[Costos (En RD$/Tarea)]])</f>
        <v>935.6209093271</v>
      </c>
      <c r="O953" s="9" t="n">
        <f aca="false">IF(Tabla2[[#This Row],[Costos (En RD$/Tarea)]]=0,0,Tabla2[[#This Row],[Beneficio Neto  (En RD$/Tarea)]]/Tabla2[[#This Row],[Costos (En RD$/Tarea)]])</f>
        <v>0.164378185999547</v>
      </c>
      <c r="P953" s="7" t="n">
        <f aca="false">Tabla2[[#This Row],[Rentabilidad (%)]]/12</f>
        <v>0.0136981821666289</v>
      </c>
    </row>
    <row r="954" customFormat="false" ht="14.25" hidden="false" customHeight="false" outlineLevel="0" collapsed="false">
      <c r="A954" s="1" t="n">
        <v>38930</v>
      </c>
      <c r="B954" s="2" t="s">
        <v>23</v>
      </c>
      <c r="C954" s="3" t="n">
        <v>1081</v>
      </c>
      <c r="D954" s="8" t="s">
        <v>17</v>
      </c>
      <c r="E954" s="3" t="n">
        <f aca="false">IF(Tabla2[[#This Row],[Frecuencia]]="Annual", Tabla2[[#This Row],[Cosecha/Tarea]]/12,Tabla2[[#This Row],[Cosecha/Tarea]])</f>
        <v>1081</v>
      </c>
      <c r="F954" s="3" t="n">
        <v>33465</v>
      </c>
      <c r="G954" s="2" t="s">
        <v>18</v>
      </c>
      <c r="H954" s="2" t="n">
        <f aca="false">F954/Tabla2[[#This Row],[Cosecha Mensual]]</f>
        <v>30.9574468085106</v>
      </c>
      <c r="I954" s="2" t="n">
        <f aca="false">H954*_xlfn.XLOOKUP(Tabla2[[#This Row],[Unidad de producción]],Tabla3[Medida],Tabla3[Equivalencia en Kg],"ELVIS",0)</f>
        <v>1404.22978723404</v>
      </c>
      <c r="J954" s="2" t="n">
        <v>540</v>
      </c>
      <c r="K954" s="2" t="s">
        <v>18</v>
      </c>
      <c r="L954" s="2" t="n">
        <f aca="false">J954/_xlfn.XLOOKUP(Tabla2[[#This Row],[Unidad de precio]],Tabla3[Medida],Tabla3[Equivalencia en Kg],"ELVIS",0)</f>
        <v>11.9047619047619</v>
      </c>
      <c r="M954" s="2" t="n">
        <v>10412.05</v>
      </c>
      <c r="N954" s="3" t="n">
        <f aca="false">(Tabla2[[#This Row],[Productividad (kg/TAS)]]*Tabla2[[#This Row],[Precio por kg]]-Tabla2[[#This Row],[Costos (En RD$/Tarea)]])</f>
        <v>6304.97127659575</v>
      </c>
      <c r="O954" s="9" t="n">
        <f aca="false">IF(Tabla2[[#This Row],[Costos (En RD$/Tarea)]]=0,0,Tabla2[[#This Row],[Beneficio Neto  (En RD$/Tarea)]]/Tabla2[[#This Row],[Costos (En RD$/Tarea)]])</f>
        <v>0.60554562037214</v>
      </c>
      <c r="P954" s="7" t="n">
        <f aca="false">Tabla2[[#This Row],[Rentabilidad (%)]]/12</f>
        <v>0.0504621350310117</v>
      </c>
    </row>
    <row r="955" customFormat="false" ht="14.25" hidden="false" customHeight="false" outlineLevel="0" collapsed="false">
      <c r="A955" s="1" t="n">
        <v>38930</v>
      </c>
      <c r="B955" s="2" t="s">
        <v>24</v>
      </c>
      <c r="C955" s="3" t="n">
        <v>4782</v>
      </c>
      <c r="D955" s="8" t="s">
        <v>17</v>
      </c>
      <c r="E955" s="3" t="n">
        <f aca="false">IF(Tabla2[[#This Row],[Frecuencia]]="Annual", Tabla2[[#This Row],[Cosecha/Tarea]]/12,Tabla2[[#This Row],[Cosecha/Tarea]])</f>
        <v>4782</v>
      </c>
      <c r="F955" s="3" t="n">
        <v>37479</v>
      </c>
      <c r="G955" s="2" t="s">
        <v>18</v>
      </c>
      <c r="H955" s="2" t="n">
        <f aca="false">F955/Tabla2[[#This Row],[Cosecha Mensual]]</f>
        <v>7.8375156838143</v>
      </c>
      <c r="I955" s="2" t="n">
        <f aca="false">H955*_xlfn.XLOOKUP(Tabla2[[#This Row],[Unidad de producción]],Tabla3[Medida],Tabla3[Equivalencia en Kg],"ELVIS",0)</f>
        <v>355.509711417817</v>
      </c>
      <c r="J955" s="2" t="n">
        <v>982.5</v>
      </c>
      <c r="K955" s="2" t="s">
        <v>18</v>
      </c>
      <c r="L955" s="2" t="n">
        <f aca="false">J955/_xlfn.XLOOKUP(Tabla2[[#This Row],[Unidad de precio]],Tabla3[Medida],Tabla3[Equivalencia en Kg],"ELVIS",0)</f>
        <v>21.6600529100529</v>
      </c>
      <c r="M955" s="2" t="n">
        <v>4593.1</v>
      </c>
      <c r="N955" s="3" t="n">
        <f aca="false">(Tabla2[[#This Row],[Productividad (kg/TAS)]]*Tabla2[[#This Row],[Precio por kg]]-Tabla2[[#This Row],[Costos (En RD$/Tarea)]])</f>
        <v>3107.25915934755</v>
      </c>
      <c r="O955" s="9" t="n">
        <f aca="false">IF(Tabla2[[#This Row],[Costos (En RD$/Tarea)]]=0,0,Tabla2[[#This Row],[Beneficio Neto  (En RD$/Tarea)]]/Tabla2[[#This Row],[Costos (En RD$/Tarea)]])</f>
        <v>0.676505880417921</v>
      </c>
      <c r="P955" s="7" t="n">
        <f aca="false">Tabla2[[#This Row],[Rentabilidad (%)]]/12</f>
        <v>0.0563754900348267</v>
      </c>
    </row>
    <row r="956" customFormat="false" ht="14.25" hidden="false" customHeight="false" outlineLevel="0" collapsed="false">
      <c r="A956" s="1" t="n">
        <v>38930</v>
      </c>
      <c r="B956" s="2" t="s">
        <v>25</v>
      </c>
      <c r="C956" s="3" t="n">
        <v>20282</v>
      </c>
      <c r="D956" s="8" t="s">
        <v>17</v>
      </c>
      <c r="E956" s="3" t="n">
        <f aca="false">IF(Tabla2[[#This Row],[Frecuencia]]="Annual", Tabla2[[#This Row],[Cosecha/Tarea]]/12,Tabla2[[#This Row],[Cosecha/Tarea]])</f>
        <v>20282</v>
      </c>
      <c r="F956" s="3" t="n">
        <v>212064</v>
      </c>
      <c r="G956" s="2" t="s">
        <v>18</v>
      </c>
      <c r="H956" s="2" t="n">
        <f aca="false">F956/Tabla2[[#This Row],[Cosecha Mensual]]</f>
        <v>10.4557735923479</v>
      </c>
      <c r="I956" s="2" t="n">
        <f aca="false">H956*_xlfn.XLOOKUP(Tabla2[[#This Row],[Unidad de producción]],Tabla3[Medida],Tabla3[Equivalencia en Kg],"ELVIS",0)</f>
        <v>474.273890148901</v>
      </c>
      <c r="J956" s="2" t="n">
        <v>449.778333333333</v>
      </c>
      <c r="K956" s="2" t="s">
        <v>18</v>
      </c>
      <c r="L956" s="2" t="n">
        <f aca="false">J956/_xlfn.XLOOKUP(Tabla2[[#This Row],[Unidad de precio]],Tabla3[Medida],Tabla3[Equivalencia en Kg],"ELVIS",0)</f>
        <v>9.91574808935919</v>
      </c>
      <c r="M956" s="2" t="n">
        <v>2287.145</v>
      </c>
      <c r="N956" s="3" t="n">
        <f aca="false">(Tabla2[[#This Row],[Productividad (kg/TAS)]]*Tabla2[[#This Row],[Precio por kg]]-Tabla2[[#This Row],[Costos (En RD$/Tarea)]])</f>
        <v>2415.63542007691</v>
      </c>
      <c r="O956" s="9" t="n">
        <f aca="false">IF(Tabla2[[#This Row],[Costos (En RD$/Tarea)]]=0,0,Tabla2[[#This Row],[Beneficio Neto  (En RD$/Tarea)]]/Tabla2[[#This Row],[Costos (En RD$/Tarea)]])</f>
        <v>1.05617939399422</v>
      </c>
      <c r="P956" s="7" t="n">
        <f aca="false">Tabla2[[#This Row],[Rentabilidad (%)]]/12</f>
        <v>0.0880149494995184</v>
      </c>
    </row>
    <row r="957" customFormat="false" ht="14.25" hidden="false" customHeight="false" outlineLevel="0" collapsed="false">
      <c r="A957" s="1" t="n">
        <v>38930</v>
      </c>
      <c r="B957" s="2" t="s">
        <v>26</v>
      </c>
      <c r="C957" s="3" t="n">
        <v>11542</v>
      </c>
      <c r="D957" s="8" t="s">
        <v>17</v>
      </c>
      <c r="E957" s="3" t="n">
        <f aca="false">IF(Tabla2[[#This Row],[Frecuencia]]="Annual", Tabla2[[#This Row],[Cosecha/Tarea]]/12,Tabla2[[#This Row],[Cosecha/Tarea]])</f>
        <v>11542</v>
      </c>
      <c r="F957" s="3" t="n">
        <v>70555</v>
      </c>
      <c r="G957" s="2" t="s">
        <v>18</v>
      </c>
      <c r="H957" s="2" t="n">
        <f aca="false">F957/Tabla2[[#This Row],[Cosecha Mensual]]</f>
        <v>6.11289204643909</v>
      </c>
      <c r="I957" s="2" t="n">
        <f aca="false">H957*_xlfn.XLOOKUP(Tabla2[[#This Row],[Unidad de producción]],Tabla3[Medida],Tabla3[Equivalencia en Kg],"ELVIS",0)</f>
        <v>277.280783226477</v>
      </c>
      <c r="J957" s="2" t="n">
        <v>789.5</v>
      </c>
      <c r="K957" s="2" t="s">
        <v>18</v>
      </c>
      <c r="L957" s="2" t="n">
        <f aca="false">J957/_xlfn.XLOOKUP(Tabla2[[#This Row],[Unidad de precio]],Tabla3[Medida],Tabla3[Equivalencia en Kg],"ELVIS",0)</f>
        <v>17.4052028218695</v>
      </c>
      <c r="M957" s="2" t="n">
        <v>864.56</v>
      </c>
      <c r="N957" s="3" t="n">
        <f aca="false">(Tabla2[[#This Row],[Productividad (kg/TAS)]]*Tabla2[[#This Row],[Precio por kg]]-Tabla2[[#This Row],[Costos (En RD$/Tarea)]])</f>
        <v>3961.56827066366</v>
      </c>
      <c r="O957" s="9" t="n">
        <f aca="false">IF(Tabla2[[#This Row],[Costos (En RD$/Tarea)]]=0,0,Tabla2[[#This Row],[Beneficio Neto  (En RD$/Tarea)]]/Tabla2[[#This Row],[Costos (En RD$/Tarea)]])</f>
        <v>4.582178530887</v>
      </c>
      <c r="P957" s="7" t="n">
        <f aca="false">Tabla2[[#This Row],[Rentabilidad (%)]]/12</f>
        <v>0.38184821090725</v>
      </c>
    </row>
    <row r="958" customFormat="false" ht="14.25" hidden="false" customHeight="false" outlineLevel="0" collapsed="false">
      <c r="A958" s="1" t="n">
        <v>38930</v>
      </c>
      <c r="B958" s="2" t="s">
        <v>27</v>
      </c>
      <c r="C958" s="3" t="n">
        <v>4682</v>
      </c>
      <c r="D958" s="8" t="s">
        <v>17</v>
      </c>
      <c r="E958" s="3" t="n">
        <f aca="false">IF(Tabla2[[#This Row],[Frecuencia]]="Annual", Tabla2[[#This Row],[Cosecha/Tarea]]/12,Tabla2[[#This Row],[Cosecha/Tarea]])</f>
        <v>4682</v>
      </c>
      <c r="F958" s="3" t="n">
        <v>37389</v>
      </c>
      <c r="G958" s="2" t="s">
        <v>18</v>
      </c>
      <c r="H958" s="2" t="n">
        <f aca="false">F958/Tabla2[[#This Row],[Cosecha Mensual]]</f>
        <v>7.98568987612132</v>
      </c>
      <c r="I958" s="2" t="n">
        <f aca="false">H958*_xlfn.XLOOKUP(Tabla2[[#This Row],[Unidad de producción]],Tabla3[Medida],Tabla3[Equivalencia en Kg],"ELVIS",0)</f>
        <v>362.230892780863</v>
      </c>
      <c r="J958" s="2" t="n">
        <v>247.0075</v>
      </c>
      <c r="K958" s="2" t="s">
        <v>18</v>
      </c>
      <c r="L958" s="2" t="n">
        <f aca="false">J958/_xlfn.XLOOKUP(Tabla2[[#This Row],[Unidad de precio]],Tabla3[Medida],Tabla3[Equivalencia en Kg],"ELVIS",0)</f>
        <v>5.44549162257496</v>
      </c>
      <c r="M958" s="2" t="n">
        <v>4742.13</v>
      </c>
      <c r="N958" s="3" t="n">
        <f aca="false">(Tabla2[[#This Row],[Productividad (kg/TAS)]]*Tabla2[[#This Row],[Precio por kg]]-Tabla2[[#This Row],[Costos (En RD$/Tarea)]])</f>
        <v>-2769.60470792396</v>
      </c>
      <c r="O958" s="9" t="n">
        <f aca="false">IF(Tabla2[[#This Row],[Costos (En RD$/Tarea)]]=0,0,Tabla2[[#This Row],[Beneficio Neto  (En RD$/Tarea)]]/Tabla2[[#This Row],[Costos (En RD$/Tarea)]])</f>
        <v>-0.584042341294727</v>
      </c>
      <c r="P958" s="7" t="n">
        <f aca="false">Tabla2[[#This Row],[Rentabilidad (%)]]/12</f>
        <v>-0.0486701951078939</v>
      </c>
    </row>
    <row r="959" customFormat="false" ht="14.25" hidden="false" customHeight="false" outlineLevel="0" collapsed="false">
      <c r="A959" s="1" t="n">
        <v>38930</v>
      </c>
      <c r="B959" s="2" t="s">
        <v>28</v>
      </c>
      <c r="C959" s="3" t="n">
        <v>43403</v>
      </c>
      <c r="D959" s="8" t="s">
        <v>17</v>
      </c>
      <c r="E959" s="3" t="n">
        <f aca="false">IF(Tabla2[[#This Row],[Frecuencia]]="Annual", Tabla2[[#This Row],[Cosecha/Tarea]]/12,Tabla2[[#This Row],[Cosecha/Tarea]])</f>
        <v>43403</v>
      </c>
      <c r="F959" s="3" t="n">
        <v>59639</v>
      </c>
      <c r="G959" s="2" t="s">
        <v>29</v>
      </c>
      <c r="H959" s="2" t="n">
        <f aca="false">F959/Tabla2[[#This Row],[Cosecha Mensual]]</f>
        <v>1.37407552473331</v>
      </c>
      <c r="I959" s="2" t="n">
        <f aca="false">H959*_xlfn.XLOOKUP(Tabla2[[#This Row],[Unidad de producción]],Tabla3[Medida],Tabla3[Equivalencia en Kg],"ELVIS",0)</f>
        <v>772.697630578532</v>
      </c>
      <c r="J959" s="2" t="n">
        <v>2370.66666666667</v>
      </c>
      <c r="K959" s="2" t="s">
        <v>29</v>
      </c>
      <c r="L959" s="2" t="n">
        <f aca="false">J959/_xlfn.XLOOKUP(Tabla2[[#This Row],[Unidad de precio]],Tabla3[Medida],Tabla3[Equivalencia en Kg],"ELVIS",0)</f>
        <v>4.21571765598512</v>
      </c>
      <c r="M959" s="2" t="n">
        <v>8196.87</v>
      </c>
      <c r="N959" s="3" t="n">
        <f aca="false">(Tabla2[[#This Row],[Productividad (kg/TAS)]]*Tabla2[[#This Row],[Precio por kg]]-Tabla2[[#This Row],[Costos (En RD$/Tarea)]])</f>
        <v>-4939.39495603222</v>
      </c>
      <c r="O959" s="9" t="n">
        <f aca="false">IF(Tabla2[[#This Row],[Costos (En RD$/Tarea)]]=0,0,Tabla2[[#This Row],[Beneficio Neto  (En RD$/Tarea)]]/Tabla2[[#This Row],[Costos (En RD$/Tarea)]])</f>
        <v>-0.602595253558032</v>
      </c>
      <c r="P959" s="7" t="n">
        <f aca="false">Tabla2[[#This Row],[Rentabilidad (%)]]/12</f>
        <v>-0.050216271129836</v>
      </c>
    </row>
    <row r="960" customFormat="false" ht="14.25" hidden="false" customHeight="false" outlineLevel="0" collapsed="false">
      <c r="A960" s="1" t="n">
        <v>38930</v>
      </c>
      <c r="B960" s="2" t="s">
        <v>30</v>
      </c>
      <c r="C960" s="3" t="n">
        <v>309407</v>
      </c>
      <c r="D960" s="3" t="s">
        <v>31</v>
      </c>
      <c r="E960" s="3" t="n">
        <f aca="false">IF(Tabla2[[#This Row],[Frecuencia]]="Annual", Tabla2[[#This Row],[Cosecha/Tarea]]/12,Tabla2[[#This Row],[Cosecha/Tarea]])</f>
        <v>25783.9166666667</v>
      </c>
      <c r="F960" s="3" t="n">
        <v>1670544</v>
      </c>
      <c r="G960" s="2" t="s">
        <v>32</v>
      </c>
      <c r="H960" s="2" t="n">
        <f aca="false">F960/Tabla2[[#This Row],[Cosecha Mensual]]</f>
        <v>64.7901566545036</v>
      </c>
      <c r="I960" s="2" t="n">
        <f aca="false">H960*_xlfn.XLOOKUP(Tabla2[[#This Row],[Unidad de producción]],Tabla3[Medida],Tabla3[Equivalencia en Kg],"ELVIS",0)</f>
        <v>1762.94016256904</v>
      </c>
      <c r="J960" s="2" t="n">
        <v>63.9033333333333</v>
      </c>
      <c r="K960" s="2" t="s">
        <v>32</v>
      </c>
      <c r="L960" s="2" t="n">
        <f aca="false">J960/_xlfn.XLOOKUP(Tabla2[[#This Row],[Unidad de precio]],Tabla3[Medida],Tabla3[Equivalencia en Kg],"ELVIS",0)</f>
        <v>2.34852382702438</v>
      </c>
      <c r="M960" s="3" t="n">
        <v>7154.19</v>
      </c>
      <c r="N960" s="3" t="n">
        <f aca="false">(Tabla2[[#This Row],[Productividad (kg/TAS)]]*Tabla2[[#This Row],[Precio por kg]]-Tabla2[[#This Row],[Costos (En RD$/Tarea)]])</f>
        <v>-3013.88302258837</v>
      </c>
      <c r="O960" s="9" t="n">
        <f aca="false">IF(Tabla2[[#This Row],[Costos (En RD$/Tarea)]]=0,0,Tabla2[[#This Row],[Beneficio Neto  (En RD$/Tarea)]]/Tabla2[[#This Row],[Costos (En RD$/Tarea)]])</f>
        <v>-0.421275227885809</v>
      </c>
      <c r="P960" s="7" t="n">
        <f aca="false">Tabla2[[#This Row],[Rentabilidad (%)]]/12</f>
        <v>-0.035106268990484</v>
      </c>
    </row>
    <row r="961" customFormat="false" ht="14.25" hidden="false" customHeight="false" outlineLevel="0" collapsed="false">
      <c r="A961" s="1" t="n">
        <v>38930</v>
      </c>
      <c r="B961" s="2" t="s">
        <v>33</v>
      </c>
      <c r="C961" s="3" t="n">
        <v>730352</v>
      </c>
      <c r="D961" s="3" t="s">
        <v>31</v>
      </c>
      <c r="E961" s="3" t="n">
        <f aca="false">IF(Tabla2[[#This Row],[Frecuencia]]="Annual", Tabla2[[#This Row],[Cosecha/Tarea]]/12,Tabla2[[#This Row],[Cosecha/Tarea]])</f>
        <v>60862.6666666667</v>
      </c>
      <c r="F961" s="3" t="n">
        <v>198655</v>
      </c>
      <c r="G961" s="2" t="s">
        <v>34</v>
      </c>
      <c r="H961" s="2" t="n">
        <f aca="false">F961/Tabla2[[#This Row],[Cosecha Mensual]]</f>
        <v>3.26398777575744</v>
      </c>
      <c r="I961" s="2" t="n">
        <f aca="false">H961*_xlfn.XLOOKUP(Tabla2[[#This Row],[Unidad de producción]],Tabla3[Medida],Tabla3[Equivalencia en Kg],"ELVIS",0)</f>
        <v>1332.1966106754</v>
      </c>
      <c r="J961" s="2" t="n">
        <v>1903.47166666667</v>
      </c>
      <c r="K961" s="2" t="s">
        <v>34</v>
      </c>
      <c r="L961" s="2" t="n">
        <f aca="false">J961/_xlfn.XLOOKUP(Tabla2[[#This Row],[Unidad de precio]],Tabla3[Medida],Tabla3[Equivalencia en Kg],"ELVIS",0)</f>
        <v>4.66365715219079</v>
      </c>
      <c r="M961" s="3" t="n">
        <v>9504.44</v>
      </c>
      <c r="N961" s="3" t="n">
        <f aca="false">(Tabla2[[#This Row],[Productividad (kg/TAS)]]*Tabla2[[#This Row],[Precio por kg]]-Tabla2[[#This Row],[Costos (En RD$/Tarea)]])</f>
        <v>-3291.53174849934</v>
      </c>
      <c r="O961" s="9" t="n">
        <f aca="false">IF(Tabla2[[#This Row],[Costos (En RD$/Tarea)]]=0,0,Tabla2[[#This Row],[Beneficio Neto  (En RD$/Tarea)]]/Tabla2[[#This Row],[Costos (En RD$/Tarea)]])</f>
        <v>-0.346315169383924</v>
      </c>
      <c r="P961" s="7" t="n">
        <f aca="false">Tabla2[[#This Row],[Rentabilidad (%)]]/12</f>
        <v>-0.0288595974486603</v>
      </c>
    </row>
    <row r="962" customFormat="false" ht="14.25" hidden="false" customHeight="false" outlineLevel="0" collapsed="false">
      <c r="A962" s="1" t="n">
        <v>38961</v>
      </c>
      <c r="B962" s="2" t="s">
        <v>16</v>
      </c>
      <c r="C962" s="3" t="n">
        <v>324990</v>
      </c>
      <c r="D962" s="8" t="s">
        <v>17</v>
      </c>
      <c r="E962" s="3" t="n">
        <f aca="false">IF(Tabla2[[#This Row],[Frecuencia]]="Annual", Tabla2[[#This Row],[Cosecha/Tarea]]/12,Tabla2[[#This Row],[Cosecha/Tarea]])</f>
        <v>324990</v>
      </c>
      <c r="F962" s="3" t="n">
        <v>1145590</v>
      </c>
      <c r="G962" s="2" t="s">
        <v>18</v>
      </c>
      <c r="H962" s="2" t="n">
        <f aca="false">F962/Tabla2[[#This Row],[Cosecha Mensual]]</f>
        <v>3.52500076925444</v>
      </c>
      <c r="I962" s="2" t="n">
        <f aca="false">H962*_xlfn.XLOOKUP(Tabla2[[#This Row],[Unidad de producción]],Tabla3[Medida],Tabla3[Equivalencia en Kg],"ELVIS",0)</f>
        <v>159.894034893381</v>
      </c>
      <c r="J962" s="2" t="n">
        <v>1051.75</v>
      </c>
      <c r="K962" s="2" t="s">
        <v>19</v>
      </c>
      <c r="L962" s="2" t="n">
        <f aca="false">J962/_xlfn.XLOOKUP(Tabla2[[#This Row],[Unidad de precio]],Tabla3[Medida],Tabla3[Equivalencia en Kg],"ELVIS",0)</f>
        <v>9.56136363636364</v>
      </c>
      <c r="M962" s="2" t="n">
        <v>4756.775</v>
      </c>
      <c r="N962" s="3" t="n">
        <f aca="false">(Tabla2[[#This Row],[Productividad (kg/TAS)]]*Tabla2[[#This Row],[Precio por kg]]-Tabla2[[#This Row],[Costos (En RD$/Tarea)]])</f>
        <v>-3227.96998909897</v>
      </c>
      <c r="O962" s="9" t="n">
        <f aca="false">IF(Tabla2[[#This Row],[Costos (En RD$/Tarea)]]=0,0,Tabla2[[#This Row],[Beneficio Neto  (En RD$/Tarea)]]/Tabla2[[#This Row],[Costos (En RD$/Tarea)]])</f>
        <v>-0.678604724650412</v>
      </c>
      <c r="P962" s="7" t="n">
        <f aca="false">Tabla2[[#This Row],[Rentabilidad (%)]]/12</f>
        <v>-0.0565503937208677</v>
      </c>
    </row>
    <row r="963" customFormat="false" ht="14.25" hidden="false" customHeight="false" outlineLevel="0" collapsed="false">
      <c r="A963" s="1" t="n">
        <v>38961</v>
      </c>
      <c r="B963" s="2" t="s">
        <v>20</v>
      </c>
      <c r="C963" s="3" t="n">
        <v>60534</v>
      </c>
      <c r="D963" s="8" t="s">
        <v>17</v>
      </c>
      <c r="E963" s="3" t="n">
        <f aca="false">IF(Tabla2[[#This Row],[Frecuencia]]="Annual", Tabla2[[#This Row],[Cosecha/Tarea]]/12,Tabla2[[#This Row],[Cosecha/Tarea]])</f>
        <v>60534</v>
      </c>
      <c r="F963" s="3" t="n">
        <v>111773</v>
      </c>
      <c r="G963" s="2" t="s">
        <v>18</v>
      </c>
      <c r="H963" s="2" t="n">
        <f aca="false">F963/Tabla2[[#This Row],[Cosecha Mensual]]</f>
        <v>1.84644992896554</v>
      </c>
      <c r="I963" s="2" t="n">
        <f aca="false">H963*_xlfn.XLOOKUP(Tabla2[[#This Row],[Unidad de producción]],Tabla3[Medida],Tabla3[Equivalencia en Kg],"ELVIS",0)</f>
        <v>83.7549687778769</v>
      </c>
      <c r="J963" s="2" t="n">
        <v>421.75</v>
      </c>
      <c r="K963" s="2" t="s">
        <v>18</v>
      </c>
      <c r="L963" s="2" t="n">
        <f aca="false">J963/_xlfn.XLOOKUP(Tabla2[[#This Row],[Unidad de precio]],Tabla3[Medida],Tabla3[Equivalencia en Kg],"ELVIS",0)</f>
        <v>9.29783950617284</v>
      </c>
      <c r="M963" s="2" t="n">
        <v>1341.48</v>
      </c>
      <c r="N963" s="3" t="n">
        <f aca="false">(Tabla2[[#This Row],[Productividad (kg/TAS)]]*Tabla2[[#This Row],[Precio por kg]]-Tabla2[[#This Row],[Costos (En RD$/Tarea)]])</f>
        <v>-562.739742458783</v>
      </c>
      <c r="O963" s="9" t="n">
        <f aca="false">IF(Tabla2[[#This Row],[Costos (En RD$/Tarea)]]=0,0,Tabla2[[#This Row],[Beneficio Neto  (En RD$/Tarea)]]/Tabla2[[#This Row],[Costos (En RD$/Tarea)]])</f>
        <v>-0.41949171248083</v>
      </c>
      <c r="P963" s="7" t="n">
        <f aca="false">Tabla2[[#This Row],[Rentabilidad (%)]]/12</f>
        <v>-0.0349576427067358</v>
      </c>
    </row>
    <row r="964" customFormat="false" ht="14.25" hidden="false" customHeight="false" outlineLevel="0" collapsed="false">
      <c r="A964" s="1" t="n">
        <v>38961</v>
      </c>
      <c r="B964" s="2" t="s">
        <v>21</v>
      </c>
      <c r="C964" s="3" t="n">
        <v>5162</v>
      </c>
      <c r="D964" s="8" t="s">
        <v>17</v>
      </c>
      <c r="E964" s="3" t="n">
        <f aca="false">IF(Tabla2[[#This Row],[Frecuencia]]="Annual", Tabla2[[#This Row],[Cosecha/Tarea]]/12,Tabla2[[#This Row],[Cosecha/Tarea]])</f>
        <v>5162</v>
      </c>
      <c r="F964" s="3" t="n">
        <v>57975</v>
      </c>
      <c r="G964" s="2" t="s">
        <v>18</v>
      </c>
      <c r="H964" s="2" t="n">
        <f aca="false">F964/Tabla2[[#This Row],[Cosecha Mensual]]</f>
        <v>11.2311119721038</v>
      </c>
      <c r="I964" s="2" t="n">
        <f aca="false">H964*_xlfn.XLOOKUP(Tabla2[[#This Row],[Unidad de producción]],Tabla3[Medida],Tabla3[Equivalencia en Kg],"ELVIS",0)</f>
        <v>509.44323905463</v>
      </c>
      <c r="J964" s="2" t="n">
        <v>442.834</v>
      </c>
      <c r="K964" s="2" t="s">
        <v>18</v>
      </c>
      <c r="L964" s="2" t="n">
        <f aca="false">J964/_xlfn.XLOOKUP(Tabla2[[#This Row],[Unidad de precio]],Tabla3[Medida],Tabla3[Equivalencia en Kg],"ELVIS",0)</f>
        <v>9.76265432098765</v>
      </c>
      <c r="M964" s="2" t="n">
        <v>2058.755</v>
      </c>
      <c r="N964" s="3" t="n">
        <f aca="false">(Tabla2[[#This Row],[Productividad (kg/TAS)]]*Tabla2[[#This Row],[Precio por kg]]-Tabla2[[#This Row],[Costos (En RD$/Tarea)]])</f>
        <v>2914.76323905463</v>
      </c>
      <c r="O964" s="9" t="n">
        <f aca="false">IF(Tabla2[[#This Row],[Costos (En RD$/Tarea)]]=0,0,Tabla2[[#This Row],[Beneficio Neto  (En RD$/Tarea)]]/Tabla2[[#This Row],[Costos (En RD$/Tarea)]])</f>
        <v>1.41578927024082</v>
      </c>
      <c r="P964" s="7" t="n">
        <f aca="false">Tabla2[[#This Row],[Rentabilidad (%)]]/12</f>
        <v>0.117982439186735</v>
      </c>
    </row>
    <row r="965" customFormat="false" ht="14.25" hidden="false" customHeight="false" outlineLevel="0" collapsed="false">
      <c r="A965" s="1" t="n">
        <v>38961</v>
      </c>
      <c r="B965" s="2" t="s">
        <v>22</v>
      </c>
      <c r="C965" s="3" t="n">
        <v>2611</v>
      </c>
      <c r="D965" s="8" t="s">
        <v>17</v>
      </c>
      <c r="E965" s="3" t="n">
        <f aca="false">IF(Tabla2[[#This Row],[Frecuencia]]="Annual", Tabla2[[#This Row],[Cosecha/Tarea]]/12,Tabla2[[#This Row],[Cosecha/Tarea]])</f>
        <v>2611</v>
      </c>
      <c r="F965" s="3" t="n">
        <v>22489</v>
      </c>
      <c r="G965" s="2" t="s">
        <v>18</v>
      </c>
      <c r="H965" s="2" t="n">
        <f aca="false">F965/Tabla2[[#This Row],[Cosecha Mensual]]</f>
        <v>8.61317502872463</v>
      </c>
      <c r="I965" s="2" t="n">
        <f aca="false">H965*_xlfn.XLOOKUP(Tabla2[[#This Row],[Unidad de producción]],Tabla3[Medida],Tabla3[Equivalencia en Kg],"ELVIS",0)</f>
        <v>390.693619302949</v>
      </c>
      <c r="J965" s="2" t="n">
        <v>790</v>
      </c>
      <c r="K965" s="2" t="s">
        <v>18</v>
      </c>
      <c r="L965" s="2" t="n">
        <f aca="false">J965/_xlfn.XLOOKUP(Tabla2[[#This Row],[Unidad de precio]],Tabla3[Medida],Tabla3[Equivalencia en Kg],"ELVIS",0)</f>
        <v>17.4162257495591</v>
      </c>
      <c r="M965" s="2" t="n">
        <v>5691.88</v>
      </c>
      <c r="N965" s="3" t="n">
        <f aca="false">(Tabla2[[#This Row],[Productividad (kg/TAS)]]*Tabla2[[#This Row],[Precio por kg]]-Tabla2[[#This Row],[Costos (En RD$/Tarea)]])</f>
        <v>1112.52827269245</v>
      </c>
      <c r="O965" s="9" t="n">
        <f aca="false">IF(Tabla2[[#This Row],[Costos (En RD$/Tarea)]]=0,0,Tabla2[[#This Row],[Beneficio Neto  (En RD$/Tarea)]]/Tabla2[[#This Row],[Costos (En RD$/Tarea)]])</f>
        <v>0.195458841840034</v>
      </c>
      <c r="P965" s="7" t="n">
        <f aca="false">Tabla2[[#This Row],[Rentabilidad (%)]]/12</f>
        <v>0.0162882368200029</v>
      </c>
    </row>
    <row r="966" customFormat="false" ht="14.25" hidden="false" customHeight="false" outlineLevel="0" collapsed="false">
      <c r="A966" s="1" t="n">
        <v>38961</v>
      </c>
      <c r="B966" s="2" t="s">
        <v>23</v>
      </c>
      <c r="C966" s="3" t="n">
        <v>1468</v>
      </c>
      <c r="D966" s="8" t="s">
        <v>17</v>
      </c>
      <c r="E966" s="3" t="n">
        <f aca="false">IF(Tabla2[[#This Row],[Frecuencia]]="Annual", Tabla2[[#This Row],[Cosecha/Tarea]]/12,Tabla2[[#This Row],[Cosecha/Tarea]])</f>
        <v>1468</v>
      </c>
      <c r="F966" s="3" t="n">
        <v>51685</v>
      </c>
      <c r="G966" s="2" t="s">
        <v>18</v>
      </c>
      <c r="H966" s="2" t="n">
        <f aca="false">F966/Tabla2[[#This Row],[Cosecha Mensual]]</f>
        <v>35.2077656675749</v>
      </c>
      <c r="I966" s="2" t="n">
        <f aca="false">H966*_xlfn.XLOOKUP(Tabla2[[#This Row],[Unidad de producción]],Tabla3[Medida],Tabla3[Equivalencia en Kg],"ELVIS",0)</f>
        <v>1597.0242506812</v>
      </c>
      <c r="J966" s="2" t="n">
        <v>583.83</v>
      </c>
      <c r="K966" s="2" t="s">
        <v>18</v>
      </c>
      <c r="L966" s="2" t="n">
        <f aca="false">J966/_xlfn.XLOOKUP(Tabla2[[#This Row],[Unidad de precio]],Tabla3[Medida],Tabla3[Equivalencia en Kg],"ELVIS",0)</f>
        <v>12.8710317460317</v>
      </c>
      <c r="M966" s="2" t="n">
        <v>10412.05</v>
      </c>
      <c r="N966" s="3" t="n">
        <f aca="false">(Tabla2[[#This Row],[Productividad (kg/TAS)]]*Tabla2[[#This Row],[Precio por kg]]-Tabla2[[#This Row],[Costos (En RD$/Tarea)]])</f>
        <v>10143.2998297003</v>
      </c>
      <c r="O966" s="9" t="n">
        <f aca="false">IF(Tabla2[[#This Row],[Costos (En RD$/Tarea)]]=0,0,Tabla2[[#This Row],[Beneficio Neto  (En RD$/Tarea)]]/Tabla2[[#This Row],[Costos (En RD$/Tarea)]])</f>
        <v>0.974188544013933</v>
      </c>
      <c r="P966" s="7" t="n">
        <f aca="false">Tabla2[[#This Row],[Rentabilidad (%)]]/12</f>
        <v>0.0811823786678278</v>
      </c>
    </row>
    <row r="967" customFormat="false" ht="14.25" hidden="false" customHeight="false" outlineLevel="0" collapsed="false">
      <c r="A967" s="1" t="n">
        <v>38961</v>
      </c>
      <c r="B967" s="2" t="s">
        <v>24</v>
      </c>
      <c r="C967" s="3" t="n">
        <v>4576</v>
      </c>
      <c r="D967" s="8" t="s">
        <v>17</v>
      </c>
      <c r="E967" s="3" t="n">
        <f aca="false">IF(Tabla2[[#This Row],[Frecuencia]]="Annual", Tabla2[[#This Row],[Cosecha/Tarea]]/12,Tabla2[[#This Row],[Cosecha/Tarea]])</f>
        <v>4576</v>
      </c>
      <c r="F967" s="3" t="n">
        <v>39215</v>
      </c>
      <c r="G967" s="2" t="s">
        <v>18</v>
      </c>
      <c r="H967" s="2" t="n">
        <f aca="false">F967/Tabla2[[#This Row],[Cosecha Mensual]]</f>
        <v>8.56971153846154</v>
      </c>
      <c r="I967" s="2" t="n">
        <f aca="false">H967*_xlfn.XLOOKUP(Tabla2[[#This Row],[Unidad de producción]],Tabla3[Medida],Tabla3[Equivalencia en Kg],"ELVIS",0)</f>
        <v>388.722115384615</v>
      </c>
      <c r="J967" s="2" t="n">
        <v>792.916666666667</v>
      </c>
      <c r="K967" s="2" t="s">
        <v>18</v>
      </c>
      <c r="L967" s="2" t="n">
        <f aca="false">J967/_xlfn.XLOOKUP(Tabla2[[#This Row],[Unidad de precio]],Tabla3[Medida],Tabla3[Equivalencia en Kg],"ELVIS",0)</f>
        <v>17.4805261610817</v>
      </c>
      <c r="M967" s="2" t="n">
        <v>4593.1</v>
      </c>
      <c r="N967" s="3" t="n">
        <f aca="false">(Tabla2[[#This Row],[Productividad (kg/TAS)]]*Tabla2[[#This Row],[Precio por kg]]-Tabla2[[#This Row],[Costos (En RD$/Tarea)]])</f>
        <v>2201.9671073718</v>
      </c>
      <c r="O967" s="9" t="n">
        <f aca="false">IF(Tabla2[[#This Row],[Costos (En RD$/Tarea)]]=0,0,Tabla2[[#This Row],[Beneficio Neto  (En RD$/Tarea)]]/Tabla2[[#This Row],[Costos (En RD$/Tarea)]])</f>
        <v>0.479407613022098</v>
      </c>
      <c r="P967" s="7" t="n">
        <f aca="false">Tabla2[[#This Row],[Rentabilidad (%)]]/12</f>
        <v>0.0399506344185081</v>
      </c>
    </row>
    <row r="968" customFormat="false" ht="14.25" hidden="false" customHeight="false" outlineLevel="0" collapsed="false">
      <c r="A968" s="1" t="n">
        <v>38961</v>
      </c>
      <c r="B968" s="2" t="s">
        <v>25</v>
      </c>
      <c r="C968" s="3" t="n">
        <v>21015</v>
      </c>
      <c r="D968" s="8" t="s">
        <v>17</v>
      </c>
      <c r="E968" s="3" t="n">
        <f aca="false">IF(Tabla2[[#This Row],[Frecuencia]]="Annual", Tabla2[[#This Row],[Cosecha/Tarea]]/12,Tabla2[[#This Row],[Cosecha/Tarea]])</f>
        <v>21015</v>
      </c>
      <c r="F968" s="3" t="n">
        <v>210883</v>
      </c>
      <c r="G968" s="2" t="s">
        <v>18</v>
      </c>
      <c r="H968" s="2" t="n">
        <f aca="false">F968/Tabla2[[#This Row],[Cosecha Mensual]]</f>
        <v>10.0348798477278</v>
      </c>
      <c r="I968" s="2" t="n">
        <f aca="false">H968*_xlfn.XLOOKUP(Tabla2[[#This Row],[Unidad de producción]],Tabla3[Medida],Tabla3[Equivalencia en Kg],"ELVIS",0)</f>
        <v>455.182149892934</v>
      </c>
      <c r="J968" s="2" t="n">
        <v>438.69</v>
      </c>
      <c r="K968" s="2" t="s">
        <v>18</v>
      </c>
      <c r="L968" s="2" t="n">
        <f aca="false">J968/_xlfn.XLOOKUP(Tabla2[[#This Row],[Unidad de precio]],Tabla3[Medida],Tabla3[Equivalencia en Kg],"ELVIS",0)</f>
        <v>9.6712962962963</v>
      </c>
      <c r="M968" s="2" t="n">
        <v>2287.145</v>
      </c>
      <c r="N968" s="3" t="n">
        <f aca="false">(Tabla2[[#This Row],[Productividad (kg/TAS)]]*Tabla2[[#This Row],[Precio por kg]]-Tabla2[[#This Row],[Costos (En RD$/Tarea)]])</f>
        <v>2115.05644039971</v>
      </c>
      <c r="O968" s="9" t="n">
        <f aca="false">IF(Tabla2[[#This Row],[Costos (En RD$/Tarea)]]=0,0,Tabla2[[#This Row],[Beneficio Neto  (En RD$/Tarea)]]/Tabla2[[#This Row],[Costos (En RD$/Tarea)]])</f>
        <v>0.92475835174408</v>
      </c>
      <c r="P968" s="7" t="n">
        <f aca="false">Tabla2[[#This Row],[Rentabilidad (%)]]/12</f>
        <v>0.0770631959786734</v>
      </c>
    </row>
    <row r="969" customFormat="false" ht="14.25" hidden="false" customHeight="false" outlineLevel="0" collapsed="false">
      <c r="A969" s="1" t="n">
        <v>38961</v>
      </c>
      <c r="B969" s="2" t="s">
        <v>26</v>
      </c>
      <c r="C969" s="3" t="n">
        <v>11919</v>
      </c>
      <c r="D969" s="8" t="s">
        <v>17</v>
      </c>
      <c r="E969" s="3" t="n">
        <f aca="false">IF(Tabla2[[#This Row],[Frecuencia]]="Annual", Tabla2[[#This Row],[Cosecha/Tarea]]/12,Tabla2[[#This Row],[Cosecha/Tarea]])</f>
        <v>11919</v>
      </c>
      <c r="F969" s="3" t="n">
        <v>83861</v>
      </c>
      <c r="G969" s="2" t="s">
        <v>18</v>
      </c>
      <c r="H969" s="2" t="n">
        <f aca="false">F969/Tabla2[[#This Row],[Cosecha Mensual]]</f>
        <v>7.03590905277288</v>
      </c>
      <c r="I969" s="2" t="n">
        <f aca="false">H969*_xlfn.XLOOKUP(Tabla2[[#This Row],[Unidad de producción]],Tabla3[Medida],Tabla3[Equivalencia en Kg],"ELVIS",0)</f>
        <v>319.148834633778</v>
      </c>
      <c r="J969" s="2" t="n">
        <v>374.1</v>
      </c>
      <c r="K969" s="2" t="s">
        <v>18</v>
      </c>
      <c r="L969" s="2" t="n">
        <f aca="false">J969/_xlfn.XLOOKUP(Tabla2[[#This Row],[Unidad de precio]],Tabla3[Medida],Tabla3[Equivalencia en Kg],"ELVIS",0)</f>
        <v>8.2473544973545</v>
      </c>
      <c r="M969" s="2" t="n">
        <v>864.56</v>
      </c>
      <c r="N969" s="3" t="n">
        <f aca="false">(Tabla2[[#This Row],[Productividad (kg/TAS)]]*Tabla2[[#This Row],[Precio por kg]]-Tabla2[[#This Row],[Costos (En RD$/Tarea)]])</f>
        <v>1767.57357664234</v>
      </c>
      <c r="O969" s="9" t="n">
        <f aca="false">IF(Tabla2[[#This Row],[Costos (En RD$/Tarea)]]=0,0,Tabla2[[#This Row],[Beneficio Neto  (En RD$/Tarea)]]/Tabla2[[#This Row],[Costos (En RD$/Tarea)]])</f>
        <v>2.04447762635599</v>
      </c>
      <c r="P969" s="7" t="n">
        <f aca="false">Tabla2[[#This Row],[Rentabilidad (%)]]/12</f>
        <v>0.170373135529666</v>
      </c>
    </row>
    <row r="970" customFormat="false" ht="14.25" hidden="false" customHeight="false" outlineLevel="0" collapsed="false">
      <c r="A970" s="1" t="n">
        <v>38961</v>
      </c>
      <c r="B970" s="2" t="s">
        <v>27</v>
      </c>
      <c r="C970" s="3" t="n">
        <v>4261</v>
      </c>
      <c r="D970" s="8" t="s">
        <v>17</v>
      </c>
      <c r="E970" s="3" t="n">
        <f aca="false">IF(Tabla2[[#This Row],[Frecuencia]]="Annual", Tabla2[[#This Row],[Cosecha/Tarea]]/12,Tabla2[[#This Row],[Cosecha/Tarea]])</f>
        <v>4261</v>
      </c>
      <c r="F970" s="3" t="n">
        <v>41697</v>
      </c>
      <c r="G970" s="2" t="s">
        <v>18</v>
      </c>
      <c r="H970" s="2" t="n">
        <f aca="false">F970/Tabla2[[#This Row],[Cosecha Mensual]]</f>
        <v>9.78573104904952</v>
      </c>
      <c r="I970" s="2" t="n">
        <f aca="false">H970*_xlfn.XLOOKUP(Tabla2[[#This Row],[Unidad de producción]],Tabla3[Medida],Tabla3[Equivalencia en Kg],"ELVIS",0)</f>
        <v>443.880760384886</v>
      </c>
      <c r="J970" s="2" t="n">
        <v>215.096291666667</v>
      </c>
      <c r="K970" s="2" t="s">
        <v>18</v>
      </c>
      <c r="L970" s="2" t="n">
        <f aca="false">J970/_xlfn.XLOOKUP(Tabla2[[#This Row],[Unidad de precio]],Tabla3[Medida],Tabla3[Equivalencia en Kg],"ELVIS",0)</f>
        <v>4.74198173868314</v>
      </c>
      <c r="M970" s="2" t="n">
        <v>4742.13</v>
      </c>
      <c r="N970" s="3" t="n">
        <f aca="false">(Tabla2[[#This Row],[Productividad (kg/TAS)]]*Tabla2[[#This Row],[Precio por kg]]-Tabla2[[#This Row],[Costos (En RD$/Tarea)]])</f>
        <v>-2637.25554010209</v>
      </c>
      <c r="O970" s="9" t="n">
        <f aca="false">IF(Tabla2[[#This Row],[Costos (En RD$/Tarea)]]=0,0,Tabla2[[#This Row],[Beneficio Neto  (En RD$/Tarea)]]/Tabla2[[#This Row],[Costos (En RD$/Tarea)]])</f>
        <v>-0.55613311741814</v>
      </c>
      <c r="P970" s="7" t="n">
        <f aca="false">Tabla2[[#This Row],[Rentabilidad (%)]]/12</f>
        <v>-0.0463444264515117</v>
      </c>
    </row>
    <row r="971" customFormat="false" ht="14.25" hidden="false" customHeight="false" outlineLevel="0" collapsed="false">
      <c r="A971" s="1" t="n">
        <v>38961</v>
      </c>
      <c r="B971" s="2" t="s">
        <v>28</v>
      </c>
      <c r="C971" s="3" t="n">
        <v>69227</v>
      </c>
      <c r="D971" s="8" t="s">
        <v>17</v>
      </c>
      <c r="E971" s="3" t="n">
        <f aca="false">IF(Tabla2[[#This Row],[Frecuencia]]="Annual", Tabla2[[#This Row],[Cosecha/Tarea]]/12,Tabla2[[#This Row],[Cosecha/Tarea]])</f>
        <v>69227</v>
      </c>
      <c r="F971" s="3" t="n">
        <v>149345</v>
      </c>
      <c r="G971" s="2" t="s">
        <v>29</v>
      </c>
      <c r="H971" s="2" t="n">
        <f aca="false">F971/Tabla2[[#This Row],[Cosecha Mensual]]</f>
        <v>2.15732300980831</v>
      </c>
      <c r="I971" s="2" t="n">
        <f aca="false">H971*_xlfn.XLOOKUP(Tabla2[[#This Row],[Unidad de producción]],Tabla3[Medida],Tabla3[Equivalencia en Kg],"ELVIS",0)</f>
        <v>1213.14902133561</v>
      </c>
      <c r="J971" s="2" t="n">
        <v>2214.166</v>
      </c>
      <c r="K971" s="2" t="s">
        <v>29</v>
      </c>
      <c r="L971" s="2" t="n">
        <f aca="false">J971/_xlfn.XLOOKUP(Tabla2[[#This Row],[Unidad de precio]],Tabla3[Medida],Tabla3[Equivalencia en Kg],"ELVIS",0)</f>
        <v>3.93741508695807</v>
      </c>
      <c r="M971" s="2" t="n">
        <v>8196.87</v>
      </c>
      <c r="N971" s="3" t="n">
        <f aca="false">(Tabla2[[#This Row],[Productividad (kg/TAS)]]*Tabla2[[#This Row],[Precio por kg]]-Tabla2[[#This Row],[Costos (En RD$/Tarea)]])</f>
        <v>-3420.19874066477</v>
      </c>
      <c r="O971" s="9" t="n">
        <f aca="false">IF(Tabla2[[#This Row],[Costos (En RD$/Tarea)]]=0,0,Tabla2[[#This Row],[Beneficio Neto  (En RD$/Tarea)]]/Tabla2[[#This Row],[Costos (En RD$/Tarea)]])</f>
        <v>-0.417256677324975</v>
      </c>
      <c r="P971" s="7" t="n">
        <f aca="false">Tabla2[[#This Row],[Rentabilidad (%)]]/12</f>
        <v>-0.0347713897770813</v>
      </c>
    </row>
    <row r="972" customFormat="false" ht="14.25" hidden="false" customHeight="false" outlineLevel="0" collapsed="false">
      <c r="A972" s="1" t="n">
        <v>38961</v>
      </c>
      <c r="B972" s="2" t="s">
        <v>30</v>
      </c>
      <c r="C972" s="3" t="n">
        <v>309846</v>
      </c>
      <c r="D972" s="3" t="s">
        <v>31</v>
      </c>
      <c r="E972" s="3" t="n">
        <f aca="false">IF(Tabla2[[#This Row],[Frecuencia]]="Annual", Tabla2[[#This Row],[Cosecha/Tarea]]/12,Tabla2[[#This Row],[Cosecha/Tarea]])</f>
        <v>25820.5</v>
      </c>
      <c r="F972" s="3" t="n">
        <v>1942933</v>
      </c>
      <c r="G972" s="2" t="s">
        <v>32</v>
      </c>
      <c r="H972" s="2" t="n">
        <f aca="false">F972/Tabla2[[#This Row],[Cosecha Mensual]]</f>
        <v>75.2476907883271</v>
      </c>
      <c r="I972" s="2" t="n">
        <f aca="false">H972*_xlfn.XLOOKUP(Tabla2[[#This Row],[Unidad de producción]],Tabla3[Medida],Tabla3[Equivalencia en Kg],"ELVIS",0)</f>
        <v>2047.48966635038</v>
      </c>
      <c r="J972" s="2" t="n">
        <v>51.3716666666667</v>
      </c>
      <c r="K972" s="2" t="s">
        <v>32</v>
      </c>
      <c r="L972" s="2" t="n">
        <f aca="false">J972/_xlfn.XLOOKUP(Tabla2[[#This Row],[Unidad de precio]],Tabla3[Medida],Tabla3[Equivalencia en Kg],"ELVIS",0)</f>
        <v>1.88797010902854</v>
      </c>
      <c r="M972" s="3" t="n">
        <v>7154.19</v>
      </c>
      <c r="N972" s="3" t="n">
        <f aca="false">(Tabla2[[#This Row],[Productividad (kg/TAS)]]*Tabla2[[#This Row],[Precio por kg]]-Tabla2[[#This Row],[Costos (En RD$/Tarea)]])</f>
        <v>-3288.59071138565</v>
      </c>
      <c r="O972" s="9" t="n">
        <f aca="false">IF(Tabla2[[#This Row],[Costos (En RD$/Tarea)]]=0,0,Tabla2[[#This Row],[Beneficio Neto  (En RD$/Tarea)]]/Tabla2[[#This Row],[Costos (En RD$/Tarea)]])</f>
        <v>-0.459673381806417</v>
      </c>
      <c r="P972" s="7" t="n">
        <f aca="false">Tabla2[[#This Row],[Rentabilidad (%)]]/12</f>
        <v>-0.0383061151505348</v>
      </c>
    </row>
    <row r="973" customFormat="false" ht="14.25" hidden="false" customHeight="false" outlineLevel="0" collapsed="false">
      <c r="A973" s="1" t="n">
        <v>38961</v>
      </c>
      <c r="B973" s="2" t="s">
        <v>33</v>
      </c>
      <c r="C973" s="3" t="n">
        <v>806973</v>
      </c>
      <c r="D973" s="3" t="s">
        <v>31</v>
      </c>
      <c r="E973" s="3" t="n">
        <f aca="false">IF(Tabla2[[#This Row],[Frecuencia]]="Annual", Tabla2[[#This Row],[Cosecha/Tarea]]/12,Tabla2[[#This Row],[Cosecha/Tarea]])</f>
        <v>67247.75</v>
      </c>
      <c r="F973" s="3" t="n">
        <v>190688</v>
      </c>
      <c r="G973" s="2" t="s">
        <v>34</v>
      </c>
      <c r="H973" s="2" t="n">
        <f aca="false">F973/Tabla2[[#This Row],[Cosecha Mensual]]</f>
        <v>2.83560416519512</v>
      </c>
      <c r="I973" s="2" t="n">
        <f aca="false">H973*_xlfn.XLOOKUP(Tabla2[[#This Row],[Unidad de producción]],Tabla3[Medida],Tabla3[Equivalencia en Kg],"ELVIS",0)</f>
        <v>1157.35184002439</v>
      </c>
      <c r="J973" s="2" t="n">
        <v>1676.45285714286</v>
      </c>
      <c r="K973" s="2" t="s">
        <v>34</v>
      </c>
      <c r="L973" s="2" t="n">
        <f aca="false">J973/_xlfn.XLOOKUP(Tabla2[[#This Row],[Unidad de precio]],Tabla3[Medida],Tabla3[Equivalencia en Kg],"ELVIS",0)</f>
        <v>4.10744299189724</v>
      </c>
      <c r="M973" s="3" t="n">
        <v>9504.44</v>
      </c>
      <c r="N973" s="3" t="n">
        <f aca="false">(Tabla2[[#This Row],[Productividad (kg/TAS)]]*Tabla2[[#This Row],[Precio por kg]]-Tabla2[[#This Row],[Costos (En RD$/Tarea)]])</f>
        <v>-4750.68329553245</v>
      </c>
      <c r="O973" s="9" t="n">
        <f aca="false">IF(Tabla2[[#This Row],[Costos (En RD$/Tarea)]]=0,0,Tabla2[[#This Row],[Beneficio Neto  (En RD$/Tarea)]]/Tabla2[[#This Row],[Costos (En RD$/Tarea)]])</f>
        <v>-0.499838317200429</v>
      </c>
      <c r="P973" s="7" t="n">
        <f aca="false">Tabla2[[#This Row],[Rentabilidad (%)]]/12</f>
        <v>-0.0416531931000358</v>
      </c>
    </row>
    <row r="974" customFormat="false" ht="14.25" hidden="false" customHeight="false" outlineLevel="0" collapsed="false">
      <c r="A974" s="1" t="n">
        <v>38991</v>
      </c>
      <c r="B974" s="2" t="s">
        <v>16</v>
      </c>
      <c r="C974" s="3" t="n">
        <v>456729</v>
      </c>
      <c r="D974" s="8" t="s">
        <v>17</v>
      </c>
      <c r="E974" s="3" t="n">
        <f aca="false">IF(Tabla2[[#This Row],[Frecuencia]]="Annual", Tabla2[[#This Row],[Cosecha/Tarea]]/12,Tabla2[[#This Row],[Cosecha/Tarea]])</f>
        <v>456729</v>
      </c>
      <c r="F974" s="3" t="n">
        <v>1752612</v>
      </c>
      <c r="G974" s="2" t="s">
        <v>18</v>
      </c>
      <c r="H974" s="2" t="n">
        <f aca="false">F974/Tabla2[[#This Row],[Cosecha Mensual]]</f>
        <v>3.83731271716926</v>
      </c>
      <c r="I974" s="2" t="n">
        <f aca="false">H974*_xlfn.XLOOKUP(Tabla2[[#This Row],[Unidad de producción]],Tabla3[Medida],Tabla3[Equivalencia en Kg],"ELVIS",0)</f>
        <v>174.060504850798</v>
      </c>
      <c r="J974" s="2" t="n">
        <v>1123.9936</v>
      </c>
      <c r="K974" s="2" t="s">
        <v>19</v>
      </c>
      <c r="L974" s="2" t="n">
        <f aca="false">J974/_xlfn.XLOOKUP(Tabla2[[#This Row],[Unidad de precio]],Tabla3[Medida],Tabla3[Equivalencia en Kg],"ELVIS",0)</f>
        <v>10.2181236363636</v>
      </c>
      <c r="M974" s="2" t="n">
        <v>4756.775</v>
      </c>
      <c r="N974" s="3" t="n">
        <f aca="false">(Tabla2[[#This Row],[Productividad (kg/TAS)]]*Tabla2[[#This Row],[Precio por kg]]-Tabla2[[#This Row],[Costos (En RD$/Tarea)]])</f>
        <v>-2978.20324122668</v>
      </c>
      <c r="O974" s="9" t="n">
        <f aca="false">IF(Tabla2[[#This Row],[Costos (En RD$/Tarea)]]=0,0,Tabla2[[#This Row],[Beneficio Neto  (En RD$/Tarea)]]/Tabla2[[#This Row],[Costos (En RD$/Tarea)]])</f>
        <v>-0.626097143805767</v>
      </c>
      <c r="P974" s="7" t="n">
        <f aca="false">Tabla2[[#This Row],[Rentabilidad (%)]]/12</f>
        <v>-0.0521747619838139</v>
      </c>
    </row>
    <row r="975" customFormat="false" ht="14.25" hidden="false" customHeight="false" outlineLevel="0" collapsed="false">
      <c r="A975" s="1" t="n">
        <v>38991</v>
      </c>
      <c r="B975" s="2" t="s">
        <v>20</v>
      </c>
      <c r="C975" s="3" t="n">
        <v>39737</v>
      </c>
      <c r="D975" s="8" t="s">
        <v>17</v>
      </c>
      <c r="E975" s="3" t="n">
        <f aca="false">IF(Tabla2[[#This Row],[Frecuencia]]="Annual", Tabla2[[#This Row],[Cosecha/Tarea]]/12,Tabla2[[#This Row],[Cosecha/Tarea]])</f>
        <v>39737</v>
      </c>
      <c r="F975" s="3" t="n">
        <v>77486</v>
      </c>
      <c r="G975" s="2" t="s">
        <v>18</v>
      </c>
      <c r="H975" s="2" t="n">
        <f aca="false">F975/Tabla2[[#This Row],[Cosecha Mensual]]</f>
        <v>1.94997105971764</v>
      </c>
      <c r="I975" s="2" t="n">
        <f aca="false">H975*_xlfn.XLOOKUP(Tabla2[[#This Row],[Unidad de producción]],Tabla3[Medida],Tabla3[Equivalencia en Kg],"ELVIS",0)</f>
        <v>88.4506872687923</v>
      </c>
      <c r="J975" s="2" t="n">
        <v>386.7556</v>
      </c>
      <c r="K975" s="2" t="s">
        <v>18</v>
      </c>
      <c r="L975" s="2" t="n">
        <f aca="false">J975/_xlfn.XLOOKUP(Tabla2[[#This Row],[Unidad de precio]],Tabla3[Medida],Tabla3[Equivalencia en Kg],"ELVIS",0)</f>
        <v>8.52635802469136</v>
      </c>
      <c r="M975" s="2" t="n">
        <v>1341.48</v>
      </c>
      <c r="N975" s="3" t="n">
        <f aca="false">(Tabla2[[#This Row],[Productividad (kg/TAS)]]*Tabla2[[#This Row],[Precio por kg]]-Tabla2[[#This Row],[Costos (En RD$/Tarea)]])</f>
        <v>-587.317772816267</v>
      </c>
      <c r="O975" s="9" t="n">
        <f aca="false">IF(Tabla2[[#This Row],[Costos (En RD$/Tarea)]]=0,0,Tabla2[[#This Row],[Beneficio Neto  (En RD$/Tarea)]]/Tabla2[[#This Row],[Costos (En RD$/Tarea)]])</f>
        <v>-0.437813290407809</v>
      </c>
      <c r="P975" s="7" t="n">
        <f aca="false">Tabla2[[#This Row],[Rentabilidad (%)]]/12</f>
        <v>-0.0364844408673174</v>
      </c>
    </row>
    <row r="976" customFormat="false" ht="14.25" hidden="false" customHeight="false" outlineLevel="0" collapsed="false">
      <c r="A976" s="1" t="n">
        <v>38991</v>
      </c>
      <c r="B976" s="2" t="s">
        <v>21</v>
      </c>
      <c r="C976" s="3" t="n">
        <v>4216</v>
      </c>
      <c r="D976" s="8" t="s">
        <v>17</v>
      </c>
      <c r="E976" s="3" t="n">
        <f aca="false">IF(Tabla2[[#This Row],[Frecuencia]]="Annual", Tabla2[[#This Row],[Cosecha/Tarea]]/12,Tabla2[[#This Row],[Cosecha/Tarea]])</f>
        <v>4216</v>
      </c>
      <c r="F976" s="3" t="n">
        <v>38339</v>
      </c>
      <c r="G976" s="2" t="s">
        <v>18</v>
      </c>
      <c r="H976" s="2" t="n">
        <f aca="false">F976/Tabla2[[#This Row],[Cosecha Mensual]]</f>
        <v>9.09369070208729</v>
      </c>
      <c r="I976" s="2" t="n">
        <f aca="false">H976*_xlfn.XLOOKUP(Tabla2[[#This Row],[Unidad de producción]],Tabla3[Medida],Tabla3[Equivalencia en Kg],"ELVIS",0)</f>
        <v>412.489810246679</v>
      </c>
      <c r="J976" s="2" t="n">
        <v>362.563333333333</v>
      </c>
      <c r="K976" s="2" t="s">
        <v>18</v>
      </c>
      <c r="L976" s="2" t="n">
        <f aca="false">J976/_xlfn.XLOOKUP(Tabla2[[#This Row],[Unidad de precio]],Tabla3[Medida],Tabla3[Equivalencia en Kg],"ELVIS",0)</f>
        <v>7.99301881246325</v>
      </c>
      <c r="M976" s="2" t="n">
        <v>2058.755</v>
      </c>
      <c r="N976" s="3" t="n">
        <f aca="false">(Tabla2[[#This Row],[Productividad (kg/TAS)]]*Tabla2[[#This Row],[Precio por kg]]-Tabla2[[#This Row],[Costos (En RD$/Tarea)]])</f>
        <v>1238.2838132511</v>
      </c>
      <c r="O976" s="9" t="n">
        <f aca="false">IF(Tabla2[[#This Row],[Costos (En RD$/Tarea)]]=0,0,Tabla2[[#This Row],[Beneficio Neto  (En RD$/Tarea)]]/Tabla2[[#This Row],[Costos (En RD$/Tarea)]])</f>
        <v>0.601472158295234</v>
      </c>
      <c r="P976" s="7" t="n">
        <f aca="false">Tabla2[[#This Row],[Rentabilidad (%)]]/12</f>
        <v>0.0501226798579361</v>
      </c>
    </row>
    <row r="977" customFormat="false" ht="14.25" hidden="false" customHeight="false" outlineLevel="0" collapsed="false">
      <c r="A977" s="1" t="n">
        <v>38991</v>
      </c>
      <c r="B977" s="2" t="s">
        <v>22</v>
      </c>
      <c r="C977" s="3" t="n">
        <v>2079</v>
      </c>
      <c r="D977" s="8" t="s">
        <v>17</v>
      </c>
      <c r="E977" s="3" t="n">
        <f aca="false">IF(Tabla2[[#This Row],[Frecuencia]]="Annual", Tabla2[[#This Row],[Cosecha/Tarea]]/12,Tabla2[[#This Row],[Cosecha/Tarea]])</f>
        <v>2079</v>
      </c>
      <c r="F977" s="3" t="n">
        <v>16046</v>
      </c>
      <c r="G977" s="2" t="s">
        <v>18</v>
      </c>
      <c r="H977" s="2" t="n">
        <f aca="false">F977/Tabla2[[#This Row],[Cosecha Mensual]]</f>
        <v>7.71813371813372</v>
      </c>
      <c r="I977" s="2" t="n">
        <f aca="false">H977*_xlfn.XLOOKUP(Tabla2[[#This Row],[Unidad de producción]],Tabla3[Medida],Tabla3[Equivalencia en Kg],"ELVIS",0)</f>
        <v>350.094545454545</v>
      </c>
      <c r="J977" s="2" t="n">
        <v>633</v>
      </c>
      <c r="K977" s="2" t="s">
        <v>18</v>
      </c>
      <c r="L977" s="2" t="n">
        <f aca="false">J977/_xlfn.XLOOKUP(Tabla2[[#This Row],[Unidad de precio]],Tabla3[Medida],Tabla3[Equivalencia en Kg],"ELVIS",0)</f>
        <v>13.9550264550265</v>
      </c>
      <c r="M977" s="2" t="n">
        <v>5691.88</v>
      </c>
      <c r="N977" s="3" t="n">
        <f aca="false">(Tabla2[[#This Row],[Productividad (kg/TAS)]]*Tabla2[[#This Row],[Precio por kg]]-Tabla2[[#This Row],[Costos (En RD$/Tarea)]])</f>
        <v>-806.301356421357</v>
      </c>
      <c r="O977" s="9" t="n">
        <f aca="false">IF(Tabla2[[#This Row],[Costos (En RD$/Tarea)]]=0,0,Tabla2[[#This Row],[Beneficio Neto  (En RD$/Tarea)]]/Tabla2[[#This Row],[Costos (En RD$/Tarea)]])</f>
        <v>-0.141658179093965</v>
      </c>
      <c r="P977" s="7" t="n">
        <f aca="false">Tabla2[[#This Row],[Rentabilidad (%)]]/12</f>
        <v>-0.0118048482578304</v>
      </c>
    </row>
    <row r="978" customFormat="false" ht="14.25" hidden="false" customHeight="false" outlineLevel="0" collapsed="false">
      <c r="A978" s="1" t="n">
        <v>38991</v>
      </c>
      <c r="B978" s="2" t="s">
        <v>23</v>
      </c>
      <c r="C978" s="3" t="n">
        <v>1183</v>
      </c>
      <c r="D978" s="8" t="s">
        <v>17</v>
      </c>
      <c r="E978" s="3" t="n">
        <f aca="false">IF(Tabla2[[#This Row],[Frecuencia]]="Annual", Tabla2[[#This Row],[Cosecha/Tarea]]/12,Tabla2[[#This Row],[Cosecha/Tarea]])</f>
        <v>1183</v>
      </c>
      <c r="F978" s="3" t="n">
        <v>35235</v>
      </c>
      <c r="G978" s="2" t="s">
        <v>18</v>
      </c>
      <c r="H978" s="2" t="n">
        <f aca="false">F978/Tabla2[[#This Row],[Cosecha Mensual]]</f>
        <v>29.7844463229079</v>
      </c>
      <c r="I978" s="2" t="n">
        <f aca="false">H978*_xlfn.XLOOKUP(Tabla2[[#This Row],[Unidad de producción]],Tabla3[Medida],Tabla3[Equivalencia en Kg],"ELVIS",0)</f>
        <v>1351.0224852071</v>
      </c>
      <c r="J978" s="2" t="n">
        <v>480.25</v>
      </c>
      <c r="K978" s="2" t="s">
        <v>18</v>
      </c>
      <c r="L978" s="2" t="n">
        <f aca="false">J978/_xlfn.XLOOKUP(Tabla2[[#This Row],[Unidad de precio]],Tabla3[Medida],Tabla3[Equivalencia en Kg],"ELVIS",0)</f>
        <v>10.5875220458554</v>
      </c>
      <c r="M978" s="2" t="n">
        <v>10412.05</v>
      </c>
      <c r="N978" s="3" t="n">
        <f aca="false">(Tabla2[[#This Row],[Productividad (kg/TAS)]]*Tabla2[[#This Row],[Precio por kg]]-Tabla2[[#This Row],[Costos (En RD$/Tarea)]])</f>
        <v>3891.9303465765</v>
      </c>
      <c r="O978" s="9" t="n">
        <f aca="false">IF(Tabla2[[#This Row],[Costos (En RD$/Tarea)]]=0,0,Tabla2[[#This Row],[Beneficio Neto  (En RD$/Tarea)]]/Tabla2[[#This Row],[Costos (En RD$/Tarea)]])</f>
        <v>0.373790977432542</v>
      </c>
      <c r="P978" s="7" t="n">
        <f aca="false">Tabla2[[#This Row],[Rentabilidad (%)]]/12</f>
        <v>0.0311492481193785</v>
      </c>
    </row>
    <row r="979" customFormat="false" ht="14.25" hidden="false" customHeight="false" outlineLevel="0" collapsed="false">
      <c r="A979" s="1" t="n">
        <v>38991</v>
      </c>
      <c r="B979" s="2" t="s">
        <v>24</v>
      </c>
      <c r="C979" s="3" t="n">
        <v>3133</v>
      </c>
      <c r="D979" s="8" t="s">
        <v>17</v>
      </c>
      <c r="E979" s="3" t="n">
        <f aca="false">IF(Tabla2[[#This Row],[Frecuencia]]="Annual", Tabla2[[#This Row],[Cosecha/Tarea]]/12,Tabla2[[#This Row],[Cosecha/Tarea]])</f>
        <v>3133</v>
      </c>
      <c r="F979" s="3" t="n">
        <v>23653</v>
      </c>
      <c r="G979" s="2" t="s">
        <v>18</v>
      </c>
      <c r="H979" s="2" t="n">
        <f aca="false">F979/Tabla2[[#This Row],[Cosecha Mensual]]</f>
        <v>7.54963293967443</v>
      </c>
      <c r="I979" s="2" t="n">
        <f aca="false">H979*_xlfn.XLOOKUP(Tabla2[[#This Row],[Unidad de producción]],Tabla3[Medida],Tabla3[Equivalencia en Kg],"ELVIS",0)</f>
        <v>342.451350143632</v>
      </c>
      <c r="J979" s="2" t="n">
        <v>785.166666666667</v>
      </c>
      <c r="K979" s="2" t="s">
        <v>18</v>
      </c>
      <c r="L979" s="2" t="n">
        <f aca="false">J979/_xlfn.XLOOKUP(Tabla2[[#This Row],[Unidad de precio]],Tabla3[Medida],Tabla3[Equivalencia en Kg],"ELVIS",0)</f>
        <v>17.309670781893</v>
      </c>
      <c r="M979" s="2" t="n">
        <v>4593.1</v>
      </c>
      <c r="N979" s="3" t="n">
        <f aca="false">(Tabla2[[#This Row],[Productividad (kg/TAS)]]*Tabla2[[#This Row],[Precio por kg]]-Tabla2[[#This Row],[Costos (En RD$/Tarea)]])</f>
        <v>1334.62012980104</v>
      </c>
      <c r="O979" s="9" t="n">
        <f aca="false">IF(Tabla2[[#This Row],[Costos (En RD$/Tarea)]]=0,0,Tabla2[[#This Row],[Beneficio Neto  (En RD$/Tarea)]]/Tabla2[[#This Row],[Costos (En RD$/Tarea)]])</f>
        <v>0.290570666826554</v>
      </c>
      <c r="P979" s="7" t="n">
        <f aca="false">Tabla2[[#This Row],[Rentabilidad (%)]]/12</f>
        <v>0.0242142222355462</v>
      </c>
    </row>
    <row r="980" customFormat="false" ht="14.25" hidden="false" customHeight="false" outlineLevel="0" collapsed="false">
      <c r="A980" s="1" t="n">
        <v>38991</v>
      </c>
      <c r="B980" s="2" t="s">
        <v>25</v>
      </c>
      <c r="C980" s="3" t="n">
        <v>16367</v>
      </c>
      <c r="D980" s="8" t="s">
        <v>17</v>
      </c>
      <c r="E980" s="3" t="n">
        <f aca="false">IF(Tabla2[[#This Row],[Frecuencia]]="Annual", Tabla2[[#This Row],[Cosecha/Tarea]]/12,Tabla2[[#This Row],[Cosecha/Tarea]])</f>
        <v>16367</v>
      </c>
      <c r="F980" s="3" t="n">
        <v>165291</v>
      </c>
      <c r="G980" s="2" t="s">
        <v>18</v>
      </c>
      <c r="H980" s="2" t="n">
        <f aca="false">F980/Tabla2[[#This Row],[Cosecha Mensual]]</f>
        <v>10.0990407527342</v>
      </c>
      <c r="I980" s="2" t="n">
        <f aca="false">H980*_xlfn.XLOOKUP(Tabla2[[#This Row],[Unidad de producción]],Tabla3[Medida],Tabla3[Equivalencia en Kg],"ELVIS",0)</f>
        <v>458.092488544022</v>
      </c>
      <c r="J980" s="2" t="n">
        <v>422.035</v>
      </c>
      <c r="K980" s="2" t="s">
        <v>18</v>
      </c>
      <c r="L980" s="2" t="n">
        <f aca="false">J980/_xlfn.XLOOKUP(Tabla2[[#This Row],[Unidad de precio]],Tabla3[Medida],Tabla3[Equivalencia en Kg],"ELVIS",0)</f>
        <v>9.30412257495591</v>
      </c>
      <c r="M980" s="2" t="n">
        <v>2287.145</v>
      </c>
      <c r="N980" s="3" t="n">
        <f aca="false">(Tabla2[[#This Row],[Productividad (kg/TAS)]]*Tabla2[[#This Row],[Precio por kg]]-Tabla2[[#This Row],[Costos (En RD$/Tarea)]])</f>
        <v>1975.00366408016</v>
      </c>
      <c r="O980" s="9" t="n">
        <f aca="false">IF(Tabla2[[#This Row],[Costos (En RD$/Tarea)]]=0,0,Tabla2[[#This Row],[Beneficio Neto  (En RD$/Tarea)]]/Tabla2[[#This Row],[Costos (En RD$/Tarea)]])</f>
        <v>0.863523591237181</v>
      </c>
      <c r="P980" s="7" t="n">
        <f aca="false">Tabla2[[#This Row],[Rentabilidad (%)]]/12</f>
        <v>0.0719602992697651</v>
      </c>
    </row>
    <row r="981" customFormat="false" ht="14.25" hidden="false" customHeight="false" outlineLevel="0" collapsed="false">
      <c r="A981" s="1" t="n">
        <v>38991</v>
      </c>
      <c r="B981" s="2" t="s">
        <v>26</v>
      </c>
      <c r="C981" s="3" t="n">
        <v>11639</v>
      </c>
      <c r="D981" s="8" t="s">
        <v>17</v>
      </c>
      <c r="E981" s="3" t="n">
        <f aca="false">IF(Tabla2[[#This Row],[Frecuencia]]="Annual", Tabla2[[#This Row],[Cosecha/Tarea]]/12,Tabla2[[#This Row],[Cosecha/Tarea]])</f>
        <v>11639</v>
      </c>
      <c r="F981" s="3" t="n">
        <v>68207</v>
      </c>
      <c r="G981" s="2" t="s">
        <v>18</v>
      </c>
      <c r="H981" s="2" t="n">
        <f aca="false">F981/Tabla2[[#This Row],[Cosecha Mensual]]</f>
        <v>5.86021135836412</v>
      </c>
      <c r="I981" s="2" t="n">
        <f aca="false">H981*_xlfn.XLOOKUP(Tabla2[[#This Row],[Unidad de producción]],Tabla3[Medida],Tabla3[Equivalencia en Kg],"ELVIS",0)</f>
        <v>265.819187215397</v>
      </c>
      <c r="J981" s="2" t="n">
        <v>373.834</v>
      </c>
      <c r="K981" s="2" t="s">
        <v>18</v>
      </c>
      <c r="L981" s="2" t="n">
        <f aca="false">J981/_xlfn.XLOOKUP(Tabla2[[#This Row],[Unidad de precio]],Tabla3[Medida],Tabla3[Equivalencia en Kg],"ELVIS",0)</f>
        <v>8.24149029982363</v>
      </c>
      <c r="M981" s="2" t="n">
        <v>864.56</v>
      </c>
      <c r="N981" s="3" t="n">
        <f aca="false">(Tabla2[[#This Row],[Productividad (kg/TAS)]]*Tabla2[[#This Row],[Precio por kg]]-Tabla2[[#This Row],[Costos (En RD$/Tarea)]])</f>
        <v>1326.18625294269</v>
      </c>
      <c r="O981" s="9" t="n">
        <f aca="false">IF(Tabla2[[#This Row],[Costos (En RD$/Tarea)]]=0,0,Tabla2[[#This Row],[Beneficio Neto  (En RD$/Tarea)]]/Tabla2[[#This Row],[Costos (En RD$/Tarea)]])</f>
        <v>1.53394357007344</v>
      </c>
      <c r="P981" s="7" t="n">
        <f aca="false">Tabla2[[#This Row],[Rentabilidad (%)]]/12</f>
        <v>0.127828630839453</v>
      </c>
    </row>
    <row r="982" customFormat="false" ht="14.25" hidden="false" customHeight="false" outlineLevel="0" collapsed="false">
      <c r="A982" s="1" t="n">
        <v>38991</v>
      </c>
      <c r="B982" s="2" t="s">
        <v>27</v>
      </c>
      <c r="C982" s="3" t="n">
        <v>3954</v>
      </c>
      <c r="D982" s="8" t="s">
        <v>17</v>
      </c>
      <c r="E982" s="3" t="n">
        <f aca="false">IF(Tabla2[[#This Row],[Frecuencia]]="Annual", Tabla2[[#This Row],[Cosecha/Tarea]]/12,Tabla2[[#This Row],[Cosecha/Tarea]])</f>
        <v>3954</v>
      </c>
      <c r="F982" s="3" t="n">
        <v>33383</v>
      </c>
      <c r="G982" s="2" t="s">
        <v>18</v>
      </c>
      <c r="H982" s="2" t="n">
        <f aca="false">F982/Tabla2[[#This Row],[Cosecha Mensual]]</f>
        <v>8.44284269094588</v>
      </c>
      <c r="I982" s="2" t="n">
        <f aca="false">H982*_xlfn.XLOOKUP(Tabla2[[#This Row],[Unidad de producción]],Tabla3[Medida],Tabla3[Equivalencia en Kg],"ELVIS",0)</f>
        <v>382.967344461305</v>
      </c>
      <c r="J982" s="2" t="n">
        <v>264.8</v>
      </c>
      <c r="K982" s="2" t="s">
        <v>18</v>
      </c>
      <c r="L982" s="2" t="n">
        <f aca="false">J982/_xlfn.XLOOKUP(Tabla2[[#This Row],[Unidad de precio]],Tabla3[Medida],Tabla3[Equivalencia en Kg],"ELVIS",0)</f>
        <v>5.83774250440917</v>
      </c>
      <c r="M982" s="2" t="n">
        <v>4742.13</v>
      </c>
      <c r="N982" s="3" t="n">
        <f aca="false">(Tabla2[[#This Row],[Productividad (kg/TAS)]]*Tabla2[[#This Row],[Precio por kg]]-Tabla2[[#This Row],[Costos (En RD$/Tarea)]])</f>
        <v>-2506.46525543753</v>
      </c>
      <c r="O982" s="9" t="n">
        <f aca="false">IF(Tabla2[[#This Row],[Costos (En RD$/Tarea)]]=0,0,Tabla2[[#This Row],[Beneficio Neto  (En RD$/Tarea)]]/Tabla2[[#This Row],[Costos (En RD$/Tarea)]])</f>
        <v>-0.528552624124082</v>
      </c>
      <c r="P982" s="7" t="n">
        <f aca="false">Tabla2[[#This Row],[Rentabilidad (%)]]/12</f>
        <v>-0.0440460520103401</v>
      </c>
    </row>
    <row r="983" customFormat="false" ht="14.25" hidden="false" customHeight="false" outlineLevel="0" collapsed="false">
      <c r="A983" s="1" t="n">
        <v>38991</v>
      </c>
      <c r="B983" s="2" t="s">
        <v>28</v>
      </c>
      <c r="C983" s="3" t="n">
        <v>75620</v>
      </c>
      <c r="D983" s="8" t="s">
        <v>17</v>
      </c>
      <c r="E983" s="3" t="n">
        <f aca="false">IF(Tabla2[[#This Row],[Frecuencia]]="Annual", Tabla2[[#This Row],[Cosecha/Tarea]]/12,Tabla2[[#This Row],[Cosecha/Tarea]])</f>
        <v>75620</v>
      </c>
      <c r="F983" s="3" t="n">
        <v>115518</v>
      </c>
      <c r="G983" s="2" t="s">
        <v>29</v>
      </c>
      <c r="H983" s="2" t="n">
        <f aca="false">F983/Tabla2[[#This Row],[Cosecha Mensual]]</f>
        <v>1.52761174292515</v>
      </c>
      <c r="I983" s="2" t="n">
        <f aca="false">H983*_xlfn.XLOOKUP(Tabla2[[#This Row],[Unidad de producción]],Tabla3[Medida],Tabla3[Equivalencia en Kg],"ELVIS",0)</f>
        <v>859.03718751653</v>
      </c>
      <c r="J983" s="2" t="n">
        <v>2416.66428571429</v>
      </c>
      <c r="K983" s="2" t="s">
        <v>29</v>
      </c>
      <c r="L983" s="2" t="n">
        <f aca="false">J983/_xlfn.XLOOKUP(Tabla2[[#This Row],[Unidad de precio]],Tabla3[Medida],Tabla3[Equivalencia en Kg],"ELVIS",0)</f>
        <v>4.2975144676073</v>
      </c>
      <c r="M983" s="2" t="n">
        <v>8196.87</v>
      </c>
      <c r="N983" s="3" t="n">
        <f aca="false">(Tabla2[[#This Row],[Productividad (kg/TAS)]]*Tabla2[[#This Row],[Precio por kg]]-Tabla2[[#This Row],[Costos (En RD$/Tarea)]])</f>
        <v>-4505.14525843503</v>
      </c>
      <c r="O983" s="9" t="n">
        <f aca="false">IF(Tabla2[[#This Row],[Costos (En RD$/Tarea)]]=0,0,Tabla2[[#This Row],[Beneficio Neto  (En RD$/Tarea)]]/Tabla2[[#This Row],[Costos (En RD$/Tarea)]])</f>
        <v>-0.549617751463062</v>
      </c>
      <c r="P983" s="7" t="n">
        <f aca="false">Tabla2[[#This Row],[Rentabilidad (%)]]/12</f>
        <v>-0.0458014792885885</v>
      </c>
    </row>
    <row r="984" customFormat="false" ht="14.25" hidden="false" customHeight="false" outlineLevel="0" collapsed="false">
      <c r="A984" s="1" t="n">
        <v>38991</v>
      </c>
      <c r="B984" s="2" t="s">
        <v>30</v>
      </c>
      <c r="C984" s="3" t="n">
        <v>309067</v>
      </c>
      <c r="D984" s="3" t="s">
        <v>31</v>
      </c>
      <c r="E984" s="3" t="n">
        <f aca="false">IF(Tabla2[[#This Row],[Frecuencia]]="Annual", Tabla2[[#This Row],[Cosecha/Tarea]]/12,Tabla2[[#This Row],[Cosecha/Tarea]])</f>
        <v>25755.5833333333</v>
      </c>
      <c r="F984" s="3" t="n">
        <v>1884783</v>
      </c>
      <c r="G984" s="2" t="s">
        <v>32</v>
      </c>
      <c r="H984" s="2" t="n">
        <f aca="false">F984/Tabla2[[#This Row],[Cosecha Mensual]]</f>
        <v>73.179588891729</v>
      </c>
      <c r="I984" s="2" t="n">
        <f aca="false">H984*_xlfn.XLOOKUP(Tabla2[[#This Row],[Unidad de producción]],Tabla3[Medida],Tabla3[Equivalencia en Kg],"ELVIS",0)</f>
        <v>1991.21661374395</v>
      </c>
      <c r="J984" s="2" t="n">
        <v>62.3614285714286</v>
      </c>
      <c r="K984" s="2" t="s">
        <v>32</v>
      </c>
      <c r="L984" s="2" t="n">
        <f aca="false">J984/_xlfn.XLOOKUP(Tabla2[[#This Row],[Unidad de precio]],Tabla3[Medida],Tabla3[Equivalencia en Kg],"ELVIS",0)</f>
        <v>2.29185698535203</v>
      </c>
      <c r="M984" s="3" t="n">
        <v>7154.19</v>
      </c>
      <c r="N984" s="3" t="n">
        <f aca="false">(Tabla2[[#This Row],[Productividad (kg/TAS)]]*Tabla2[[#This Row],[Precio por kg]]-Tabla2[[#This Row],[Costos (En RD$/Tarea)]])</f>
        <v>-2590.60629444193</v>
      </c>
      <c r="O984" s="9" t="n">
        <f aca="false">IF(Tabla2[[#This Row],[Costos (En RD$/Tarea)]]=0,0,Tabla2[[#This Row],[Beneficio Neto  (En RD$/Tarea)]]/Tabla2[[#This Row],[Costos (En RD$/Tarea)]])</f>
        <v>-0.362110356929566</v>
      </c>
      <c r="P984" s="7" t="n">
        <f aca="false">Tabla2[[#This Row],[Rentabilidad (%)]]/12</f>
        <v>-0.0301758630774639</v>
      </c>
    </row>
    <row r="985" customFormat="false" ht="14.25" hidden="false" customHeight="false" outlineLevel="0" collapsed="false">
      <c r="A985" s="1" t="n">
        <v>38991</v>
      </c>
      <c r="B985" s="2" t="s">
        <v>33</v>
      </c>
      <c r="C985" s="3" t="n">
        <v>700636</v>
      </c>
      <c r="D985" s="3" t="s">
        <v>31</v>
      </c>
      <c r="E985" s="3" t="n">
        <f aca="false">IF(Tabla2[[#This Row],[Frecuencia]]="Annual", Tabla2[[#This Row],[Cosecha/Tarea]]/12,Tabla2[[#This Row],[Cosecha/Tarea]])</f>
        <v>58386.3333333333</v>
      </c>
      <c r="F985" s="3" t="n">
        <v>155625</v>
      </c>
      <c r="G985" s="2" t="s">
        <v>34</v>
      </c>
      <c r="H985" s="2" t="n">
        <f aca="false">F985/Tabla2[[#This Row],[Cosecha Mensual]]</f>
        <v>2.665435404404</v>
      </c>
      <c r="I985" s="2" t="n">
        <f aca="false">H985*_xlfn.XLOOKUP(Tabla2[[#This Row],[Unidad de producción]],Tabla3[Medida],Tabla3[Equivalencia en Kg],"ELVIS",0)</f>
        <v>1087.89746030749</v>
      </c>
      <c r="J985" s="2" t="n">
        <v>1833.21142857143</v>
      </c>
      <c r="K985" s="2" t="s">
        <v>34</v>
      </c>
      <c r="L985" s="2" t="n">
        <f aca="false">J985/_xlfn.XLOOKUP(Tabla2[[#This Row],[Unidad de precio]],Tabla3[Medida],Tabla3[Equivalencia en Kg],"ELVIS",0)</f>
        <v>4.49151397420417</v>
      </c>
      <c r="M985" s="3" t="n">
        <v>9504.44</v>
      </c>
      <c r="N985" s="3" t="n">
        <f aca="false">(Tabla2[[#This Row],[Productividad (kg/TAS)]]*Tabla2[[#This Row],[Precio por kg]]-Tabla2[[#This Row],[Costos (En RD$/Tarea)]])</f>
        <v>-4618.13335452768</v>
      </c>
      <c r="O985" s="9" t="n">
        <f aca="false">IF(Tabla2[[#This Row],[Costos (En RD$/Tarea)]]=0,0,Tabla2[[#This Row],[Beneficio Neto  (En RD$/Tarea)]]/Tabla2[[#This Row],[Costos (En RD$/Tarea)]])</f>
        <v>-0.485892209801701</v>
      </c>
      <c r="P985" s="7" t="n">
        <f aca="false">Tabla2[[#This Row],[Rentabilidad (%)]]/12</f>
        <v>-0.0404910174834751</v>
      </c>
    </row>
    <row r="986" customFormat="false" ht="14.25" hidden="false" customHeight="false" outlineLevel="0" collapsed="false">
      <c r="A986" s="1" t="n">
        <v>39022</v>
      </c>
      <c r="B986" s="2" t="s">
        <v>16</v>
      </c>
      <c r="C986" s="3" t="n">
        <v>247432</v>
      </c>
      <c r="D986" s="8" t="s">
        <v>17</v>
      </c>
      <c r="E986" s="3" t="n">
        <f aca="false">IF(Tabla2[[#This Row],[Frecuencia]]="Annual", Tabla2[[#This Row],[Cosecha/Tarea]]/12,Tabla2[[#This Row],[Cosecha/Tarea]])</f>
        <v>247432</v>
      </c>
      <c r="F986" s="3" t="n">
        <v>886283</v>
      </c>
      <c r="G986" s="2" t="s">
        <v>18</v>
      </c>
      <c r="H986" s="2" t="n">
        <f aca="false">F986/Tabla2[[#This Row],[Cosecha Mensual]]</f>
        <v>3.58192553913803</v>
      </c>
      <c r="I986" s="2" t="n">
        <f aca="false">H986*_xlfn.XLOOKUP(Tabla2[[#This Row],[Unidad de producción]],Tabla3[Medida],Tabla3[Equivalencia en Kg],"ELVIS",0)</f>
        <v>162.476142455301</v>
      </c>
      <c r="J986" s="2" t="n">
        <v>1100.1328</v>
      </c>
      <c r="K986" s="2" t="s">
        <v>19</v>
      </c>
      <c r="L986" s="2" t="n">
        <f aca="false">J986/_xlfn.XLOOKUP(Tabla2[[#This Row],[Unidad de precio]],Tabla3[Medida],Tabla3[Equivalencia en Kg],"ELVIS",0)</f>
        <v>10.0012072727273</v>
      </c>
      <c r="M986" s="2" t="n">
        <v>4756.775</v>
      </c>
      <c r="N986" s="3" t="n">
        <f aca="false">(Tabla2[[#This Row],[Productividad (kg/TAS)]]*Tabla2[[#This Row],[Precio por kg]]-Tabla2[[#This Row],[Costos (En RD$/Tarea)]])</f>
        <v>-3131.81742243137</v>
      </c>
      <c r="O986" s="9" t="n">
        <f aca="false">IF(Tabla2[[#This Row],[Costos (En RD$/Tarea)]]=0,0,Tabla2[[#This Row],[Beneficio Neto  (En RD$/Tarea)]]/Tabla2[[#This Row],[Costos (En RD$/Tarea)]])</f>
        <v>-0.658390910318729</v>
      </c>
      <c r="P986" s="7" t="n">
        <f aca="false">Tabla2[[#This Row],[Rentabilidad (%)]]/12</f>
        <v>-0.0548659091932274</v>
      </c>
    </row>
    <row r="987" customFormat="false" ht="14.25" hidden="false" customHeight="false" outlineLevel="0" collapsed="false">
      <c r="A987" s="1" t="n">
        <v>39022</v>
      </c>
      <c r="B987" s="2" t="s">
        <v>20</v>
      </c>
      <c r="C987" s="3" t="n">
        <v>32561</v>
      </c>
      <c r="D987" s="8" t="s">
        <v>17</v>
      </c>
      <c r="E987" s="3" t="n">
        <f aca="false">IF(Tabla2[[#This Row],[Frecuencia]]="Annual", Tabla2[[#This Row],[Cosecha/Tarea]]/12,Tabla2[[#This Row],[Cosecha/Tarea]])</f>
        <v>32561</v>
      </c>
      <c r="F987" s="3" t="n">
        <v>73114</v>
      </c>
      <c r="G987" s="2" t="s">
        <v>18</v>
      </c>
      <c r="H987" s="2" t="n">
        <f aca="false">F987/Tabla2[[#This Row],[Cosecha Mensual]]</f>
        <v>2.2454470071558</v>
      </c>
      <c r="I987" s="2" t="n">
        <f aca="false">H987*_xlfn.XLOOKUP(Tabla2[[#This Row],[Unidad de producción]],Tabla3[Medida],Tabla3[Equivalencia en Kg],"ELVIS",0)</f>
        <v>101.853476244587</v>
      </c>
      <c r="J987" s="2" t="n">
        <v>398.9232</v>
      </c>
      <c r="K987" s="2" t="s">
        <v>18</v>
      </c>
      <c r="L987" s="2" t="n">
        <f aca="false">J987/_xlfn.XLOOKUP(Tabla2[[#This Row],[Unidad de precio]],Tabla3[Medida],Tabla3[Equivalencia en Kg],"ELVIS",0)</f>
        <v>8.79460317460318</v>
      </c>
      <c r="M987" s="2" t="n">
        <v>1341.48</v>
      </c>
      <c r="N987" s="3" t="n">
        <f aca="false">(Tabla2[[#This Row],[Productividad (kg/TAS)]]*Tabla2[[#This Row],[Precio por kg]]-Tabla2[[#This Row],[Costos (En RD$/Tarea)]])</f>
        <v>-445.719094474985</v>
      </c>
      <c r="O987" s="9" t="n">
        <f aca="false">IF(Tabla2[[#This Row],[Costos (En RD$/Tarea)]]=0,0,Tabla2[[#This Row],[Beneficio Neto  (En RD$/Tarea)]]/Tabla2[[#This Row],[Costos (En RD$/Tarea)]])</f>
        <v>-0.332259217040124</v>
      </c>
      <c r="P987" s="7" t="n">
        <f aca="false">Tabla2[[#This Row],[Rentabilidad (%)]]/12</f>
        <v>-0.027688268086677</v>
      </c>
    </row>
    <row r="988" customFormat="false" ht="14.25" hidden="false" customHeight="false" outlineLevel="0" collapsed="false">
      <c r="A988" s="1" t="n">
        <v>39022</v>
      </c>
      <c r="B988" s="2" t="s">
        <v>21</v>
      </c>
      <c r="C988" s="3" t="n">
        <v>6143</v>
      </c>
      <c r="D988" s="8" t="s">
        <v>17</v>
      </c>
      <c r="E988" s="3" t="n">
        <f aca="false">IF(Tabla2[[#This Row],[Frecuencia]]="Annual", Tabla2[[#This Row],[Cosecha/Tarea]]/12,Tabla2[[#This Row],[Cosecha/Tarea]])</f>
        <v>6143</v>
      </c>
      <c r="F988" s="3" t="n">
        <v>59623</v>
      </c>
      <c r="G988" s="2" t="s">
        <v>18</v>
      </c>
      <c r="H988" s="2" t="n">
        <f aca="false">F988/Tabla2[[#This Row],[Cosecha Mensual]]</f>
        <v>9.70584405013837</v>
      </c>
      <c r="I988" s="2" t="n">
        <f aca="false">H988*_xlfn.XLOOKUP(Tabla2[[#This Row],[Unidad de producción]],Tabla3[Medida],Tabla3[Equivalencia en Kg],"ELVIS",0)</f>
        <v>440.257086114276</v>
      </c>
      <c r="J988" s="2" t="n">
        <v>214.79528</v>
      </c>
      <c r="K988" s="2" t="s">
        <v>18</v>
      </c>
      <c r="L988" s="2" t="n">
        <f aca="false">J988/_xlfn.XLOOKUP(Tabla2[[#This Row],[Unidad de precio]],Tabla3[Medida],Tabla3[Equivalencia en Kg],"ELVIS",0)</f>
        <v>4.73534567901235</v>
      </c>
      <c r="M988" s="2" t="n">
        <v>2058.755</v>
      </c>
      <c r="N988" s="3" t="n">
        <f aca="false">(Tabla2[[#This Row],[Productividad (kg/TAS)]]*Tabla2[[#This Row],[Precio por kg]]-Tabla2[[#This Row],[Costos (En RD$/Tarea)]])</f>
        <v>26.0144903858049</v>
      </c>
      <c r="O988" s="9" t="n">
        <f aca="false">IF(Tabla2[[#This Row],[Costos (En RD$/Tarea)]]=0,0,Tabla2[[#This Row],[Beneficio Neto  (En RD$/Tarea)]]/Tabla2[[#This Row],[Costos (En RD$/Tarea)]])</f>
        <v>0.0126360302152539</v>
      </c>
      <c r="P988" s="7" t="n">
        <f aca="false">Tabla2[[#This Row],[Rentabilidad (%)]]/12</f>
        <v>0.00105300251793782</v>
      </c>
    </row>
    <row r="989" customFormat="false" ht="14.25" hidden="false" customHeight="false" outlineLevel="0" collapsed="false">
      <c r="A989" s="1" t="n">
        <v>39022</v>
      </c>
      <c r="B989" s="2" t="s">
        <v>22</v>
      </c>
      <c r="C989" s="3" t="n">
        <v>3320</v>
      </c>
      <c r="D989" s="8" t="s">
        <v>17</v>
      </c>
      <c r="E989" s="3" t="n">
        <f aca="false">IF(Tabla2[[#This Row],[Frecuencia]]="Annual", Tabla2[[#This Row],[Cosecha/Tarea]]/12,Tabla2[[#This Row],[Cosecha/Tarea]])</f>
        <v>3320</v>
      </c>
      <c r="F989" s="3" t="n">
        <v>28284</v>
      </c>
      <c r="G989" s="2" t="s">
        <v>18</v>
      </c>
      <c r="H989" s="2" t="n">
        <f aca="false">F989/Tabla2[[#This Row],[Cosecha Mensual]]</f>
        <v>8.51927710843374</v>
      </c>
      <c r="I989" s="2" t="n">
        <f aca="false">H989*_xlfn.XLOOKUP(Tabla2[[#This Row],[Unidad de producción]],Tabla3[Medida],Tabla3[Equivalencia en Kg],"ELVIS",0)</f>
        <v>386.434409638554</v>
      </c>
      <c r="J989" s="2" t="n">
        <v>582.333333333333</v>
      </c>
      <c r="K989" s="2" t="s">
        <v>18</v>
      </c>
      <c r="L989" s="2" t="n">
        <f aca="false">J989/_xlfn.XLOOKUP(Tabla2[[#This Row],[Unidad de precio]],Tabla3[Medida],Tabla3[Equivalencia en Kg],"ELVIS",0)</f>
        <v>12.8380364491476</v>
      </c>
      <c r="M989" s="2" t="n">
        <v>5691.88</v>
      </c>
      <c r="N989" s="3" t="n">
        <f aca="false">(Tabla2[[#This Row],[Productividad (kg/TAS)]]*Tabla2[[#This Row],[Precio por kg]]-Tabla2[[#This Row],[Costos (En RD$/Tarea)]])</f>
        <v>-730.820963855424</v>
      </c>
      <c r="O989" s="9" t="n">
        <f aca="false">IF(Tabla2[[#This Row],[Costos (En RD$/Tarea)]]=0,0,Tabla2[[#This Row],[Beneficio Neto  (En RD$/Tarea)]]/Tabla2[[#This Row],[Costos (En RD$/Tarea)]])</f>
        <v>-0.128397113757743</v>
      </c>
      <c r="P989" s="7" t="n">
        <f aca="false">Tabla2[[#This Row],[Rentabilidad (%)]]/12</f>
        <v>-0.0106997594798119</v>
      </c>
    </row>
    <row r="990" customFormat="false" ht="14.25" hidden="false" customHeight="false" outlineLevel="0" collapsed="false">
      <c r="A990" s="1" t="n">
        <v>39022</v>
      </c>
      <c r="B990" s="2" t="s">
        <v>23</v>
      </c>
      <c r="C990" s="3" t="n">
        <v>765</v>
      </c>
      <c r="D990" s="8" t="s">
        <v>17</v>
      </c>
      <c r="E990" s="3" t="n">
        <f aca="false">IF(Tabla2[[#This Row],[Frecuencia]]="Annual", Tabla2[[#This Row],[Cosecha/Tarea]]/12,Tabla2[[#This Row],[Cosecha/Tarea]])</f>
        <v>765</v>
      </c>
      <c r="F990" s="3" t="n">
        <v>25275</v>
      </c>
      <c r="G990" s="2" t="s">
        <v>18</v>
      </c>
      <c r="H990" s="2" t="n">
        <f aca="false">F990/Tabla2[[#This Row],[Cosecha Mensual]]</f>
        <v>33.0392156862745</v>
      </c>
      <c r="I990" s="2" t="n">
        <f aca="false">H990*_xlfn.XLOOKUP(Tabla2[[#This Row],[Unidad de producción]],Tabla3[Medida],Tabla3[Equivalencia en Kg],"ELVIS",0)</f>
        <v>1498.65882352941</v>
      </c>
      <c r="J990" s="2" t="n">
        <v>538.59375</v>
      </c>
      <c r="K990" s="2" t="s">
        <v>18</v>
      </c>
      <c r="L990" s="2" t="n">
        <f aca="false">J990/_xlfn.XLOOKUP(Tabla2[[#This Row],[Unidad de precio]],Tabla3[Medida],Tabla3[Equivalencia en Kg],"ELVIS",0)</f>
        <v>11.8737599206349</v>
      </c>
      <c r="M990" s="2" t="n">
        <v>10412.05</v>
      </c>
      <c r="N990" s="3" t="n">
        <f aca="false">(Tabla2[[#This Row],[Productividad (kg/TAS)]]*Tabla2[[#This Row],[Precio por kg]]-Tabla2[[#This Row],[Costos (En RD$/Tarea)]])</f>
        <v>7382.66507352941</v>
      </c>
      <c r="O990" s="9" t="n">
        <f aca="false">IF(Tabla2[[#This Row],[Costos (En RD$/Tarea)]]=0,0,Tabla2[[#This Row],[Beneficio Neto  (En RD$/Tarea)]]/Tabla2[[#This Row],[Costos (En RD$/Tarea)]])</f>
        <v>0.709050098062285</v>
      </c>
      <c r="P990" s="7" t="n">
        <f aca="false">Tabla2[[#This Row],[Rentabilidad (%)]]/12</f>
        <v>0.0590875081718571</v>
      </c>
    </row>
    <row r="991" customFormat="false" ht="14.25" hidden="false" customHeight="false" outlineLevel="0" collapsed="false">
      <c r="A991" s="1" t="n">
        <v>39022</v>
      </c>
      <c r="B991" s="2" t="s">
        <v>24</v>
      </c>
      <c r="C991" s="3" t="n">
        <v>4750</v>
      </c>
      <c r="D991" s="8" t="s">
        <v>17</v>
      </c>
      <c r="E991" s="3" t="n">
        <f aca="false">IF(Tabla2[[#This Row],[Frecuencia]]="Annual", Tabla2[[#This Row],[Cosecha/Tarea]]/12,Tabla2[[#This Row],[Cosecha/Tarea]])</f>
        <v>4750</v>
      </c>
      <c r="F991" s="3" t="n">
        <v>38035</v>
      </c>
      <c r="G991" s="2" t="s">
        <v>18</v>
      </c>
      <c r="H991" s="2" t="n">
        <f aca="false">F991/Tabla2[[#This Row],[Cosecha Mensual]]</f>
        <v>8.00736842105263</v>
      </c>
      <c r="I991" s="2" t="n">
        <f aca="false">H991*_xlfn.XLOOKUP(Tabla2[[#This Row],[Unidad de producción]],Tabla3[Medida],Tabla3[Equivalencia en Kg],"ELVIS",0)</f>
        <v>363.214231578947</v>
      </c>
      <c r="J991" s="2" t="n">
        <v>904.375</v>
      </c>
      <c r="K991" s="2" t="s">
        <v>18</v>
      </c>
      <c r="L991" s="2" t="n">
        <f aca="false">J991/_xlfn.XLOOKUP(Tabla2[[#This Row],[Unidad de precio]],Tabla3[Medida],Tabla3[Equivalencia en Kg],"ELVIS",0)</f>
        <v>19.9377204585538</v>
      </c>
      <c r="M991" s="2" t="n">
        <v>4593.1</v>
      </c>
      <c r="N991" s="3" t="n">
        <f aca="false">(Tabla2[[#This Row],[Productividad (kg/TAS)]]*Tabla2[[#This Row],[Precio por kg]]-Tabla2[[#This Row],[Costos (En RD$/Tarea)]])</f>
        <v>2648.56381578947</v>
      </c>
      <c r="O991" s="9" t="n">
        <f aca="false">IF(Tabla2[[#This Row],[Costos (En RD$/Tarea)]]=0,0,Tabla2[[#This Row],[Beneficio Neto  (En RD$/Tarea)]]/Tabla2[[#This Row],[Costos (En RD$/Tarea)]])</f>
        <v>0.576639702116103</v>
      </c>
      <c r="P991" s="7" t="n">
        <f aca="false">Tabla2[[#This Row],[Rentabilidad (%)]]/12</f>
        <v>0.0480533085096753</v>
      </c>
    </row>
    <row r="992" customFormat="false" ht="14.25" hidden="false" customHeight="false" outlineLevel="0" collapsed="false">
      <c r="A992" s="1" t="n">
        <v>39022</v>
      </c>
      <c r="B992" s="2" t="s">
        <v>25</v>
      </c>
      <c r="C992" s="3" t="n">
        <v>20736</v>
      </c>
      <c r="D992" s="8" t="s">
        <v>17</v>
      </c>
      <c r="E992" s="3" t="n">
        <f aca="false">IF(Tabla2[[#This Row],[Frecuencia]]="Annual", Tabla2[[#This Row],[Cosecha/Tarea]]/12,Tabla2[[#This Row],[Cosecha/Tarea]])</f>
        <v>20736</v>
      </c>
      <c r="F992" s="3" t="n">
        <v>201077</v>
      </c>
      <c r="G992" s="2" t="s">
        <v>18</v>
      </c>
      <c r="H992" s="2" t="n">
        <f aca="false">F992/Tabla2[[#This Row],[Cosecha Mensual]]</f>
        <v>9.69700038580247</v>
      </c>
      <c r="I992" s="2" t="n">
        <f aca="false">H992*_xlfn.XLOOKUP(Tabla2[[#This Row],[Unidad de producción]],Tabla3[Medida],Tabla3[Equivalencia en Kg],"ELVIS",0)</f>
        <v>439.8559375</v>
      </c>
      <c r="J992" s="2" t="n">
        <v>237.136285714286</v>
      </c>
      <c r="K992" s="2" t="s">
        <v>18</v>
      </c>
      <c r="L992" s="2" t="n">
        <f aca="false">J992/_xlfn.XLOOKUP(Tabla2[[#This Row],[Unidad de precio]],Tabla3[Medida],Tabla3[Equivalencia en Kg],"ELVIS",0)</f>
        <v>5.22787226001512</v>
      </c>
      <c r="M992" s="2" t="n">
        <v>2287.145</v>
      </c>
      <c r="N992" s="3" t="n">
        <f aca="false">(Tabla2[[#This Row],[Productividad (kg/TAS)]]*Tabla2[[#This Row],[Precio por kg]]-Tabla2[[#This Row],[Costos (En RD$/Tarea)]])</f>
        <v>12.365654059196</v>
      </c>
      <c r="O992" s="9" t="n">
        <f aca="false">IF(Tabla2[[#This Row],[Costos (En RD$/Tarea)]]=0,0,Tabla2[[#This Row],[Beneficio Neto  (En RD$/Tarea)]]/Tabla2[[#This Row],[Costos (En RD$/Tarea)]])</f>
        <v>0.00540658946380575</v>
      </c>
      <c r="P992" s="7" t="n">
        <f aca="false">Tabla2[[#This Row],[Rentabilidad (%)]]/12</f>
        <v>0.000450549121983813</v>
      </c>
    </row>
    <row r="993" customFormat="false" ht="14.25" hidden="false" customHeight="false" outlineLevel="0" collapsed="false">
      <c r="A993" s="1" t="n">
        <v>39022</v>
      </c>
      <c r="B993" s="2" t="s">
        <v>26</v>
      </c>
      <c r="C993" s="3" t="n">
        <v>11749</v>
      </c>
      <c r="D993" s="8" t="s">
        <v>17</v>
      </c>
      <c r="E993" s="3" t="n">
        <f aca="false">IF(Tabla2[[#This Row],[Frecuencia]]="Annual", Tabla2[[#This Row],[Cosecha/Tarea]]/12,Tabla2[[#This Row],[Cosecha/Tarea]])</f>
        <v>11749</v>
      </c>
      <c r="F993" s="3" t="n">
        <v>64967</v>
      </c>
      <c r="G993" s="2" t="s">
        <v>18</v>
      </c>
      <c r="H993" s="2" t="n">
        <f aca="false">F993/Tabla2[[#This Row],[Cosecha Mensual]]</f>
        <v>5.52957698527534</v>
      </c>
      <c r="I993" s="2" t="n">
        <f aca="false">H993*_xlfn.XLOOKUP(Tabla2[[#This Row],[Unidad de producción]],Tabla3[Medida],Tabla3[Equivalencia en Kg],"ELVIS",0)</f>
        <v>250.82161205209</v>
      </c>
      <c r="J993" s="2" t="n">
        <v>455.05</v>
      </c>
      <c r="K993" s="2" t="s">
        <v>18</v>
      </c>
      <c r="L993" s="2" t="n">
        <f aca="false">J993/_xlfn.XLOOKUP(Tabla2[[#This Row],[Unidad de precio]],Tabla3[Medida],Tabla3[Equivalencia en Kg],"ELVIS",0)</f>
        <v>10.0319664902998</v>
      </c>
      <c r="M993" s="2" t="n">
        <v>864.56</v>
      </c>
      <c r="N993" s="3" t="n">
        <f aca="false">(Tabla2[[#This Row],[Productividad (kg/TAS)]]*Tabla2[[#This Row],[Precio por kg]]-Tabla2[[#This Row],[Costos (En RD$/Tarea)]])</f>
        <v>1651.67400714954</v>
      </c>
      <c r="O993" s="9" t="n">
        <f aca="false">IF(Tabla2[[#This Row],[Costos (En RD$/Tarea)]]=0,0,Tabla2[[#This Row],[Beneficio Neto  (En RD$/Tarea)]]/Tabla2[[#This Row],[Costos (En RD$/Tarea)]])</f>
        <v>1.91042149434342</v>
      </c>
      <c r="P993" s="7" t="n">
        <f aca="false">Tabla2[[#This Row],[Rentabilidad (%)]]/12</f>
        <v>0.159201791195285</v>
      </c>
    </row>
    <row r="994" customFormat="false" ht="14.25" hidden="false" customHeight="false" outlineLevel="0" collapsed="false">
      <c r="A994" s="1" t="n">
        <v>39022</v>
      </c>
      <c r="B994" s="2" t="s">
        <v>27</v>
      </c>
      <c r="C994" s="3" t="n">
        <v>3855</v>
      </c>
      <c r="D994" s="8" t="s">
        <v>17</v>
      </c>
      <c r="E994" s="3" t="n">
        <f aca="false">IF(Tabla2[[#This Row],[Frecuencia]]="Annual", Tabla2[[#This Row],[Cosecha/Tarea]]/12,Tabla2[[#This Row],[Cosecha/Tarea]])</f>
        <v>3855</v>
      </c>
      <c r="F994" s="3" t="n">
        <v>37258</v>
      </c>
      <c r="G994" s="2" t="s">
        <v>18</v>
      </c>
      <c r="H994" s="2" t="n">
        <f aca="false">F994/Tabla2[[#This Row],[Cosecha Mensual]]</f>
        <v>9.66485084306096</v>
      </c>
      <c r="I994" s="2" t="n">
        <f aca="false">H994*_xlfn.XLOOKUP(Tabla2[[#This Row],[Unidad de producción]],Tabla3[Medida],Tabla3[Equivalencia en Kg],"ELVIS",0)</f>
        <v>438.397634241245</v>
      </c>
      <c r="J994" s="2" t="n">
        <v>225.225</v>
      </c>
      <c r="K994" s="2" t="s">
        <v>18</v>
      </c>
      <c r="L994" s="2" t="n">
        <f aca="false">J994/_xlfn.XLOOKUP(Tabla2[[#This Row],[Unidad de precio]],Tabla3[Medida],Tabla3[Equivalencia en Kg],"ELVIS",0)</f>
        <v>4.96527777777778</v>
      </c>
      <c r="M994" s="2" t="n">
        <v>4742.13</v>
      </c>
      <c r="N994" s="3" t="n">
        <f aca="false">(Tabla2[[#This Row],[Productividad (kg/TAS)]]*Tabla2[[#This Row],[Precio por kg]]-Tabla2[[#This Row],[Costos (En RD$/Tarea)]])</f>
        <v>-2565.3639688716</v>
      </c>
      <c r="O994" s="9" t="n">
        <f aca="false">IF(Tabla2[[#This Row],[Costos (En RD$/Tarea)]]=0,0,Tabla2[[#This Row],[Beneficio Neto  (En RD$/Tarea)]]/Tabla2[[#This Row],[Costos (En RD$/Tarea)]])</f>
        <v>-0.540972931756741</v>
      </c>
      <c r="P994" s="7" t="n">
        <f aca="false">Tabla2[[#This Row],[Rentabilidad (%)]]/12</f>
        <v>-0.0450810776463951</v>
      </c>
    </row>
    <row r="995" customFormat="false" ht="14.25" hidden="false" customHeight="false" outlineLevel="0" collapsed="false">
      <c r="A995" s="1" t="n">
        <v>39022</v>
      </c>
      <c r="B995" s="2" t="s">
        <v>28</v>
      </c>
      <c r="C995" s="3" t="n">
        <v>51100</v>
      </c>
      <c r="D995" s="8" t="s">
        <v>17</v>
      </c>
      <c r="E995" s="3" t="n">
        <f aca="false">IF(Tabla2[[#This Row],[Frecuencia]]="Annual", Tabla2[[#This Row],[Cosecha/Tarea]]/12,Tabla2[[#This Row],[Cosecha/Tarea]])</f>
        <v>51100</v>
      </c>
      <c r="F995" s="3" t="n">
        <v>43028</v>
      </c>
      <c r="G995" s="2" t="s">
        <v>29</v>
      </c>
      <c r="H995" s="2" t="n">
        <f aca="false">F995/Tabla2[[#This Row],[Cosecha Mensual]]</f>
        <v>0.842035225048924</v>
      </c>
      <c r="I995" s="2" t="n">
        <f aca="false">H995*_xlfn.XLOOKUP(Tabla2[[#This Row],[Unidad de producción]],Tabla3[Medida],Tabla3[Equivalencia en Kg],"ELVIS",0)</f>
        <v>473.510088454012</v>
      </c>
      <c r="J995" s="2" t="n">
        <v>2882.41666666667</v>
      </c>
      <c r="K995" s="2" t="s">
        <v>29</v>
      </c>
      <c r="L995" s="2" t="n">
        <f aca="false">J995/_xlfn.XLOOKUP(Tabla2[[#This Row],[Unidad de precio]],Tabla3[Medida],Tabla3[Equivalencia en Kg],"ELVIS",0)</f>
        <v>5.12575428862729</v>
      </c>
      <c r="M995" s="2" t="n">
        <v>8196.87</v>
      </c>
      <c r="N995" s="3" t="n">
        <f aca="false">(Tabla2[[#This Row],[Productividad (kg/TAS)]]*Tabla2[[#This Row],[Precio por kg]]-Tabla2[[#This Row],[Costos (En RD$/Tarea)]])</f>
        <v>-5769.77363339856</v>
      </c>
      <c r="O995" s="9" t="n">
        <f aca="false">IF(Tabla2[[#This Row],[Costos (En RD$/Tarea)]]=0,0,Tabla2[[#This Row],[Beneficio Neto  (En RD$/Tarea)]]/Tabla2[[#This Row],[Costos (En RD$/Tarea)]])</f>
        <v>-0.703899614535617</v>
      </c>
      <c r="P995" s="7" t="n">
        <f aca="false">Tabla2[[#This Row],[Rentabilidad (%)]]/12</f>
        <v>-0.0586583012113014</v>
      </c>
    </row>
    <row r="996" customFormat="false" ht="14.25" hidden="false" customHeight="false" outlineLevel="0" collapsed="false">
      <c r="A996" s="1" t="n">
        <v>39022</v>
      </c>
      <c r="B996" s="2" t="s">
        <v>30</v>
      </c>
      <c r="C996" s="3" t="n">
        <v>311162</v>
      </c>
      <c r="D996" s="3" t="s">
        <v>31</v>
      </c>
      <c r="E996" s="3" t="n">
        <f aca="false">IF(Tabla2[[#This Row],[Frecuencia]]="Annual", Tabla2[[#This Row],[Cosecha/Tarea]]/12,Tabla2[[#This Row],[Cosecha/Tarea]])</f>
        <v>25930.1666666667</v>
      </c>
      <c r="F996" s="3" t="n">
        <v>2015806</v>
      </c>
      <c r="G996" s="2" t="s">
        <v>32</v>
      </c>
      <c r="H996" s="2" t="n">
        <f aca="false">F996/Tabla2[[#This Row],[Cosecha Mensual]]</f>
        <v>77.739801132529</v>
      </c>
      <c r="I996" s="2" t="n">
        <f aca="false">H996*_xlfn.XLOOKUP(Tabla2[[#This Row],[Unidad de producción]],Tabla3[Medida],Tabla3[Equivalencia en Kg],"ELVIS",0)</f>
        <v>2115.29998881612</v>
      </c>
      <c r="J996" s="2" t="n">
        <v>57.1728571428571</v>
      </c>
      <c r="K996" s="2" t="s">
        <v>32</v>
      </c>
      <c r="L996" s="2" t="n">
        <f aca="false">J996/_xlfn.XLOOKUP(Tabla2[[#This Row],[Unidad de precio]],Tabla3[Medida],Tabla3[Equivalencia en Kg],"ELVIS",0)</f>
        <v>2.10117078805061</v>
      </c>
      <c r="M996" s="3" t="n">
        <v>7154.19</v>
      </c>
      <c r="N996" s="3" t="n">
        <f aca="false">(Tabla2[[#This Row],[Productividad (kg/TAS)]]*Tabla2[[#This Row],[Precio por kg]]-Tabla2[[#This Row],[Costos (En RD$/Tarea)]])</f>
        <v>-2709.5834555358</v>
      </c>
      <c r="O996" s="9" t="n">
        <f aca="false">IF(Tabla2[[#This Row],[Costos (En RD$/Tarea)]]=0,0,Tabla2[[#This Row],[Beneficio Neto  (En RD$/Tarea)]]/Tabla2[[#This Row],[Costos (En RD$/Tarea)]])</f>
        <v>-0.378740773663517</v>
      </c>
      <c r="P996" s="7" t="n">
        <f aca="false">Tabla2[[#This Row],[Rentabilidad (%)]]/12</f>
        <v>-0.0315617311386264</v>
      </c>
    </row>
    <row r="997" customFormat="false" ht="14.25" hidden="false" customHeight="false" outlineLevel="0" collapsed="false">
      <c r="A997" s="1" t="n">
        <v>39022</v>
      </c>
      <c r="B997" s="2" t="s">
        <v>33</v>
      </c>
      <c r="C997" s="3" t="n">
        <v>763036</v>
      </c>
      <c r="D997" s="3" t="s">
        <v>31</v>
      </c>
      <c r="E997" s="3" t="n">
        <f aca="false">IF(Tabla2[[#This Row],[Frecuencia]]="Annual", Tabla2[[#This Row],[Cosecha/Tarea]]/12,Tabla2[[#This Row],[Cosecha/Tarea]])</f>
        <v>63586.3333333333</v>
      </c>
      <c r="F997" s="3" t="n">
        <v>149278</v>
      </c>
      <c r="G997" s="2" t="s">
        <v>34</v>
      </c>
      <c r="H997" s="2" t="n">
        <f aca="false">F997/Tabla2[[#This Row],[Cosecha Mensual]]</f>
        <v>2.34764283729732</v>
      </c>
      <c r="I997" s="2" t="n">
        <f aca="false">H997*_xlfn.XLOOKUP(Tabla2[[#This Row],[Unidad de producción]],Tabla3[Medida],Tabla3[Equivalencia en Kg],"ELVIS",0)</f>
        <v>958.190424042902</v>
      </c>
      <c r="J997" s="2" t="n">
        <v>1873.90428571429</v>
      </c>
      <c r="K997" s="2" t="s">
        <v>34</v>
      </c>
      <c r="L997" s="2" t="n">
        <f aca="false">J997/_xlfn.XLOOKUP(Tabla2[[#This Row],[Unidad de precio]],Tabla3[Medida],Tabla3[Equivalencia en Kg],"ELVIS",0)</f>
        <v>4.59121471447823</v>
      </c>
      <c r="M997" s="3" t="n">
        <v>9504.44</v>
      </c>
      <c r="N997" s="3" t="n">
        <f aca="false">(Tabla2[[#This Row],[Productividad (kg/TAS)]]*Tabla2[[#This Row],[Precio por kg]]-Tabla2[[#This Row],[Costos (En RD$/Tarea)]])</f>
        <v>-5105.18202586209</v>
      </c>
      <c r="O997" s="9" t="n">
        <f aca="false">IF(Tabla2[[#This Row],[Costos (En RD$/Tarea)]]=0,0,Tabla2[[#This Row],[Beneficio Neto  (En RD$/Tarea)]]/Tabla2[[#This Row],[Costos (En RD$/Tarea)]])</f>
        <v>-0.537136541012631</v>
      </c>
      <c r="P997" s="7" t="n">
        <f aca="false">Tabla2[[#This Row],[Rentabilidad (%)]]/12</f>
        <v>-0.0447613784177193</v>
      </c>
    </row>
    <row r="998" customFormat="false" ht="14.25" hidden="false" customHeight="false" outlineLevel="0" collapsed="false">
      <c r="A998" s="1" t="n">
        <v>39052</v>
      </c>
      <c r="B998" s="2" t="s">
        <v>16</v>
      </c>
      <c r="C998" s="3" t="n">
        <v>123210</v>
      </c>
      <c r="D998" s="8" t="s">
        <v>17</v>
      </c>
      <c r="E998" s="3" t="n">
        <f aca="false">IF(Tabla2[[#This Row],[Frecuencia]]="Annual", Tabla2[[#This Row],[Cosecha/Tarea]]/12,Tabla2[[#This Row],[Cosecha/Tarea]])</f>
        <v>123210</v>
      </c>
      <c r="F998" s="3" t="n">
        <v>391182</v>
      </c>
      <c r="G998" s="2" t="s">
        <v>18</v>
      </c>
      <c r="H998" s="2" t="n">
        <f aca="false">F998/Tabla2[[#This Row],[Cosecha Mensual]]</f>
        <v>3.17492086681276</v>
      </c>
      <c r="I998" s="2" t="n">
        <f aca="false">H998*_xlfn.XLOOKUP(Tabla2[[#This Row],[Unidad de producción]],Tabla3[Medida],Tabla3[Equivalencia en Kg],"ELVIS",0)</f>
        <v>144.014410518627</v>
      </c>
      <c r="J998" s="2" t="n">
        <v>974.666666666667</v>
      </c>
      <c r="K998" s="2" t="s">
        <v>19</v>
      </c>
      <c r="L998" s="2" t="n">
        <f aca="false">J998/_xlfn.XLOOKUP(Tabla2[[#This Row],[Unidad de precio]],Tabla3[Medida],Tabla3[Equivalencia en Kg],"ELVIS",0)</f>
        <v>8.86060606060606</v>
      </c>
      <c r="M998" s="2" t="n">
        <v>4756.775</v>
      </c>
      <c r="N998" s="3" t="n">
        <f aca="false">(Tabla2[[#This Row],[Productividad (kg/TAS)]]*Tabla2[[#This Row],[Precio por kg]]-Tabla2[[#This Row],[Costos (En RD$/Tarea)]])</f>
        <v>-3480.72004134405</v>
      </c>
      <c r="O998" s="9" t="n">
        <f aca="false">IF(Tabla2[[#This Row],[Costos (En RD$/Tarea)]]=0,0,Tabla2[[#This Row],[Beneficio Neto  (En RD$/Tarea)]]/Tabla2[[#This Row],[Costos (En RD$/Tarea)]])</f>
        <v>-0.731739475031728</v>
      </c>
      <c r="P998" s="7" t="n">
        <f aca="false">Tabla2[[#This Row],[Rentabilidad (%)]]/12</f>
        <v>-0.0609782895859773</v>
      </c>
    </row>
    <row r="999" customFormat="false" ht="14.25" hidden="false" customHeight="false" outlineLevel="0" collapsed="false">
      <c r="A999" s="1" t="n">
        <v>39052</v>
      </c>
      <c r="B999" s="2" t="s">
        <v>20</v>
      </c>
      <c r="C999" s="3" t="n">
        <v>33505</v>
      </c>
      <c r="D999" s="8" t="s">
        <v>17</v>
      </c>
      <c r="E999" s="3" t="n">
        <f aca="false">IF(Tabla2[[#This Row],[Frecuencia]]="Annual", Tabla2[[#This Row],[Cosecha/Tarea]]/12,Tabla2[[#This Row],[Cosecha/Tarea]])</f>
        <v>33505</v>
      </c>
      <c r="F999" s="3" t="n">
        <v>50197</v>
      </c>
      <c r="G999" s="2" t="s">
        <v>18</v>
      </c>
      <c r="H999" s="2" t="n">
        <f aca="false">F999/Tabla2[[#This Row],[Cosecha Mensual]]</f>
        <v>1.4981942993583</v>
      </c>
      <c r="I999" s="2" t="n">
        <f aca="false">H999*_xlfn.XLOOKUP(Tabla2[[#This Row],[Unidad de producción]],Tabla3[Medida],Tabla3[Equivalencia en Kg],"ELVIS",0)</f>
        <v>67.9580934188927</v>
      </c>
      <c r="J999" s="2" t="n">
        <v>339.48</v>
      </c>
      <c r="K999" s="2" t="s">
        <v>18</v>
      </c>
      <c r="L999" s="2" t="n">
        <f aca="false">J999/_xlfn.XLOOKUP(Tabla2[[#This Row],[Unidad de precio]],Tabla3[Medida],Tabla3[Equivalencia en Kg],"ELVIS",0)</f>
        <v>7.48412698412698</v>
      </c>
      <c r="M999" s="2" t="n">
        <v>1341.48</v>
      </c>
      <c r="N999" s="3" t="n">
        <f aca="false">(Tabla2[[#This Row],[Productividad (kg/TAS)]]*Tabla2[[#This Row],[Precio por kg]]-Tabla2[[#This Row],[Costos (En RD$/Tarea)]])</f>
        <v>-832.872999253843</v>
      </c>
      <c r="O999" s="9" t="n">
        <f aca="false">IF(Tabla2[[#This Row],[Costos (En RD$/Tarea)]]=0,0,Tabla2[[#This Row],[Beneficio Neto  (En RD$/Tarea)]]/Tabla2[[#This Row],[Costos (En RD$/Tarea)]])</f>
        <v>-0.620861286976953</v>
      </c>
      <c r="P999" s="7" t="n">
        <f aca="false">Tabla2[[#This Row],[Rentabilidad (%)]]/12</f>
        <v>-0.0517384405814127</v>
      </c>
    </row>
    <row r="1000" customFormat="false" ht="14.25" hidden="false" customHeight="false" outlineLevel="0" collapsed="false">
      <c r="A1000" s="1" t="n">
        <v>39052</v>
      </c>
      <c r="B1000" s="2" t="s">
        <v>21</v>
      </c>
      <c r="C1000" s="3" t="n">
        <v>7652</v>
      </c>
      <c r="D1000" s="8" t="s">
        <v>17</v>
      </c>
      <c r="E1000" s="3" t="n">
        <f aca="false">IF(Tabla2[[#This Row],[Frecuencia]]="Annual", Tabla2[[#This Row],[Cosecha/Tarea]]/12,Tabla2[[#This Row],[Cosecha/Tarea]])</f>
        <v>7652</v>
      </c>
      <c r="F1000" s="3" t="n">
        <v>52332</v>
      </c>
      <c r="G1000" s="2" t="s">
        <v>18</v>
      </c>
      <c r="H1000" s="2" t="n">
        <f aca="false">F1000/Tabla2[[#This Row],[Cosecha Mensual]]</f>
        <v>6.83899634082593</v>
      </c>
      <c r="I1000" s="2" t="n">
        <f aca="false">H1000*_xlfn.XLOOKUP(Tabla2[[#This Row],[Unidad de producción]],Tabla3[Medida],Tabla3[Equivalencia en Kg],"ELVIS",0)</f>
        <v>310.216874019864</v>
      </c>
      <c r="J1000" s="2" t="n">
        <v>234.91335</v>
      </c>
      <c r="K1000" s="2" t="s">
        <v>18</v>
      </c>
      <c r="L1000" s="2" t="n">
        <f aca="false">J1000/_xlfn.XLOOKUP(Tabla2[[#This Row],[Unidad de precio]],Tabla3[Medida],Tabla3[Equivalencia en Kg],"ELVIS",0)</f>
        <v>5.17886574074074</v>
      </c>
      <c r="M1000" s="2" t="n">
        <v>2058.755</v>
      </c>
      <c r="N1000" s="3" t="n">
        <f aca="false">(Tabla2[[#This Row],[Productividad (kg/TAS)]]*Tabla2[[#This Row],[Precio por kg]]-Tabla2[[#This Row],[Costos (En RD$/Tarea)]])</f>
        <v>-452.18345893884</v>
      </c>
      <c r="O1000" s="9" t="n">
        <f aca="false">IF(Tabla2[[#This Row],[Costos (En RD$/Tarea)]]=0,0,Tabla2[[#This Row],[Beneficio Neto  (En RD$/Tarea)]]/Tabla2[[#This Row],[Costos (En RD$/Tarea)]])</f>
        <v>-0.219639276620501</v>
      </c>
      <c r="P1000" s="7" t="n">
        <f aca="false">Tabla2[[#This Row],[Rentabilidad (%)]]/12</f>
        <v>-0.0183032730517084</v>
      </c>
    </row>
    <row r="1001" customFormat="false" ht="14.25" hidden="false" customHeight="false" outlineLevel="0" collapsed="false">
      <c r="A1001" s="1" t="n">
        <v>39052</v>
      </c>
      <c r="B1001" s="2" t="s">
        <v>22</v>
      </c>
      <c r="C1001" s="3" t="n">
        <v>4922</v>
      </c>
      <c r="D1001" s="8" t="s">
        <v>17</v>
      </c>
      <c r="E1001" s="3" t="n">
        <f aca="false">IF(Tabla2[[#This Row],[Frecuencia]]="Annual", Tabla2[[#This Row],[Cosecha/Tarea]]/12,Tabla2[[#This Row],[Cosecha/Tarea]])</f>
        <v>4922</v>
      </c>
      <c r="F1001" s="3" t="n">
        <v>40929</v>
      </c>
      <c r="G1001" s="2" t="s">
        <v>18</v>
      </c>
      <c r="H1001" s="2" t="n">
        <f aca="false">F1001/Tabla2[[#This Row],[Cosecha Mensual]]</f>
        <v>8.31552214546932</v>
      </c>
      <c r="I1001" s="2" t="n">
        <f aca="false">H1001*_xlfn.XLOOKUP(Tabla2[[#This Row],[Unidad de producción]],Tabla3[Medida],Tabla3[Equivalencia en Kg],"ELVIS",0)</f>
        <v>377.192084518488</v>
      </c>
      <c r="J1001" s="2" t="n">
        <v>636.333333333333</v>
      </c>
      <c r="K1001" s="2" t="s">
        <v>18</v>
      </c>
      <c r="L1001" s="2" t="n">
        <f aca="false">J1001/_xlfn.XLOOKUP(Tabla2[[#This Row],[Unidad de precio]],Tabla3[Medida],Tabla3[Equivalencia en Kg],"ELVIS",0)</f>
        <v>14.0285126396237</v>
      </c>
      <c r="M1001" s="2" t="n">
        <v>5691.88</v>
      </c>
      <c r="N1001" s="3" t="n">
        <f aca="false">(Tabla2[[#This Row],[Productividad (kg/TAS)]]*Tabla2[[#This Row],[Precio por kg]]-Tabla2[[#This Row],[Costos (En RD$/Tarea)]])</f>
        <v>-400.436074766359</v>
      </c>
      <c r="O1001" s="9" t="n">
        <f aca="false">IF(Tabla2[[#This Row],[Costos (En RD$/Tarea)]]=0,0,Tabla2[[#This Row],[Beneficio Neto  (En RD$/Tarea)]]/Tabla2[[#This Row],[Costos (En RD$/Tarea)]])</f>
        <v>-0.0703521639188385</v>
      </c>
      <c r="P1001" s="7" t="n">
        <f aca="false">Tabla2[[#This Row],[Rentabilidad (%)]]/12</f>
        <v>-0.00586268032656988</v>
      </c>
    </row>
    <row r="1002" customFormat="false" ht="14.25" hidden="false" customHeight="false" outlineLevel="0" collapsed="false">
      <c r="A1002" s="1" t="n">
        <v>39052</v>
      </c>
      <c r="B1002" s="2" t="s">
        <v>23</v>
      </c>
      <c r="C1002" s="3" t="n">
        <v>2626</v>
      </c>
      <c r="D1002" s="8" t="s">
        <v>17</v>
      </c>
      <c r="E1002" s="3" t="n">
        <f aca="false">IF(Tabla2[[#This Row],[Frecuencia]]="Annual", Tabla2[[#This Row],[Cosecha/Tarea]]/12,Tabla2[[#This Row],[Cosecha/Tarea]])</f>
        <v>2626</v>
      </c>
      <c r="F1002" s="3" t="n">
        <v>88095</v>
      </c>
      <c r="G1002" s="2" t="s">
        <v>18</v>
      </c>
      <c r="H1002" s="2" t="n">
        <f aca="false">F1002/Tabla2[[#This Row],[Cosecha Mensual]]</f>
        <v>33.5472201066261</v>
      </c>
      <c r="I1002" s="2" t="n">
        <f aca="false">H1002*_xlfn.XLOOKUP(Tabla2[[#This Row],[Unidad de producción]],Tabla3[Medida],Tabla3[Equivalencia en Kg],"ELVIS",0)</f>
        <v>1521.70190403656</v>
      </c>
      <c r="J1002" s="2" t="n">
        <v>569.25</v>
      </c>
      <c r="K1002" s="2" t="s">
        <v>18</v>
      </c>
      <c r="L1002" s="2" t="n">
        <f aca="false">J1002/_xlfn.XLOOKUP(Tabla2[[#This Row],[Unidad de precio]],Tabla3[Medida],Tabla3[Equivalencia en Kg],"ELVIS",0)</f>
        <v>12.5496031746032</v>
      </c>
      <c r="M1002" s="2" t="n">
        <v>10412.05</v>
      </c>
      <c r="N1002" s="3" t="n">
        <f aca="false">(Tabla2[[#This Row],[Productividad (kg/TAS)]]*Tabla2[[#This Row],[Precio por kg]]-Tabla2[[#This Row],[Costos (En RD$/Tarea)]])</f>
        <v>8684.70504569688</v>
      </c>
      <c r="O1002" s="9" t="n">
        <f aca="false">IF(Tabla2[[#This Row],[Costos (En RD$/Tarea)]]=0,0,Tabla2[[#This Row],[Beneficio Neto  (En RD$/Tarea)]]/Tabla2[[#This Row],[Costos (En RD$/Tarea)]])</f>
        <v>0.834101358108814</v>
      </c>
      <c r="P1002" s="7" t="n">
        <f aca="false">Tabla2[[#This Row],[Rentabilidad (%)]]/12</f>
        <v>0.0695084465090679</v>
      </c>
    </row>
    <row r="1003" customFormat="false" ht="14.25" hidden="false" customHeight="false" outlineLevel="0" collapsed="false">
      <c r="A1003" s="1" t="n">
        <v>39052</v>
      </c>
      <c r="B1003" s="2" t="s">
        <v>24</v>
      </c>
      <c r="C1003" s="3" t="n">
        <v>5954</v>
      </c>
      <c r="D1003" s="8" t="s">
        <v>17</v>
      </c>
      <c r="E1003" s="3" t="n">
        <f aca="false">IF(Tabla2[[#This Row],[Frecuencia]]="Annual", Tabla2[[#This Row],[Cosecha/Tarea]]/12,Tabla2[[#This Row],[Cosecha/Tarea]])</f>
        <v>5954</v>
      </c>
      <c r="F1003" s="3" t="n">
        <v>45478</v>
      </c>
      <c r="G1003" s="2" t="s">
        <v>18</v>
      </c>
      <c r="H1003" s="2" t="n">
        <f aca="false">F1003/Tabla2[[#This Row],[Cosecha Mensual]]</f>
        <v>7.63822640241854</v>
      </c>
      <c r="I1003" s="2" t="n">
        <f aca="false">H1003*_xlfn.XLOOKUP(Tabla2[[#This Row],[Unidad de producción]],Tabla3[Medida],Tabla3[Equivalencia en Kg],"ELVIS",0)</f>
        <v>346.469949613705</v>
      </c>
      <c r="J1003" s="2" t="n">
        <v>901.75</v>
      </c>
      <c r="K1003" s="2" t="s">
        <v>18</v>
      </c>
      <c r="L1003" s="2" t="n">
        <f aca="false">J1003/_xlfn.XLOOKUP(Tabla2[[#This Row],[Unidad de precio]],Tabla3[Medida],Tabla3[Equivalencia en Kg],"ELVIS",0)</f>
        <v>19.8798500881834</v>
      </c>
      <c r="M1003" s="2" t="n">
        <v>4593.1</v>
      </c>
      <c r="N1003" s="3" t="n">
        <f aca="false">(Tabla2[[#This Row],[Productividad (kg/TAS)]]*Tabla2[[#This Row],[Precio por kg]]-Tabla2[[#This Row],[Costos (En RD$/Tarea)]])</f>
        <v>2294.67065838092</v>
      </c>
      <c r="O1003" s="9" t="n">
        <f aca="false">IF(Tabla2[[#This Row],[Costos (En RD$/Tarea)]]=0,0,Tabla2[[#This Row],[Beneficio Neto  (En RD$/Tarea)]]/Tabla2[[#This Row],[Costos (En RD$/Tarea)]])</f>
        <v>0.4995908337247</v>
      </c>
      <c r="P1003" s="7" t="n">
        <f aca="false">Tabla2[[#This Row],[Rentabilidad (%)]]/12</f>
        <v>0.0416325694770583</v>
      </c>
    </row>
    <row r="1004" customFormat="false" ht="14.25" hidden="false" customHeight="false" outlineLevel="0" collapsed="false">
      <c r="A1004" s="1" t="n">
        <v>39052</v>
      </c>
      <c r="B1004" s="2" t="s">
        <v>25</v>
      </c>
      <c r="C1004" s="3" t="n">
        <v>22444</v>
      </c>
      <c r="D1004" s="8" t="s">
        <v>17</v>
      </c>
      <c r="E1004" s="3" t="n">
        <f aca="false">IF(Tabla2[[#This Row],[Frecuencia]]="Annual", Tabla2[[#This Row],[Cosecha/Tarea]]/12,Tabla2[[#This Row],[Cosecha/Tarea]])</f>
        <v>22444</v>
      </c>
      <c r="F1004" s="3" t="n">
        <v>212108</v>
      </c>
      <c r="G1004" s="2" t="s">
        <v>18</v>
      </c>
      <c r="H1004" s="2" t="n">
        <f aca="false">F1004/Tabla2[[#This Row],[Cosecha Mensual]]</f>
        <v>9.4505435751203</v>
      </c>
      <c r="I1004" s="2" t="n">
        <f aca="false">H1004*_xlfn.XLOOKUP(Tabla2[[#This Row],[Unidad de producción]],Tabla3[Medida],Tabla3[Equivalencia en Kg],"ELVIS",0)</f>
        <v>428.676656567457</v>
      </c>
      <c r="J1004" s="2" t="n">
        <v>285.767</v>
      </c>
      <c r="K1004" s="2" t="s">
        <v>18</v>
      </c>
      <c r="L1004" s="2" t="n">
        <f aca="false">J1004/_xlfn.XLOOKUP(Tabla2[[#This Row],[Unidad de precio]],Tabla3[Medida],Tabla3[Equivalencia en Kg],"ELVIS",0)</f>
        <v>6.29997795414462</v>
      </c>
      <c r="M1004" s="2" t="n">
        <v>2287.145</v>
      </c>
      <c r="N1004" s="3" t="n">
        <f aca="false">(Tabla2[[#This Row],[Productividad (kg/TAS)]]*Tabla2[[#This Row],[Precio por kg]]-Tabla2[[#This Row],[Costos (En RD$/Tarea)]])</f>
        <v>413.508485831403</v>
      </c>
      <c r="O1004" s="9" t="n">
        <f aca="false">IF(Tabla2[[#This Row],[Costos (En RD$/Tarea)]]=0,0,Tabla2[[#This Row],[Beneficio Neto  (En RD$/Tarea)]]/Tabla2[[#This Row],[Costos (En RD$/Tarea)]])</f>
        <v>0.180796795057332</v>
      </c>
      <c r="P1004" s="7" t="n">
        <f aca="false">Tabla2[[#This Row],[Rentabilidad (%)]]/12</f>
        <v>0.015066399588111</v>
      </c>
    </row>
    <row r="1005" customFormat="false" ht="14.25" hidden="false" customHeight="false" outlineLevel="0" collapsed="false">
      <c r="A1005" s="1" t="n">
        <v>39052</v>
      </c>
      <c r="B1005" s="2" t="s">
        <v>26</v>
      </c>
      <c r="C1005" s="3" t="n">
        <v>12320</v>
      </c>
      <c r="D1005" s="8" t="s">
        <v>17</v>
      </c>
      <c r="E1005" s="3" t="n">
        <f aca="false">IF(Tabla2[[#This Row],[Frecuencia]]="Annual", Tabla2[[#This Row],[Cosecha/Tarea]]/12,Tabla2[[#This Row],[Cosecha/Tarea]])</f>
        <v>12320</v>
      </c>
      <c r="F1005" s="3" t="n">
        <v>100723</v>
      </c>
      <c r="G1005" s="2" t="s">
        <v>18</v>
      </c>
      <c r="H1005" s="2" t="n">
        <f aca="false">F1005/Tabla2[[#This Row],[Cosecha Mensual]]</f>
        <v>8.17556818181818</v>
      </c>
      <c r="I1005" s="2" t="n">
        <f aca="false">H1005*_xlfn.XLOOKUP(Tabla2[[#This Row],[Unidad de producción]],Tabla3[Medida],Tabla3[Equivalencia en Kg],"ELVIS",0)</f>
        <v>370.843772727273</v>
      </c>
      <c r="J1005" s="2" t="n">
        <v>482.5</v>
      </c>
      <c r="K1005" s="2" t="s">
        <v>18</v>
      </c>
      <c r="L1005" s="2" t="n">
        <f aca="false">J1005/_xlfn.XLOOKUP(Tabla2[[#This Row],[Unidad de precio]],Tabla3[Medida],Tabla3[Equivalencia en Kg],"ELVIS",0)</f>
        <v>10.6371252204586</v>
      </c>
      <c r="M1005" s="2" t="n">
        <v>864.56</v>
      </c>
      <c r="N1005" s="3" t="n">
        <f aca="false">(Tabla2[[#This Row],[Productividad (kg/TAS)]]*Tabla2[[#This Row],[Precio por kg]]-Tabla2[[#This Row],[Costos (En RD$/Tarea)]])</f>
        <v>3080.15164772727</v>
      </c>
      <c r="O1005" s="9" t="n">
        <f aca="false">IF(Tabla2[[#This Row],[Costos (En RD$/Tarea)]]=0,0,Tabla2[[#This Row],[Beneficio Neto  (En RD$/Tarea)]]/Tabla2[[#This Row],[Costos (En RD$/Tarea)]])</f>
        <v>3.56268118780336</v>
      </c>
      <c r="P1005" s="7" t="n">
        <f aca="false">Tabla2[[#This Row],[Rentabilidad (%)]]/12</f>
        <v>0.296890098983613</v>
      </c>
    </row>
    <row r="1006" customFormat="false" ht="14.25" hidden="false" customHeight="false" outlineLevel="0" collapsed="false">
      <c r="A1006" s="1" t="n">
        <v>39052</v>
      </c>
      <c r="B1006" s="2" t="s">
        <v>27</v>
      </c>
      <c r="C1006" s="3" t="n">
        <v>4290</v>
      </c>
      <c r="D1006" s="8" t="s">
        <v>17</v>
      </c>
      <c r="E1006" s="3" t="n">
        <f aca="false">IF(Tabla2[[#This Row],[Frecuencia]]="Annual", Tabla2[[#This Row],[Cosecha/Tarea]]/12,Tabla2[[#This Row],[Cosecha/Tarea]])</f>
        <v>4290</v>
      </c>
      <c r="F1006" s="3" t="n">
        <v>34765</v>
      </c>
      <c r="G1006" s="2" t="s">
        <v>18</v>
      </c>
      <c r="H1006" s="2" t="n">
        <f aca="false">F1006/Tabla2[[#This Row],[Cosecha Mensual]]</f>
        <v>8.1037296037296</v>
      </c>
      <c r="I1006" s="2" t="n">
        <f aca="false">H1006*_xlfn.XLOOKUP(Tabla2[[#This Row],[Unidad de producción]],Tabla3[Medida],Tabla3[Equivalencia en Kg],"ELVIS",0)</f>
        <v>367.585174825175</v>
      </c>
      <c r="J1006" s="2" t="n">
        <v>257.53</v>
      </c>
      <c r="K1006" s="2" t="s">
        <v>18</v>
      </c>
      <c r="L1006" s="2" t="n">
        <f aca="false">J1006/_xlfn.XLOOKUP(Tabla2[[#This Row],[Unidad de precio]],Tabla3[Medida],Tabla3[Equivalencia en Kg],"ELVIS",0)</f>
        <v>5.67746913580247</v>
      </c>
      <c r="M1006" s="2" t="n">
        <v>4742.13</v>
      </c>
      <c r="N1006" s="3" t="n">
        <f aca="false">(Tabla2[[#This Row],[Productividad (kg/TAS)]]*Tabla2[[#This Row],[Precio por kg]]-Tabla2[[#This Row],[Costos (En RD$/Tarea)]])</f>
        <v>-2655.17651515152</v>
      </c>
      <c r="O1006" s="9" t="n">
        <f aca="false">IF(Tabla2[[#This Row],[Costos (En RD$/Tarea)]]=0,0,Tabla2[[#This Row],[Beneficio Neto  (En RD$/Tarea)]]/Tabla2[[#This Row],[Costos (En RD$/Tarea)]])</f>
        <v>-0.559912215639705</v>
      </c>
      <c r="P1006" s="7" t="n">
        <f aca="false">Tabla2[[#This Row],[Rentabilidad (%)]]/12</f>
        <v>-0.0466593513033088</v>
      </c>
    </row>
    <row r="1007" customFormat="false" ht="14.25" hidden="false" customHeight="false" outlineLevel="0" collapsed="false">
      <c r="A1007" s="1" t="n">
        <v>39052</v>
      </c>
      <c r="B1007" s="2" t="s">
        <v>28</v>
      </c>
      <c r="C1007" s="3" t="n">
        <v>44514</v>
      </c>
      <c r="D1007" s="8" t="s">
        <v>17</v>
      </c>
      <c r="E1007" s="3" t="n">
        <f aca="false">IF(Tabla2[[#This Row],[Frecuencia]]="Annual", Tabla2[[#This Row],[Cosecha/Tarea]]/12,Tabla2[[#This Row],[Cosecha/Tarea]])</f>
        <v>44514</v>
      </c>
      <c r="F1007" s="3" t="n">
        <v>34693</v>
      </c>
      <c r="G1007" s="2" t="s">
        <v>29</v>
      </c>
      <c r="H1007" s="2" t="n">
        <f aca="false">F1007/Tabla2[[#This Row],[Cosecha Mensual]]</f>
        <v>0.779372781596801</v>
      </c>
      <c r="I1007" s="2" t="n">
        <f aca="false">H1007*_xlfn.XLOOKUP(Tabla2[[#This Row],[Unidad de producción]],Tabla3[Medida],Tabla3[Equivalencia en Kg],"ELVIS",0)</f>
        <v>438.272490003145</v>
      </c>
      <c r="J1007" s="2" t="n">
        <v>4008.396</v>
      </c>
      <c r="K1007" s="2" t="s">
        <v>29</v>
      </c>
      <c r="L1007" s="2" t="n">
        <f aca="false">J1007/_xlfn.XLOOKUP(Tabla2[[#This Row],[Unidad de precio]],Tabla3[Medida],Tabla3[Equivalencia en Kg],"ELVIS",0)</f>
        <v>7.12806487178575</v>
      </c>
      <c r="M1007" s="2" t="n">
        <v>8196.87</v>
      </c>
      <c r="N1007" s="3" t="n">
        <f aca="false">(Tabla2[[#This Row],[Productividad (kg/TAS)]]*Tabla2[[#This Row],[Precio por kg]]-Tabla2[[#This Row],[Costos (En RD$/Tarea)]])</f>
        <v>-5072.83525973851</v>
      </c>
      <c r="O1007" s="9" t="n">
        <f aca="false">IF(Tabla2[[#This Row],[Costos (En RD$/Tarea)]]=0,0,Tabla2[[#This Row],[Beneficio Neto  (En RD$/Tarea)]]/Tabla2[[#This Row],[Costos (En RD$/Tarea)]])</f>
        <v>-0.618874675301488</v>
      </c>
      <c r="P1007" s="7" t="n">
        <f aca="false">Tabla2[[#This Row],[Rentabilidad (%)]]/12</f>
        <v>-0.0515728896084574</v>
      </c>
    </row>
    <row r="1008" customFormat="false" ht="14.25" hidden="false" customHeight="false" outlineLevel="0" collapsed="false">
      <c r="A1008" s="1" t="n">
        <v>39052</v>
      </c>
      <c r="B1008" s="2" t="s">
        <v>30</v>
      </c>
      <c r="C1008" s="3" t="n">
        <v>315208</v>
      </c>
      <c r="D1008" s="3" t="s">
        <v>31</v>
      </c>
      <c r="E1008" s="3" t="n">
        <f aca="false">IF(Tabla2[[#This Row],[Frecuencia]]="Annual", Tabla2[[#This Row],[Cosecha/Tarea]]/12,Tabla2[[#This Row],[Cosecha/Tarea]])</f>
        <v>26267.3333333333</v>
      </c>
      <c r="F1008" s="3" t="n">
        <v>1851495</v>
      </c>
      <c r="G1008" s="2" t="s">
        <v>32</v>
      </c>
      <c r="H1008" s="2" t="n">
        <f aca="false">F1008/Tabla2[[#This Row],[Cosecha Mensual]]</f>
        <v>70.4865993248902</v>
      </c>
      <c r="I1008" s="2" t="n">
        <f aca="false">H1008*_xlfn.XLOOKUP(Tabla2[[#This Row],[Unidad de producción]],Tabla3[Medida],Tabla3[Equivalencia en Kg],"ELVIS",0)</f>
        <v>1917.94036763026</v>
      </c>
      <c r="J1008" s="2" t="n">
        <v>51.566</v>
      </c>
      <c r="K1008" s="2" t="s">
        <v>32</v>
      </c>
      <c r="L1008" s="2" t="n">
        <f aca="false">J1008/_xlfn.XLOOKUP(Tabla2[[#This Row],[Unidad de precio]],Tabla3[Medida],Tabla3[Equivalencia en Kg],"ELVIS",0)</f>
        <v>1.89511209114296</v>
      </c>
      <c r="M1008" s="3" t="n">
        <v>7154.19</v>
      </c>
      <c r="N1008" s="3" t="n">
        <f aca="false">(Tabla2[[#This Row],[Productividad (kg/TAS)]]*Tabla2[[#This Row],[Precio por kg]]-Tabla2[[#This Row],[Costos (En RD$/Tarea)]])</f>
        <v>-3519.47801921271</v>
      </c>
      <c r="O1008" s="9" t="n">
        <f aca="false">IF(Tabla2[[#This Row],[Costos (En RD$/Tarea)]]=0,0,Tabla2[[#This Row],[Beneficio Neto  (En RD$/Tarea)]]/Tabla2[[#This Row],[Costos (En RD$/Tarea)]])</f>
        <v>-0.491946400530697</v>
      </c>
      <c r="P1008" s="7" t="n">
        <f aca="false">Tabla2[[#This Row],[Rentabilidad (%)]]/12</f>
        <v>-0.0409955333775581</v>
      </c>
    </row>
    <row r="1009" customFormat="false" ht="14.25" hidden="false" customHeight="false" outlineLevel="0" collapsed="false">
      <c r="A1009" s="1" t="n">
        <v>39052</v>
      </c>
      <c r="B1009" s="2" t="s">
        <v>33</v>
      </c>
      <c r="C1009" s="3" t="n">
        <v>756017</v>
      </c>
      <c r="D1009" s="3" t="s">
        <v>31</v>
      </c>
      <c r="E1009" s="3" t="n">
        <f aca="false">IF(Tabla2[[#This Row],[Frecuencia]]="Annual", Tabla2[[#This Row],[Cosecha/Tarea]]/12,Tabla2[[#This Row],[Cosecha/Tarea]])</f>
        <v>63001.4166666667</v>
      </c>
      <c r="F1009" s="3" t="n">
        <v>156443</v>
      </c>
      <c r="G1009" s="2" t="s">
        <v>34</v>
      </c>
      <c r="H1009" s="2" t="n">
        <f aca="false">F1009/Tabla2[[#This Row],[Cosecha Mensual]]</f>
        <v>2.4831663838247</v>
      </c>
      <c r="I1009" s="2" t="n">
        <f aca="false">H1009*_xlfn.XLOOKUP(Tabla2[[#This Row],[Unidad de producción]],Tabla3[Medida],Tabla3[Equivalencia en Kg],"ELVIS",0)</f>
        <v>1013.50435955805</v>
      </c>
      <c r="J1009" s="2" t="n">
        <v>2472.91333333333</v>
      </c>
      <c r="K1009" s="2" t="s">
        <v>34</v>
      </c>
      <c r="L1009" s="2" t="n">
        <f aca="false">J1009/_xlfn.XLOOKUP(Tabla2[[#This Row],[Unidad de precio]],Tabla3[Medida],Tabla3[Equivalencia en Kg],"ELVIS",0)</f>
        <v>6.05883457879047</v>
      </c>
      <c r="M1009" s="3" t="n">
        <v>9504.44</v>
      </c>
      <c r="N1009" s="3" t="n">
        <f aca="false">(Tabla2[[#This Row],[Productividad (kg/TAS)]]*Tabla2[[#This Row],[Precio por kg]]-Tabla2[[#This Row],[Costos (En RD$/Tarea)]])</f>
        <v>-3363.78474055479</v>
      </c>
      <c r="O1009" s="9" t="n">
        <f aca="false">IF(Tabla2[[#This Row],[Costos (En RD$/Tarea)]]=0,0,Tabla2[[#This Row],[Beneficio Neto  (En RD$/Tarea)]]/Tabla2[[#This Row],[Costos (En RD$/Tarea)]])</f>
        <v>-0.353917194548525</v>
      </c>
      <c r="P1009" s="7" t="n">
        <f aca="false">Tabla2[[#This Row],[Rentabilidad (%)]]/12</f>
        <v>-0.0294930995457104</v>
      </c>
    </row>
    <row r="1010" customFormat="false" ht="14.25" hidden="false" customHeight="false" outlineLevel="0" collapsed="false">
      <c r="A1010" s="1" t="n">
        <v>39083</v>
      </c>
      <c r="B1010" s="2" t="s">
        <v>16</v>
      </c>
      <c r="C1010" s="3" t="n">
        <v>35764</v>
      </c>
      <c r="D1010" s="8" t="s">
        <v>17</v>
      </c>
      <c r="E1010" s="3" t="n">
        <f aca="false">IF(Tabla2[[#This Row],[Frecuencia]]="Annual", Tabla2[[#This Row],[Cosecha/Tarea]]/12,Tabla2[[#This Row],[Cosecha/Tarea]])</f>
        <v>35764</v>
      </c>
      <c r="F1010" s="3" t="n">
        <v>114935</v>
      </c>
      <c r="G1010" s="2" t="s">
        <v>18</v>
      </c>
      <c r="H1010" s="2" t="n">
        <f aca="false">F1010/Tabla2[[#This Row],[Cosecha Mensual]]</f>
        <v>3.21370652052343</v>
      </c>
      <c r="I1010" s="2" t="n">
        <f aca="false">H1010*_xlfn.XLOOKUP(Tabla2[[#This Row],[Unidad de producción]],Tabla3[Medida],Tabla3[Equivalencia en Kg],"ELVIS",0)</f>
        <v>145.773727770943</v>
      </c>
      <c r="J1010" s="2" t="n">
        <v>1325.9</v>
      </c>
      <c r="K1010" s="2" t="s">
        <v>19</v>
      </c>
      <c r="L1010" s="2" t="n">
        <f aca="false">J1010/_xlfn.XLOOKUP(Tabla2[[#This Row],[Unidad de precio]],Tabla3[Medida],Tabla3[Equivalencia en Kg],"ELVIS",0)</f>
        <v>12.0536363636364</v>
      </c>
      <c r="M1010" s="2" t="n">
        <v>5339.5</v>
      </c>
      <c r="N1010" s="3" t="n">
        <f aca="false">(Tabla2[[#This Row],[Productividad (kg/TAS)]]*Tabla2[[#This Row],[Precio por kg]]-Tabla2[[#This Row],[Costos (En RD$/Tarea)]])</f>
        <v>-3582.39649407734</v>
      </c>
      <c r="O1010" s="9" t="n">
        <f aca="false">IF(Tabla2[[#This Row],[Costos (En RD$/Tarea)]]=0,0,Tabla2[[#This Row],[Beneficio Neto  (En RD$/Tarea)]]/Tabla2[[#This Row],[Costos (En RD$/Tarea)]])</f>
        <v>-0.670923587241752</v>
      </c>
      <c r="P1010" s="7" t="n">
        <f aca="false">Tabla2[[#This Row],[Rentabilidad (%)]]/12</f>
        <v>-0.0559102989368127</v>
      </c>
    </row>
    <row r="1011" customFormat="false" ht="14.25" hidden="false" customHeight="false" outlineLevel="0" collapsed="false">
      <c r="A1011" s="1" t="n">
        <v>39083</v>
      </c>
      <c r="B1011" s="2" t="s">
        <v>20</v>
      </c>
      <c r="C1011" s="3" t="n">
        <v>31040</v>
      </c>
      <c r="D1011" s="8" t="s">
        <v>17</v>
      </c>
      <c r="E1011" s="3" t="n">
        <f aca="false">IF(Tabla2[[#This Row],[Frecuencia]]="Annual", Tabla2[[#This Row],[Cosecha/Tarea]]/12,Tabla2[[#This Row],[Cosecha/Tarea]])</f>
        <v>31040</v>
      </c>
      <c r="F1011" s="3" t="n">
        <v>61912</v>
      </c>
      <c r="G1011" s="2" t="s">
        <v>18</v>
      </c>
      <c r="H1011" s="2" t="n">
        <f aca="false">F1011/Tabla2[[#This Row],[Cosecha Mensual]]</f>
        <v>1.99458762886598</v>
      </c>
      <c r="I1011" s="2" t="n">
        <f aca="false">H1011*_xlfn.XLOOKUP(Tabla2[[#This Row],[Unidad de producción]],Tabla3[Medida],Tabla3[Equivalencia en Kg],"ELVIS",0)</f>
        <v>90.4744948453608</v>
      </c>
      <c r="J1011" s="2" t="n">
        <v>495.663566666667</v>
      </c>
      <c r="K1011" s="2" t="s">
        <v>18</v>
      </c>
      <c r="L1011" s="2" t="n">
        <f aca="false">J1011/_xlfn.XLOOKUP(Tabla2[[#This Row],[Unidad de precio]],Tabla3[Medida],Tabla3[Equivalencia en Kg],"ELVIS",0)</f>
        <v>10.9273273074662</v>
      </c>
      <c r="M1011" s="2" t="n">
        <v>1417.48</v>
      </c>
      <c r="N1011" s="3" t="n">
        <f aca="false">(Tabla2[[#This Row],[Productividad (kg/TAS)]]*Tabla2[[#This Row],[Precio por kg]]-Tabla2[[#This Row],[Costos (En RD$/Tarea)]])</f>
        <v>-428.835581847078</v>
      </c>
      <c r="O1011" s="9" t="n">
        <f aca="false">IF(Tabla2[[#This Row],[Costos (En RD$/Tarea)]]=0,0,Tabla2[[#This Row],[Beneficio Neto  (En RD$/Tarea)]]/Tabla2[[#This Row],[Costos (En RD$/Tarea)]])</f>
        <v>-0.302533779557439</v>
      </c>
      <c r="P1011" s="7" t="n">
        <f aca="false">Tabla2[[#This Row],[Rentabilidad (%)]]/12</f>
        <v>-0.0252111482964532</v>
      </c>
    </row>
    <row r="1012" customFormat="false" ht="14.25" hidden="false" customHeight="false" outlineLevel="0" collapsed="false">
      <c r="A1012" s="1" t="n">
        <v>39083</v>
      </c>
      <c r="B1012" s="2" t="s">
        <v>21</v>
      </c>
      <c r="C1012" s="3" t="n">
        <v>5496</v>
      </c>
      <c r="D1012" s="8" t="s">
        <v>17</v>
      </c>
      <c r="E1012" s="3" t="n">
        <f aca="false">IF(Tabla2[[#This Row],[Frecuencia]]="Annual", Tabla2[[#This Row],[Cosecha/Tarea]]/12,Tabla2[[#This Row],[Cosecha/Tarea]])</f>
        <v>5496</v>
      </c>
      <c r="F1012" s="3" t="n">
        <v>53112</v>
      </c>
      <c r="G1012" s="2" t="s">
        <v>18</v>
      </c>
      <c r="H1012" s="2" t="n">
        <f aca="false">F1012/Tabla2[[#This Row],[Cosecha Mensual]]</f>
        <v>9.66375545851529</v>
      </c>
      <c r="I1012" s="2" t="n">
        <f aca="false">H1012*_xlfn.XLOOKUP(Tabla2[[#This Row],[Unidad de producción]],Tabla3[Medida],Tabla3[Equivalencia en Kg],"ELVIS",0)</f>
        <v>438.347947598253</v>
      </c>
      <c r="J1012" s="2" t="n">
        <v>211.83416</v>
      </c>
      <c r="K1012" s="2" t="s">
        <v>18</v>
      </c>
      <c r="L1012" s="2" t="n">
        <f aca="false">J1012/_xlfn.XLOOKUP(Tabla2[[#This Row],[Unidad de precio]],Tabla3[Medida],Tabla3[Equivalencia en Kg],"ELVIS",0)</f>
        <v>4.67006525573192</v>
      </c>
      <c r="M1012" s="2" t="n">
        <v>2131.605</v>
      </c>
      <c r="N1012" s="3" t="n">
        <f aca="false">(Tabla2[[#This Row],[Productividad (kg/TAS)]]*Tabla2[[#This Row],[Precio por kg]]-Tabla2[[#This Row],[Costos (En RD$/Tarea)]])</f>
        <v>-84.4914799999999</v>
      </c>
      <c r="O1012" s="9" t="n">
        <f aca="false">IF(Tabla2[[#This Row],[Costos (En RD$/Tarea)]]=0,0,Tabla2[[#This Row],[Beneficio Neto  (En RD$/Tarea)]]/Tabla2[[#This Row],[Costos (En RD$/Tarea)]])</f>
        <v>-0.0396374938133472</v>
      </c>
      <c r="P1012" s="7" t="n">
        <f aca="false">Tabla2[[#This Row],[Rentabilidad (%)]]/12</f>
        <v>-0.0033031244844456</v>
      </c>
    </row>
    <row r="1013" customFormat="false" ht="14.25" hidden="false" customHeight="false" outlineLevel="0" collapsed="false">
      <c r="A1013" s="1" t="n">
        <v>39083</v>
      </c>
      <c r="B1013" s="2" t="s">
        <v>22</v>
      </c>
      <c r="C1013" s="3" t="n">
        <v>10724</v>
      </c>
      <c r="D1013" s="8" t="s">
        <v>17</v>
      </c>
      <c r="E1013" s="3" t="n">
        <f aca="false">IF(Tabla2[[#This Row],[Frecuencia]]="Annual", Tabla2[[#This Row],[Cosecha/Tarea]]/12,Tabla2[[#This Row],[Cosecha/Tarea]])</f>
        <v>10724</v>
      </c>
      <c r="F1013" s="3" t="n">
        <v>90360</v>
      </c>
      <c r="G1013" s="2" t="s">
        <v>18</v>
      </c>
      <c r="H1013" s="2" t="n">
        <f aca="false">F1013/Tabla2[[#This Row],[Cosecha Mensual]]</f>
        <v>8.42596046251399</v>
      </c>
      <c r="I1013" s="2" t="n">
        <f aca="false">H1013*_xlfn.XLOOKUP(Tabla2[[#This Row],[Unidad de producción]],Tabla3[Medida],Tabla3[Equivalencia en Kg],"ELVIS",0)</f>
        <v>382.201566579634</v>
      </c>
      <c r="J1013" s="2" t="n">
        <v>709</v>
      </c>
      <c r="K1013" s="2" t="s">
        <v>18</v>
      </c>
      <c r="L1013" s="2" t="n">
        <f aca="false">J1013/_xlfn.XLOOKUP(Tabla2[[#This Row],[Unidad de precio]],Tabla3[Medida],Tabla3[Equivalencia en Kg],"ELVIS",0)</f>
        <v>15.6305114638448</v>
      </c>
      <c r="M1013" s="2" t="n">
        <v>6063.13</v>
      </c>
      <c r="N1013" s="3" t="n">
        <f aca="false">(Tabla2[[#This Row],[Productividad (kg/TAS)]]*Tabla2[[#This Row],[Precio por kg]]-Tabla2[[#This Row],[Costos (En RD$/Tarea)]])</f>
        <v>-89.1240320775833</v>
      </c>
      <c r="O1013" s="9" t="n">
        <f aca="false">IF(Tabla2[[#This Row],[Costos (En RD$/Tarea)]]=0,0,Tabla2[[#This Row],[Beneficio Neto  (En RD$/Tarea)]]/Tabla2[[#This Row],[Costos (En RD$/Tarea)]])</f>
        <v>-0.0146993437510961</v>
      </c>
      <c r="P1013" s="7" t="n">
        <f aca="false">Tabla2[[#This Row],[Rentabilidad (%)]]/12</f>
        <v>-0.00122494531259134</v>
      </c>
    </row>
    <row r="1014" customFormat="false" ht="14.25" hidden="false" customHeight="false" outlineLevel="0" collapsed="false">
      <c r="A1014" s="1" t="n">
        <v>39083</v>
      </c>
      <c r="B1014" s="2" t="s">
        <v>23</v>
      </c>
      <c r="C1014" s="3" t="n">
        <v>4885</v>
      </c>
      <c r="D1014" s="8" t="s">
        <v>17</v>
      </c>
      <c r="E1014" s="3" t="n">
        <f aca="false">IF(Tabla2[[#This Row],[Frecuencia]]="Annual", Tabla2[[#This Row],[Cosecha/Tarea]]/12,Tabla2[[#This Row],[Cosecha/Tarea]])</f>
        <v>4885</v>
      </c>
      <c r="F1014" s="3" t="n">
        <v>104218</v>
      </c>
      <c r="G1014" s="2" t="s">
        <v>18</v>
      </c>
      <c r="H1014" s="2" t="n">
        <f aca="false">F1014/Tabla2[[#This Row],[Cosecha Mensual]]</f>
        <v>21.3342886386899</v>
      </c>
      <c r="I1014" s="2" t="n">
        <f aca="false">H1014*_xlfn.XLOOKUP(Tabla2[[#This Row],[Unidad de producción]],Tabla3[Medida],Tabla3[Equivalencia en Kg],"ELVIS",0)</f>
        <v>967.723332650972</v>
      </c>
      <c r="J1014" s="2" t="n">
        <v>787.333333333333</v>
      </c>
      <c r="K1014" s="2" t="s">
        <v>18</v>
      </c>
      <c r="L1014" s="2" t="n">
        <f aca="false">J1014/_xlfn.XLOOKUP(Tabla2[[#This Row],[Unidad de precio]],Tabla3[Medida],Tabla3[Equivalencia en Kg],"ELVIS",0)</f>
        <v>17.3574368018812</v>
      </c>
      <c r="M1014" s="2" t="n">
        <v>12092.41</v>
      </c>
      <c r="N1014" s="3" t="n">
        <f aca="false">(Tabla2[[#This Row],[Productividad (kg/TAS)]]*Tabla2[[#This Row],[Precio por kg]]-Tabla2[[#This Row],[Costos (En RD$/Tarea)]])</f>
        <v>4704.78658819515</v>
      </c>
      <c r="O1014" s="9" t="n">
        <f aca="false">IF(Tabla2[[#This Row],[Costos (En RD$/Tarea)]]=0,0,Tabla2[[#This Row],[Beneficio Neto  (En RD$/Tarea)]]/Tabla2[[#This Row],[Costos (En RD$/Tarea)]])</f>
        <v>0.389069390485035</v>
      </c>
      <c r="P1014" s="7" t="n">
        <f aca="false">Tabla2[[#This Row],[Rentabilidad (%)]]/12</f>
        <v>0.0324224492070863</v>
      </c>
    </row>
    <row r="1015" customFormat="false" ht="14.25" hidden="false" customHeight="false" outlineLevel="0" collapsed="false">
      <c r="A1015" s="1" t="n">
        <v>39083</v>
      </c>
      <c r="B1015" s="2" t="s">
        <v>24</v>
      </c>
      <c r="C1015" s="3" t="n">
        <v>7815</v>
      </c>
      <c r="D1015" s="8" t="s">
        <v>17</v>
      </c>
      <c r="E1015" s="3" t="n">
        <f aca="false">IF(Tabla2[[#This Row],[Frecuencia]]="Annual", Tabla2[[#This Row],[Cosecha/Tarea]]/12,Tabla2[[#This Row],[Cosecha/Tarea]])</f>
        <v>7815</v>
      </c>
      <c r="F1015" s="3" t="n">
        <v>69292</v>
      </c>
      <c r="G1015" s="2" t="s">
        <v>18</v>
      </c>
      <c r="H1015" s="2" t="n">
        <f aca="false">F1015/Tabla2[[#This Row],[Cosecha Mensual]]</f>
        <v>8.86653870761356</v>
      </c>
      <c r="I1015" s="2" t="n">
        <f aca="false">H1015*_xlfn.XLOOKUP(Tabla2[[#This Row],[Unidad de producción]],Tabla3[Medida],Tabla3[Equivalencia en Kg],"ELVIS",0)</f>
        <v>402.186195777351</v>
      </c>
      <c r="J1015" s="2" t="n">
        <v>846.708333333333</v>
      </c>
      <c r="K1015" s="2" t="s">
        <v>18</v>
      </c>
      <c r="L1015" s="2" t="n">
        <f aca="false">J1015/_xlfn.XLOOKUP(Tabla2[[#This Row],[Unidad de precio]],Tabla3[Medida],Tabla3[Equivalencia en Kg],"ELVIS",0)</f>
        <v>18.6664094650206</v>
      </c>
      <c r="M1015" s="2" t="n">
        <v>4803.45</v>
      </c>
      <c r="N1015" s="3" t="n">
        <f aca="false">(Tabla2[[#This Row],[Productividad (kg/TAS)]]*Tabla2[[#This Row],[Precio por kg]]-Tabla2[[#This Row],[Costos (En RD$/Tarea)]])</f>
        <v>2703.92221155897</v>
      </c>
      <c r="O1015" s="9" t="n">
        <f aca="false">IF(Tabla2[[#This Row],[Costos (En RD$/Tarea)]]=0,0,Tabla2[[#This Row],[Beneficio Neto  (En RD$/Tarea)]]/Tabla2[[#This Row],[Costos (En RD$/Tarea)]])</f>
        <v>0.562912534024288</v>
      </c>
      <c r="P1015" s="7" t="n">
        <f aca="false">Tabla2[[#This Row],[Rentabilidad (%)]]/12</f>
        <v>0.0469093778353573</v>
      </c>
    </row>
    <row r="1016" customFormat="false" ht="14.25" hidden="false" customHeight="false" outlineLevel="0" collapsed="false">
      <c r="A1016" s="1" t="n">
        <v>39083</v>
      </c>
      <c r="B1016" s="2" t="s">
        <v>25</v>
      </c>
      <c r="C1016" s="3" t="n">
        <v>24456</v>
      </c>
      <c r="D1016" s="8" t="s">
        <v>17</v>
      </c>
      <c r="E1016" s="3" t="n">
        <f aca="false">IF(Tabla2[[#This Row],[Frecuencia]]="Annual", Tabla2[[#This Row],[Cosecha/Tarea]]/12,Tabla2[[#This Row],[Cosecha/Tarea]])</f>
        <v>24456</v>
      </c>
      <c r="F1016" s="3" t="n">
        <v>267747</v>
      </c>
      <c r="G1016" s="2" t="s">
        <v>18</v>
      </c>
      <c r="H1016" s="2" t="n">
        <f aca="false">F1016/Tabla2[[#This Row],[Cosecha Mensual]]</f>
        <v>10.9481108930324</v>
      </c>
      <c r="I1016" s="2" t="n">
        <f aca="false">H1016*_xlfn.XLOOKUP(Tabla2[[#This Row],[Unidad de producción]],Tabla3[Medida],Tabla3[Equivalencia en Kg],"ELVIS",0)</f>
        <v>496.606310107949</v>
      </c>
      <c r="J1016" s="2" t="n">
        <v>232.978285714286</v>
      </c>
      <c r="K1016" s="2" t="s">
        <v>18</v>
      </c>
      <c r="L1016" s="2" t="n">
        <f aca="false">J1016/_xlfn.XLOOKUP(Tabla2[[#This Row],[Unidad de precio]],Tabla3[Medida],Tabla3[Equivalencia en Kg],"ELVIS",0)</f>
        <v>5.13620559334846</v>
      </c>
      <c r="M1016" s="2" t="n">
        <v>2341.04</v>
      </c>
      <c r="N1016" s="3" t="n">
        <f aca="false">(Tabla2[[#This Row],[Productividad (kg/TAS)]]*Tabla2[[#This Row],[Precio por kg]]-Tabla2[[#This Row],[Costos (En RD$/Tarea)]])</f>
        <v>209.632107668585</v>
      </c>
      <c r="O1016" s="9" t="n">
        <f aca="false">IF(Tabla2[[#This Row],[Costos (En RD$/Tarea)]]=0,0,Tabla2[[#This Row],[Beneficio Neto  (En RD$/Tarea)]]/Tabla2[[#This Row],[Costos (En RD$/Tarea)]])</f>
        <v>0.0895465723219532</v>
      </c>
      <c r="P1016" s="7" t="n">
        <f aca="false">Tabla2[[#This Row],[Rentabilidad (%)]]/12</f>
        <v>0.00746221436016277</v>
      </c>
    </row>
    <row r="1017" customFormat="false" ht="14.25" hidden="false" customHeight="false" outlineLevel="0" collapsed="false">
      <c r="A1017" s="1" t="n">
        <v>39083</v>
      </c>
      <c r="B1017" s="2" t="s">
        <v>26</v>
      </c>
      <c r="C1017" s="3" t="n">
        <v>10693</v>
      </c>
      <c r="D1017" s="8" t="s">
        <v>17</v>
      </c>
      <c r="E1017" s="3" t="n">
        <f aca="false">IF(Tabla2[[#This Row],[Frecuencia]]="Annual", Tabla2[[#This Row],[Cosecha/Tarea]]/12,Tabla2[[#This Row],[Cosecha/Tarea]])</f>
        <v>10693</v>
      </c>
      <c r="F1017" s="3" t="n">
        <v>68116</v>
      </c>
      <c r="G1017" s="2" t="s">
        <v>18</v>
      </c>
      <c r="H1017" s="2" t="n">
        <f aca="false">F1017/Tabla2[[#This Row],[Cosecha Mensual]]</f>
        <v>6.37014869540821</v>
      </c>
      <c r="I1017" s="2" t="n">
        <f aca="false">H1017*_xlfn.XLOOKUP(Tabla2[[#This Row],[Unidad de producción]],Tabla3[Medida],Tabla3[Equivalencia en Kg],"ELVIS",0)</f>
        <v>288.949944823716</v>
      </c>
      <c r="J1017" s="2" t="n">
        <v>532.375</v>
      </c>
      <c r="K1017" s="2" t="s">
        <v>18</v>
      </c>
      <c r="L1017" s="2" t="n">
        <f aca="false">J1017/_xlfn.XLOOKUP(Tabla2[[#This Row],[Unidad de precio]],Tabla3[Medida],Tabla3[Equivalencia en Kg],"ELVIS",0)</f>
        <v>11.7366622574956</v>
      </c>
      <c r="M1017" s="2" t="n">
        <v>970.18</v>
      </c>
      <c r="N1017" s="3" t="n">
        <f aca="false">(Tabla2[[#This Row],[Productividad (kg/TAS)]]*Tabla2[[#This Row],[Precio por kg]]-Tabla2[[#This Row],[Costos (En RD$/Tarea)]])</f>
        <v>2421.12791171795</v>
      </c>
      <c r="O1017" s="9" t="n">
        <f aca="false">IF(Tabla2[[#This Row],[Costos (En RD$/Tarea)]]=0,0,Tabla2[[#This Row],[Beneficio Neto  (En RD$/Tarea)]]/Tabla2[[#This Row],[Costos (En RD$/Tarea)]])</f>
        <v>2.49554506557334</v>
      </c>
      <c r="P1017" s="7" t="n">
        <f aca="false">Tabla2[[#This Row],[Rentabilidad (%)]]/12</f>
        <v>0.207962088797779</v>
      </c>
    </row>
    <row r="1018" customFormat="false" ht="14.25" hidden="false" customHeight="false" outlineLevel="0" collapsed="false">
      <c r="A1018" s="1" t="n">
        <v>39083</v>
      </c>
      <c r="B1018" s="2" t="s">
        <v>27</v>
      </c>
      <c r="C1018" s="3" t="n">
        <v>5238</v>
      </c>
      <c r="D1018" s="8" t="s">
        <v>17</v>
      </c>
      <c r="E1018" s="3" t="n">
        <f aca="false">IF(Tabla2[[#This Row],[Frecuencia]]="Annual", Tabla2[[#This Row],[Cosecha/Tarea]]/12,Tabla2[[#This Row],[Cosecha/Tarea]])</f>
        <v>5238</v>
      </c>
      <c r="F1018" s="3" t="n">
        <v>32397</v>
      </c>
      <c r="G1018" s="2" t="s">
        <v>18</v>
      </c>
      <c r="H1018" s="2" t="n">
        <f aca="false">F1018/Tabla2[[#This Row],[Cosecha Mensual]]</f>
        <v>6.18499427262314</v>
      </c>
      <c r="I1018" s="2" t="n">
        <f aca="false">H1018*_xlfn.XLOOKUP(Tabla2[[#This Row],[Unidad de producción]],Tabla3[Medida],Tabla3[Equivalencia en Kg],"ELVIS",0)</f>
        <v>280.551340206186</v>
      </c>
      <c r="J1018" s="2" t="n">
        <v>277.264</v>
      </c>
      <c r="K1018" s="2" t="s">
        <v>18</v>
      </c>
      <c r="L1018" s="2" t="n">
        <f aca="false">J1018/_xlfn.XLOOKUP(Tabla2[[#This Row],[Unidad de precio]],Tabla3[Medida],Tabla3[Equivalencia en Kg],"ELVIS",0)</f>
        <v>6.11252204585538</v>
      </c>
      <c r="M1018" s="2" t="n">
        <v>5280.51</v>
      </c>
      <c r="N1018" s="3" t="n">
        <f aca="false">(Tabla2[[#This Row],[Productividad (kg/TAS)]]*Tabla2[[#This Row],[Precio por kg]]-Tabla2[[#This Row],[Costos (En RD$/Tarea)]])</f>
        <v>-3565.63374799542</v>
      </c>
      <c r="O1018" s="9" t="n">
        <f aca="false">IF(Tabla2[[#This Row],[Costos (En RD$/Tarea)]]=0,0,Tabla2[[#This Row],[Beneficio Neto  (En RD$/Tarea)]]/Tabla2[[#This Row],[Costos (En RD$/Tarea)]])</f>
        <v>-0.675244199517739</v>
      </c>
      <c r="P1018" s="7" t="n">
        <f aca="false">Tabla2[[#This Row],[Rentabilidad (%)]]/12</f>
        <v>-0.0562703499598116</v>
      </c>
    </row>
    <row r="1019" customFormat="false" ht="14.25" hidden="false" customHeight="false" outlineLevel="0" collapsed="false">
      <c r="A1019" s="1" t="n">
        <v>39083</v>
      </c>
      <c r="B1019" s="2" t="s">
        <v>28</v>
      </c>
      <c r="C1019" s="3" t="n">
        <v>36381</v>
      </c>
      <c r="D1019" s="8" t="s">
        <v>17</v>
      </c>
      <c r="E1019" s="3" t="n">
        <f aca="false">IF(Tabla2[[#This Row],[Frecuencia]]="Annual", Tabla2[[#This Row],[Cosecha/Tarea]]/12,Tabla2[[#This Row],[Cosecha/Tarea]])</f>
        <v>36381</v>
      </c>
      <c r="F1019" s="3" t="n">
        <v>27069</v>
      </c>
      <c r="G1019" s="2" t="s">
        <v>29</v>
      </c>
      <c r="H1019" s="2" t="n">
        <f aca="false">F1019/Tabla2[[#This Row],[Cosecha Mensual]]</f>
        <v>0.744042219840026</v>
      </c>
      <c r="I1019" s="2" t="n">
        <f aca="false">H1019*_xlfn.XLOOKUP(Tabla2[[#This Row],[Unidad de producción]],Tabla3[Medida],Tabla3[Equivalencia en Kg],"ELVIS",0)</f>
        <v>418.40470190484</v>
      </c>
      <c r="J1019" s="2" t="n">
        <v>5708.25</v>
      </c>
      <c r="K1019" s="2" t="s">
        <v>29</v>
      </c>
      <c r="L1019" s="2" t="n">
        <f aca="false">J1019/_xlfn.XLOOKUP(Tabla2[[#This Row],[Unidad de precio]],Tabla3[Medida],Tabla3[Equivalencia en Kg],"ELVIS",0)</f>
        <v>10.1508873635167</v>
      </c>
      <c r="M1019" s="2" t="n">
        <v>10097.26</v>
      </c>
      <c r="N1019" s="3" t="n">
        <f aca="false">(Tabla2[[#This Row],[Productividad (kg/TAS)]]*Tabla2[[#This Row],[Precio por kg]]-Tabla2[[#This Row],[Costos (En RD$/Tarea)]])</f>
        <v>-5850.08099859817</v>
      </c>
      <c r="O1019" s="9" t="n">
        <f aca="false">IF(Tabla2[[#This Row],[Costos (En RD$/Tarea)]]=0,0,Tabla2[[#This Row],[Beneficio Neto  (En RD$/Tarea)]]/Tabla2[[#This Row],[Costos (En RD$/Tarea)]])</f>
        <v>-0.579373116924608</v>
      </c>
      <c r="P1019" s="7" t="n">
        <f aca="false">Tabla2[[#This Row],[Rentabilidad (%)]]/12</f>
        <v>-0.0482810930770507</v>
      </c>
    </row>
    <row r="1020" customFormat="false" ht="14.25" hidden="false" customHeight="false" outlineLevel="0" collapsed="false">
      <c r="A1020" s="1" t="n">
        <v>39083</v>
      </c>
      <c r="B1020" s="2" t="s">
        <v>30</v>
      </c>
      <c r="C1020" s="3" t="n">
        <v>312015</v>
      </c>
      <c r="D1020" s="3" t="s">
        <v>31</v>
      </c>
      <c r="E1020" s="3" t="n">
        <f aca="false">IF(Tabla2[[#This Row],[Frecuencia]]="Annual", Tabla2[[#This Row],[Cosecha/Tarea]]/12,Tabla2[[#This Row],[Cosecha/Tarea]])</f>
        <v>26001.25</v>
      </c>
      <c r="F1020" s="3" t="n">
        <v>1842678</v>
      </c>
      <c r="G1020" s="2" t="s">
        <v>32</v>
      </c>
      <c r="H1020" s="2" t="n">
        <f aca="false">F1020/Tabla2[[#This Row],[Cosecha Mensual]]</f>
        <v>70.8688236142493</v>
      </c>
      <c r="I1020" s="2" t="n">
        <f aca="false">H1020*_xlfn.XLOOKUP(Tabla2[[#This Row],[Unidad de producción]],Tabla3[Medida],Tabla3[Equivalencia en Kg],"ELVIS",0)</f>
        <v>1928.34069054372</v>
      </c>
      <c r="J1020" s="2" t="n">
        <v>68.1757142857143</v>
      </c>
      <c r="K1020" s="2" t="s">
        <v>32</v>
      </c>
      <c r="L1020" s="2" t="n">
        <f aca="false">J1020/_xlfn.XLOOKUP(Tabla2[[#This Row],[Unidad de precio]],Tabla3[Medida],Tabla3[Equivalencia en Kg],"ELVIS",0)</f>
        <v>2.50553893001523</v>
      </c>
      <c r="M1020" s="3" t="n">
        <v>8303.36</v>
      </c>
      <c r="N1020" s="3" t="n">
        <f aca="false">(Tabla2[[#This Row],[Productividad (kg/TAS)]]*Tabla2[[#This Row],[Precio por kg]]-Tabla2[[#This Row],[Costos (En RD$/Tarea)]])</f>
        <v>-3471.82732951026</v>
      </c>
      <c r="O1020" s="9" t="n">
        <f aca="false">IF(Tabla2[[#This Row],[Costos (En RD$/Tarea)]]=0,0,Tabla2[[#This Row],[Beneficio Neto  (En RD$/Tarea)]]/Tabla2[[#This Row],[Costos (En RD$/Tarea)]])</f>
        <v>-0.418123185013086</v>
      </c>
      <c r="P1020" s="7" t="n">
        <f aca="false">Tabla2[[#This Row],[Rentabilidad (%)]]/12</f>
        <v>-0.0348435987510905</v>
      </c>
    </row>
    <row r="1021" customFormat="false" ht="14.25" hidden="false" customHeight="false" outlineLevel="0" collapsed="false">
      <c r="A1021" s="1" t="n">
        <v>39083</v>
      </c>
      <c r="B1021" s="2" t="s">
        <v>33</v>
      </c>
      <c r="C1021" s="3" t="n">
        <v>743353</v>
      </c>
      <c r="D1021" s="3" t="s">
        <v>31</v>
      </c>
      <c r="E1021" s="3" t="n">
        <f aca="false">IF(Tabla2[[#This Row],[Frecuencia]]="Annual", Tabla2[[#This Row],[Cosecha/Tarea]]/12,Tabla2[[#This Row],[Cosecha/Tarea]])</f>
        <v>61946.0833333333</v>
      </c>
      <c r="F1021" s="3" t="n">
        <v>135689</v>
      </c>
      <c r="G1021" s="2" t="s">
        <v>34</v>
      </c>
      <c r="H1021" s="2" t="n">
        <f aca="false">F1021/Tabla2[[#This Row],[Cosecha Mensual]]</f>
        <v>2.19043711399564</v>
      </c>
      <c r="I1021" s="2" t="n">
        <f aca="false">H1021*_xlfn.XLOOKUP(Tabla2[[#This Row],[Unidad de producción]],Tabla3[Medida],Tabla3[Equivalencia en Kg],"ELVIS",0)</f>
        <v>894.02690807732</v>
      </c>
      <c r="J1021" s="2" t="n">
        <v>2993.14166666667</v>
      </c>
      <c r="K1021" s="2" t="s">
        <v>34</v>
      </c>
      <c r="L1021" s="2" t="n">
        <f aca="false">J1021/_xlfn.XLOOKUP(Tabla2[[#This Row],[Unidad de precio]],Tabla3[Medida],Tabla3[Equivalencia en Kg],"ELVIS",0)</f>
        <v>7.33343541998449</v>
      </c>
      <c r="M1021" s="3" t="n">
        <v>11167.89</v>
      </c>
      <c r="N1021" s="3" t="n">
        <f aca="false">(Tabla2[[#This Row],[Productividad (kg/TAS)]]*Tabla2[[#This Row],[Precio por kg]]-Tabla2[[#This Row],[Costos (En RD$/Tarea)]])</f>
        <v>-4611.60140588656</v>
      </c>
      <c r="O1021" s="9" t="n">
        <f aca="false">IF(Tabla2[[#This Row],[Costos (En RD$/Tarea)]]=0,0,Tabla2[[#This Row],[Beneficio Neto  (En RD$/Tarea)]]/Tabla2[[#This Row],[Costos (En RD$/Tarea)]])</f>
        <v>-0.41293399253454</v>
      </c>
      <c r="P1021" s="7" t="n">
        <f aca="false">Tabla2[[#This Row],[Rentabilidad (%)]]/12</f>
        <v>-0.034411166044545</v>
      </c>
    </row>
    <row r="1022" customFormat="false" ht="14.25" hidden="false" customHeight="false" outlineLevel="0" collapsed="false">
      <c r="A1022" s="1" t="n">
        <v>39114</v>
      </c>
      <c r="B1022" s="2" t="s">
        <v>16</v>
      </c>
      <c r="C1022" s="3" t="n">
        <v>2022</v>
      </c>
      <c r="D1022" s="8" t="s">
        <v>17</v>
      </c>
      <c r="E1022" s="3" t="n">
        <f aca="false">IF(Tabla2[[#This Row],[Frecuencia]]="Annual", Tabla2[[#This Row],[Cosecha/Tarea]]/12,Tabla2[[#This Row],[Cosecha/Tarea]])</f>
        <v>2022</v>
      </c>
      <c r="F1022" s="3" t="n">
        <v>4799</v>
      </c>
      <c r="G1022" s="2" t="s">
        <v>18</v>
      </c>
      <c r="H1022" s="2" t="n">
        <f aca="false">F1022/Tabla2[[#This Row],[Cosecha Mensual]]</f>
        <v>2.37339268051434</v>
      </c>
      <c r="I1022" s="2" t="n">
        <f aca="false">H1022*_xlfn.XLOOKUP(Tabla2[[#This Row],[Unidad de producción]],Tabla3[Medida],Tabla3[Equivalencia en Kg],"ELVIS",0)</f>
        <v>107.657091988131</v>
      </c>
      <c r="J1022" s="2" t="n">
        <v>1329.83333333333</v>
      </c>
      <c r="K1022" s="2" t="s">
        <v>19</v>
      </c>
      <c r="L1022" s="2" t="n">
        <f aca="false">J1022/_xlfn.XLOOKUP(Tabla2[[#This Row],[Unidad de precio]],Tabla3[Medida],Tabla3[Equivalencia en Kg],"ELVIS",0)</f>
        <v>12.0893939393939</v>
      </c>
      <c r="M1022" s="2" t="n">
        <v>5339.5</v>
      </c>
      <c r="N1022" s="3" t="n">
        <f aca="false">(Tabla2[[#This Row],[Productividad (kg/TAS)]]*Tabla2[[#This Row],[Precio por kg]]-Tabla2[[#This Row],[Costos (En RD$/Tarea)]])</f>
        <v>-4037.99100458592</v>
      </c>
      <c r="O1022" s="9" t="n">
        <f aca="false">IF(Tabla2[[#This Row],[Costos (En RD$/Tarea)]]=0,0,Tabla2[[#This Row],[Beneficio Neto  (En RD$/Tarea)]]/Tabla2[[#This Row],[Costos (En RD$/Tarea)]])</f>
        <v>-0.756248900568578</v>
      </c>
      <c r="P1022" s="7" t="n">
        <f aca="false">Tabla2[[#This Row],[Rentabilidad (%)]]/12</f>
        <v>-0.0630207417140482</v>
      </c>
    </row>
    <row r="1023" customFormat="false" ht="14.25" hidden="false" customHeight="false" outlineLevel="0" collapsed="false">
      <c r="A1023" s="1" t="n">
        <v>39114</v>
      </c>
      <c r="B1023" s="2" t="s">
        <v>20</v>
      </c>
      <c r="C1023" s="3" t="n">
        <v>21005</v>
      </c>
      <c r="D1023" s="8" t="s">
        <v>17</v>
      </c>
      <c r="E1023" s="3" t="n">
        <f aca="false">IF(Tabla2[[#This Row],[Frecuencia]]="Annual", Tabla2[[#This Row],[Cosecha/Tarea]]/12,Tabla2[[#This Row],[Cosecha/Tarea]])</f>
        <v>21005</v>
      </c>
      <c r="F1023" s="3" t="n">
        <v>29415</v>
      </c>
      <c r="G1023" s="2" t="s">
        <v>18</v>
      </c>
      <c r="H1023" s="2" t="n">
        <f aca="false">F1023/Tabla2[[#This Row],[Cosecha Mensual]]</f>
        <v>1.4003808616996</v>
      </c>
      <c r="I1023" s="2" t="n">
        <f aca="false">H1023*_xlfn.XLOOKUP(Tabla2[[#This Row],[Unidad de producción]],Tabla3[Medida],Tabla3[Equivalencia en Kg],"ELVIS",0)</f>
        <v>63.5212758866936</v>
      </c>
      <c r="J1023" s="2" t="n">
        <v>372.598728</v>
      </c>
      <c r="K1023" s="2" t="s">
        <v>18</v>
      </c>
      <c r="L1023" s="2" t="n">
        <f aca="false">J1023/_xlfn.XLOOKUP(Tabla2[[#This Row],[Unidad de precio]],Tabla3[Medida],Tabla3[Equivalencia en Kg],"ELVIS",0)</f>
        <v>8.21425767195767</v>
      </c>
      <c r="M1023" s="2" t="n">
        <v>1417.48</v>
      </c>
      <c r="N1023" s="3" t="n">
        <f aca="false">(Tabla2[[#This Row],[Productividad (kg/TAS)]]*Tabla2[[#This Row],[Precio por kg]]-Tabla2[[#This Row],[Costos (En RD$/Tarea)]])</f>
        <v>-895.699872215187</v>
      </c>
      <c r="O1023" s="9" t="n">
        <f aca="false">IF(Tabla2[[#This Row],[Costos (En RD$/Tarea)]]=0,0,Tabla2[[#This Row],[Beneficio Neto  (En RD$/Tarea)]]/Tabla2[[#This Row],[Costos (En RD$/Tarea)]])</f>
        <v>-0.631895950711959</v>
      </c>
      <c r="P1023" s="7" t="n">
        <f aca="false">Tabla2[[#This Row],[Rentabilidad (%)]]/12</f>
        <v>-0.0526579958926632</v>
      </c>
    </row>
    <row r="1024" customFormat="false" ht="14.25" hidden="false" customHeight="false" outlineLevel="0" collapsed="false">
      <c r="A1024" s="1" t="n">
        <v>39114</v>
      </c>
      <c r="B1024" s="2" t="s">
        <v>21</v>
      </c>
      <c r="C1024" s="3" t="n">
        <v>8805</v>
      </c>
      <c r="D1024" s="8" t="s">
        <v>17</v>
      </c>
      <c r="E1024" s="3" t="n">
        <f aca="false">IF(Tabla2[[#This Row],[Frecuencia]]="Annual", Tabla2[[#This Row],[Cosecha/Tarea]]/12,Tabla2[[#This Row],[Cosecha/Tarea]])</f>
        <v>8805</v>
      </c>
      <c r="F1024" s="3" t="n">
        <v>95350</v>
      </c>
      <c r="G1024" s="2" t="s">
        <v>18</v>
      </c>
      <c r="H1024" s="2" t="n">
        <f aca="false">F1024/Tabla2[[#This Row],[Cosecha Mensual]]</f>
        <v>10.8290743895514</v>
      </c>
      <c r="I1024" s="2" t="n">
        <f aca="false">H1024*_xlfn.XLOOKUP(Tabla2[[#This Row],[Unidad de producción]],Tabla3[Medida],Tabla3[Equivalencia en Kg],"ELVIS",0)</f>
        <v>491.206814310051</v>
      </c>
      <c r="J1024" s="2" t="n">
        <v>201.872</v>
      </c>
      <c r="K1024" s="2" t="s">
        <v>18</v>
      </c>
      <c r="L1024" s="2" t="n">
        <f aca="false">J1024/_xlfn.XLOOKUP(Tabla2[[#This Row],[Unidad de precio]],Tabla3[Medida],Tabla3[Equivalencia en Kg],"ELVIS",0)</f>
        <v>4.45044091710758</v>
      </c>
      <c r="M1024" s="2" t="n">
        <v>2131.605</v>
      </c>
      <c r="N1024" s="3" t="n">
        <f aca="false">(Tabla2[[#This Row],[Productividad (kg/TAS)]]*Tabla2[[#This Row],[Precio por kg]]-Tabla2[[#This Row],[Costos (En RD$/Tarea)]])</f>
        <v>54.4819051675186</v>
      </c>
      <c r="O1024" s="9" t="n">
        <f aca="false">IF(Tabla2[[#This Row],[Costos (En RD$/Tarea)]]=0,0,Tabla2[[#This Row],[Beneficio Neto  (En RD$/Tarea)]]/Tabla2[[#This Row],[Costos (En RD$/Tarea)]])</f>
        <v>0.0255590999118123</v>
      </c>
      <c r="P1024" s="7" t="n">
        <f aca="false">Tabla2[[#This Row],[Rentabilidad (%)]]/12</f>
        <v>0.00212992499265102</v>
      </c>
    </row>
    <row r="1025" customFormat="false" ht="14.25" hidden="false" customHeight="false" outlineLevel="0" collapsed="false">
      <c r="A1025" s="1" t="n">
        <v>39114</v>
      </c>
      <c r="B1025" s="2" t="s">
        <v>22</v>
      </c>
      <c r="C1025" s="3" t="n">
        <v>9595</v>
      </c>
      <c r="D1025" s="8" t="s">
        <v>17</v>
      </c>
      <c r="E1025" s="3" t="n">
        <f aca="false">IF(Tabla2[[#This Row],[Frecuencia]]="Annual", Tabla2[[#This Row],[Cosecha/Tarea]]/12,Tabla2[[#This Row],[Cosecha/Tarea]])</f>
        <v>9595</v>
      </c>
      <c r="F1025" s="3" t="n">
        <v>80997</v>
      </c>
      <c r="G1025" s="2" t="s">
        <v>18</v>
      </c>
      <c r="H1025" s="2" t="n">
        <f aca="false">F1025/Tabla2[[#This Row],[Cosecha Mensual]]</f>
        <v>8.44158415841584</v>
      </c>
      <c r="I1025" s="2" t="n">
        <f aca="false">H1025*_xlfn.XLOOKUP(Tabla2[[#This Row],[Unidad de producción]],Tabla3[Medida],Tabla3[Equivalencia en Kg],"ELVIS",0)</f>
        <v>382.910257425743</v>
      </c>
      <c r="J1025" s="2" t="n">
        <v>931.2</v>
      </c>
      <c r="K1025" s="2" t="s">
        <v>18</v>
      </c>
      <c r="L1025" s="2" t="n">
        <f aca="false">J1025/_xlfn.XLOOKUP(Tabla2[[#This Row],[Unidad de precio]],Tabla3[Medida],Tabla3[Equivalencia en Kg],"ELVIS",0)</f>
        <v>20.5291005291005</v>
      </c>
      <c r="M1025" s="2" t="n">
        <v>6063.13</v>
      </c>
      <c r="N1025" s="3" t="n">
        <f aca="false">(Tabla2[[#This Row],[Productividad (kg/TAS)]]*Tabla2[[#This Row],[Precio por kg]]-Tabla2[[#This Row],[Costos (En RD$/Tarea)]])</f>
        <v>1797.67316831683</v>
      </c>
      <c r="O1025" s="9" t="n">
        <f aca="false">IF(Tabla2[[#This Row],[Costos (En RD$/Tarea)]]=0,0,Tabla2[[#This Row],[Beneficio Neto  (En RD$/Tarea)]]/Tabla2[[#This Row],[Costos (En RD$/Tarea)]])</f>
        <v>0.296492598429661</v>
      </c>
      <c r="P1025" s="7" t="n">
        <f aca="false">Tabla2[[#This Row],[Rentabilidad (%)]]/12</f>
        <v>0.0247077165358051</v>
      </c>
    </row>
    <row r="1026" customFormat="false" ht="14.25" hidden="false" customHeight="false" outlineLevel="0" collapsed="false">
      <c r="A1026" s="1" t="n">
        <v>39114</v>
      </c>
      <c r="B1026" s="2" t="s">
        <v>23</v>
      </c>
      <c r="C1026" s="3" t="n">
        <v>3105</v>
      </c>
      <c r="D1026" s="8" t="s">
        <v>17</v>
      </c>
      <c r="E1026" s="3" t="n">
        <f aca="false">IF(Tabla2[[#This Row],[Frecuencia]]="Annual", Tabla2[[#This Row],[Cosecha/Tarea]]/12,Tabla2[[#This Row],[Cosecha/Tarea]])</f>
        <v>3105</v>
      </c>
      <c r="F1026" s="3" t="n">
        <v>97888</v>
      </c>
      <c r="G1026" s="2" t="s">
        <v>18</v>
      </c>
      <c r="H1026" s="2" t="n">
        <f aca="false">F1026/Tabla2[[#This Row],[Cosecha Mensual]]</f>
        <v>31.5259259259259</v>
      </c>
      <c r="I1026" s="2" t="n">
        <f aca="false">H1026*_xlfn.XLOOKUP(Tabla2[[#This Row],[Unidad de producción]],Tabla3[Medida],Tabla3[Equivalencia en Kg],"ELVIS",0)</f>
        <v>1430.016</v>
      </c>
      <c r="J1026" s="2" t="n">
        <v>955.916666666667</v>
      </c>
      <c r="K1026" s="2" t="s">
        <v>18</v>
      </c>
      <c r="L1026" s="2" t="n">
        <f aca="false">J1026/_xlfn.XLOOKUP(Tabla2[[#This Row],[Unidad de precio]],Tabla3[Medida],Tabla3[Equivalencia en Kg],"ELVIS",0)</f>
        <v>21.0740005878895</v>
      </c>
      <c r="M1026" s="2" t="n">
        <v>12092.41</v>
      </c>
      <c r="N1026" s="3" t="n">
        <f aca="false">(Tabla2[[#This Row],[Productividad (kg/TAS)]]*Tabla2[[#This Row],[Precio por kg]]-Tabla2[[#This Row],[Costos (En RD$/Tarea)]])</f>
        <v>18043.7480246914</v>
      </c>
      <c r="O1026" s="9" t="n">
        <f aca="false">IF(Tabla2[[#This Row],[Costos (En RD$/Tarea)]]=0,0,Tabla2[[#This Row],[Beneficio Neto  (En RD$/Tarea)]]/Tabla2[[#This Row],[Costos (En RD$/Tarea)]])</f>
        <v>1.49215483304745</v>
      </c>
      <c r="P1026" s="7" t="n">
        <f aca="false">Tabla2[[#This Row],[Rentabilidad (%)]]/12</f>
        <v>0.124346236087288</v>
      </c>
    </row>
    <row r="1027" customFormat="false" ht="14.25" hidden="false" customHeight="false" outlineLevel="0" collapsed="false">
      <c r="A1027" s="1" t="n">
        <v>39114</v>
      </c>
      <c r="B1027" s="2" t="s">
        <v>24</v>
      </c>
      <c r="C1027" s="3" t="n">
        <v>9034</v>
      </c>
      <c r="D1027" s="8" t="s">
        <v>17</v>
      </c>
      <c r="E1027" s="3" t="n">
        <f aca="false">IF(Tabla2[[#This Row],[Frecuencia]]="Annual", Tabla2[[#This Row],[Cosecha/Tarea]]/12,Tabla2[[#This Row],[Cosecha/Tarea]])</f>
        <v>9034</v>
      </c>
      <c r="F1027" s="3" t="n">
        <v>78965</v>
      </c>
      <c r="G1027" s="2" t="s">
        <v>18</v>
      </c>
      <c r="H1027" s="2" t="n">
        <f aca="false">F1027/Tabla2[[#This Row],[Cosecha Mensual]]</f>
        <v>8.74086783263228</v>
      </c>
      <c r="I1027" s="2" t="n">
        <f aca="false">H1027*_xlfn.XLOOKUP(Tabla2[[#This Row],[Unidad de producción]],Tabla3[Medida],Tabla3[Equivalencia en Kg],"ELVIS",0)</f>
        <v>396.4857648882</v>
      </c>
      <c r="J1027" s="2" t="n">
        <v>890.916666666667</v>
      </c>
      <c r="K1027" s="2" t="s">
        <v>18</v>
      </c>
      <c r="L1027" s="2" t="n">
        <f aca="false">J1027/_xlfn.XLOOKUP(Tabla2[[#This Row],[Unidad de precio]],Tabla3[Medida],Tabla3[Equivalencia en Kg],"ELVIS",0)</f>
        <v>19.6410199882422</v>
      </c>
      <c r="M1027" s="2" t="n">
        <v>4803.45</v>
      </c>
      <c r="N1027" s="3" t="n">
        <f aca="false">(Tabla2[[#This Row],[Productividad (kg/TAS)]]*Tabla2[[#This Row],[Precio por kg]]-Tabla2[[#This Row],[Costos (En RD$/Tarea)]])</f>
        <v>2983.93483322264</v>
      </c>
      <c r="O1027" s="9" t="n">
        <f aca="false">IF(Tabla2[[#This Row],[Costos (En RD$/Tarea)]]=0,0,Tabla2[[#This Row],[Beneficio Neto  (En RD$/Tarea)]]/Tabla2[[#This Row],[Costos (En RD$/Tarea)]])</f>
        <v>0.621206598012396</v>
      </c>
      <c r="P1027" s="7" t="n">
        <f aca="false">Tabla2[[#This Row],[Rentabilidad (%)]]/12</f>
        <v>0.051767216501033</v>
      </c>
    </row>
    <row r="1028" customFormat="false" ht="14.25" hidden="false" customHeight="false" outlineLevel="0" collapsed="false">
      <c r="A1028" s="1" t="n">
        <v>39114</v>
      </c>
      <c r="B1028" s="2" t="s">
        <v>25</v>
      </c>
      <c r="C1028" s="3" t="n">
        <v>31169</v>
      </c>
      <c r="D1028" s="8" t="s">
        <v>17</v>
      </c>
      <c r="E1028" s="3" t="n">
        <f aca="false">IF(Tabla2[[#This Row],[Frecuencia]]="Annual", Tabla2[[#This Row],[Cosecha/Tarea]]/12,Tabla2[[#This Row],[Cosecha/Tarea]])</f>
        <v>31169</v>
      </c>
      <c r="F1028" s="3" t="n">
        <v>331949</v>
      </c>
      <c r="G1028" s="2" t="s">
        <v>18</v>
      </c>
      <c r="H1028" s="2" t="n">
        <f aca="false">F1028/Tabla2[[#This Row],[Cosecha Mensual]]</f>
        <v>10.6499727293144</v>
      </c>
      <c r="I1028" s="2" t="n">
        <f aca="false">H1028*_xlfn.XLOOKUP(Tabla2[[#This Row],[Unidad de producción]],Tabla3[Medida],Tabla3[Equivalencia en Kg],"ELVIS",0)</f>
        <v>483.0827630017</v>
      </c>
      <c r="J1028" s="2" t="n">
        <v>264.506571428571</v>
      </c>
      <c r="K1028" s="2" t="s">
        <v>18</v>
      </c>
      <c r="L1028" s="2" t="n">
        <f aca="false">J1028/_xlfn.XLOOKUP(Tabla2[[#This Row],[Unidad de precio]],Tabla3[Medida],Tabla3[Equivalencia en Kg],"ELVIS",0)</f>
        <v>5.83127362055933</v>
      </c>
      <c r="M1028" s="2" t="n">
        <v>2341.04</v>
      </c>
      <c r="N1028" s="3" t="n">
        <f aca="false">(Tabla2[[#This Row],[Productividad (kg/TAS)]]*Tabla2[[#This Row],[Precio por kg]]-Tabla2[[#This Row],[Costos (En RD$/Tarea)]])</f>
        <v>475.947772438728</v>
      </c>
      <c r="O1028" s="9" t="n">
        <f aca="false">IF(Tabla2[[#This Row],[Costos (En RD$/Tarea)]]=0,0,Tabla2[[#This Row],[Beneficio Neto  (En RD$/Tarea)]]/Tabla2[[#This Row],[Costos (En RD$/Tarea)]])</f>
        <v>0.203306125670099</v>
      </c>
      <c r="P1028" s="7" t="n">
        <f aca="false">Tabla2[[#This Row],[Rentabilidad (%)]]/12</f>
        <v>0.0169421771391749</v>
      </c>
    </row>
    <row r="1029" customFormat="false" ht="14.25" hidden="false" customHeight="false" outlineLevel="0" collapsed="false">
      <c r="A1029" s="1" t="n">
        <v>39114</v>
      </c>
      <c r="B1029" s="2" t="s">
        <v>26</v>
      </c>
      <c r="C1029" s="3" t="n">
        <v>15005</v>
      </c>
      <c r="D1029" s="8" t="s">
        <v>17</v>
      </c>
      <c r="E1029" s="3" t="n">
        <f aca="false">IF(Tabla2[[#This Row],[Frecuencia]]="Annual", Tabla2[[#This Row],[Cosecha/Tarea]]/12,Tabla2[[#This Row],[Cosecha/Tarea]])</f>
        <v>15005</v>
      </c>
      <c r="F1029" s="3" t="n">
        <v>86112</v>
      </c>
      <c r="G1029" s="2" t="s">
        <v>18</v>
      </c>
      <c r="H1029" s="2" t="n">
        <f aca="false">F1029/Tabla2[[#This Row],[Cosecha Mensual]]</f>
        <v>5.73888703765412</v>
      </c>
      <c r="I1029" s="2" t="n">
        <f aca="false">H1029*_xlfn.XLOOKUP(Tabla2[[#This Row],[Unidad de producción]],Tabla3[Medida],Tabla3[Equivalencia en Kg],"ELVIS",0)</f>
        <v>260.315916027991</v>
      </c>
      <c r="J1029" s="2" t="n">
        <v>440.9175</v>
      </c>
      <c r="K1029" s="2" t="s">
        <v>18</v>
      </c>
      <c r="L1029" s="2" t="n">
        <f aca="false">J1029/_xlfn.XLOOKUP(Tabla2[[#This Row],[Unidad de precio]],Tabla3[Medida],Tabla3[Equivalencia en Kg],"ELVIS",0)</f>
        <v>9.72040343915344</v>
      </c>
      <c r="M1029" s="2" t="n">
        <v>970.18</v>
      </c>
      <c r="N1029" s="3" t="n">
        <f aca="false">(Tabla2[[#This Row],[Productividad (kg/TAS)]]*Tabla2[[#This Row],[Precio por kg]]-Tabla2[[#This Row],[Costos (En RD$/Tarea)]])</f>
        <v>1560.19572542486</v>
      </c>
      <c r="O1029" s="9" t="n">
        <f aca="false">IF(Tabla2[[#This Row],[Costos (En RD$/Tarea)]]=0,0,Tabla2[[#This Row],[Beneficio Neto  (En RD$/Tarea)]]/Tabla2[[#This Row],[Costos (En RD$/Tarea)]])</f>
        <v>1.60815078173623</v>
      </c>
      <c r="P1029" s="7" t="n">
        <f aca="false">Tabla2[[#This Row],[Rentabilidad (%)]]/12</f>
        <v>0.134012565144686</v>
      </c>
    </row>
    <row r="1030" customFormat="false" ht="14.25" hidden="false" customHeight="false" outlineLevel="0" collapsed="false">
      <c r="A1030" s="1" t="n">
        <v>39114</v>
      </c>
      <c r="B1030" s="2" t="s">
        <v>27</v>
      </c>
      <c r="C1030" s="3" t="n">
        <v>5675</v>
      </c>
      <c r="D1030" s="8" t="s">
        <v>17</v>
      </c>
      <c r="E1030" s="3" t="n">
        <f aca="false">IF(Tabla2[[#This Row],[Frecuencia]]="Annual", Tabla2[[#This Row],[Cosecha/Tarea]]/12,Tabla2[[#This Row],[Cosecha/Tarea]])</f>
        <v>5675</v>
      </c>
      <c r="F1030" s="3" t="n">
        <v>42306</v>
      </c>
      <c r="G1030" s="2" t="s">
        <v>18</v>
      </c>
      <c r="H1030" s="2" t="n">
        <f aca="false">F1030/Tabla2[[#This Row],[Cosecha Mensual]]</f>
        <v>7.45480176211454</v>
      </c>
      <c r="I1030" s="2" t="n">
        <f aca="false">H1030*_xlfn.XLOOKUP(Tabla2[[#This Row],[Unidad de producción]],Tabla3[Medida],Tabla3[Equivalencia en Kg],"ELVIS",0)</f>
        <v>338.149807929515</v>
      </c>
      <c r="J1030" s="2" t="n">
        <v>231.553333333334</v>
      </c>
      <c r="K1030" s="2" t="s">
        <v>18</v>
      </c>
      <c r="L1030" s="2" t="n">
        <f aca="false">J1030/_xlfn.XLOOKUP(Tabla2[[#This Row],[Unidad de precio]],Tabla3[Medida],Tabla3[Equivalencia en Kg],"ELVIS",0)</f>
        <v>5.10479129923576</v>
      </c>
      <c r="M1030" s="2" t="n">
        <v>5280.51</v>
      </c>
      <c r="N1030" s="3" t="n">
        <f aca="false">(Tabla2[[#This Row],[Productividad (kg/TAS)]]*Tabla2[[#This Row],[Precio por kg]]-Tabla2[[#This Row],[Costos (En RD$/Tarea)]])</f>
        <v>-3554.32580264317</v>
      </c>
      <c r="O1030" s="9" t="n">
        <f aca="false">IF(Tabla2[[#This Row],[Costos (En RD$/Tarea)]]=0,0,Tabla2[[#This Row],[Beneficio Neto  (En RD$/Tarea)]]/Tabla2[[#This Row],[Costos (En RD$/Tarea)]])</f>
        <v>-0.673102750045576</v>
      </c>
      <c r="P1030" s="7" t="n">
        <f aca="false">Tabla2[[#This Row],[Rentabilidad (%)]]/12</f>
        <v>-0.0560918958371314</v>
      </c>
    </row>
    <row r="1031" customFormat="false" ht="14.25" hidden="false" customHeight="false" outlineLevel="0" collapsed="false">
      <c r="A1031" s="1" t="n">
        <v>39114</v>
      </c>
      <c r="B1031" s="2" t="s">
        <v>28</v>
      </c>
      <c r="C1031" s="3" t="n">
        <v>22831</v>
      </c>
      <c r="D1031" s="8" t="s">
        <v>17</v>
      </c>
      <c r="E1031" s="3" t="n">
        <f aca="false">IF(Tabla2[[#This Row],[Frecuencia]]="Annual", Tabla2[[#This Row],[Cosecha/Tarea]]/12,Tabla2[[#This Row],[Cosecha/Tarea]])</f>
        <v>22831</v>
      </c>
      <c r="F1031" s="3" t="n">
        <v>16243</v>
      </c>
      <c r="G1031" s="2" t="s">
        <v>29</v>
      </c>
      <c r="H1031" s="2" t="n">
        <f aca="false">F1031/Tabla2[[#This Row],[Cosecha Mensual]]</f>
        <v>0.711444965178923</v>
      </c>
      <c r="I1031" s="2" t="n">
        <f aca="false">H1031*_xlfn.XLOOKUP(Tabla2[[#This Row],[Unidad de producción]],Tabla3[Medida],Tabla3[Equivalencia en Kg],"ELVIS",0)</f>
        <v>400.073961718716</v>
      </c>
      <c r="J1031" s="2" t="n">
        <v>6462.0825</v>
      </c>
      <c r="K1031" s="2" t="s">
        <v>29</v>
      </c>
      <c r="L1031" s="2" t="n">
        <f aca="false">J1031/_xlfn.XLOOKUP(Tabla2[[#This Row],[Unidad de precio]],Tabla3[Medida],Tabla3[Equivalencia en Kg],"ELVIS",0)</f>
        <v>11.4914153359178</v>
      </c>
      <c r="M1031" s="2" t="n">
        <v>10097.26</v>
      </c>
      <c r="N1031" s="3" t="n">
        <f aca="false">(Tabla2[[#This Row],[Productividad (kg/TAS)]]*Tabla2[[#This Row],[Precio por kg]]-Tabla2[[#This Row],[Costos (En RD$/Tarea)]])</f>
        <v>-5499.84394080417</v>
      </c>
      <c r="O1031" s="9" t="n">
        <f aca="false">IF(Tabla2[[#This Row],[Costos (En RD$/Tarea)]]=0,0,Tabla2[[#This Row],[Beneficio Neto  (En RD$/Tarea)]]/Tabla2[[#This Row],[Costos (En RD$/Tarea)]])</f>
        <v>-0.544686770550047</v>
      </c>
      <c r="P1031" s="7" t="n">
        <f aca="false">Tabla2[[#This Row],[Rentabilidad (%)]]/12</f>
        <v>-0.0453905642125039</v>
      </c>
    </row>
    <row r="1032" customFormat="false" ht="14.25" hidden="false" customHeight="false" outlineLevel="0" collapsed="false">
      <c r="A1032" s="1" t="n">
        <v>39114</v>
      </c>
      <c r="B1032" s="2" t="s">
        <v>30</v>
      </c>
      <c r="C1032" s="3" t="n">
        <v>311172</v>
      </c>
      <c r="D1032" s="3" t="s">
        <v>31</v>
      </c>
      <c r="E1032" s="3" t="n">
        <f aca="false">IF(Tabla2[[#This Row],[Frecuencia]]="Annual", Tabla2[[#This Row],[Cosecha/Tarea]]/12,Tabla2[[#This Row],[Cosecha/Tarea]])</f>
        <v>25931</v>
      </c>
      <c r="F1032" s="3" t="n">
        <v>1656375</v>
      </c>
      <c r="G1032" s="2" t="s">
        <v>32</v>
      </c>
      <c r="H1032" s="2" t="n">
        <f aca="false">F1032/Tabla2[[#This Row],[Cosecha Mensual]]</f>
        <v>63.8762485056496</v>
      </c>
      <c r="I1032" s="2" t="n">
        <f aca="false">H1032*_xlfn.XLOOKUP(Tabla2[[#This Row],[Unidad de producción]],Tabla3[Medida],Tabla3[Equivalencia en Kg],"ELVIS",0)</f>
        <v>1738.07272183873</v>
      </c>
      <c r="J1032" s="2" t="n">
        <v>67.5628571428571</v>
      </c>
      <c r="K1032" s="2" t="s">
        <v>32</v>
      </c>
      <c r="L1032" s="2" t="n">
        <f aca="false">J1032/_xlfn.XLOOKUP(Tabla2[[#This Row],[Unidad de precio]],Tabla3[Medida],Tabla3[Equivalencia en Kg],"ELVIS",0)</f>
        <v>2.48301569801018</v>
      </c>
      <c r="M1032" s="3" t="n">
        <v>8303.36</v>
      </c>
      <c r="N1032" s="3" t="n">
        <f aca="false">(Tabla2[[#This Row],[Productividad (kg/TAS)]]*Tabla2[[#This Row],[Precio por kg]]-Tabla2[[#This Row],[Costos (En RD$/Tarea)]])</f>
        <v>-3987.69814739116</v>
      </c>
      <c r="O1032" s="9" t="n">
        <f aca="false">IF(Tabla2[[#This Row],[Costos (En RD$/Tarea)]]=0,0,Tabla2[[#This Row],[Beneficio Neto  (En RD$/Tarea)]]/Tabla2[[#This Row],[Costos (En RD$/Tarea)]])</f>
        <v>-0.480251145005294</v>
      </c>
      <c r="P1032" s="7" t="n">
        <f aca="false">Tabla2[[#This Row],[Rentabilidad (%)]]/12</f>
        <v>-0.0400209287504412</v>
      </c>
    </row>
    <row r="1033" customFormat="false" ht="14.25" hidden="false" customHeight="false" outlineLevel="0" collapsed="false">
      <c r="A1033" s="1" t="n">
        <v>39114</v>
      </c>
      <c r="B1033" s="2" t="s">
        <v>33</v>
      </c>
      <c r="C1033" s="3" t="n">
        <v>779855</v>
      </c>
      <c r="D1033" s="3" t="s">
        <v>31</v>
      </c>
      <c r="E1033" s="3" t="n">
        <f aca="false">IF(Tabla2[[#This Row],[Frecuencia]]="Annual", Tabla2[[#This Row],[Cosecha/Tarea]]/12,Tabla2[[#This Row],[Cosecha/Tarea]])</f>
        <v>64987.9166666667</v>
      </c>
      <c r="F1033" s="3" t="n">
        <v>149654</v>
      </c>
      <c r="G1033" s="2" t="s">
        <v>34</v>
      </c>
      <c r="H1033" s="2" t="n">
        <f aca="false">F1033/Tabla2[[#This Row],[Cosecha Mensual]]</f>
        <v>2.30279731488546</v>
      </c>
      <c r="I1033" s="2" t="n">
        <f aca="false">H1033*_xlfn.XLOOKUP(Tabla2[[#This Row],[Unidad de producción]],Tabla3[Medida],Tabla3[Equivalencia en Kg],"ELVIS",0)</f>
        <v>939.8867240705</v>
      </c>
      <c r="J1033" s="2" t="n">
        <v>3283.37285714286</v>
      </c>
      <c r="K1033" s="2" t="s">
        <v>34</v>
      </c>
      <c r="L1033" s="2" t="n">
        <f aca="false">J1033/_xlfn.XLOOKUP(Tabla2[[#This Row],[Unidad de precio]],Tabla3[Medida],Tabla3[Equivalencia en Kg],"ELVIS",0)</f>
        <v>8.04452494706079</v>
      </c>
      <c r="M1033" s="3" t="n">
        <v>11167.89</v>
      </c>
      <c r="N1033" s="3" t="n">
        <f aca="false">(Tabla2[[#This Row],[Productividad (kg/TAS)]]*Tabla2[[#This Row],[Precio por kg]]-Tabla2[[#This Row],[Costos (En RD$/Tarea)]])</f>
        <v>-3606.94780080362</v>
      </c>
      <c r="O1033" s="9" t="n">
        <f aca="false">IF(Tabla2[[#This Row],[Costos (En RD$/Tarea)]]=0,0,Tabla2[[#This Row],[Beneficio Neto  (En RD$/Tarea)]]/Tabla2[[#This Row],[Costos (En RD$/Tarea)]])</f>
        <v>-0.322974868198346</v>
      </c>
      <c r="P1033" s="7" t="n">
        <f aca="false">Tabla2[[#This Row],[Rentabilidad (%)]]/12</f>
        <v>-0.0269145723498621</v>
      </c>
    </row>
    <row r="1034" customFormat="false" ht="14.25" hidden="false" customHeight="false" outlineLevel="0" collapsed="false">
      <c r="A1034" s="1" t="n">
        <v>39142</v>
      </c>
      <c r="B1034" s="2" t="s">
        <v>16</v>
      </c>
      <c r="C1034" s="3" t="n">
        <v>7245</v>
      </c>
      <c r="D1034" s="8" t="s">
        <v>17</v>
      </c>
      <c r="E1034" s="3" t="n">
        <f aca="false">IF(Tabla2[[#This Row],[Frecuencia]]="Annual", Tabla2[[#This Row],[Cosecha/Tarea]]/12,Tabla2[[#This Row],[Cosecha/Tarea]])</f>
        <v>7245</v>
      </c>
      <c r="F1034" s="3" t="n">
        <v>27936</v>
      </c>
      <c r="G1034" s="2" t="s">
        <v>18</v>
      </c>
      <c r="H1034" s="2" t="n">
        <f aca="false">F1034/Tabla2[[#This Row],[Cosecha Mensual]]</f>
        <v>3.85590062111801</v>
      </c>
      <c r="I1034" s="2" t="n">
        <f aca="false">H1034*_xlfn.XLOOKUP(Tabla2[[#This Row],[Unidad de producción]],Tabla3[Medida],Tabla3[Equivalencia en Kg],"ELVIS",0)</f>
        <v>174.903652173913</v>
      </c>
      <c r="J1034" s="2" t="n">
        <v>1295.2</v>
      </c>
      <c r="K1034" s="2" t="s">
        <v>19</v>
      </c>
      <c r="L1034" s="2" t="n">
        <f aca="false">J1034/_xlfn.XLOOKUP(Tabla2[[#This Row],[Unidad de precio]],Tabla3[Medida],Tabla3[Equivalencia en Kg],"ELVIS",0)</f>
        <v>11.7745454545455</v>
      </c>
      <c r="M1034" s="2" t="n">
        <v>5339.5</v>
      </c>
      <c r="N1034" s="3" t="n">
        <f aca="false">(Tabla2[[#This Row],[Productividad (kg/TAS)]]*Tabla2[[#This Row],[Precio por kg]]-Tabla2[[#This Row],[Costos (En RD$/Tarea)]])</f>
        <v>-3280.08899731225</v>
      </c>
      <c r="O1034" s="9" t="n">
        <f aca="false">IF(Tabla2[[#This Row],[Costos (En RD$/Tarea)]]=0,0,Tabla2[[#This Row],[Beneficio Neto  (En RD$/Tarea)]]/Tabla2[[#This Row],[Costos (En RD$/Tarea)]])</f>
        <v>-0.614306395226567</v>
      </c>
      <c r="P1034" s="7" t="n">
        <f aca="false">Tabla2[[#This Row],[Rentabilidad (%)]]/12</f>
        <v>-0.0511921996022139</v>
      </c>
    </row>
    <row r="1035" customFormat="false" ht="14.25" hidden="false" customHeight="false" outlineLevel="0" collapsed="false">
      <c r="A1035" s="1" t="n">
        <v>39142</v>
      </c>
      <c r="B1035" s="2" t="s">
        <v>20</v>
      </c>
      <c r="C1035" s="3" t="n">
        <v>25331</v>
      </c>
      <c r="D1035" s="8" t="s">
        <v>17</v>
      </c>
      <c r="E1035" s="3" t="n">
        <f aca="false">IF(Tabla2[[#This Row],[Frecuencia]]="Annual", Tabla2[[#This Row],[Cosecha/Tarea]]/12,Tabla2[[#This Row],[Cosecha/Tarea]])</f>
        <v>25331</v>
      </c>
      <c r="F1035" s="3" t="n">
        <v>34775</v>
      </c>
      <c r="G1035" s="2" t="s">
        <v>18</v>
      </c>
      <c r="H1035" s="2" t="n">
        <f aca="false">F1035/Tabla2[[#This Row],[Cosecha Mensual]]</f>
        <v>1.37282381271959</v>
      </c>
      <c r="I1035" s="2" t="n">
        <f aca="false">H1035*_xlfn.XLOOKUP(Tabla2[[#This Row],[Unidad de producción]],Tabla3[Medida],Tabla3[Equivalencia en Kg],"ELVIS",0)</f>
        <v>62.2712881449607</v>
      </c>
      <c r="J1035" s="2" t="n">
        <v>432.999142857143</v>
      </c>
      <c r="K1035" s="2" t="s">
        <v>18</v>
      </c>
      <c r="L1035" s="2" t="n">
        <f aca="false">J1035/_xlfn.XLOOKUP(Tabla2[[#This Row],[Unidad de precio]],Tabla3[Medida],Tabla3[Equivalencia en Kg],"ELVIS",0)</f>
        <v>9.54583648274125</v>
      </c>
      <c r="M1035" s="2" t="n">
        <v>1417.48</v>
      </c>
      <c r="N1035" s="3" t="n">
        <f aca="false">(Tabla2[[#This Row],[Productividad (kg/TAS)]]*Tabla2[[#This Row],[Precio por kg]]-Tabla2[[#This Row],[Costos (En RD$/Tarea)]])</f>
        <v>-823.048465798541</v>
      </c>
      <c r="O1035" s="9" t="n">
        <f aca="false">IF(Tabla2[[#This Row],[Costos (En RD$/Tarea)]]=0,0,Tabla2[[#This Row],[Beneficio Neto  (En RD$/Tarea)]]/Tabla2[[#This Row],[Costos (En RD$/Tarea)]])</f>
        <v>-0.580642030786002</v>
      </c>
      <c r="P1035" s="7" t="n">
        <f aca="false">Tabla2[[#This Row],[Rentabilidad (%)]]/12</f>
        <v>-0.0483868358988335</v>
      </c>
    </row>
    <row r="1036" customFormat="false" ht="14.25" hidden="false" customHeight="false" outlineLevel="0" collapsed="false">
      <c r="A1036" s="1" t="n">
        <v>39142</v>
      </c>
      <c r="B1036" s="2" t="s">
        <v>21</v>
      </c>
      <c r="C1036" s="3" t="n">
        <v>8475</v>
      </c>
      <c r="D1036" s="8" t="s">
        <v>17</v>
      </c>
      <c r="E1036" s="3" t="n">
        <f aca="false">IF(Tabla2[[#This Row],[Frecuencia]]="Annual", Tabla2[[#This Row],[Cosecha/Tarea]]/12,Tabla2[[#This Row],[Cosecha/Tarea]])</f>
        <v>8475</v>
      </c>
      <c r="F1036" s="3" t="n">
        <v>86801</v>
      </c>
      <c r="G1036" s="2" t="s">
        <v>18</v>
      </c>
      <c r="H1036" s="2" t="n">
        <f aca="false">F1036/Tabla2[[#This Row],[Cosecha Mensual]]</f>
        <v>10.242005899705</v>
      </c>
      <c r="I1036" s="2" t="n">
        <f aca="false">H1036*_xlfn.XLOOKUP(Tabla2[[#This Row],[Unidad de producción]],Tabla3[Medida],Tabla3[Equivalencia en Kg],"ELVIS",0)</f>
        <v>464.57738761062</v>
      </c>
      <c r="J1036" s="2" t="n">
        <v>352.025238095238</v>
      </c>
      <c r="K1036" s="2" t="s">
        <v>18</v>
      </c>
      <c r="L1036" s="2" t="n">
        <f aca="false">J1036/_xlfn.XLOOKUP(Tabla2[[#This Row],[Unidad de precio]],Tabla3[Medida],Tabla3[Equivalencia en Kg],"ELVIS",0)</f>
        <v>7.76069748887209</v>
      </c>
      <c r="M1036" s="2" t="n">
        <v>2131.605</v>
      </c>
      <c r="N1036" s="3" t="n">
        <f aca="false">(Tabla2[[#This Row],[Productividad (kg/TAS)]]*Tabla2[[#This Row],[Precio por kg]]-Tabla2[[#This Row],[Costos (En RD$/Tarea)]])</f>
        <v>1473.83956541649</v>
      </c>
      <c r="O1036" s="9" t="n">
        <f aca="false">IF(Tabla2[[#This Row],[Costos (En RD$/Tarea)]]=0,0,Tabla2[[#This Row],[Beneficio Neto  (En RD$/Tarea)]]/Tabla2[[#This Row],[Costos (En RD$/Tarea)]])</f>
        <v>0.691422456513515</v>
      </c>
      <c r="P1036" s="7" t="n">
        <f aca="false">Tabla2[[#This Row],[Rentabilidad (%)]]/12</f>
        <v>0.0576185380427929</v>
      </c>
    </row>
    <row r="1037" customFormat="false" ht="14.25" hidden="false" customHeight="false" outlineLevel="0" collapsed="false">
      <c r="A1037" s="1" t="n">
        <v>39142</v>
      </c>
      <c r="B1037" s="2" t="s">
        <v>22</v>
      </c>
      <c r="C1037" s="3" t="n">
        <v>7898</v>
      </c>
      <c r="D1037" s="8" t="s">
        <v>17</v>
      </c>
      <c r="E1037" s="3" t="n">
        <f aca="false">IF(Tabla2[[#This Row],[Frecuencia]]="Annual", Tabla2[[#This Row],[Cosecha/Tarea]]/12,Tabla2[[#This Row],[Cosecha/Tarea]])</f>
        <v>7898</v>
      </c>
      <c r="F1037" s="3" t="n">
        <v>76837</v>
      </c>
      <c r="G1037" s="2" t="s">
        <v>18</v>
      </c>
      <c r="H1037" s="2" t="n">
        <f aca="false">F1037/Tabla2[[#This Row],[Cosecha Mensual]]</f>
        <v>9.7286654849329</v>
      </c>
      <c r="I1037" s="2" t="n">
        <f aca="false">H1037*_xlfn.XLOOKUP(Tabla2[[#This Row],[Unidad de producción]],Tabla3[Medida],Tabla3[Equivalencia en Kg],"ELVIS",0)</f>
        <v>441.292266396556</v>
      </c>
      <c r="J1037" s="2" t="n">
        <v>776.571428571429</v>
      </c>
      <c r="K1037" s="2" t="s">
        <v>18</v>
      </c>
      <c r="L1037" s="2" t="n">
        <f aca="false">J1037/_xlfn.XLOOKUP(Tabla2[[#This Row],[Unidad de precio]],Tabla3[Medida],Tabla3[Equivalencia en Kg],"ELVIS",0)</f>
        <v>17.1201814058957</v>
      </c>
      <c r="M1037" s="2" t="n">
        <v>6063.13</v>
      </c>
      <c r="N1037" s="3" t="n">
        <f aca="false">(Tabla2[[#This Row],[Productividad (kg/TAS)]]*Tabla2[[#This Row],[Precio por kg]]-Tabla2[[#This Row],[Costos (En RD$/Tarea)]])</f>
        <v>1491.87365372789</v>
      </c>
      <c r="O1037" s="9" t="n">
        <f aca="false">IF(Tabla2[[#This Row],[Costos (En RD$/Tarea)]]=0,0,Tabla2[[#This Row],[Beneficio Neto  (En RD$/Tarea)]]/Tabla2[[#This Row],[Costos (En RD$/Tarea)]])</f>
        <v>0.24605668255965</v>
      </c>
      <c r="P1037" s="7" t="n">
        <f aca="false">Tabla2[[#This Row],[Rentabilidad (%)]]/12</f>
        <v>0.0205047235466375</v>
      </c>
    </row>
    <row r="1038" customFormat="false" ht="14.25" hidden="false" customHeight="false" outlineLevel="0" collapsed="false">
      <c r="A1038" s="1" t="n">
        <v>39142</v>
      </c>
      <c r="B1038" s="2" t="s">
        <v>23</v>
      </c>
      <c r="C1038" s="3" t="n">
        <v>2116</v>
      </c>
      <c r="D1038" s="8" t="s">
        <v>17</v>
      </c>
      <c r="E1038" s="3" t="n">
        <f aca="false">IF(Tabla2[[#This Row],[Frecuencia]]="Annual", Tabla2[[#This Row],[Cosecha/Tarea]]/12,Tabla2[[#This Row],[Cosecha/Tarea]])</f>
        <v>2116</v>
      </c>
      <c r="F1038" s="3" t="n">
        <v>73055</v>
      </c>
      <c r="G1038" s="2" t="s">
        <v>18</v>
      </c>
      <c r="H1038" s="2" t="n">
        <f aca="false">F1038/Tabla2[[#This Row],[Cosecha Mensual]]</f>
        <v>34.5250472589792</v>
      </c>
      <c r="I1038" s="2" t="n">
        <f aca="false">H1038*_xlfn.XLOOKUP(Tabla2[[#This Row],[Unidad de producción]],Tabla3[Medida],Tabla3[Equivalencia en Kg],"ELVIS",0)</f>
        <v>1566.0561436673</v>
      </c>
      <c r="J1038" s="2" t="n">
        <v>804.2075</v>
      </c>
      <c r="K1038" s="2" t="s">
        <v>18</v>
      </c>
      <c r="L1038" s="2" t="n">
        <f aca="false">J1038/_xlfn.XLOOKUP(Tabla2[[#This Row],[Unidad de precio]],Tabla3[Medida],Tabla3[Equivalencia en Kg],"ELVIS",0)</f>
        <v>17.7294422398589</v>
      </c>
      <c r="M1038" s="2" t="n">
        <v>12092.41</v>
      </c>
      <c r="N1038" s="3" t="n">
        <f aca="false">(Tabla2[[#This Row],[Productividad (kg/TAS)]]*Tabla2[[#This Row],[Precio por kg]]-Tabla2[[#This Row],[Costos (En RD$/Tarea)]])</f>
        <v>15672.8919435255</v>
      </c>
      <c r="O1038" s="9" t="n">
        <f aca="false">IF(Tabla2[[#This Row],[Costos (En RD$/Tarea)]]=0,0,Tabla2[[#This Row],[Beneficio Neto  (En RD$/Tarea)]]/Tabla2[[#This Row],[Costos (En RD$/Tarea)]])</f>
        <v>1.29609332990905</v>
      </c>
      <c r="P1038" s="7" t="n">
        <f aca="false">Tabla2[[#This Row],[Rentabilidad (%)]]/12</f>
        <v>0.108007777492421</v>
      </c>
    </row>
    <row r="1039" customFormat="false" ht="14.25" hidden="false" customHeight="false" outlineLevel="0" collapsed="false">
      <c r="A1039" s="1" t="n">
        <v>39142</v>
      </c>
      <c r="B1039" s="2" t="s">
        <v>24</v>
      </c>
      <c r="C1039" s="3" t="n">
        <v>5539</v>
      </c>
      <c r="D1039" s="8" t="s">
        <v>17</v>
      </c>
      <c r="E1039" s="3" t="n">
        <f aca="false">IF(Tabla2[[#This Row],[Frecuencia]]="Annual", Tabla2[[#This Row],[Cosecha/Tarea]]/12,Tabla2[[#This Row],[Cosecha/Tarea]])</f>
        <v>5539</v>
      </c>
      <c r="F1039" s="3" t="n">
        <v>44813</v>
      </c>
      <c r="G1039" s="2" t="s">
        <v>18</v>
      </c>
      <c r="H1039" s="2" t="n">
        <f aca="false">F1039/Tabla2[[#This Row],[Cosecha Mensual]]</f>
        <v>8.09044953962809</v>
      </c>
      <c r="I1039" s="2" t="n">
        <f aca="false">H1039*_xlfn.XLOOKUP(Tabla2[[#This Row],[Unidad de producción]],Tabla3[Medida],Tabla3[Equivalencia en Kg],"ELVIS",0)</f>
        <v>366.98279111753</v>
      </c>
      <c r="J1039" s="2" t="n">
        <v>895.714285714286</v>
      </c>
      <c r="K1039" s="2" t="s">
        <v>18</v>
      </c>
      <c r="L1039" s="2" t="n">
        <f aca="false">J1039/_xlfn.XLOOKUP(Tabla2[[#This Row],[Unidad de precio]],Tabla3[Medida],Tabla3[Equivalencia en Kg],"ELVIS",0)</f>
        <v>19.7467876039305</v>
      </c>
      <c r="M1039" s="2" t="n">
        <v>4803.45</v>
      </c>
      <c r="N1039" s="3" t="n">
        <f aca="false">(Tabla2[[#This Row],[Productividad (kg/TAS)]]*Tabla2[[#This Row],[Precio por kg]]-Tabla2[[#This Row],[Costos (En RD$/Tarea)]])</f>
        <v>2443.28123049545</v>
      </c>
      <c r="O1039" s="9" t="n">
        <f aca="false">IF(Tabla2[[#This Row],[Costos (En RD$/Tarea)]]=0,0,Tabla2[[#This Row],[Beneficio Neto  (En RD$/Tarea)]]/Tabla2[[#This Row],[Costos (En RD$/Tarea)]])</f>
        <v>0.508651329876537</v>
      </c>
      <c r="P1039" s="7" t="n">
        <f aca="false">Tabla2[[#This Row],[Rentabilidad (%)]]/12</f>
        <v>0.0423876108230447</v>
      </c>
    </row>
    <row r="1040" customFormat="false" ht="14.25" hidden="false" customHeight="false" outlineLevel="0" collapsed="false">
      <c r="A1040" s="1" t="n">
        <v>39142</v>
      </c>
      <c r="B1040" s="2" t="s">
        <v>25</v>
      </c>
      <c r="C1040" s="3" t="n">
        <v>23740</v>
      </c>
      <c r="D1040" s="8" t="s">
        <v>17</v>
      </c>
      <c r="E1040" s="3" t="n">
        <f aca="false">IF(Tabla2[[#This Row],[Frecuencia]]="Annual", Tabla2[[#This Row],[Cosecha/Tarea]]/12,Tabla2[[#This Row],[Cosecha/Tarea]])</f>
        <v>23740</v>
      </c>
      <c r="F1040" s="3" t="n">
        <v>275482</v>
      </c>
      <c r="G1040" s="2" t="s">
        <v>18</v>
      </c>
      <c r="H1040" s="2" t="n">
        <f aca="false">F1040/Tabla2[[#This Row],[Cosecha Mensual]]</f>
        <v>11.6041280539174</v>
      </c>
      <c r="I1040" s="2" t="n">
        <f aca="false">H1040*_xlfn.XLOOKUP(Tabla2[[#This Row],[Unidad de producción]],Tabla3[Medida],Tabla3[Equivalencia en Kg],"ELVIS",0)</f>
        <v>526.363248525695</v>
      </c>
      <c r="J1040" s="2" t="n">
        <v>248.95275</v>
      </c>
      <c r="K1040" s="2" t="s">
        <v>18</v>
      </c>
      <c r="L1040" s="2" t="n">
        <f aca="false">J1040/_xlfn.XLOOKUP(Tabla2[[#This Row],[Unidad de precio]],Tabla3[Medida],Tabla3[Equivalencia en Kg],"ELVIS",0)</f>
        <v>5.48837632275132</v>
      </c>
      <c r="M1040" s="2" t="n">
        <v>2341.04</v>
      </c>
      <c r="N1040" s="3" t="n">
        <f aca="false">(Tabla2[[#This Row],[Productividad (kg/TAS)]]*Tabla2[[#This Row],[Precio por kg]]-Tabla2[[#This Row],[Costos (En RD$/Tarea)]])</f>
        <v>547.839590374895</v>
      </c>
      <c r="O1040" s="9" t="n">
        <f aca="false">IF(Tabla2[[#This Row],[Costos (En RD$/Tarea)]]=0,0,Tabla2[[#This Row],[Beneficio Neto  (En RD$/Tarea)]]/Tabla2[[#This Row],[Costos (En RD$/Tarea)]])</f>
        <v>0.234015476187889</v>
      </c>
      <c r="P1040" s="7" t="n">
        <f aca="false">Tabla2[[#This Row],[Rentabilidad (%)]]/12</f>
        <v>0.019501289682324</v>
      </c>
    </row>
    <row r="1041" customFormat="false" ht="14.25" hidden="false" customHeight="false" outlineLevel="0" collapsed="false">
      <c r="A1041" s="1" t="n">
        <v>39142</v>
      </c>
      <c r="B1041" s="2" t="s">
        <v>26</v>
      </c>
      <c r="C1041" s="3" t="n">
        <v>14946</v>
      </c>
      <c r="D1041" s="8" t="s">
        <v>17</v>
      </c>
      <c r="E1041" s="3" t="n">
        <f aca="false">IF(Tabla2[[#This Row],[Frecuencia]]="Annual", Tabla2[[#This Row],[Cosecha/Tarea]]/12,Tabla2[[#This Row],[Cosecha/Tarea]])</f>
        <v>14946</v>
      </c>
      <c r="F1041" s="3" t="n">
        <v>105825</v>
      </c>
      <c r="G1041" s="2" t="s">
        <v>18</v>
      </c>
      <c r="H1041" s="2" t="n">
        <f aca="false">F1041/Tabla2[[#This Row],[Cosecha Mensual]]</f>
        <v>7.08048976314733</v>
      </c>
      <c r="I1041" s="2" t="n">
        <f aca="false">H1041*_xlfn.XLOOKUP(Tabla2[[#This Row],[Unidad de producción]],Tabla3[Medida],Tabla3[Equivalencia en Kg],"ELVIS",0)</f>
        <v>321.171015656363</v>
      </c>
      <c r="J1041" s="2" t="n">
        <v>514.458333333333</v>
      </c>
      <c r="K1041" s="2" t="s">
        <v>18</v>
      </c>
      <c r="L1041" s="2" t="n">
        <f aca="false">J1041/_xlfn.XLOOKUP(Tabla2[[#This Row],[Unidad de precio]],Tabla3[Medida],Tabla3[Equivalencia en Kg],"ELVIS",0)</f>
        <v>11.3416740152851</v>
      </c>
      <c r="M1041" s="2" t="n">
        <v>970.18</v>
      </c>
      <c r="N1041" s="3" t="n">
        <f aca="false">(Tabla2[[#This Row],[Productividad (kg/TAS)]]*Tabla2[[#This Row],[Precio por kg]]-Tabla2[[#This Row],[Costos (En RD$/Tarea)]])</f>
        <v>2672.4369627325</v>
      </c>
      <c r="O1041" s="9" t="n">
        <f aca="false">IF(Tabla2[[#This Row],[Costos (En RD$/Tarea)]]=0,0,Tabla2[[#This Row],[Beneficio Neto  (En RD$/Tarea)]]/Tabla2[[#This Row],[Costos (En RD$/Tarea)]])</f>
        <v>2.75457849340587</v>
      </c>
      <c r="P1041" s="7" t="n">
        <f aca="false">Tabla2[[#This Row],[Rentabilidad (%)]]/12</f>
        <v>0.229548207783822</v>
      </c>
    </row>
    <row r="1042" customFormat="false" ht="14.25" hidden="false" customHeight="false" outlineLevel="0" collapsed="false">
      <c r="A1042" s="1" t="n">
        <v>39142</v>
      </c>
      <c r="B1042" s="2" t="s">
        <v>27</v>
      </c>
      <c r="C1042" s="3" t="n">
        <v>5311</v>
      </c>
      <c r="D1042" s="8" t="s">
        <v>17</v>
      </c>
      <c r="E1042" s="3" t="n">
        <f aca="false">IF(Tabla2[[#This Row],[Frecuencia]]="Annual", Tabla2[[#This Row],[Cosecha/Tarea]]/12,Tabla2[[#This Row],[Cosecha/Tarea]])</f>
        <v>5311</v>
      </c>
      <c r="F1042" s="3" t="n">
        <v>44666</v>
      </c>
      <c r="G1042" s="2" t="s">
        <v>18</v>
      </c>
      <c r="H1042" s="2" t="n">
        <f aca="false">F1042/Tabla2[[#This Row],[Cosecha Mensual]]</f>
        <v>8.41009226134438</v>
      </c>
      <c r="I1042" s="2" t="n">
        <f aca="false">H1042*_xlfn.XLOOKUP(Tabla2[[#This Row],[Unidad de producción]],Tabla3[Medida],Tabla3[Equivalencia en Kg],"ELVIS",0)</f>
        <v>381.481784974581</v>
      </c>
      <c r="J1042" s="2" t="n">
        <v>218.130133333333</v>
      </c>
      <c r="K1042" s="2" t="s">
        <v>18</v>
      </c>
      <c r="L1042" s="2" t="n">
        <f aca="false">J1042/_xlfn.XLOOKUP(Tabla2[[#This Row],[Unidad de precio]],Tabla3[Medida],Tabla3[Equivalencia en Kg],"ELVIS",0)</f>
        <v>4.80886537330981</v>
      </c>
      <c r="M1042" s="2" t="n">
        <v>5280.51</v>
      </c>
      <c r="N1042" s="3" t="n">
        <f aca="false">(Tabla2[[#This Row],[Productividad (kg/TAS)]]*Tabla2[[#This Row],[Precio por kg]]-Tabla2[[#This Row],[Costos (En RD$/Tarea)]])</f>
        <v>-3446.01545368732</v>
      </c>
      <c r="O1042" s="9" t="n">
        <f aca="false">IF(Tabla2[[#This Row],[Costos (En RD$/Tarea)]]=0,0,Tabla2[[#This Row],[Beneficio Neto  (En RD$/Tarea)]]/Tabla2[[#This Row],[Costos (En RD$/Tarea)]])</f>
        <v>-0.652591407588911</v>
      </c>
      <c r="P1042" s="7" t="n">
        <f aca="false">Tabla2[[#This Row],[Rentabilidad (%)]]/12</f>
        <v>-0.0543826172990759</v>
      </c>
    </row>
    <row r="1043" customFormat="false" ht="14.25" hidden="false" customHeight="false" outlineLevel="0" collapsed="false">
      <c r="A1043" s="1" t="n">
        <v>39142</v>
      </c>
      <c r="B1043" s="2" t="s">
        <v>28</v>
      </c>
      <c r="C1043" s="3" t="n">
        <v>7341</v>
      </c>
      <c r="D1043" s="8" t="s">
        <v>17</v>
      </c>
      <c r="E1043" s="3" t="n">
        <f aca="false">IF(Tabla2[[#This Row],[Frecuencia]]="Annual", Tabla2[[#This Row],[Cosecha/Tarea]]/12,Tabla2[[#This Row],[Cosecha/Tarea]])</f>
        <v>7341</v>
      </c>
      <c r="F1043" s="3" t="n">
        <v>4501</v>
      </c>
      <c r="G1043" s="2" t="s">
        <v>29</v>
      </c>
      <c r="H1043" s="2" t="n">
        <f aca="false">F1043/Tabla2[[#This Row],[Cosecha Mensual]]</f>
        <v>0.613131725922899</v>
      </c>
      <c r="I1043" s="2" t="n">
        <f aca="false">H1043*_xlfn.XLOOKUP(Tabla2[[#This Row],[Unidad de producción]],Tabla3[Medida],Tabla3[Equivalencia en Kg],"ELVIS",0)</f>
        <v>344.788494755483</v>
      </c>
      <c r="J1043" s="2" t="n">
        <v>7484.375</v>
      </c>
      <c r="K1043" s="2" t="s">
        <v>29</v>
      </c>
      <c r="L1043" s="2" t="n">
        <f aca="false">J1043/_xlfn.XLOOKUP(Tabla2[[#This Row],[Unidad de precio]],Tabla3[Medida],Tabla3[Equivalencia en Kg],"ELVIS",0)</f>
        <v>13.3093413237543</v>
      </c>
      <c r="M1043" s="2" t="n">
        <v>10097.26</v>
      </c>
      <c r="N1043" s="3" t="n">
        <f aca="false">(Tabla2[[#This Row],[Productividad (kg/TAS)]]*Tabla2[[#This Row],[Precio por kg]]-Tabla2[[#This Row],[Costos (En RD$/Tarea)]])</f>
        <v>-5508.35223879581</v>
      </c>
      <c r="O1043" s="9" t="n">
        <f aca="false">IF(Tabla2[[#This Row],[Costos (En RD$/Tarea)]]=0,0,Tabla2[[#This Row],[Beneficio Neto  (En RD$/Tarea)]]/Tabla2[[#This Row],[Costos (En RD$/Tarea)]])</f>
        <v>-0.545529404887643</v>
      </c>
      <c r="P1043" s="7" t="n">
        <f aca="false">Tabla2[[#This Row],[Rentabilidad (%)]]/12</f>
        <v>-0.0454607837406369</v>
      </c>
    </row>
    <row r="1044" customFormat="false" ht="14.25" hidden="false" customHeight="false" outlineLevel="0" collapsed="false">
      <c r="A1044" s="1" t="n">
        <v>39142</v>
      </c>
      <c r="B1044" s="2" t="s">
        <v>30</v>
      </c>
      <c r="C1044" s="3" t="n">
        <v>308758</v>
      </c>
      <c r="D1044" s="3" t="s">
        <v>31</v>
      </c>
      <c r="E1044" s="3" t="n">
        <f aca="false">IF(Tabla2[[#This Row],[Frecuencia]]="Annual", Tabla2[[#This Row],[Cosecha/Tarea]]/12,Tabla2[[#This Row],[Cosecha/Tarea]])</f>
        <v>25729.8333333333</v>
      </c>
      <c r="F1044" s="3" t="n">
        <v>1732070</v>
      </c>
      <c r="G1044" s="2" t="s">
        <v>32</v>
      </c>
      <c r="H1044" s="2" t="n">
        <f aca="false">F1044/Tabla2[[#This Row],[Cosecha Mensual]]</f>
        <v>67.3175755769891</v>
      </c>
      <c r="I1044" s="2" t="n">
        <f aca="false">H1044*_xlfn.XLOOKUP(Tabla2[[#This Row],[Unidad de producción]],Tabla3[Medida],Tabla3[Equivalencia en Kg],"ELVIS",0)</f>
        <v>1831.71123144987</v>
      </c>
      <c r="J1044" s="2" t="n">
        <v>83.2275</v>
      </c>
      <c r="K1044" s="2" t="s">
        <v>32</v>
      </c>
      <c r="L1044" s="2" t="n">
        <f aca="false">J1044/_xlfn.XLOOKUP(Tabla2[[#This Row],[Unidad de precio]],Tabla3[Medida],Tabla3[Equivalencia en Kg],"ELVIS",0)</f>
        <v>3.05871003307608</v>
      </c>
      <c r="M1044" s="3" t="n">
        <v>8303.36</v>
      </c>
      <c r="N1044" s="3" t="n">
        <f aca="false">(Tabla2[[#This Row],[Productividad (kg/TAS)]]*Tabla2[[#This Row],[Precio por kg]]-Tabla2[[#This Row],[Costos (En RD$/Tarea)]])</f>
        <v>-2700.68647866614</v>
      </c>
      <c r="O1044" s="9" t="n">
        <f aca="false">IF(Tabla2[[#This Row],[Costos (En RD$/Tarea)]]=0,0,Tabla2[[#This Row],[Beneficio Neto  (En RD$/Tarea)]]/Tabla2[[#This Row],[Costos (En RD$/Tarea)]])</f>
        <v>-0.325252244713723</v>
      </c>
      <c r="P1044" s="7" t="n">
        <f aca="false">Tabla2[[#This Row],[Rentabilidad (%)]]/12</f>
        <v>-0.0271043537261436</v>
      </c>
    </row>
    <row r="1045" customFormat="false" ht="14.25" hidden="false" customHeight="false" outlineLevel="0" collapsed="false">
      <c r="A1045" s="1" t="n">
        <v>39142</v>
      </c>
      <c r="B1045" s="2" t="s">
        <v>33</v>
      </c>
      <c r="C1045" s="3" t="n">
        <v>776731</v>
      </c>
      <c r="D1045" s="3" t="s">
        <v>31</v>
      </c>
      <c r="E1045" s="3" t="n">
        <f aca="false">IF(Tabla2[[#This Row],[Frecuencia]]="Annual", Tabla2[[#This Row],[Cosecha/Tarea]]/12,Tabla2[[#This Row],[Cosecha/Tarea]])</f>
        <v>64727.5833333333</v>
      </c>
      <c r="F1045" s="3" t="n">
        <v>135114</v>
      </c>
      <c r="G1045" s="2" t="s">
        <v>34</v>
      </c>
      <c r="H1045" s="2" t="n">
        <f aca="false">F1045/Tabla2[[#This Row],[Cosecha Mensual]]</f>
        <v>2.08742537635295</v>
      </c>
      <c r="I1045" s="2" t="n">
        <f aca="false">H1045*_xlfn.XLOOKUP(Tabla2[[#This Row],[Unidad de producción]],Tabla3[Medida],Tabla3[Equivalencia en Kg],"ELVIS",0)</f>
        <v>851.982667358455</v>
      </c>
      <c r="J1045" s="2" t="n">
        <v>2745.01375</v>
      </c>
      <c r="K1045" s="2" t="s">
        <v>34</v>
      </c>
      <c r="L1045" s="2" t="n">
        <f aca="false">J1045/_xlfn.XLOOKUP(Tabla2[[#This Row],[Unidad de precio]],Tabla3[Medida],Tabla3[Equivalencia en Kg],"ELVIS",0)</f>
        <v>6.72550226632366</v>
      </c>
      <c r="M1045" s="3" t="n">
        <v>11167.89</v>
      </c>
      <c r="N1045" s="3" t="n">
        <f aca="false">(Tabla2[[#This Row],[Productividad (kg/TAS)]]*Tabla2[[#This Row],[Precio por kg]]-Tabla2[[#This Row],[Costos (En RD$/Tarea)]])</f>
        <v>-5437.87863981224</v>
      </c>
      <c r="O1045" s="9" t="n">
        <f aca="false">IF(Tabla2[[#This Row],[Costos (En RD$/Tarea)]]=0,0,Tabla2[[#This Row],[Beneficio Neto  (En RD$/Tarea)]]/Tabla2[[#This Row],[Costos (En RD$/Tarea)]])</f>
        <v>-0.486920863279656</v>
      </c>
      <c r="P1045" s="7" t="n">
        <f aca="false">Tabla2[[#This Row],[Rentabilidad (%)]]/12</f>
        <v>-0.040576738606638</v>
      </c>
    </row>
    <row r="1046" customFormat="false" ht="14.25" hidden="false" customHeight="false" outlineLevel="0" collapsed="false">
      <c r="A1046" s="1" t="n">
        <v>39173</v>
      </c>
      <c r="B1046" s="2" t="s">
        <v>16</v>
      </c>
      <c r="C1046" s="3" t="n">
        <v>139504</v>
      </c>
      <c r="D1046" s="8" t="s">
        <v>17</v>
      </c>
      <c r="E1046" s="3" t="n">
        <f aca="false">IF(Tabla2[[#This Row],[Frecuencia]]="Annual", Tabla2[[#This Row],[Cosecha/Tarea]]/12,Tabla2[[#This Row],[Cosecha/Tarea]])</f>
        <v>139504</v>
      </c>
      <c r="F1046" s="3" t="n">
        <v>581596</v>
      </c>
      <c r="G1046" s="2" t="s">
        <v>18</v>
      </c>
      <c r="H1046" s="2" t="n">
        <f aca="false">F1046/Tabla2[[#This Row],[Cosecha Mensual]]</f>
        <v>4.16902741140039</v>
      </c>
      <c r="I1046" s="2" t="n">
        <f aca="false">H1046*_xlfn.XLOOKUP(Tabla2[[#This Row],[Unidad de producción]],Tabla3[Medida],Tabla3[Equivalencia en Kg],"ELVIS",0)</f>
        <v>189.107083381122</v>
      </c>
      <c r="J1046" s="2" t="n">
        <v>1429.2775</v>
      </c>
      <c r="K1046" s="2" t="s">
        <v>19</v>
      </c>
      <c r="L1046" s="2" t="n">
        <f aca="false">J1046/_xlfn.XLOOKUP(Tabla2[[#This Row],[Unidad de precio]],Tabla3[Medida],Tabla3[Equivalencia en Kg],"ELVIS",0)</f>
        <v>12.9934318181818</v>
      </c>
      <c r="M1046" s="2" t="n">
        <v>5339.5</v>
      </c>
      <c r="N1046" s="3" t="n">
        <f aca="false">(Tabla2[[#This Row],[Productividad (kg/TAS)]]*Tabla2[[#This Row],[Precio por kg]]-Tabla2[[#This Row],[Costos (En RD$/Tarea)]])</f>
        <v>-2882.35000575217</v>
      </c>
      <c r="O1046" s="9" t="n">
        <f aca="false">IF(Tabla2[[#This Row],[Costos (En RD$/Tarea)]]=0,0,Tabla2[[#This Row],[Beneficio Neto  (En RD$/Tarea)]]/Tabla2[[#This Row],[Costos (En RD$/Tarea)]])</f>
        <v>-0.53981646329285</v>
      </c>
      <c r="P1046" s="7" t="n">
        <f aca="false">Tabla2[[#This Row],[Rentabilidad (%)]]/12</f>
        <v>-0.0449847052744042</v>
      </c>
    </row>
    <row r="1047" customFormat="false" ht="14.25" hidden="false" customHeight="false" outlineLevel="0" collapsed="false">
      <c r="A1047" s="1" t="n">
        <v>39173</v>
      </c>
      <c r="B1047" s="2" t="s">
        <v>20</v>
      </c>
      <c r="C1047" s="3" t="n">
        <v>17465</v>
      </c>
      <c r="D1047" s="8" t="s">
        <v>17</v>
      </c>
      <c r="E1047" s="3" t="n">
        <f aca="false">IF(Tabla2[[#This Row],[Frecuencia]]="Annual", Tabla2[[#This Row],[Cosecha/Tarea]]/12,Tabla2[[#This Row],[Cosecha/Tarea]])</f>
        <v>17465</v>
      </c>
      <c r="F1047" s="3" t="n">
        <v>41014</v>
      </c>
      <c r="G1047" s="2" t="s">
        <v>18</v>
      </c>
      <c r="H1047" s="2" t="n">
        <f aca="false">F1047/Tabla2[[#This Row],[Cosecha Mensual]]</f>
        <v>2.34835385055826</v>
      </c>
      <c r="I1047" s="2" t="n">
        <f aca="false">H1047*_xlfn.XLOOKUP(Tabla2[[#This Row],[Unidad de producción]],Tabla3[Medida],Tabla3[Equivalencia en Kg],"ELVIS",0)</f>
        <v>106.521330661323</v>
      </c>
      <c r="J1047" s="2" t="n">
        <v>409.38528</v>
      </c>
      <c r="K1047" s="2" t="s">
        <v>18</v>
      </c>
      <c r="L1047" s="2" t="n">
        <f aca="false">J1047/_xlfn.XLOOKUP(Tabla2[[#This Row],[Unidad de precio]],Tabla3[Medida],Tabla3[Equivalencia en Kg],"ELVIS",0)</f>
        <v>9.02524867724868</v>
      </c>
      <c r="M1047" s="2" t="n">
        <v>1417.48</v>
      </c>
      <c r="N1047" s="3" t="n">
        <f aca="false">(Tabla2[[#This Row],[Productividad (kg/TAS)]]*Tabla2[[#This Row],[Precio por kg]]-Tabla2[[#This Row],[Costos (En RD$/Tarea)]])</f>
        <v>-456.098501350129</v>
      </c>
      <c r="O1047" s="9" t="n">
        <f aca="false">IF(Tabla2[[#This Row],[Costos (En RD$/Tarea)]]=0,0,Tabla2[[#This Row],[Beneficio Neto  (En RD$/Tarea)]]/Tabla2[[#This Row],[Costos (En RD$/Tarea)]])</f>
        <v>-0.321767151106279</v>
      </c>
      <c r="P1047" s="7" t="n">
        <f aca="false">Tabla2[[#This Row],[Rentabilidad (%)]]/12</f>
        <v>-0.0268139292588566</v>
      </c>
    </row>
    <row r="1048" customFormat="false" ht="14.25" hidden="false" customHeight="false" outlineLevel="0" collapsed="false">
      <c r="A1048" s="1" t="n">
        <v>39173</v>
      </c>
      <c r="B1048" s="2" t="s">
        <v>21</v>
      </c>
      <c r="C1048" s="3" t="n">
        <v>10854</v>
      </c>
      <c r="D1048" s="8" t="s">
        <v>17</v>
      </c>
      <c r="E1048" s="3" t="n">
        <f aca="false">IF(Tabla2[[#This Row],[Frecuencia]]="Annual", Tabla2[[#This Row],[Cosecha/Tarea]]/12,Tabla2[[#This Row],[Cosecha/Tarea]])</f>
        <v>10854</v>
      </c>
      <c r="F1048" s="3" t="n">
        <v>119260</v>
      </c>
      <c r="G1048" s="2" t="s">
        <v>18</v>
      </c>
      <c r="H1048" s="2" t="n">
        <f aca="false">F1048/Tabla2[[#This Row],[Cosecha Mensual]]</f>
        <v>10.9876543209877</v>
      </c>
      <c r="I1048" s="2" t="n">
        <f aca="false">H1048*_xlfn.XLOOKUP(Tabla2[[#This Row],[Unidad de producción]],Tabla3[Medida],Tabla3[Equivalencia en Kg],"ELVIS",0)</f>
        <v>498.4</v>
      </c>
      <c r="J1048" s="2" t="n">
        <v>381.184</v>
      </c>
      <c r="K1048" s="2" t="s">
        <v>18</v>
      </c>
      <c r="L1048" s="2" t="n">
        <f aca="false">J1048/_xlfn.XLOOKUP(Tabla2[[#This Row],[Unidad de precio]],Tabla3[Medida],Tabla3[Equivalencia en Kg],"ELVIS",0)</f>
        <v>8.40352733686067</v>
      </c>
      <c r="M1048" s="2" t="n">
        <v>2131.605</v>
      </c>
      <c r="N1048" s="3" t="n">
        <f aca="false">(Tabla2[[#This Row],[Productividad (kg/TAS)]]*Tabla2[[#This Row],[Precio por kg]]-Tabla2[[#This Row],[Costos (En RD$/Tarea)]])</f>
        <v>2056.71302469136</v>
      </c>
      <c r="O1048" s="9" t="n">
        <f aca="false">IF(Tabla2[[#This Row],[Costos (En RD$/Tarea)]]=0,0,Tabla2[[#This Row],[Beneficio Neto  (En RD$/Tarea)]]/Tabla2[[#This Row],[Costos (En RD$/Tarea)]])</f>
        <v>0.964865922481585</v>
      </c>
      <c r="P1048" s="7" t="n">
        <f aca="false">Tabla2[[#This Row],[Rentabilidad (%)]]/12</f>
        <v>0.0804054935401321</v>
      </c>
    </row>
    <row r="1049" customFormat="false" ht="14.25" hidden="false" customHeight="false" outlineLevel="0" collapsed="false">
      <c r="A1049" s="1" t="n">
        <v>39173</v>
      </c>
      <c r="B1049" s="2" t="s">
        <v>22</v>
      </c>
      <c r="C1049" s="3" t="n">
        <v>5174</v>
      </c>
      <c r="D1049" s="8" t="s">
        <v>17</v>
      </c>
      <c r="E1049" s="3" t="n">
        <f aca="false">IF(Tabla2[[#This Row],[Frecuencia]]="Annual", Tabla2[[#This Row],[Cosecha/Tarea]]/12,Tabla2[[#This Row],[Cosecha/Tarea]])</f>
        <v>5174</v>
      </c>
      <c r="F1049" s="3" t="n">
        <v>43605</v>
      </c>
      <c r="G1049" s="2" t="s">
        <v>18</v>
      </c>
      <c r="H1049" s="2" t="n">
        <f aca="false">F1049/Tabla2[[#This Row],[Cosecha Mensual]]</f>
        <v>8.42771550057982</v>
      </c>
      <c r="I1049" s="2" t="n">
        <f aca="false">H1049*_xlfn.XLOOKUP(Tabla2[[#This Row],[Unidad de producción]],Tabla3[Medida],Tabla3[Equivalencia en Kg],"ELVIS",0)</f>
        <v>382.281175106301</v>
      </c>
      <c r="J1049" s="2" t="n">
        <v>810.223333333333</v>
      </c>
      <c r="K1049" s="2" t="s">
        <v>18</v>
      </c>
      <c r="L1049" s="2" t="n">
        <f aca="false">J1049/_xlfn.XLOOKUP(Tabla2[[#This Row],[Unidad de precio]],Tabla3[Medida],Tabla3[Equivalencia en Kg],"ELVIS",0)</f>
        <v>17.8620664315109</v>
      </c>
      <c r="M1049" s="2" t="n">
        <v>6063.13</v>
      </c>
      <c r="N1049" s="3" t="n">
        <f aca="false">(Tabla2[[#This Row],[Productividad (kg/TAS)]]*Tabla2[[#This Row],[Precio por kg]]-Tabla2[[#This Row],[Costos (En RD$/Tarea)]])</f>
        <v>765.201745264782</v>
      </c>
      <c r="O1049" s="9" t="n">
        <f aca="false">IF(Tabla2[[#This Row],[Costos (En RD$/Tarea)]]=0,0,Tabla2[[#This Row],[Beneficio Neto  (En RD$/Tarea)]]/Tabla2[[#This Row],[Costos (En RD$/Tarea)]])</f>
        <v>0.1262057295926</v>
      </c>
      <c r="P1049" s="7" t="n">
        <f aca="false">Tabla2[[#This Row],[Rentabilidad (%)]]/12</f>
        <v>0.0105171441327167</v>
      </c>
    </row>
    <row r="1050" customFormat="false" ht="14.25" hidden="false" customHeight="false" outlineLevel="0" collapsed="false">
      <c r="A1050" s="1" t="n">
        <v>39173</v>
      </c>
      <c r="B1050" s="2" t="s">
        <v>23</v>
      </c>
      <c r="C1050" s="3" t="n">
        <v>2864</v>
      </c>
      <c r="D1050" s="8" t="s">
        <v>17</v>
      </c>
      <c r="E1050" s="3" t="n">
        <f aca="false">IF(Tabla2[[#This Row],[Frecuencia]]="Annual", Tabla2[[#This Row],[Cosecha/Tarea]]/12,Tabla2[[#This Row],[Cosecha/Tarea]])</f>
        <v>2864</v>
      </c>
      <c r="F1050" s="3" t="n">
        <v>78380</v>
      </c>
      <c r="G1050" s="2" t="s">
        <v>18</v>
      </c>
      <c r="H1050" s="2" t="n">
        <f aca="false">F1050/Tabla2[[#This Row],[Cosecha Mensual]]</f>
        <v>27.3673184357542</v>
      </c>
      <c r="I1050" s="2" t="n">
        <f aca="false">H1050*_xlfn.XLOOKUP(Tabla2[[#This Row],[Unidad de producción]],Tabla3[Medida],Tabla3[Equivalencia en Kg],"ELVIS",0)</f>
        <v>1241.38156424581</v>
      </c>
      <c r="J1050" s="2" t="n">
        <v>870.833333333333</v>
      </c>
      <c r="K1050" s="2" t="s">
        <v>18</v>
      </c>
      <c r="L1050" s="2" t="n">
        <f aca="false">J1050/_xlfn.XLOOKUP(Tabla2[[#This Row],[Unidad de precio]],Tabla3[Medida],Tabla3[Equivalencia en Kg],"ELVIS",0)</f>
        <v>19.1982657260435</v>
      </c>
      <c r="M1050" s="2" t="n">
        <v>12092.41</v>
      </c>
      <c r="N1050" s="3" t="n">
        <f aca="false">(Tabla2[[#This Row],[Productividad (kg/TAS)]]*Tabla2[[#This Row],[Precio por kg]]-Tabla2[[#This Row],[Costos (En RD$/Tarea)]])</f>
        <v>11739.9631378026</v>
      </c>
      <c r="O1050" s="9" t="n">
        <f aca="false">IF(Tabla2[[#This Row],[Costos (En RD$/Tarea)]]=0,0,Tabla2[[#This Row],[Beneficio Neto  (En RD$/Tarea)]]/Tabla2[[#This Row],[Costos (En RD$/Tarea)]])</f>
        <v>0.970853877581276</v>
      </c>
      <c r="P1050" s="7" t="n">
        <f aca="false">Tabla2[[#This Row],[Rentabilidad (%)]]/12</f>
        <v>0.0809044897984397</v>
      </c>
    </row>
    <row r="1051" customFormat="false" ht="14.25" hidden="false" customHeight="false" outlineLevel="0" collapsed="false">
      <c r="A1051" s="1" t="n">
        <v>39173</v>
      </c>
      <c r="B1051" s="2" t="s">
        <v>24</v>
      </c>
      <c r="C1051" s="3" t="n">
        <v>6351</v>
      </c>
      <c r="D1051" s="8" t="s">
        <v>17</v>
      </c>
      <c r="E1051" s="3" t="n">
        <f aca="false">IF(Tabla2[[#This Row],[Frecuencia]]="Annual", Tabla2[[#This Row],[Cosecha/Tarea]]/12,Tabla2[[#This Row],[Cosecha/Tarea]])</f>
        <v>6351</v>
      </c>
      <c r="F1051" s="3" t="n">
        <v>58903</v>
      </c>
      <c r="G1051" s="2" t="s">
        <v>18</v>
      </c>
      <c r="H1051" s="2" t="n">
        <f aca="false">F1051/Tabla2[[#This Row],[Cosecha Mensual]]</f>
        <v>9.27460242481499</v>
      </c>
      <c r="I1051" s="2" t="n">
        <f aca="false">H1051*_xlfn.XLOOKUP(Tabla2[[#This Row],[Unidad de producción]],Tabla3[Medida],Tabla3[Equivalencia en Kg],"ELVIS",0)</f>
        <v>420.695965989608</v>
      </c>
      <c r="J1051" s="2" t="n">
        <v>843.125</v>
      </c>
      <c r="K1051" s="2" t="s">
        <v>18</v>
      </c>
      <c r="L1051" s="2" t="n">
        <f aca="false">J1051/_xlfn.XLOOKUP(Tabla2[[#This Row],[Unidad de precio]],Tabla3[Medida],Tabla3[Equivalencia en Kg],"ELVIS",0)</f>
        <v>18.5874118165785</v>
      </c>
      <c r="M1051" s="2" t="n">
        <v>4803.45</v>
      </c>
      <c r="N1051" s="3" t="n">
        <f aca="false">(Tabla2[[#This Row],[Productividad (kg/TAS)]]*Tabla2[[#This Row],[Precio por kg]]-Tabla2[[#This Row],[Costos (En RD$/Tarea)]])</f>
        <v>3016.19916942214</v>
      </c>
      <c r="O1051" s="9" t="n">
        <f aca="false">IF(Tabla2[[#This Row],[Costos (En RD$/Tarea)]]=0,0,Tabla2[[#This Row],[Beneficio Neto  (En RD$/Tarea)]]/Tabla2[[#This Row],[Costos (En RD$/Tarea)]])</f>
        <v>0.627923506942331</v>
      </c>
      <c r="P1051" s="7" t="n">
        <f aca="false">Tabla2[[#This Row],[Rentabilidad (%)]]/12</f>
        <v>0.0523269589118609</v>
      </c>
    </row>
    <row r="1052" customFormat="false" ht="14.25" hidden="false" customHeight="false" outlineLevel="0" collapsed="false">
      <c r="A1052" s="1" t="n">
        <v>39173</v>
      </c>
      <c r="B1052" s="2" t="s">
        <v>25</v>
      </c>
      <c r="C1052" s="3" t="n">
        <v>30182</v>
      </c>
      <c r="D1052" s="8" t="s">
        <v>17</v>
      </c>
      <c r="E1052" s="3" t="n">
        <f aca="false">IF(Tabla2[[#This Row],[Frecuencia]]="Annual", Tabla2[[#This Row],[Cosecha/Tarea]]/12,Tabla2[[#This Row],[Cosecha/Tarea]])</f>
        <v>30182</v>
      </c>
      <c r="F1052" s="3" t="n">
        <v>298112</v>
      </c>
      <c r="G1052" s="2" t="s">
        <v>18</v>
      </c>
      <c r="H1052" s="2" t="n">
        <f aca="false">F1052/Tabla2[[#This Row],[Cosecha Mensual]]</f>
        <v>9.8771453184017</v>
      </c>
      <c r="I1052" s="2" t="n">
        <f aca="false">H1052*_xlfn.XLOOKUP(Tabla2[[#This Row],[Unidad de producción]],Tabla3[Medida],Tabla3[Equivalencia en Kg],"ELVIS",0)</f>
        <v>448.027311642701</v>
      </c>
      <c r="J1052" s="2" t="n">
        <v>291.5415</v>
      </c>
      <c r="K1052" s="2" t="s">
        <v>18</v>
      </c>
      <c r="L1052" s="2" t="n">
        <f aca="false">J1052/_xlfn.XLOOKUP(Tabla2[[#This Row],[Unidad de precio]],Tabla3[Medida],Tabla3[Equivalencia en Kg],"ELVIS",0)</f>
        <v>6.42728174603175</v>
      </c>
      <c r="M1052" s="2" t="n">
        <v>2341.04</v>
      </c>
      <c r="N1052" s="3" t="n">
        <f aca="false">(Tabla2[[#This Row],[Productividad (kg/TAS)]]*Tabla2[[#This Row],[Precio por kg]]-Tabla2[[#This Row],[Costos (En RD$/Tarea)]])</f>
        <v>538.557761844808</v>
      </c>
      <c r="O1052" s="9" t="n">
        <f aca="false">IF(Tabla2[[#This Row],[Costos (En RD$/Tarea)]]=0,0,Tabla2[[#This Row],[Beneficio Neto  (En RD$/Tarea)]]/Tabla2[[#This Row],[Costos (En RD$/Tarea)]])</f>
        <v>0.230050644946181</v>
      </c>
      <c r="P1052" s="7" t="n">
        <f aca="false">Tabla2[[#This Row],[Rentabilidad (%)]]/12</f>
        <v>0.0191708870788484</v>
      </c>
    </row>
    <row r="1053" customFormat="false" ht="14.25" hidden="false" customHeight="false" outlineLevel="0" collapsed="false">
      <c r="A1053" s="1" t="n">
        <v>39173</v>
      </c>
      <c r="B1053" s="2" t="s">
        <v>26</v>
      </c>
      <c r="C1053" s="3" t="n">
        <v>10377</v>
      </c>
      <c r="D1053" s="8" t="s">
        <v>17</v>
      </c>
      <c r="E1053" s="3" t="n">
        <f aca="false">IF(Tabla2[[#This Row],[Frecuencia]]="Annual", Tabla2[[#This Row],[Cosecha/Tarea]]/12,Tabla2[[#This Row],[Cosecha/Tarea]])</f>
        <v>10377</v>
      </c>
      <c r="F1053" s="3" t="n">
        <v>75263</v>
      </c>
      <c r="G1053" s="2" t="s">
        <v>18</v>
      </c>
      <c r="H1053" s="2" t="n">
        <f aca="false">F1053/Tabla2[[#This Row],[Cosecha Mensual]]</f>
        <v>7.25286691722078</v>
      </c>
      <c r="I1053" s="2" t="n">
        <f aca="false">H1053*_xlfn.XLOOKUP(Tabla2[[#This Row],[Unidad de producción]],Tabla3[Medida],Tabla3[Equivalencia en Kg],"ELVIS",0)</f>
        <v>328.990043365134</v>
      </c>
      <c r="J1053" s="2" t="n">
        <v>443.75</v>
      </c>
      <c r="K1053" s="2" t="s">
        <v>18</v>
      </c>
      <c r="L1053" s="2" t="n">
        <f aca="false">J1053/_xlfn.XLOOKUP(Tabla2[[#This Row],[Unidad de precio]],Tabla3[Medida],Tabla3[Equivalencia en Kg],"ELVIS",0)</f>
        <v>9.78284832451499</v>
      </c>
      <c r="M1053" s="2" t="n">
        <v>970.18</v>
      </c>
      <c r="N1053" s="3" t="n">
        <f aca="false">(Tabla2[[#This Row],[Productividad (kg/TAS)]]*Tabla2[[#This Row],[Precio por kg]]-Tabla2[[#This Row],[Costos (En RD$/Tarea)]])</f>
        <v>2248.27969451672</v>
      </c>
      <c r="O1053" s="9" t="n">
        <f aca="false">IF(Tabla2[[#This Row],[Costos (En RD$/Tarea)]]=0,0,Tabla2[[#This Row],[Beneficio Neto  (En RD$/Tarea)]]/Tabla2[[#This Row],[Costos (En RD$/Tarea)]])</f>
        <v>2.31738408802152</v>
      </c>
      <c r="P1053" s="7" t="n">
        <f aca="false">Tabla2[[#This Row],[Rentabilidad (%)]]/12</f>
        <v>0.19311534066846</v>
      </c>
    </row>
    <row r="1054" customFormat="false" ht="14.25" hidden="false" customHeight="false" outlineLevel="0" collapsed="false">
      <c r="A1054" s="1" t="n">
        <v>39173</v>
      </c>
      <c r="B1054" s="2" t="s">
        <v>27</v>
      </c>
      <c r="C1054" s="3" t="n">
        <v>4956</v>
      </c>
      <c r="D1054" s="8" t="s">
        <v>17</v>
      </c>
      <c r="E1054" s="3" t="n">
        <f aca="false">IF(Tabla2[[#This Row],[Frecuencia]]="Annual", Tabla2[[#This Row],[Cosecha/Tarea]]/12,Tabla2[[#This Row],[Cosecha/Tarea]])</f>
        <v>4956</v>
      </c>
      <c r="F1054" s="3" t="n">
        <v>50737</v>
      </c>
      <c r="G1054" s="2" t="s">
        <v>18</v>
      </c>
      <c r="H1054" s="2" t="n">
        <f aca="false">F1054/Tabla2[[#This Row],[Cosecha Mensual]]</f>
        <v>10.2374899112187</v>
      </c>
      <c r="I1054" s="2" t="n">
        <f aca="false">H1054*_xlfn.XLOOKUP(Tabla2[[#This Row],[Unidad de producción]],Tabla3[Medida],Tabla3[Equivalencia en Kg],"ELVIS",0)</f>
        <v>464.372542372881</v>
      </c>
      <c r="J1054" s="2" t="n">
        <v>241.855466666667</v>
      </c>
      <c r="K1054" s="2" t="s">
        <v>18</v>
      </c>
      <c r="L1054" s="2" t="n">
        <f aca="false">J1054/_xlfn.XLOOKUP(Tabla2[[#This Row],[Unidad de precio]],Tabla3[Medida],Tabla3[Equivalencia en Kg],"ELVIS",0)</f>
        <v>5.33191064079954</v>
      </c>
      <c r="M1054" s="2" t="n">
        <v>5280.51</v>
      </c>
      <c r="N1054" s="3" t="n">
        <f aca="false">(Tabla2[[#This Row],[Productividad (kg/TAS)]]*Tabla2[[#This Row],[Precio por kg]]-Tabla2[[#This Row],[Costos (En RD$/Tarea)]])</f>
        <v>-2804.5171000269</v>
      </c>
      <c r="O1054" s="9" t="n">
        <f aca="false">IF(Tabla2[[#This Row],[Costos (En RD$/Tarea)]]=0,0,Tabla2[[#This Row],[Beneficio Neto  (En RD$/Tarea)]]/Tabla2[[#This Row],[Costos (En RD$/Tarea)]])</f>
        <v>-0.531107241540476</v>
      </c>
      <c r="P1054" s="7" t="n">
        <f aca="false">Tabla2[[#This Row],[Rentabilidad (%)]]/12</f>
        <v>-0.0442589367950397</v>
      </c>
    </row>
    <row r="1055" customFormat="false" ht="14.25" hidden="false" customHeight="false" outlineLevel="0" collapsed="false">
      <c r="A1055" s="1" t="n">
        <v>39173</v>
      </c>
      <c r="B1055" s="2" t="s">
        <v>28</v>
      </c>
      <c r="C1055" s="3" t="n">
        <v>1707</v>
      </c>
      <c r="D1055" s="8" t="s">
        <v>17</v>
      </c>
      <c r="E1055" s="3" t="n">
        <f aca="false">IF(Tabla2[[#This Row],[Frecuencia]]="Annual", Tabla2[[#This Row],[Cosecha/Tarea]]/12,Tabla2[[#This Row],[Cosecha/Tarea]])</f>
        <v>1707</v>
      </c>
      <c r="F1055" s="3" t="n">
        <v>797</v>
      </c>
      <c r="G1055" s="2" t="s">
        <v>29</v>
      </c>
      <c r="H1055" s="2" t="n">
        <f aca="false">F1055/Tabla2[[#This Row],[Cosecha Mensual]]</f>
        <v>0.466900995899238</v>
      </c>
      <c r="I1055" s="2" t="n">
        <f aca="false">H1055*_xlfn.XLOOKUP(Tabla2[[#This Row],[Unidad de producción]],Tabla3[Medida],Tabla3[Equivalencia en Kg],"ELVIS",0)</f>
        <v>262.557106033978</v>
      </c>
      <c r="J1055" s="2" t="n">
        <v>7671.67</v>
      </c>
      <c r="K1055" s="2" t="s">
        <v>29</v>
      </c>
      <c r="L1055" s="2" t="n">
        <f aca="false">J1055/_xlfn.XLOOKUP(Tabla2[[#This Row],[Unidad de precio]],Tabla3[Medida],Tabla3[Equivalencia en Kg],"ELVIS",0)</f>
        <v>13.6424049507415</v>
      </c>
      <c r="M1055" s="2" t="n">
        <v>10097.26</v>
      </c>
      <c r="N1055" s="3" t="n">
        <f aca="false">(Tabla2[[#This Row],[Productividad (kg/TAS)]]*Tabla2[[#This Row],[Precio por kg]]-Tabla2[[#This Row],[Costos (En RD$/Tarea)]])</f>
        <v>-6515.34963678969</v>
      </c>
      <c r="O1055" s="9" t="n">
        <f aca="false">IF(Tabla2[[#This Row],[Costos (En RD$/Tarea)]]=0,0,Tabla2[[#This Row],[Beneficio Neto  (En RD$/Tarea)]]/Tabla2[[#This Row],[Costos (En RD$/Tarea)]])</f>
        <v>-0.645259172962733</v>
      </c>
      <c r="P1055" s="7" t="n">
        <f aca="false">Tabla2[[#This Row],[Rentabilidad (%)]]/12</f>
        <v>-0.0537715977468944</v>
      </c>
    </row>
    <row r="1056" customFormat="false" ht="14.25" hidden="false" customHeight="false" outlineLevel="0" collapsed="false">
      <c r="A1056" s="1" t="n">
        <v>39173</v>
      </c>
      <c r="B1056" s="2" t="s">
        <v>30</v>
      </c>
      <c r="C1056" s="3" t="n">
        <v>312419</v>
      </c>
      <c r="D1056" s="3" t="s">
        <v>31</v>
      </c>
      <c r="E1056" s="3" t="n">
        <f aca="false">IF(Tabla2[[#This Row],[Frecuencia]]="Annual", Tabla2[[#This Row],[Cosecha/Tarea]]/12,Tabla2[[#This Row],[Cosecha/Tarea]])</f>
        <v>26034.9166666667</v>
      </c>
      <c r="F1056" s="3" t="n">
        <v>1751527</v>
      </c>
      <c r="G1056" s="2" t="s">
        <v>32</v>
      </c>
      <c r="H1056" s="2" t="n">
        <f aca="false">F1056/Tabla2[[#This Row],[Cosecha Mensual]]</f>
        <v>67.2760747585774</v>
      </c>
      <c r="I1056" s="2" t="n">
        <f aca="false">H1056*_xlfn.XLOOKUP(Tabla2[[#This Row],[Unidad de producción]],Tabla3[Medida],Tabla3[Equivalencia en Kg],"ELVIS",0)</f>
        <v>1830.58199418089</v>
      </c>
      <c r="J1056" s="2" t="n">
        <v>68.976</v>
      </c>
      <c r="K1056" s="2" t="s">
        <v>32</v>
      </c>
      <c r="L1056" s="2" t="n">
        <f aca="false">J1056/_xlfn.XLOOKUP(Tabla2[[#This Row],[Unidad de precio]],Tabla3[Medida],Tabla3[Equivalencia en Kg],"ELVIS",0)</f>
        <v>2.53495038588754</v>
      </c>
      <c r="M1056" s="3" t="n">
        <v>8303.36</v>
      </c>
      <c r="N1056" s="3" t="n">
        <f aca="false">(Tabla2[[#This Row],[Productividad (kg/TAS)]]*Tabla2[[#This Row],[Precio por kg]]-Tabla2[[#This Row],[Costos (En RD$/Tarea)]])</f>
        <v>-3662.92546745236</v>
      </c>
      <c r="O1056" s="9" t="n">
        <f aca="false">IF(Tabla2[[#This Row],[Costos (En RD$/Tarea)]]=0,0,Tabla2[[#This Row],[Beneficio Neto  (En RD$/Tarea)]]/Tabla2[[#This Row],[Costos (En RD$/Tarea)]])</f>
        <v>-0.441137740318662</v>
      </c>
      <c r="P1056" s="7" t="n">
        <f aca="false">Tabla2[[#This Row],[Rentabilidad (%)]]/12</f>
        <v>-0.0367614783598885</v>
      </c>
    </row>
    <row r="1057" customFormat="false" ht="14.25" hidden="false" customHeight="false" outlineLevel="0" collapsed="false">
      <c r="A1057" s="1" t="n">
        <v>39173</v>
      </c>
      <c r="B1057" s="2" t="s">
        <v>33</v>
      </c>
      <c r="C1057" s="3" t="n">
        <v>794247</v>
      </c>
      <c r="D1057" s="3" t="s">
        <v>31</v>
      </c>
      <c r="E1057" s="3" t="n">
        <f aca="false">IF(Tabla2[[#This Row],[Frecuencia]]="Annual", Tabla2[[#This Row],[Cosecha/Tarea]]/12,Tabla2[[#This Row],[Cosecha/Tarea]])</f>
        <v>66187.25</v>
      </c>
      <c r="F1057" s="3" t="n">
        <v>185237</v>
      </c>
      <c r="G1057" s="2" t="s">
        <v>34</v>
      </c>
      <c r="H1057" s="2" t="n">
        <f aca="false">F1057/Tabla2[[#This Row],[Cosecha Mensual]]</f>
        <v>2.79868101484803</v>
      </c>
      <c r="I1057" s="2" t="n">
        <f aca="false">H1057*_xlfn.XLOOKUP(Tabla2[[#This Row],[Unidad de producción]],Tabla3[Medida],Tabla3[Equivalencia en Kg],"ELVIS",0)</f>
        <v>1142.28165621022</v>
      </c>
      <c r="J1057" s="2" t="n">
        <v>2442.426</v>
      </c>
      <c r="K1057" s="2" t="s">
        <v>34</v>
      </c>
      <c r="L1057" s="2" t="n">
        <f aca="false">J1057/_xlfn.XLOOKUP(Tabla2[[#This Row],[Unidad de precio]],Tabla3[Medida],Tabla3[Equivalencia en Kg],"ELVIS",0)</f>
        <v>5.984138184491</v>
      </c>
      <c r="M1057" s="3" t="n">
        <v>11167.89</v>
      </c>
      <c r="N1057" s="3" t="n">
        <f aca="false">(Tabla2[[#This Row],[Productividad (kg/TAS)]]*Tabla2[[#This Row],[Precio por kg]]-Tabla2[[#This Row],[Costos (En RD$/Tarea)]])</f>
        <v>-4332.3187236288</v>
      </c>
      <c r="O1057" s="9" t="n">
        <f aca="false">IF(Tabla2[[#This Row],[Costos (En RD$/Tarea)]]=0,0,Tabla2[[#This Row],[Beneficio Neto  (En RD$/Tarea)]]/Tabla2[[#This Row],[Costos (En RD$/Tarea)]])</f>
        <v>-0.387926342722645</v>
      </c>
      <c r="P1057" s="7" t="n">
        <f aca="false">Tabla2[[#This Row],[Rentabilidad (%)]]/12</f>
        <v>-0.0323271952268871</v>
      </c>
    </row>
    <row r="1058" customFormat="false" ht="14.25" hidden="false" customHeight="false" outlineLevel="0" collapsed="false">
      <c r="A1058" s="1" t="n">
        <v>39203</v>
      </c>
      <c r="B1058" s="2" t="s">
        <v>16</v>
      </c>
      <c r="C1058" s="3" t="n">
        <v>469290</v>
      </c>
      <c r="D1058" s="8" t="s">
        <v>17</v>
      </c>
      <c r="E1058" s="3" t="n">
        <f aca="false">IF(Tabla2[[#This Row],[Frecuencia]]="Annual", Tabla2[[#This Row],[Cosecha/Tarea]]/12,Tabla2[[#This Row],[Cosecha/Tarea]])</f>
        <v>469290</v>
      </c>
      <c r="F1058" s="3" t="n">
        <v>2296097</v>
      </c>
      <c r="G1058" s="2" t="s">
        <v>18</v>
      </c>
      <c r="H1058" s="2" t="n">
        <f aca="false">F1058/Tabla2[[#This Row],[Cosecha Mensual]]</f>
        <v>4.89270387180635</v>
      </c>
      <c r="I1058" s="2" t="n">
        <f aca="false">H1058*_xlfn.XLOOKUP(Tabla2[[#This Row],[Unidad de producción]],Tabla3[Medida],Tabla3[Equivalencia en Kg],"ELVIS",0)</f>
        <v>221.933047625136</v>
      </c>
      <c r="J1058" s="2" t="n">
        <v>1167.91666666667</v>
      </c>
      <c r="K1058" s="2" t="s">
        <v>19</v>
      </c>
      <c r="L1058" s="2" t="n">
        <f aca="false">J1058/_xlfn.XLOOKUP(Tabla2[[#This Row],[Unidad de precio]],Tabla3[Medida],Tabla3[Equivalencia en Kg],"ELVIS",0)</f>
        <v>10.6174242424243</v>
      </c>
      <c r="M1058" s="2" t="n">
        <v>5339.5</v>
      </c>
      <c r="N1058" s="3" t="n">
        <f aca="false">(Tabla2[[#This Row],[Productividad (kg/TAS)]]*Tabla2[[#This Row],[Precio por kg]]-Tabla2[[#This Row],[Costos (En RD$/Tarea)]])</f>
        <v>-2983.14267994978</v>
      </c>
      <c r="O1058" s="9" t="n">
        <f aca="false">IF(Tabla2[[#This Row],[Costos (En RD$/Tarea)]]=0,0,Tabla2[[#This Row],[Beneficio Neto  (En RD$/Tarea)]]/Tabla2[[#This Row],[Costos (En RD$/Tarea)]])</f>
        <v>-0.558693263404772</v>
      </c>
      <c r="P1058" s="7" t="n">
        <f aca="false">Tabla2[[#This Row],[Rentabilidad (%)]]/12</f>
        <v>-0.0465577719503977</v>
      </c>
    </row>
    <row r="1059" customFormat="false" ht="14.25" hidden="false" customHeight="false" outlineLevel="0" collapsed="false">
      <c r="A1059" s="1" t="n">
        <v>39203</v>
      </c>
      <c r="B1059" s="2" t="s">
        <v>20</v>
      </c>
      <c r="C1059" s="3" t="n">
        <v>18684</v>
      </c>
      <c r="D1059" s="8" t="s">
        <v>17</v>
      </c>
      <c r="E1059" s="3" t="n">
        <f aca="false">IF(Tabla2[[#This Row],[Frecuencia]]="Annual", Tabla2[[#This Row],[Cosecha/Tarea]]/12,Tabla2[[#This Row],[Cosecha/Tarea]])</f>
        <v>18684</v>
      </c>
      <c r="F1059" s="3" t="n">
        <v>48366</v>
      </c>
      <c r="G1059" s="2" t="s">
        <v>18</v>
      </c>
      <c r="H1059" s="2" t="n">
        <f aca="false">F1059/Tabla2[[#This Row],[Cosecha Mensual]]</f>
        <v>2.58863198458574</v>
      </c>
      <c r="I1059" s="2" t="n">
        <f aca="false">H1059*_xlfn.XLOOKUP(Tabla2[[#This Row],[Unidad de producción]],Tabla3[Medida],Tabla3[Equivalencia en Kg],"ELVIS",0)</f>
        <v>117.420346820809</v>
      </c>
      <c r="J1059" s="2" t="n">
        <v>334.2406115</v>
      </c>
      <c r="K1059" s="2" t="s">
        <v>18</v>
      </c>
      <c r="L1059" s="2" t="n">
        <f aca="false">J1059/_xlfn.XLOOKUP(Tabla2[[#This Row],[Unidad de precio]],Tabla3[Medida],Tabla3[Equivalencia en Kg],"ELVIS",0)</f>
        <v>7.3686201829806</v>
      </c>
      <c r="M1059" s="2" t="n">
        <v>1417.48</v>
      </c>
      <c r="N1059" s="3" t="n">
        <f aca="false">(Tabla2[[#This Row],[Productividad (kg/TAS)]]*Tabla2[[#This Row],[Precio por kg]]-Tabla2[[#This Row],[Costos (En RD$/Tarea)]])</f>
        <v>-552.254062523603</v>
      </c>
      <c r="O1059" s="9" t="n">
        <f aca="false">IF(Tabla2[[#This Row],[Costos (En RD$/Tarea)]]=0,0,Tabla2[[#This Row],[Beneficio Neto  (En RD$/Tarea)]]/Tabla2[[#This Row],[Costos (En RD$/Tarea)]])</f>
        <v>-0.389602719279004</v>
      </c>
      <c r="P1059" s="7" t="n">
        <f aca="false">Tabla2[[#This Row],[Rentabilidad (%)]]/12</f>
        <v>-0.0324668932732504</v>
      </c>
    </row>
    <row r="1060" customFormat="false" ht="14.25" hidden="false" customHeight="false" outlineLevel="0" collapsed="false">
      <c r="A1060" s="1" t="n">
        <v>39203</v>
      </c>
      <c r="B1060" s="2" t="s">
        <v>21</v>
      </c>
      <c r="C1060" s="3" t="n">
        <v>11852</v>
      </c>
      <c r="D1060" s="8" t="s">
        <v>17</v>
      </c>
      <c r="E1060" s="3" t="n">
        <f aca="false">IF(Tabla2[[#This Row],[Frecuencia]]="Annual", Tabla2[[#This Row],[Cosecha/Tarea]]/12,Tabla2[[#This Row],[Cosecha/Tarea]])</f>
        <v>11852</v>
      </c>
      <c r="F1060" s="3" t="n">
        <v>121724</v>
      </c>
      <c r="G1060" s="2" t="s">
        <v>18</v>
      </c>
      <c r="H1060" s="2" t="n">
        <f aca="false">F1060/Tabla2[[#This Row],[Cosecha Mensual]]</f>
        <v>10.2703341208235</v>
      </c>
      <c r="I1060" s="2" t="n">
        <f aca="false">H1060*_xlfn.XLOOKUP(Tabla2[[#This Row],[Unidad de producción]],Tabla3[Medida],Tabla3[Equivalencia en Kg],"ELVIS",0)</f>
        <v>465.862355720554</v>
      </c>
      <c r="J1060" s="2" t="n">
        <v>211.13604</v>
      </c>
      <c r="K1060" s="2" t="s">
        <v>18</v>
      </c>
      <c r="L1060" s="2" t="n">
        <f aca="false">J1060/_xlfn.XLOOKUP(Tabla2[[#This Row],[Unidad de precio]],Tabla3[Medida],Tabla3[Equivalencia en Kg],"ELVIS",0)</f>
        <v>4.6546746031746</v>
      </c>
      <c r="M1060" s="2" t="n">
        <v>2131.605</v>
      </c>
      <c r="N1060" s="3" t="n">
        <f aca="false">(Tabla2[[#This Row],[Productividad (kg/TAS)]]*Tabla2[[#This Row],[Precio por kg]]-Tabla2[[#This Row],[Costos (En RD$/Tarea)]])</f>
        <v>36.8326757475534</v>
      </c>
      <c r="O1060" s="9" t="n">
        <f aca="false">IF(Tabla2[[#This Row],[Costos (En RD$/Tarea)]]=0,0,Tabla2[[#This Row],[Beneficio Neto  (En RD$/Tarea)]]/Tabla2[[#This Row],[Costos (En RD$/Tarea)]])</f>
        <v>0.0172793157022776</v>
      </c>
      <c r="P1060" s="7" t="n">
        <f aca="false">Tabla2[[#This Row],[Rentabilidad (%)]]/12</f>
        <v>0.0014399429751898</v>
      </c>
    </row>
    <row r="1061" customFormat="false" ht="14.25" hidden="false" customHeight="false" outlineLevel="0" collapsed="false">
      <c r="A1061" s="1" t="n">
        <v>39203</v>
      </c>
      <c r="B1061" s="2" t="s">
        <v>22</v>
      </c>
      <c r="C1061" s="3" t="n">
        <v>6812</v>
      </c>
      <c r="D1061" s="8" t="s">
        <v>17</v>
      </c>
      <c r="E1061" s="3" t="n">
        <f aca="false">IF(Tabla2[[#This Row],[Frecuencia]]="Annual", Tabla2[[#This Row],[Cosecha/Tarea]]/12,Tabla2[[#This Row],[Cosecha/Tarea]])</f>
        <v>6812</v>
      </c>
      <c r="F1061" s="3" t="n">
        <v>67901</v>
      </c>
      <c r="G1061" s="2" t="s">
        <v>18</v>
      </c>
      <c r="H1061" s="2" t="n">
        <f aca="false">F1061/Tabla2[[#This Row],[Cosecha Mensual]]</f>
        <v>9.96785085143864</v>
      </c>
      <c r="I1061" s="2" t="n">
        <f aca="false">H1061*_xlfn.XLOOKUP(Tabla2[[#This Row],[Unidad de producción]],Tabla3[Medida],Tabla3[Equivalencia en Kg],"ELVIS",0)</f>
        <v>452.141714621257</v>
      </c>
      <c r="J1061" s="2" t="n">
        <v>852.125</v>
      </c>
      <c r="K1061" s="2" t="s">
        <v>18</v>
      </c>
      <c r="L1061" s="2" t="n">
        <f aca="false">J1061/_xlfn.XLOOKUP(Tabla2[[#This Row],[Unidad de precio]],Tabla3[Medida],Tabla3[Equivalencia en Kg],"ELVIS",0)</f>
        <v>18.7858245149912</v>
      </c>
      <c r="M1061" s="2" t="n">
        <v>6063.13</v>
      </c>
      <c r="N1061" s="3" t="n">
        <f aca="false">(Tabla2[[#This Row],[Productividad (kg/TAS)]]*Tabla2[[#This Row],[Precio por kg]]-Tabla2[[#This Row],[Costos (En RD$/Tarea)]])</f>
        <v>2430.72490678215</v>
      </c>
      <c r="O1061" s="9" t="n">
        <f aca="false">IF(Tabla2[[#This Row],[Costos (En RD$/Tarea)]]=0,0,Tabla2[[#This Row],[Beneficio Neto  (En RD$/Tarea)]]/Tabla2[[#This Row],[Costos (En RD$/Tarea)]])</f>
        <v>0.400902653708917</v>
      </c>
      <c r="P1061" s="7" t="n">
        <f aca="false">Tabla2[[#This Row],[Rentabilidad (%)]]/12</f>
        <v>0.0334085544757431</v>
      </c>
    </row>
    <row r="1062" customFormat="false" ht="14.25" hidden="false" customHeight="false" outlineLevel="0" collapsed="false">
      <c r="A1062" s="1" t="n">
        <v>39203</v>
      </c>
      <c r="B1062" s="2" t="s">
        <v>23</v>
      </c>
      <c r="C1062" s="3" t="n">
        <v>1245</v>
      </c>
      <c r="D1062" s="8" t="s">
        <v>17</v>
      </c>
      <c r="E1062" s="3" t="n">
        <f aca="false">IF(Tabla2[[#This Row],[Frecuencia]]="Annual", Tabla2[[#This Row],[Cosecha/Tarea]]/12,Tabla2[[#This Row],[Cosecha/Tarea]])</f>
        <v>1245</v>
      </c>
      <c r="F1062" s="3" t="n">
        <v>39895</v>
      </c>
      <c r="G1062" s="2" t="s">
        <v>18</v>
      </c>
      <c r="H1062" s="2" t="n">
        <f aca="false">F1062/Tabla2[[#This Row],[Cosecha Mensual]]</f>
        <v>32.0441767068273</v>
      </c>
      <c r="I1062" s="2" t="n">
        <f aca="false">H1062*_xlfn.XLOOKUP(Tabla2[[#This Row],[Unidad de producción]],Tabla3[Medida],Tabla3[Equivalencia en Kg],"ELVIS",0)</f>
        <v>1453.52385542169</v>
      </c>
      <c r="J1062" s="2" t="n">
        <v>656.25</v>
      </c>
      <c r="K1062" s="2" t="s">
        <v>18</v>
      </c>
      <c r="L1062" s="2" t="n">
        <f aca="false">J1062/_xlfn.XLOOKUP(Tabla2[[#This Row],[Unidad de precio]],Tabla3[Medida],Tabla3[Equivalencia en Kg],"ELVIS",0)</f>
        <v>14.4675925925926</v>
      </c>
      <c r="M1062" s="2" t="n">
        <v>12092.41</v>
      </c>
      <c r="N1062" s="3" t="n">
        <f aca="false">(Tabla2[[#This Row],[Productividad (kg/TAS)]]*Tabla2[[#This Row],[Precio por kg]]-Tabla2[[#This Row],[Costos (En RD$/Tarea)]])</f>
        <v>8936.58096385542</v>
      </c>
      <c r="O1062" s="9" t="n">
        <f aca="false">IF(Tabla2[[#This Row],[Costos (En RD$/Tarea)]]=0,0,Tabla2[[#This Row],[Beneficio Neto  (En RD$/Tarea)]]/Tabla2[[#This Row],[Costos (En RD$/Tarea)]])</f>
        <v>0.739023979823329</v>
      </c>
      <c r="P1062" s="7" t="n">
        <f aca="false">Tabla2[[#This Row],[Rentabilidad (%)]]/12</f>
        <v>0.0615853316519441</v>
      </c>
    </row>
    <row r="1063" customFormat="false" ht="14.25" hidden="false" customHeight="false" outlineLevel="0" collapsed="false">
      <c r="A1063" s="1" t="n">
        <v>39203</v>
      </c>
      <c r="B1063" s="2" t="s">
        <v>24</v>
      </c>
      <c r="C1063" s="3" t="n">
        <v>6553</v>
      </c>
      <c r="D1063" s="8" t="s">
        <v>17</v>
      </c>
      <c r="E1063" s="3" t="n">
        <f aca="false">IF(Tabla2[[#This Row],[Frecuencia]]="Annual", Tabla2[[#This Row],[Cosecha/Tarea]]/12,Tabla2[[#This Row],[Cosecha/Tarea]])</f>
        <v>6553</v>
      </c>
      <c r="F1063" s="3" t="n">
        <v>47119</v>
      </c>
      <c r="G1063" s="2" t="s">
        <v>18</v>
      </c>
      <c r="H1063" s="2" t="n">
        <f aca="false">F1063/Tabla2[[#This Row],[Cosecha Mensual]]</f>
        <v>7.19044712345491</v>
      </c>
      <c r="I1063" s="2" t="n">
        <f aca="false">H1063*_xlfn.XLOOKUP(Tabla2[[#This Row],[Unidad de producción]],Tabla3[Medida],Tabla3[Equivalencia en Kg],"ELVIS",0)</f>
        <v>326.158681519915</v>
      </c>
      <c r="J1063" s="2" t="n">
        <v>821</v>
      </c>
      <c r="K1063" s="2" t="s">
        <v>18</v>
      </c>
      <c r="L1063" s="2" t="n">
        <f aca="false">J1063/_xlfn.XLOOKUP(Tabla2[[#This Row],[Unidad de precio]],Tabla3[Medida],Tabla3[Equivalencia en Kg],"ELVIS",0)</f>
        <v>18.0996472663139</v>
      </c>
      <c r="M1063" s="2" t="n">
        <v>4803.45</v>
      </c>
      <c r="N1063" s="3" t="n">
        <f aca="false">(Tabla2[[#This Row],[Productividad (kg/TAS)]]*Tabla2[[#This Row],[Precio por kg]]-Tabla2[[#This Row],[Costos (En RD$/Tarea)]])</f>
        <v>1099.90708835648</v>
      </c>
      <c r="O1063" s="9" t="n">
        <f aca="false">IF(Tabla2[[#This Row],[Costos (En RD$/Tarea)]]=0,0,Tabla2[[#This Row],[Beneficio Neto  (En RD$/Tarea)]]/Tabla2[[#This Row],[Costos (En RD$/Tarea)]])</f>
        <v>0.228982728737986</v>
      </c>
      <c r="P1063" s="7" t="n">
        <f aca="false">Tabla2[[#This Row],[Rentabilidad (%)]]/12</f>
        <v>0.0190818940614988</v>
      </c>
    </row>
    <row r="1064" customFormat="false" ht="14.25" hidden="false" customHeight="false" outlineLevel="0" collapsed="false">
      <c r="A1064" s="1" t="n">
        <v>39203</v>
      </c>
      <c r="B1064" s="2" t="s">
        <v>25</v>
      </c>
      <c r="C1064" s="3" t="n">
        <v>27444</v>
      </c>
      <c r="D1064" s="8" t="s">
        <v>17</v>
      </c>
      <c r="E1064" s="3" t="n">
        <f aca="false">IF(Tabla2[[#This Row],[Frecuencia]]="Annual", Tabla2[[#This Row],[Cosecha/Tarea]]/12,Tabla2[[#This Row],[Cosecha/Tarea]])</f>
        <v>27444</v>
      </c>
      <c r="F1064" s="3" t="n">
        <v>269176</v>
      </c>
      <c r="G1064" s="2" t="s">
        <v>18</v>
      </c>
      <c r="H1064" s="2" t="n">
        <f aca="false">F1064/Tabla2[[#This Row],[Cosecha Mensual]]</f>
        <v>9.80819122576884</v>
      </c>
      <c r="I1064" s="2" t="n">
        <f aca="false">H1064*_xlfn.XLOOKUP(Tabla2[[#This Row],[Unidad de producción]],Tabla3[Medida],Tabla3[Equivalencia en Kg],"ELVIS",0)</f>
        <v>444.899554000875</v>
      </c>
      <c r="J1064" s="2" t="n">
        <v>308.96375</v>
      </c>
      <c r="K1064" s="2" t="s">
        <v>18</v>
      </c>
      <c r="L1064" s="2" t="n">
        <f aca="false">J1064/_xlfn.XLOOKUP(Tabla2[[#This Row],[Unidad de precio]],Tabla3[Medida],Tabla3[Equivalencia en Kg],"ELVIS",0)</f>
        <v>6.81137014991182</v>
      </c>
      <c r="M1064" s="2" t="n">
        <v>2341.04</v>
      </c>
      <c r="N1064" s="3" t="n">
        <f aca="false">(Tabla2[[#This Row],[Productividad (kg/TAS)]]*Tabla2[[#This Row],[Precio por kg]]-Tabla2[[#This Row],[Costos (En RD$/Tarea)]])</f>
        <v>689.335541830637</v>
      </c>
      <c r="O1064" s="9" t="n">
        <f aca="false">IF(Tabla2[[#This Row],[Costos (En RD$/Tarea)]]=0,0,Tabla2[[#This Row],[Beneficio Neto  (En RD$/Tarea)]]/Tabla2[[#This Row],[Costos (En RD$/Tarea)]])</f>
        <v>0.294456968625328</v>
      </c>
      <c r="P1064" s="7" t="n">
        <f aca="false">Tabla2[[#This Row],[Rentabilidad (%)]]/12</f>
        <v>0.0245380807187773</v>
      </c>
    </row>
    <row r="1065" customFormat="false" ht="14.25" hidden="false" customHeight="false" outlineLevel="0" collapsed="false">
      <c r="A1065" s="1" t="n">
        <v>39203</v>
      </c>
      <c r="B1065" s="2" t="s">
        <v>26</v>
      </c>
      <c r="C1065" s="3" t="n">
        <v>10834</v>
      </c>
      <c r="D1065" s="8" t="s">
        <v>17</v>
      </c>
      <c r="E1065" s="3" t="n">
        <f aca="false">IF(Tabla2[[#This Row],[Frecuencia]]="Annual", Tabla2[[#This Row],[Cosecha/Tarea]]/12,Tabla2[[#This Row],[Cosecha/Tarea]])</f>
        <v>10834</v>
      </c>
      <c r="F1065" s="3" t="n">
        <v>80126</v>
      </c>
      <c r="G1065" s="2" t="s">
        <v>18</v>
      </c>
      <c r="H1065" s="2" t="n">
        <f aca="false">F1065/Tabla2[[#This Row],[Cosecha Mensual]]</f>
        <v>7.39579102824442</v>
      </c>
      <c r="I1065" s="2" t="n">
        <f aca="false">H1065*_xlfn.XLOOKUP(Tabla2[[#This Row],[Unidad de producción]],Tabla3[Medida],Tabla3[Equivalencia en Kg],"ELVIS",0)</f>
        <v>335.473081041167</v>
      </c>
      <c r="J1065" s="2" t="n">
        <v>409.583333333333</v>
      </c>
      <c r="K1065" s="2" t="s">
        <v>18</v>
      </c>
      <c r="L1065" s="2" t="n">
        <f aca="false">J1065/_xlfn.XLOOKUP(Tabla2[[#This Row],[Unidad de precio]],Tabla3[Medida],Tabla3[Equivalencia en Kg],"ELVIS",0)</f>
        <v>9.0296149323927</v>
      </c>
      <c r="M1065" s="2" t="n">
        <v>970.18</v>
      </c>
      <c r="N1065" s="3" t="n">
        <f aca="false">(Tabla2[[#This Row],[Productividad (kg/TAS)]]*Tabla2[[#This Row],[Precio por kg]]-Tabla2[[#This Row],[Costos (En RD$/Tarea)]])</f>
        <v>2059.01274198511</v>
      </c>
      <c r="O1065" s="9" t="n">
        <f aca="false">IF(Tabla2[[#This Row],[Costos (En RD$/Tarea)]]=0,0,Tabla2[[#This Row],[Beneficio Neto  (En RD$/Tarea)]]/Tabla2[[#This Row],[Costos (En RD$/Tarea)]])</f>
        <v>2.1222997196243</v>
      </c>
      <c r="P1065" s="7" t="n">
        <f aca="false">Tabla2[[#This Row],[Rentabilidad (%)]]/12</f>
        <v>0.176858309968692</v>
      </c>
    </row>
    <row r="1066" customFormat="false" ht="14.25" hidden="false" customHeight="false" outlineLevel="0" collapsed="false">
      <c r="A1066" s="1" t="n">
        <v>39203</v>
      </c>
      <c r="B1066" s="2" t="s">
        <v>27</v>
      </c>
      <c r="C1066" s="3" t="n">
        <v>5378</v>
      </c>
      <c r="D1066" s="8" t="s">
        <v>17</v>
      </c>
      <c r="E1066" s="3" t="n">
        <f aca="false">IF(Tabla2[[#This Row],[Frecuencia]]="Annual", Tabla2[[#This Row],[Cosecha/Tarea]]/12,Tabla2[[#This Row],[Cosecha/Tarea]])</f>
        <v>5378</v>
      </c>
      <c r="F1066" s="3" t="n">
        <v>37701</v>
      </c>
      <c r="G1066" s="2" t="s">
        <v>18</v>
      </c>
      <c r="H1066" s="2" t="n">
        <f aca="false">F1066/Tabla2[[#This Row],[Cosecha Mensual]]</f>
        <v>7.01022685013016</v>
      </c>
      <c r="I1066" s="2" t="n">
        <f aca="false">H1066*_xlfn.XLOOKUP(Tabla2[[#This Row],[Unidad de producción]],Tabla3[Medida],Tabla3[Equivalencia en Kg],"ELVIS",0)</f>
        <v>317.983889921904</v>
      </c>
      <c r="J1066" s="2" t="n">
        <v>209.748</v>
      </c>
      <c r="K1066" s="2" t="s">
        <v>18</v>
      </c>
      <c r="L1066" s="2" t="n">
        <f aca="false">J1066/_xlfn.XLOOKUP(Tabla2[[#This Row],[Unidad de precio]],Tabla3[Medida],Tabla3[Equivalencia en Kg],"ELVIS",0)</f>
        <v>4.62407407407407</v>
      </c>
      <c r="M1066" s="2" t="n">
        <v>5280.51</v>
      </c>
      <c r="N1066" s="3" t="n">
        <f aca="false">(Tabla2[[#This Row],[Productividad (kg/TAS)]]*Tabla2[[#This Row],[Precio por kg]]-Tabla2[[#This Row],[Costos (En RD$/Tarea)]])</f>
        <v>-3810.1289386389</v>
      </c>
      <c r="O1066" s="9" t="n">
        <f aca="false">IF(Tabla2[[#This Row],[Costos (En RD$/Tarea)]]=0,0,Tabla2[[#This Row],[Beneficio Neto  (En RD$/Tarea)]]/Tabla2[[#This Row],[Costos (En RD$/Tarea)]])</f>
        <v>-0.72154563453888</v>
      </c>
      <c r="P1066" s="7" t="n">
        <f aca="false">Tabla2[[#This Row],[Rentabilidad (%)]]/12</f>
        <v>-0.06012880287824</v>
      </c>
    </row>
    <row r="1067" customFormat="false" ht="14.25" hidden="false" customHeight="false" outlineLevel="0" collapsed="false">
      <c r="A1067" s="1" t="n">
        <v>39203</v>
      </c>
      <c r="B1067" s="2" t="s">
        <v>28</v>
      </c>
      <c r="C1067" s="3" t="n">
        <v>547</v>
      </c>
      <c r="D1067" s="8" t="s">
        <v>17</v>
      </c>
      <c r="E1067" s="3" t="n">
        <f aca="false">IF(Tabla2[[#This Row],[Frecuencia]]="Annual", Tabla2[[#This Row],[Cosecha/Tarea]]/12,Tabla2[[#This Row],[Cosecha/Tarea]])</f>
        <v>547</v>
      </c>
      <c r="F1067" s="3" t="n">
        <v>332</v>
      </c>
      <c r="G1067" s="2" t="s">
        <v>29</v>
      </c>
      <c r="H1067" s="2" t="n">
        <f aca="false">F1067/Tabla2[[#This Row],[Cosecha Mensual]]</f>
        <v>0.606946983546618</v>
      </c>
      <c r="I1067" s="2" t="n">
        <f aca="false">H1067*_xlfn.XLOOKUP(Tabla2[[#This Row],[Unidad de producción]],Tabla3[Medida],Tabla3[Equivalencia en Kg],"ELVIS",0)</f>
        <v>341.310566727605</v>
      </c>
      <c r="J1067" s="2" t="n">
        <v>7416.5</v>
      </c>
      <c r="K1067" s="2" t="s">
        <v>29</v>
      </c>
      <c r="L1067" s="2" t="n">
        <f aca="false">J1067/_xlfn.XLOOKUP(Tabla2[[#This Row],[Unidad de precio]],Tabla3[Medida],Tabla3[Equivalencia en Kg],"ELVIS",0)</f>
        <v>13.1886403243589</v>
      </c>
      <c r="M1067" s="2" t="n">
        <v>10097.26</v>
      </c>
      <c r="N1067" s="3" t="n">
        <f aca="false">(Tabla2[[#This Row],[Productividad (kg/TAS)]]*Tabla2[[#This Row],[Precio por kg]]-Tabla2[[#This Row],[Costos (En RD$/Tarea)]])</f>
        <v>-5595.83769652651</v>
      </c>
      <c r="O1067" s="9" t="n">
        <f aca="false">IF(Tabla2[[#This Row],[Costos (En RD$/Tarea)]]=0,0,Tabla2[[#This Row],[Beneficio Neto  (En RD$/Tarea)]]/Tabla2[[#This Row],[Costos (En RD$/Tarea)]])</f>
        <v>-0.554193681902467</v>
      </c>
      <c r="P1067" s="7" t="n">
        <f aca="false">Tabla2[[#This Row],[Rentabilidad (%)]]/12</f>
        <v>-0.0461828068252056</v>
      </c>
    </row>
    <row r="1068" customFormat="false" ht="14.25" hidden="false" customHeight="false" outlineLevel="0" collapsed="false">
      <c r="A1068" s="1" t="n">
        <v>39203</v>
      </c>
      <c r="B1068" s="2" t="s">
        <v>30</v>
      </c>
      <c r="C1068" s="3" t="n">
        <v>281651</v>
      </c>
      <c r="D1068" s="3" t="s">
        <v>31</v>
      </c>
      <c r="E1068" s="3" t="n">
        <f aca="false">IF(Tabla2[[#This Row],[Frecuencia]]="Annual", Tabla2[[#This Row],[Cosecha/Tarea]]/12,Tabla2[[#This Row],[Cosecha/Tarea]])</f>
        <v>23470.9166666667</v>
      </c>
      <c r="F1068" s="3" t="n">
        <v>1652881</v>
      </c>
      <c r="G1068" s="2" t="s">
        <v>32</v>
      </c>
      <c r="H1068" s="2" t="n">
        <f aca="false">F1068/Tabla2[[#This Row],[Cosecha Mensual]]</f>
        <v>70.4225158085716</v>
      </c>
      <c r="I1068" s="2" t="n">
        <f aca="false">H1068*_xlfn.XLOOKUP(Tabla2[[#This Row],[Unidad de producción]],Tabla3[Medida],Tabla3[Equivalencia en Kg],"ELVIS",0)</f>
        <v>1916.19665515123</v>
      </c>
      <c r="J1068" s="2" t="n">
        <v>66.035</v>
      </c>
      <c r="K1068" s="2" t="s">
        <v>32</v>
      </c>
      <c r="L1068" s="2" t="n">
        <f aca="false">J1068/_xlfn.XLOOKUP(Tabla2[[#This Row],[Unidad de precio]],Tabla3[Medida],Tabla3[Equivalencia en Kg],"ELVIS",0)</f>
        <v>2.4268651231165</v>
      </c>
      <c r="M1068" s="3" t="n">
        <v>8303.36</v>
      </c>
      <c r="N1068" s="3" t="n">
        <f aca="false">(Tabla2[[#This Row],[Productividad (kg/TAS)]]*Tabla2[[#This Row],[Precio por kg]]-Tabla2[[#This Row],[Costos (En RD$/Tarea)]])</f>
        <v>-3653.00916858098</v>
      </c>
      <c r="O1068" s="9" t="n">
        <f aca="false">IF(Tabla2[[#This Row],[Costos (En RD$/Tarea)]]=0,0,Tabla2[[#This Row],[Beneficio Neto  (En RD$/Tarea)]]/Tabla2[[#This Row],[Costos (En RD$/Tarea)]])</f>
        <v>-0.439943488970847</v>
      </c>
      <c r="P1068" s="7" t="n">
        <f aca="false">Tabla2[[#This Row],[Rentabilidad (%)]]/12</f>
        <v>-0.0366619574142373</v>
      </c>
    </row>
    <row r="1069" customFormat="false" ht="14.25" hidden="false" customHeight="false" outlineLevel="0" collapsed="false">
      <c r="A1069" s="1" t="n">
        <v>39203</v>
      </c>
      <c r="B1069" s="2" t="s">
        <v>33</v>
      </c>
      <c r="C1069" s="3" t="n">
        <v>794261</v>
      </c>
      <c r="D1069" s="3" t="s">
        <v>31</v>
      </c>
      <c r="E1069" s="3" t="n">
        <f aca="false">IF(Tabla2[[#This Row],[Frecuencia]]="Annual", Tabla2[[#This Row],[Cosecha/Tarea]]/12,Tabla2[[#This Row],[Cosecha/Tarea]])</f>
        <v>66188.4166666667</v>
      </c>
      <c r="F1069" s="3" t="n">
        <v>170302</v>
      </c>
      <c r="G1069" s="2" t="s">
        <v>34</v>
      </c>
      <c r="H1069" s="2" t="n">
        <f aca="false">F1069/Tabla2[[#This Row],[Cosecha Mensual]]</f>
        <v>2.57298797246749</v>
      </c>
      <c r="I1069" s="2" t="n">
        <f aca="false">H1069*_xlfn.XLOOKUP(Tabla2[[#This Row],[Unidad de producción]],Tabla3[Medida],Tabla3[Equivalencia en Kg],"ELVIS",0)</f>
        <v>1050.16504096261</v>
      </c>
      <c r="J1069" s="2" t="n">
        <v>2406.385</v>
      </c>
      <c r="K1069" s="2" t="s">
        <v>34</v>
      </c>
      <c r="L1069" s="2" t="n">
        <f aca="false">J1069/_xlfn.XLOOKUP(Tabla2[[#This Row],[Unidad de precio]],Tabla3[Medida],Tabla3[Equivalencia en Kg],"ELVIS",0)</f>
        <v>5.8958348646331</v>
      </c>
      <c r="M1069" s="3" t="n">
        <v>11167.89</v>
      </c>
      <c r="N1069" s="3" t="n">
        <f aca="false">(Tabla2[[#This Row],[Productividad (kg/TAS)]]*Tabla2[[#This Row],[Precio por kg]]-Tabla2[[#This Row],[Costos (En RD$/Tarea)]])</f>
        <v>-4976.29033787382</v>
      </c>
      <c r="O1069" s="9" t="n">
        <f aca="false">IF(Tabla2[[#This Row],[Costos (En RD$/Tarea)]]=0,0,Tabla2[[#This Row],[Beneficio Neto  (En RD$/Tarea)]]/Tabla2[[#This Row],[Costos (En RD$/Tarea)]])</f>
        <v>-0.445589125418841</v>
      </c>
      <c r="P1069" s="7" t="n">
        <f aca="false">Tabla2[[#This Row],[Rentabilidad (%)]]/12</f>
        <v>-0.0371324271182368</v>
      </c>
    </row>
    <row r="1070" customFormat="false" ht="14.25" hidden="false" customHeight="false" outlineLevel="0" collapsed="false">
      <c r="A1070" s="1" t="n">
        <v>39234</v>
      </c>
      <c r="B1070" s="2" t="s">
        <v>16</v>
      </c>
      <c r="C1070" s="3" t="n">
        <v>409076</v>
      </c>
      <c r="D1070" s="8" t="s">
        <v>17</v>
      </c>
      <c r="E1070" s="3" t="n">
        <f aca="false">IF(Tabla2[[#This Row],[Frecuencia]]="Annual", Tabla2[[#This Row],[Cosecha/Tarea]]/12,Tabla2[[#This Row],[Cosecha/Tarea]])</f>
        <v>409076</v>
      </c>
      <c r="F1070" s="3" t="n">
        <v>2020789</v>
      </c>
      <c r="G1070" s="2" t="s">
        <v>18</v>
      </c>
      <c r="H1070" s="2" t="n">
        <f aca="false">F1070/Tabla2[[#This Row],[Cosecha Mensual]]</f>
        <v>4.93988647586268</v>
      </c>
      <c r="I1070" s="2" t="n">
        <f aca="false">H1070*_xlfn.XLOOKUP(Tabla2[[#This Row],[Unidad de producción]],Tabla3[Medida],Tabla3[Equivalencia en Kg],"ELVIS",0)</f>
        <v>224.073250545131</v>
      </c>
      <c r="J1070" s="2" t="n">
        <v>1249.255</v>
      </c>
      <c r="K1070" s="2" t="s">
        <v>19</v>
      </c>
      <c r="L1070" s="2" t="n">
        <f aca="false">J1070/_xlfn.XLOOKUP(Tabla2[[#This Row],[Unidad de precio]],Tabla3[Medida],Tabla3[Equivalencia en Kg],"ELVIS",0)</f>
        <v>11.3568636363636</v>
      </c>
      <c r="M1070" s="2" t="n">
        <v>5339.5</v>
      </c>
      <c r="N1070" s="3" t="n">
        <f aca="false">(Tabla2[[#This Row],[Productividad (kg/TAS)]]*Tabla2[[#This Row],[Precio por kg]]-Tabla2[[#This Row],[Costos (En RD$/Tarea)]])</f>
        <v>-2794.7306490022</v>
      </c>
      <c r="O1070" s="9" t="n">
        <f aca="false">IF(Tabla2[[#This Row],[Costos (En RD$/Tarea)]]=0,0,Tabla2[[#This Row],[Beneficio Neto  (En RD$/Tarea)]]/Tabla2[[#This Row],[Costos (En RD$/Tarea)]])</f>
        <v>-0.523406807566664</v>
      </c>
      <c r="P1070" s="7" t="n">
        <f aca="false">Tabla2[[#This Row],[Rentabilidad (%)]]/12</f>
        <v>-0.0436172339638887</v>
      </c>
    </row>
    <row r="1071" customFormat="false" ht="14.25" hidden="false" customHeight="false" outlineLevel="0" collapsed="false">
      <c r="A1071" s="1" t="n">
        <v>39234</v>
      </c>
      <c r="B1071" s="2" t="s">
        <v>20</v>
      </c>
      <c r="C1071" s="3" t="n">
        <v>25052</v>
      </c>
      <c r="D1071" s="8" t="s">
        <v>17</v>
      </c>
      <c r="E1071" s="3" t="n">
        <f aca="false">IF(Tabla2[[#This Row],[Frecuencia]]="Annual", Tabla2[[#This Row],[Cosecha/Tarea]]/12,Tabla2[[#This Row],[Cosecha/Tarea]])</f>
        <v>25052</v>
      </c>
      <c r="F1071" s="3" t="n">
        <v>50603</v>
      </c>
      <c r="G1071" s="2" t="s">
        <v>18</v>
      </c>
      <c r="H1071" s="2" t="n">
        <f aca="false">F1071/Tabla2[[#This Row],[Cosecha Mensual]]</f>
        <v>2.0199185693757</v>
      </c>
      <c r="I1071" s="2" t="n">
        <f aca="false">H1071*_xlfn.XLOOKUP(Tabla2[[#This Row],[Unidad de producción]],Tabla3[Medida],Tabla3[Equivalencia en Kg],"ELVIS",0)</f>
        <v>91.6235063068817</v>
      </c>
      <c r="J1071" s="2" t="n">
        <v>340.4066</v>
      </c>
      <c r="K1071" s="2" t="s">
        <v>18</v>
      </c>
      <c r="L1071" s="2" t="n">
        <f aca="false">J1071/_xlfn.XLOOKUP(Tabla2[[#This Row],[Unidad de precio]],Tabla3[Medida],Tabla3[Equivalencia en Kg],"ELVIS",0)</f>
        <v>7.50455467372134</v>
      </c>
      <c r="M1071" s="2" t="n">
        <v>1417.48</v>
      </c>
      <c r="N1071" s="3" t="n">
        <f aca="false">(Tabla2[[#This Row],[Productividad (kg/TAS)]]*Tabla2[[#This Row],[Precio por kg]]-Tabla2[[#This Row],[Costos (En RD$/Tarea)]])</f>
        <v>-729.886387521954</v>
      </c>
      <c r="O1071" s="9" t="n">
        <f aca="false">IF(Tabla2[[#This Row],[Costos (En RD$/Tarea)]]=0,0,Tabla2[[#This Row],[Beneficio Neto  (En RD$/Tarea)]]/Tabla2[[#This Row],[Costos (En RD$/Tarea)]])</f>
        <v>-0.514918296922676</v>
      </c>
      <c r="P1071" s="7" t="n">
        <f aca="false">Tabla2[[#This Row],[Rentabilidad (%)]]/12</f>
        <v>-0.0429098580768896</v>
      </c>
    </row>
    <row r="1072" customFormat="false" ht="14.25" hidden="false" customHeight="false" outlineLevel="0" collapsed="false">
      <c r="A1072" s="1" t="n">
        <v>39234</v>
      </c>
      <c r="B1072" s="2" t="s">
        <v>21</v>
      </c>
      <c r="C1072" s="3" t="n">
        <v>6555</v>
      </c>
      <c r="D1072" s="8" t="s">
        <v>17</v>
      </c>
      <c r="E1072" s="3" t="n">
        <f aca="false">IF(Tabla2[[#This Row],[Frecuencia]]="Annual", Tabla2[[#This Row],[Cosecha/Tarea]]/12,Tabla2[[#This Row],[Cosecha/Tarea]])</f>
        <v>6555</v>
      </c>
      <c r="F1072" s="3" t="n">
        <v>68139</v>
      </c>
      <c r="G1072" s="2" t="s">
        <v>18</v>
      </c>
      <c r="H1072" s="2" t="n">
        <f aca="false">F1072/Tabla2[[#This Row],[Cosecha Mensual]]</f>
        <v>10.3949656750572</v>
      </c>
      <c r="I1072" s="2" t="n">
        <f aca="false">H1072*_xlfn.XLOOKUP(Tabla2[[#This Row],[Unidad de producción]],Tabla3[Medida],Tabla3[Equivalencia en Kg],"ELVIS",0)</f>
        <v>471.515643020595</v>
      </c>
      <c r="J1072" s="2" t="n">
        <v>195.5853</v>
      </c>
      <c r="K1072" s="2" t="s">
        <v>18</v>
      </c>
      <c r="L1072" s="2" t="n">
        <f aca="false">J1072/_xlfn.XLOOKUP(Tabla2[[#This Row],[Unidad de precio]],Tabla3[Medida],Tabla3[Equivalencia en Kg],"ELVIS",0)</f>
        <v>4.31184523809524</v>
      </c>
      <c r="M1072" s="2" t="n">
        <v>2131.605</v>
      </c>
      <c r="N1072" s="3" t="n">
        <f aca="false">(Tabla2[[#This Row],[Productividad (kg/TAS)]]*Tabla2[[#This Row],[Precio por kg]]-Tabla2[[#This Row],[Costos (En RD$/Tarea)]])</f>
        <v>-98.5025199542338</v>
      </c>
      <c r="O1072" s="9" t="n">
        <f aca="false">IF(Tabla2[[#This Row],[Costos (En RD$/Tarea)]]=0,0,Tabla2[[#This Row],[Beneficio Neto  (En RD$/Tarea)]]/Tabla2[[#This Row],[Costos (En RD$/Tarea)]])</f>
        <v>-0.0462104939490355</v>
      </c>
      <c r="P1072" s="7" t="n">
        <f aca="false">Tabla2[[#This Row],[Rentabilidad (%)]]/12</f>
        <v>-0.00385087449575296</v>
      </c>
    </row>
    <row r="1073" customFormat="false" ht="14.25" hidden="false" customHeight="false" outlineLevel="0" collapsed="false">
      <c r="A1073" s="1" t="n">
        <v>39234</v>
      </c>
      <c r="B1073" s="2" t="s">
        <v>22</v>
      </c>
      <c r="C1073" s="3" t="n">
        <v>7091</v>
      </c>
      <c r="D1073" s="8" t="s">
        <v>17</v>
      </c>
      <c r="E1073" s="3" t="n">
        <f aca="false">IF(Tabla2[[#This Row],[Frecuencia]]="Annual", Tabla2[[#This Row],[Cosecha/Tarea]]/12,Tabla2[[#This Row],[Cosecha/Tarea]])</f>
        <v>7091</v>
      </c>
      <c r="F1073" s="3" t="n">
        <v>63536</v>
      </c>
      <c r="G1073" s="2" t="s">
        <v>18</v>
      </c>
      <c r="H1073" s="2" t="n">
        <f aca="false">F1073/Tabla2[[#This Row],[Cosecha Mensual]]</f>
        <v>8.96009025525314</v>
      </c>
      <c r="I1073" s="2" t="n">
        <f aca="false">H1073*_xlfn.XLOOKUP(Tabla2[[#This Row],[Unidad de producción]],Tabla3[Medida],Tabla3[Equivalencia en Kg],"ELVIS",0)</f>
        <v>406.429693978282</v>
      </c>
      <c r="J1073" s="2" t="n">
        <v>587</v>
      </c>
      <c r="K1073" s="2" t="s">
        <v>18</v>
      </c>
      <c r="L1073" s="2" t="n">
        <f aca="false">J1073/_xlfn.XLOOKUP(Tabla2[[#This Row],[Unidad de precio]],Tabla3[Medida],Tabla3[Equivalencia en Kg],"ELVIS",0)</f>
        <v>12.9409171075838</v>
      </c>
      <c r="M1073" s="2" t="n">
        <v>6063.13</v>
      </c>
      <c r="N1073" s="3" t="n">
        <f aca="false">(Tabla2[[#This Row],[Productividad (kg/TAS)]]*Tabla2[[#This Row],[Precio por kg]]-Tabla2[[#This Row],[Costos (En RD$/Tarea)]])</f>
        <v>-803.55702016641</v>
      </c>
      <c r="O1073" s="9" t="n">
        <f aca="false">IF(Tabla2[[#This Row],[Costos (En RD$/Tarea)]]=0,0,Tabla2[[#This Row],[Beneficio Neto  (En RD$/Tarea)]]/Tabla2[[#This Row],[Costos (En RD$/Tarea)]])</f>
        <v>-0.13253171549454</v>
      </c>
      <c r="P1073" s="7" t="n">
        <f aca="false">Tabla2[[#This Row],[Rentabilidad (%)]]/12</f>
        <v>-0.011044309624545</v>
      </c>
    </row>
    <row r="1074" customFormat="false" ht="14.25" hidden="false" customHeight="false" outlineLevel="0" collapsed="false">
      <c r="A1074" s="1" t="n">
        <v>39234</v>
      </c>
      <c r="B1074" s="2" t="s">
        <v>23</v>
      </c>
      <c r="C1074" s="3" t="n">
        <v>2609</v>
      </c>
      <c r="D1074" s="8" t="s">
        <v>17</v>
      </c>
      <c r="E1074" s="3" t="n">
        <f aca="false">IF(Tabla2[[#This Row],[Frecuencia]]="Annual", Tabla2[[#This Row],[Cosecha/Tarea]]/12,Tabla2[[#This Row],[Cosecha/Tarea]])</f>
        <v>2609</v>
      </c>
      <c r="F1074" s="3" t="n">
        <v>90295</v>
      </c>
      <c r="G1074" s="2" t="s">
        <v>18</v>
      </c>
      <c r="H1074" s="2" t="n">
        <f aca="false">F1074/Tabla2[[#This Row],[Cosecha Mensual]]</f>
        <v>34.6090456113453</v>
      </c>
      <c r="I1074" s="2" t="n">
        <f aca="false">H1074*_xlfn.XLOOKUP(Tabla2[[#This Row],[Unidad de producción]],Tabla3[Medida],Tabla3[Equivalencia en Kg],"ELVIS",0)</f>
        <v>1569.86630893062</v>
      </c>
      <c r="J1074" s="2" t="n">
        <v>458.35625</v>
      </c>
      <c r="K1074" s="2" t="s">
        <v>18</v>
      </c>
      <c r="L1074" s="2" t="n">
        <f aca="false">J1074/_xlfn.XLOOKUP(Tabla2[[#This Row],[Unidad de precio]],Tabla3[Medida],Tabla3[Equivalencia en Kg],"ELVIS",0)</f>
        <v>10.1048555996473</v>
      </c>
      <c r="M1074" s="2" t="n">
        <v>12092.41</v>
      </c>
      <c r="N1074" s="3" t="n">
        <f aca="false">(Tabla2[[#This Row],[Productividad (kg/TAS)]]*Tabla2[[#This Row],[Precio por kg]]-Tabla2[[#This Row],[Costos (En RD$/Tarea)]])</f>
        <v>3770.86236249521</v>
      </c>
      <c r="O1074" s="9" t="n">
        <f aca="false">IF(Tabla2[[#This Row],[Costos (En RD$/Tarea)]]=0,0,Tabla2[[#This Row],[Beneficio Neto  (En RD$/Tarea)]]/Tabla2[[#This Row],[Costos (En RD$/Tarea)]])</f>
        <v>0.311837124485128</v>
      </c>
      <c r="P1074" s="7" t="n">
        <f aca="false">Tabla2[[#This Row],[Rentabilidad (%)]]/12</f>
        <v>0.0259864270404274</v>
      </c>
    </row>
    <row r="1075" customFormat="false" ht="14.25" hidden="false" customHeight="false" outlineLevel="0" collapsed="false">
      <c r="A1075" s="1" t="n">
        <v>39234</v>
      </c>
      <c r="B1075" s="2" t="s">
        <v>24</v>
      </c>
      <c r="C1075" s="3" t="n">
        <v>6765</v>
      </c>
      <c r="D1075" s="8" t="s">
        <v>17</v>
      </c>
      <c r="E1075" s="3" t="n">
        <f aca="false">IF(Tabla2[[#This Row],[Frecuencia]]="Annual", Tabla2[[#This Row],[Cosecha/Tarea]]/12,Tabla2[[#This Row],[Cosecha/Tarea]])</f>
        <v>6765</v>
      </c>
      <c r="F1075" s="3" t="n">
        <v>58980</v>
      </c>
      <c r="G1075" s="2" t="s">
        <v>18</v>
      </c>
      <c r="H1075" s="2" t="n">
        <f aca="false">F1075/Tabla2[[#This Row],[Cosecha Mensual]]</f>
        <v>8.71840354767184</v>
      </c>
      <c r="I1075" s="2" t="n">
        <f aca="false">H1075*_xlfn.XLOOKUP(Tabla2[[#This Row],[Unidad de producción]],Tabla3[Medida],Tabla3[Equivalencia en Kg],"ELVIS",0)</f>
        <v>395.466784922395</v>
      </c>
      <c r="J1075" s="2" t="n">
        <v>877.0825</v>
      </c>
      <c r="K1075" s="2" t="s">
        <v>18</v>
      </c>
      <c r="L1075" s="2" t="n">
        <f aca="false">J1075/_xlfn.XLOOKUP(Tabla2[[#This Row],[Unidad de precio]],Tabla3[Medida],Tabla3[Equivalencia en Kg],"ELVIS",0)</f>
        <v>19.3360339506173</v>
      </c>
      <c r="M1075" s="2" t="n">
        <v>4803.45</v>
      </c>
      <c r="N1075" s="3" t="n">
        <f aca="false">(Tabla2[[#This Row],[Productividad (kg/TAS)]]*Tabla2[[#This Row],[Precio por kg]]-Tabla2[[#This Row],[Costos (En RD$/Tarea)]])</f>
        <v>2843.30917960089</v>
      </c>
      <c r="O1075" s="9" t="n">
        <f aca="false">IF(Tabla2[[#This Row],[Costos (En RD$/Tarea)]]=0,0,Tabla2[[#This Row],[Beneficio Neto  (En RD$/Tarea)]]/Tabla2[[#This Row],[Costos (En RD$/Tarea)]])</f>
        <v>0.591930628943965</v>
      </c>
      <c r="P1075" s="7" t="n">
        <f aca="false">Tabla2[[#This Row],[Rentabilidad (%)]]/12</f>
        <v>0.0493275524119971</v>
      </c>
    </row>
    <row r="1076" customFormat="false" ht="14.25" hidden="false" customHeight="false" outlineLevel="0" collapsed="false">
      <c r="A1076" s="1" t="n">
        <v>39234</v>
      </c>
      <c r="B1076" s="2" t="s">
        <v>25</v>
      </c>
      <c r="C1076" s="3" t="n">
        <v>24820</v>
      </c>
      <c r="D1076" s="8" t="s">
        <v>17</v>
      </c>
      <c r="E1076" s="3" t="n">
        <f aca="false">IF(Tabla2[[#This Row],[Frecuencia]]="Annual", Tabla2[[#This Row],[Cosecha/Tarea]]/12,Tabla2[[#This Row],[Cosecha/Tarea]])</f>
        <v>24820</v>
      </c>
      <c r="F1076" s="3" t="n">
        <v>250346</v>
      </c>
      <c r="G1076" s="2" t="s">
        <v>18</v>
      </c>
      <c r="H1076" s="2" t="n">
        <f aca="false">F1076/Tabla2[[#This Row],[Cosecha Mensual]]</f>
        <v>10.0864625302176</v>
      </c>
      <c r="I1076" s="2" t="n">
        <f aca="false">H1076*_xlfn.XLOOKUP(Tabla2[[#This Row],[Unidad de producción]],Tabla3[Medida],Tabla3[Equivalencia en Kg],"ELVIS",0)</f>
        <v>457.521940370669</v>
      </c>
      <c r="J1076" s="2" t="n">
        <v>266.2465</v>
      </c>
      <c r="K1076" s="2" t="s">
        <v>18</v>
      </c>
      <c r="L1076" s="2" t="n">
        <f aca="false">J1076/_xlfn.XLOOKUP(Tabla2[[#This Row],[Unidad de precio]],Tabla3[Medida],Tabla3[Equivalencia en Kg],"ELVIS",0)</f>
        <v>5.86963183421517</v>
      </c>
      <c r="M1076" s="2" t="n">
        <v>2341.04</v>
      </c>
      <c r="N1076" s="3" t="n">
        <f aca="false">(Tabla2[[#This Row],[Productividad (kg/TAS)]]*Tabla2[[#This Row],[Precio por kg]]-Tabla2[[#This Row],[Costos (En RD$/Tarea)]])</f>
        <v>344.445346051572</v>
      </c>
      <c r="O1076" s="9" t="n">
        <f aca="false">IF(Tabla2[[#This Row],[Costos (En RD$/Tarea)]]=0,0,Tabla2[[#This Row],[Beneficio Neto  (En RD$/Tarea)]]/Tabla2[[#This Row],[Costos (En RD$/Tarea)]])</f>
        <v>0.147133473179259</v>
      </c>
      <c r="P1076" s="7" t="n">
        <f aca="false">Tabla2[[#This Row],[Rentabilidad (%)]]/12</f>
        <v>0.0122611227649382</v>
      </c>
    </row>
    <row r="1077" customFormat="false" ht="14.25" hidden="false" customHeight="false" outlineLevel="0" collapsed="false">
      <c r="A1077" s="1" t="n">
        <v>39234</v>
      </c>
      <c r="B1077" s="2" t="s">
        <v>26</v>
      </c>
      <c r="C1077" s="3" t="n">
        <v>8512</v>
      </c>
      <c r="D1077" s="8" t="s">
        <v>17</v>
      </c>
      <c r="E1077" s="3" t="n">
        <f aca="false">IF(Tabla2[[#This Row],[Frecuencia]]="Annual", Tabla2[[#This Row],[Cosecha/Tarea]]/12,Tabla2[[#This Row],[Cosecha/Tarea]])</f>
        <v>8512</v>
      </c>
      <c r="F1077" s="3" t="n">
        <v>60070</v>
      </c>
      <c r="G1077" s="2" t="s">
        <v>18</v>
      </c>
      <c r="H1077" s="2" t="n">
        <f aca="false">F1077/Tabla2[[#This Row],[Cosecha Mensual]]</f>
        <v>7.05709586466165</v>
      </c>
      <c r="I1077" s="2" t="n">
        <f aca="false">H1077*_xlfn.XLOOKUP(Tabla2[[#This Row],[Unidad de producción]],Tabla3[Medida],Tabla3[Equivalencia en Kg],"ELVIS",0)</f>
        <v>320.109868421053</v>
      </c>
      <c r="J1077" s="2" t="n">
        <v>486.943333333333</v>
      </c>
      <c r="K1077" s="2" t="s">
        <v>18</v>
      </c>
      <c r="L1077" s="2" t="n">
        <f aca="false">J1077/_xlfn.XLOOKUP(Tabla2[[#This Row],[Unidad de precio]],Tabla3[Medida],Tabla3[Equivalencia en Kg],"ELVIS",0)</f>
        <v>10.7350823045267</v>
      </c>
      <c r="M1077" s="2" t="n">
        <v>970.18</v>
      </c>
      <c r="N1077" s="3" t="n">
        <f aca="false">(Tabla2[[#This Row],[Productividad (kg/TAS)]]*Tabla2[[#This Row],[Precio por kg]]-Tabla2[[#This Row],[Costos (En RD$/Tarea)]])</f>
        <v>2466.22578399123</v>
      </c>
      <c r="O1077" s="9" t="n">
        <f aca="false">IF(Tabla2[[#This Row],[Costos (En RD$/Tarea)]]=0,0,Tabla2[[#This Row],[Beneficio Neto  (En RD$/Tarea)]]/Tabla2[[#This Row],[Costos (En RD$/Tarea)]])</f>
        <v>2.54202909149975</v>
      </c>
      <c r="P1077" s="7" t="n">
        <f aca="false">Tabla2[[#This Row],[Rentabilidad (%)]]/12</f>
        <v>0.211835757624979</v>
      </c>
    </row>
    <row r="1078" customFormat="false" ht="14.25" hidden="false" customHeight="false" outlineLevel="0" collapsed="false">
      <c r="A1078" s="1" t="n">
        <v>39234</v>
      </c>
      <c r="B1078" s="2" t="s">
        <v>27</v>
      </c>
      <c r="C1078" s="3" t="n">
        <v>5572</v>
      </c>
      <c r="D1078" s="8" t="s">
        <v>17</v>
      </c>
      <c r="E1078" s="3" t="n">
        <f aca="false">IF(Tabla2[[#This Row],[Frecuencia]]="Annual", Tabla2[[#This Row],[Cosecha/Tarea]]/12,Tabla2[[#This Row],[Cosecha/Tarea]])</f>
        <v>5572</v>
      </c>
      <c r="F1078" s="3" t="n">
        <v>41426</v>
      </c>
      <c r="G1078" s="2" t="s">
        <v>18</v>
      </c>
      <c r="H1078" s="2" t="n">
        <f aca="false">F1078/Tabla2[[#This Row],[Cosecha Mensual]]</f>
        <v>7.43467336683417</v>
      </c>
      <c r="I1078" s="2" t="n">
        <f aca="false">H1078*_xlfn.XLOOKUP(Tabla2[[#This Row],[Unidad de producción]],Tabla3[Medida],Tabla3[Equivalencia en Kg],"ELVIS",0)</f>
        <v>337.236783919598</v>
      </c>
      <c r="J1078" s="2" t="n">
        <v>210.198</v>
      </c>
      <c r="K1078" s="2" t="s">
        <v>18</v>
      </c>
      <c r="L1078" s="2" t="n">
        <f aca="false">J1078/_xlfn.XLOOKUP(Tabla2[[#This Row],[Unidad de precio]],Tabla3[Medida],Tabla3[Equivalencia en Kg],"ELVIS",0)</f>
        <v>4.63399470899471</v>
      </c>
      <c r="M1078" s="2" t="n">
        <v>5280.51</v>
      </c>
      <c r="N1078" s="3" t="n">
        <f aca="false">(Tabla2[[#This Row],[Productividad (kg/TAS)]]*Tabla2[[#This Row],[Precio por kg]]-Tabla2[[#This Row],[Costos (En RD$/Tarea)]])</f>
        <v>-3717.75652763819</v>
      </c>
      <c r="O1078" s="9" t="n">
        <f aca="false">IF(Tabla2[[#This Row],[Costos (En RD$/Tarea)]]=0,0,Tabla2[[#This Row],[Beneficio Neto  (En RD$/Tarea)]]/Tabla2[[#This Row],[Costos (En RD$/Tarea)]])</f>
        <v>-0.704052549401136</v>
      </c>
      <c r="P1078" s="7" t="n">
        <f aca="false">Tabla2[[#This Row],[Rentabilidad (%)]]/12</f>
        <v>-0.058671045783428</v>
      </c>
    </row>
    <row r="1079" customFormat="false" ht="14.25" hidden="false" customHeight="false" outlineLevel="0" collapsed="false">
      <c r="A1079" s="1" t="n">
        <v>39234</v>
      </c>
      <c r="B1079" s="2" t="s">
        <v>28</v>
      </c>
      <c r="C1079" s="3" t="n">
        <v>1201</v>
      </c>
      <c r="D1079" s="8" t="s">
        <v>17</v>
      </c>
      <c r="E1079" s="3" t="n">
        <f aca="false">IF(Tabla2[[#This Row],[Frecuencia]]="Annual", Tabla2[[#This Row],[Cosecha/Tarea]]/12,Tabla2[[#This Row],[Cosecha/Tarea]])</f>
        <v>1201</v>
      </c>
      <c r="F1079" s="3" t="n">
        <v>152</v>
      </c>
      <c r="G1079" s="2" t="s">
        <v>29</v>
      </c>
      <c r="H1079" s="2" t="n">
        <f aca="false">F1079/Tabla2[[#This Row],[Cosecha Mensual]]</f>
        <v>0.126561199000833</v>
      </c>
      <c r="I1079" s="2" t="n">
        <f aca="false">H1079*_xlfn.XLOOKUP(Tabla2[[#This Row],[Unidad de producción]],Tabla3[Medida],Tabla3[Equivalencia en Kg],"ELVIS",0)</f>
        <v>71.1704246461282</v>
      </c>
      <c r="J1079" s="2" t="n">
        <v>4016.66666666667</v>
      </c>
      <c r="K1079" s="2" t="s">
        <v>29</v>
      </c>
      <c r="L1079" s="2" t="n">
        <f aca="false">J1079/_xlfn.XLOOKUP(Tabla2[[#This Row],[Unidad de precio]],Tabla3[Medida],Tabla3[Equivalencia en Kg],"ELVIS",0)</f>
        <v>7.14277246268569</v>
      </c>
      <c r="M1079" s="2" t="n">
        <v>10097.26</v>
      </c>
      <c r="N1079" s="3" t="n">
        <f aca="false">(Tabla2[[#This Row],[Productividad (kg/TAS)]]*Tabla2[[#This Row],[Precio por kg]]-Tabla2[[#This Row],[Costos (En RD$/Tarea)]])</f>
        <v>-9588.90585067999</v>
      </c>
      <c r="O1079" s="9" t="n">
        <f aca="false">IF(Tabla2[[#This Row],[Costos (En RD$/Tarea)]]=0,0,Tabla2[[#This Row],[Beneficio Neto  (En RD$/Tarea)]]/Tabla2[[#This Row],[Costos (En RD$/Tarea)]])</f>
        <v>-0.949654247853377</v>
      </c>
      <c r="P1079" s="7" t="n">
        <f aca="false">Tabla2[[#This Row],[Rentabilidad (%)]]/12</f>
        <v>-0.0791378539877814</v>
      </c>
    </row>
    <row r="1080" customFormat="false" ht="14.25" hidden="false" customHeight="false" outlineLevel="0" collapsed="false">
      <c r="A1080" s="1" t="n">
        <v>39234</v>
      </c>
      <c r="B1080" s="2" t="s">
        <v>30</v>
      </c>
      <c r="C1080" s="3" t="n">
        <v>310045</v>
      </c>
      <c r="D1080" s="3" t="s">
        <v>31</v>
      </c>
      <c r="E1080" s="3" t="n">
        <f aca="false">IF(Tabla2[[#This Row],[Frecuencia]]="Annual", Tabla2[[#This Row],[Cosecha/Tarea]]/12,Tabla2[[#This Row],[Cosecha/Tarea]])</f>
        <v>25837.0833333333</v>
      </c>
      <c r="F1080" s="3" t="n">
        <v>1749681</v>
      </c>
      <c r="G1080" s="2" t="s">
        <v>32</v>
      </c>
      <c r="H1080" s="2" t="n">
        <f aca="false">F1080/Tabla2[[#This Row],[Cosecha Mensual]]</f>
        <v>67.7197568094954</v>
      </c>
      <c r="I1080" s="2" t="n">
        <f aca="false">H1080*_xlfn.XLOOKUP(Tabla2[[#This Row],[Unidad de producción]],Tabla3[Medida],Tabla3[Equivalencia en Kg],"ELVIS",0)</f>
        <v>1842.65458278637</v>
      </c>
      <c r="J1080" s="2" t="n">
        <v>70.4866666666667</v>
      </c>
      <c r="K1080" s="2" t="s">
        <v>32</v>
      </c>
      <c r="L1080" s="2" t="n">
        <f aca="false">J1080/_xlfn.XLOOKUP(Tabla2[[#This Row],[Unidad de precio]],Tabla3[Medida],Tabla3[Equivalencia en Kg],"ELVIS",0)</f>
        <v>2.59046919024868</v>
      </c>
      <c r="M1080" s="3" t="n">
        <v>8303.36</v>
      </c>
      <c r="N1080" s="3" t="n">
        <f aca="false">(Tabla2[[#This Row],[Productividad (kg/TAS)]]*Tabla2[[#This Row],[Precio por kg]]-Tabla2[[#This Row],[Costos (En RD$/Tarea)]])</f>
        <v>-3530.02007502137</v>
      </c>
      <c r="O1080" s="9" t="n">
        <f aca="false">IF(Tabla2[[#This Row],[Costos (En RD$/Tarea)]]=0,0,Tabla2[[#This Row],[Beneficio Neto  (En RD$/Tarea)]]/Tabla2[[#This Row],[Costos (En RD$/Tarea)]])</f>
        <v>-0.425131522061113</v>
      </c>
      <c r="P1080" s="7" t="n">
        <f aca="false">Tabla2[[#This Row],[Rentabilidad (%)]]/12</f>
        <v>-0.0354276268384261</v>
      </c>
    </row>
    <row r="1081" customFormat="false" ht="14.25" hidden="false" customHeight="false" outlineLevel="0" collapsed="false">
      <c r="A1081" s="1" t="n">
        <v>39234</v>
      </c>
      <c r="B1081" s="2" t="s">
        <v>33</v>
      </c>
      <c r="C1081" s="3" t="n">
        <v>792540</v>
      </c>
      <c r="D1081" s="3" t="s">
        <v>31</v>
      </c>
      <c r="E1081" s="3" t="n">
        <f aca="false">IF(Tabla2[[#This Row],[Frecuencia]]="Annual", Tabla2[[#This Row],[Cosecha/Tarea]]/12,Tabla2[[#This Row],[Cosecha/Tarea]])</f>
        <v>66045</v>
      </c>
      <c r="F1081" s="3" t="n">
        <v>175213</v>
      </c>
      <c r="G1081" s="2" t="s">
        <v>34</v>
      </c>
      <c r="H1081" s="2" t="n">
        <f aca="false">F1081/Tabla2[[#This Row],[Cosecha Mensual]]</f>
        <v>2.65293360587478</v>
      </c>
      <c r="I1081" s="2" t="n">
        <f aca="false">H1081*_xlfn.XLOOKUP(Tabla2[[#This Row],[Unidad de producción]],Tabla3[Medida],Tabla3[Equivalencia en Kg],"ELVIS",0)</f>
        <v>1082.79485123779</v>
      </c>
      <c r="J1081" s="2" t="n">
        <v>2111.59333333333</v>
      </c>
      <c r="K1081" s="2" t="s">
        <v>34</v>
      </c>
      <c r="L1081" s="2" t="n">
        <f aca="false">J1081/_xlfn.XLOOKUP(Tabla2[[#This Row],[Unidad de precio]],Tabla3[Medida],Tabla3[Equivalencia en Kg],"ELVIS",0)</f>
        <v>5.17357180775041</v>
      </c>
      <c r="M1081" s="3" t="n">
        <v>11167.89</v>
      </c>
      <c r="N1081" s="3" t="n">
        <f aca="false">(Tabla2[[#This Row],[Productividad (kg/TAS)]]*Tabla2[[#This Row],[Precio por kg]]-Tabla2[[#This Row],[Costos (En RD$/Tarea)]])</f>
        <v>-5565.97308405886</v>
      </c>
      <c r="O1081" s="9" t="n">
        <f aca="false">IF(Tabla2[[#This Row],[Costos (En RD$/Tarea)]]=0,0,Tabla2[[#This Row],[Beneficio Neto  (En RD$/Tarea)]]/Tabla2[[#This Row],[Costos (En RD$/Tarea)]])</f>
        <v>-0.49839075098867</v>
      </c>
      <c r="P1081" s="7" t="n">
        <f aca="false">Tabla2[[#This Row],[Rentabilidad (%)]]/12</f>
        <v>-0.0415325625823892</v>
      </c>
    </row>
    <row r="1082" customFormat="false" ht="14.25" hidden="false" customHeight="false" outlineLevel="0" collapsed="false">
      <c r="A1082" s="1" t="n">
        <v>39264</v>
      </c>
      <c r="B1082" s="2" t="s">
        <v>16</v>
      </c>
      <c r="C1082" s="3" t="n">
        <v>146059</v>
      </c>
      <c r="D1082" s="8" t="s">
        <v>17</v>
      </c>
      <c r="E1082" s="3" t="n">
        <f aca="false">IF(Tabla2[[#This Row],[Frecuencia]]="Annual", Tabla2[[#This Row],[Cosecha/Tarea]]/12,Tabla2[[#This Row],[Cosecha/Tarea]])</f>
        <v>146059</v>
      </c>
      <c r="F1082" s="3" t="n">
        <v>757228</v>
      </c>
      <c r="G1082" s="2" t="s">
        <v>18</v>
      </c>
      <c r="H1082" s="2" t="n">
        <f aca="false">F1082/Tabla2[[#This Row],[Cosecha Mensual]]</f>
        <v>5.18439808570509</v>
      </c>
      <c r="I1082" s="2" t="n">
        <f aca="false">H1082*_xlfn.XLOOKUP(Tabla2[[#This Row],[Unidad de producción]],Tabla3[Medida],Tabla3[Equivalencia en Kg],"ELVIS",0)</f>
        <v>235.164297167583</v>
      </c>
      <c r="J1082" s="2" t="n">
        <v>1173.82666666667</v>
      </c>
      <c r="K1082" s="2" t="s">
        <v>19</v>
      </c>
      <c r="L1082" s="2" t="n">
        <f aca="false">J1082/_xlfn.XLOOKUP(Tabla2[[#This Row],[Unidad de precio]],Tabla3[Medida],Tabla3[Equivalencia en Kg],"ELVIS",0)</f>
        <v>10.6711515151515</v>
      </c>
      <c r="M1082" s="2" t="n">
        <v>5339.5</v>
      </c>
      <c r="N1082" s="3" t="n">
        <f aca="false">(Tabla2[[#This Row],[Productividad (kg/TAS)]]*Tabla2[[#This Row],[Precio por kg]]-Tabla2[[#This Row],[Costos (En RD$/Tarea)]])</f>
        <v>-2830.0261539706</v>
      </c>
      <c r="O1082" s="9" t="n">
        <f aca="false">IF(Tabla2[[#This Row],[Costos (En RD$/Tarea)]]=0,0,Tabla2[[#This Row],[Beneficio Neto  (En RD$/Tarea)]]/Tabla2[[#This Row],[Costos (En RD$/Tarea)]])</f>
        <v>-0.530017071630415</v>
      </c>
      <c r="P1082" s="7" t="n">
        <f aca="false">Tabla2[[#This Row],[Rentabilidad (%)]]/12</f>
        <v>-0.0441680893025346</v>
      </c>
    </row>
    <row r="1083" customFormat="false" ht="14.25" hidden="false" customHeight="false" outlineLevel="0" collapsed="false">
      <c r="A1083" s="1" t="n">
        <v>39264</v>
      </c>
      <c r="B1083" s="2" t="s">
        <v>20</v>
      </c>
      <c r="C1083" s="3" t="n">
        <v>33669</v>
      </c>
      <c r="D1083" s="8" t="s">
        <v>17</v>
      </c>
      <c r="E1083" s="3" t="n">
        <f aca="false">IF(Tabla2[[#This Row],[Frecuencia]]="Annual", Tabla2[[#This Row],[Cosecha/Tarea]]/12,Tabla2[[#This Row],[Cosecha/Tarea]])</f>
        <v>33669</v>
      </c>
      <c r="F1083" s="3" t="n">
        <v>68013</v>
      </c>
      <c r="G1083" s="2" t="s">
        <v>18</v>
      </c>
      <c r="H1083" s="2" t="n">
        <f aca="false">F1083/Tabla2[[#This Row],[Cosecha Mensual]]</f>
        <v>2.02004811547715</v>
      </c>
      <c r="I1083" s="2" t="n">
        <f aca="false">H1083*_xlfn.XLOOKUP(Tabla2[[#This Row],[Unidad de producción]],Tabla3[Medida],Tabla3[Equivalencia en Kg],"ELVIS",0)</f>
        <v>91.6293825180433</v>
      </c>
      <c r="J1083" s="2" t="n">
        <v>355.245733333333</v>
      </c>
      <c r="K1083" s="2" t="s">
        <v>18</v>
      </c>
      <c r="L1083" s="2" t="n">
        <f aca="false">J1083/_xlfn.XLOOKUP(Tabla2[[#This Row],[Unidad de precio]],Tabla3[Medida],Tabla3[Equivalencia en Kg],"ELVIS",0)</f>
        <v>7.8316960611405</v>
      </c>
      <c r="M1083" s="2" t="n">
        <v>1417.48</v>
      </c>
      <c r="N1083" s="3" t="n">
        <f aca="false">(Tabla2[[#This Row],[Productividad (kg/TAS)]]*Tabla2[[#This Row],[Precio por kg]]-Tabla2[[#This Row],[Costos (En RD$/Tarea)]])</f>
        <v>-699.866525848704</v>
      </c>
      <c r="O1083" s="9" t="n">
        <f aca="false">IF(Tabla2[[#This Row],[Costos (En RD$/Tarea)]]=0,0,Tabla2[[#This Row],[Beneficio Neto  (En RD$/Tarea)]]/Tabla2[[#This Row],[Costos (En RD$/Tarea)]])</f>
        <v>-0.49373996518378</v>
      </c>
      <c r="P1083" s="7" t="n">
        <f aca="false">Tabla2[[#This Row],[Rentabilidad (%)]]/12</f>
        <v>-0.0411449970986483</v>
      </c>
    </row>
    <row r="1084" customFormat="false" ht="14.25" hidden="false" customHeight="false" outlineLevel="0" collapsed="false">
      <c r="A1084" s="1" t="n">
        <v>39264</v>
      </c>
      <c r="B1084" s="2" t="s">
        <v>21</v>
      </c>
      <c r="C1084" s="3" t="n">
        <v>5485</v>
      </c>
      <c r="D1084" s="8" t="s">
        <v>17</v>
      </c>
      <c r="E1084" s="3" t="n">
        <f aca="false">IF(Tabla2[[#This Row],[Frecuencia]]="Annual", Tabla2[[#This Row],[Cosecha/Tarea]]/12,Tabla2[[#This Row],[Cosecha/Tarea]])</f>
        <v>5485</v>
      </c>
      <c r="F1084" s="3" t="n">
        <v>70414</v>
      </c>
      <c r="G1084" s="2" t="s">
        <v>18</v>
      </c>
      <c r="H1084" s="2" t="n">
        <f aca="false">F1084/Tabla2[[#This Row],[Cosecha Mensual]]</f>
        <v>12.8375569735643</v>
      </c>
      <c r="I1084" s="2" t="n">
        <f aca="false">H1084*_xlfn.XLOOKUP(Tabla2[[#This Row],[Unidad de producción]],Tabla3[Medida],Tabla3[Equivalencia en Kg],"ELVIS",0)</f>
        <v>582.311584320875</v>
      </c>
      <c r="J1084" s="2" t="n">
        <v>222.7065</v>
      </c>
      <c r="K1084" s="2" t="s">
        <v>18</v>
      </c>
      <c r="L1084" s="2" t="n">
        <f aca="false">J1084/_xlfn.XLOOKUP(Tabla2[[#This Row],[Unidad de precio]],Tabla3[Medida],Tabla3[Equivalencia en Kg],"ELVIS",0)</f>
        <v>4.90975529100529</v>
      </c>
      <c r="M1084" s="2" t="n">
        <v>2131.605</v>
      </c>
      <c r="N1084" s="3" t="n">
        <f aca="false">(Tabla2[[#This Row],[Productividad (kg/TAS)]]*Tabla2[[#This Row],[Precio por kg]]-Tabla2[[#This Row],[Costos (En RD$/Tarea)]])</f>
        <v>727.402382133091</v>
      </c>
      <c r="O1084" s="9" t="n">
        <f aca="false">IF(Tabla2[[#This Row],[Costos (En RD$/Tarea)]]=0,0,Tabla2[[#This Row],[Beneficio Neto  (En RD$/Tarea)]]/Tabla2[[#This Row],[Costos (En RD$/Tarea)]])</f>
        <v>0.341246329471497</v>
      </c>
      <c r="P1084" s="7" t="n">
        <f aca="false">Tabla2[[#This Row],[Rentabilidad (%)]]/12</f>
        <v>0.0284371941226248</v>
      </c>
    </row>
    <row r="1085" customFormat="false" ht="14.25" hidden="false" customHeight="false" outlineLevel="0" collapsed="false">
      <c r="A1085" s="1" t="n">
        <v>39264</v>
      </c>
      <c r="B1085" s="2" t="s">
        <v>22</v>
      </c>
      <c r="C1085" s="3" t="n">
        <v>2354</v>
      </c>
      <c r="D1085" s="8" t="s">
        <v>17</v>
      </c>
      <c r="E1085" s="3" t="n">
        <f aca="false">IF(Tabla2[[#This Row],[Frecuencia]]="Annual", Tabla2[[#This Row],[Cosecha/Tarea]]/12,Tabla2[[#This Row],[Cosecha/Tarea]])</f>
        <v>2354</v>
      </c>
      <c r="F1085" s="3" t="n">
        <v>22424</v>
      </c>
      <c r="G1085" s="2" t="s">
        <v>18</v>
      </c>
      <c r="H1085" s="2" t="n">
        <f aca="false">F1085/Tabla2[[#This Row],[Cosecha Mensual]]</f>
        <v>9.52591333899745</v>
      </c>
      <c r="I1085" s="2" t="n">
        <f aca="false">H1085*_xlfn.XLOOKUP(Tabla2[[#This Row],[Unidad de producción]],Tabla3[Medida],Tabla3[Equivalencia en Kg],"ELVIS",0)</f>
        <v>432.095429056924</v>
      </c>
      <c r="J1085" s="2" t="n">
        <v>733.333333333333</v>
      </c>
      <c r="K1085" s="2" t="s">
        <v>18</v>
      </c>
      <c r="L1085" s="2" t="n">
        <f aca="false">J1085/_xlfn.XLOOKUP(Tabla2[[#This Row],[Unidad de precio]],Tabla3[Medida],Tabla3[Equivalencia en Kg],"ELVIS",0)</f>
        <v>16.1669606114051</v>
      </c>
      <c r="M1085" s="2" t="n">
        <v>6063.13</v>
      </c>
      <c r="N1085" s="3" t="n">
        <f aca="false">(Tabla2[[#This Row],[Productividad (kg/TAS)]]*Tabla2[[#This Row],[Precio por kg]]-Tabla2[[#This Row],[Costos (En RD$/Tarea)]])</f>
        <v>922.539781931461</v>
      </c>
      <c r="O1085" s="9" t="n">
        <f aca="false">IF(Tabla2[[#This Row],[Costos (En RD$/Tarea)]]=0,0,Tabla2[[#This Row],[Beneficio Neto  (En RD$/Tarea)]]/Tabla2[[#This Row],[Costos (En RD$/Tarea)]])</f>
        <v>0.152155698777935</v>
      </c>
      <c r="P1085" s="7" t="n">
        <f aca="false">Tabla2[[#This Row],[Rentabilidad (%)]]/12</f>
        <v>0.0126796415648279</v>
      </c>
    </row>
    <row r="1086" customFormat="false" ht="14.25" hidden="false" customHeight="false" outlineLevel="0" collapsed="false">
      <c r="A1086" s="1" t="n">
        <v>39264</v>
      </c>
      <c r="B1086" s="2" t="s">
        <v>23</v>
      </c>
      <c r="C1086" s="3" t="n">
        <v>2601</v>
      </c>
      <c r="D1086" s="8" t="s">
        <v>17</v>
      </c>
      <c r="E1086" s="3" t="n">
        <f aca="false">IF(Tabla2[[#This Row],[Frecuencia]]="Annual", Tabla2[[#This Row],[Cosecha/Tarea]]/12,Tabla2[[#This Row],[Cosecha/Tarea]])</f>
        <v>2601</v>
      </c>
      <c r="F1086" s="3" t="n">
        <v>85365</v>
      </c>
      <c r="G1086" s="2" t="s">
        <v>18</v>
      </c>
      <c r="H1086" s="2" t="n">
        <f aca="false">F1086/Tabla2[[#This Row],[Cosecha Mensual]]</f>
        <v>32.8200692041523</v>
      </c>
      <c r="I1086" s="2" t="n">
        <f aca="false">H1086*_xlfn.XLOOKUP(Tabla2[[#This Row],[Unidad de producción]],Tabla3[Medida],Tabla3[Equivalencia en Kg],"ELVIS",0)</f>
        <v>1488.71833910035</v>
      </c>
      <c r="J1086" s="2" t="n">
        <v>528.1875</v>
      </c>
      <c r="K1086" s="2" t="s">
        <v>18</v>
      </c>
      <c r="L1086" s="2" t="n">
        <f aca="false">J1086/_xlfn.XLOOKUP(Tabla2[[#This Row],[Unidad de precio]],Tabla3[Medida],Tabla3[Equivalencia en Kg],"ELVIS",0)</f>
        <v>11.6443452380952</v>
      </c>
      <c r="M1086" s="2" t="n">
        <v>12092.41</v>
      </c>
      <c r="N1086" s="3" t="n">
        <f aca="false">(Tabla2[[#This Row],[Productividad (kg/TAS)]]*Tabla2[[#This Row],[Precio por kg]]-Tabla2[[#This Row],[Costos (En RD$/Tarea)]])</f>
        <v>5242.74030276817</v>
      </c>
      <c r="O1086" s="9" t="n">
        <f aca="false">IF(Tabla2[[#This Row],[Costos (En RD$/Tarea)]]=0,0,Tabla2[[#This Row],[Beneficio Neto  (En RD$/Tarea)]]/Tabla2[[#This Row],[Costos (En RD$/Tarea)]])</f>
        <v>0.433556280573365</v>
      </c>
      <c r="P1086" s="7" t="n">
        <f aca="false">Tabla2[[#This Row],[Rentabilidad (%)]]/12</f>
        <v>0.0361296900477804</v>
      </c>
    </row>
    <row r="1087" customFormat="false" ht="14.25" hidden="false" customHeight="false" outlineLevel="0" collapsed="false">
      <c r="A1087" s="1" t="n">
        <v>39264</v>
      </c>
      <c r="B1087" s="2" t="s">
        <v>24</v>
      </c>
      <c r="C1087" s="3" t="n">
        <v>4027</v>
      </c>
      <c r="D1087" s="8" t="s">
        <v>17</v>
      </c>
      <c r="E1087" s="3" t="n">
        <f aca="false">IF(Tabla2[[#This Row],[Frecuencia]]="Annual", Tabla2[[#This Row],[Cosecha/Tarea]]/12,Tabla2[[#This Row],[Cosecha/Tarea]])</f>
        <v>4027</v>
      </c>
      <c r="F1087" s="3" t="n">
        <v>30422</v>
      </c>
      <c r="G1087" s="2" t="s">
        <v>18</v>
      </c>
      <c r="H1087" s="2" t="n">
        <f aca="false">F1087/Tabla2[[#This Row],[Cosecha Mensual]]</f>
        <v>7.55450707722871</v>
      </c>
      <c r="I1087" s="2" t="n">
        <f aca="false">H1087*_xlfn.XLOOKUP(Tabla2[[#This Row],[Unidad de producción]],Tabla3[Medida],Tabla3[Equivalencia en Kg],"ELVIS",0)</f>
        <v>342.672441023094</v>
      </c>
      <c r="J1087" s="2" t="n">
        <v>972.333333333333</v>
      </c>
      <c r="K1087" s="2" t="s">
        <v>18</v>
      </c>
      <c r="L1087" s="2" t="n">
        <f aca="false">J1087/_xlfn.XLOOKUP(Tabla2[[#This Row],[Unidad de precio]],Tabla3[Medida],Tabla3[Equivalencia en Kg],"ELVIS",0)</f>
        <v>21.4359200470312</v>
      </c>
      <c r="M1087" s="2" t="n">
        <v>4803.45</v>
      </c>
      <c r="N1087" s="3" t="n">
        <f aca="false">(Tabla2[[#This Row],[Productividad (kg/TAS)]]*Tabla2[[#This Row],[Precio por kg]]-Tabla2[[#This Row],[Costos (En RD$/Tarea)]])</f>
        <v>2542.04904809204</v>
      </c>
      <c r="O1087" s="9" t="n">
        <f aca="false">IF(Tabla2[[#This Row],[Costos (En RD$/Tarea)]]=0,0,Tabla2[[#This Row],[Beneficio Neto  (En RD$/Tarea)]]/Tabla2[[#This Row],[Costos (En RD$/Tarea)]])</f>
        <v>0.529213179712924</v>
      </c>
      <c r="P1087" s="7" t="n">
        <f aca="false">Tabla2[[#This Row],[Rentabilidad (%)]]/12</f>
        <v>0.0441010983094103</v>
      </c>
    </row>
    <row r="1088" customFormat="false" ht="14.25" hidden="false" customHeight="false" outlineLevel="0" collapsed="false">
      <c r="A1088" s="1" t="n">
        <v>39264</v>
      </c>
      <c r="B1088" s="2" t="s">
        <v>25</v>
      </c>
      <c r="C1088" s="3" t="n">
        <v>18065</v>
      </c>
      <c r="D1088" s="8" t="s">
        <v>17</v>
      </c>
      <c r="E1088" s="3" t="n">
        <f aca="false">IF(Tabla2[[#This Row],[Frecuencia]]="Annual", Tabla2[[#This Row],[Cosecha/Tarea]]/12,Tabla2[[#This Row],[Cosecha/Tarea]])</f>
        <v>18065</v>
      </c>
      <c r="F1088" s="3" t="n">
        <v>200606</v>
      </c>
      <c r="G1088" s="2" t="s">
        <v>18</v>
      </c>
      <c r="H1088" s="2" t="n">
        <f aca="false">F1088/Tabla2[[#This Row],[Cosecha Mensual]]</f>
        <v>11.1046775532798</v>
      </c>
      <c r="I1088" s="2" t="n">
        <f aca="false">H1088*_xlfn.XLOOKUP(Tabla2[[#This Row],[Unidad de producción]],Tabla3[Medida],Tabla3[Equivalencia en Kg],"ELVIS",0)</f>
        <v>503.708173816773</v>
      </c>
      <c r="J1088" s="2" t="n">
        <v>277.4655</v>
      </c>
      <c r="K1088" s="2" t="s">
        <v>18</v>
      </c>
      <c r="L1088" s="2" t="n">
        <f aca="false">J1088/_xlfn.XLOOKUP(Tabla2[[#This Row],[Unidad de precio]],Tabla3[Medida],Tabla3[Equivalencia en Kg],"ELVIS",0)</f>
        <v>6.11696428571429</v>
      </c>
      <c r="M1088" s="2" t="n">
        <v>2341.04</v>
      </c>
      <c r="N1088" s="3" t="n">
        <f aca="false">(Tabla2[[#This Row],[Productividad (kg/TAS)]]*Tabla2[[#This Row],[Precio por kg]]-Tabla2[[#This Row],[Costos (En RD$/Tarea)]])</f>
        <v>740.124909659563</v>
      </c>
      <c r="O1088" s="9" t="n">
        <f aca="false">IF(Tabla2[[#This Row],[Costos (En RD$/Tarea)]]=0,0,Tabla2[[#This Row],[Beneficio Neto  (En RD$/Tarea)]]/Tabla2[[#This Row],[Costos (En RD$/Tarea)]])</f>
        <v>0.316152184353776</v>
      </c>
      <c r="P1088" s="7" t="n">
        <f aca="false">Tabla2[[#This Row],[Rentabilidad (%)]]/12</f>
        <v>0.0263460153628146</v>
      </c>
    </row>
    <row r="1089" customFormat="false" ht="14.25" hidden="false" customHeight="false" outlineLevel="0" collapsed="false">
      <c r="A1089" s="1" t="n">
        <v>39264</v>
      </c>
      <c r="B1089" s="2" t="s">
        <v>26</v>
      </c>
      <c r="C1089" s="3" t="n">
        <v>7197</v>
      </c>
      <c r="D1089" s="8" t="s">
        <v>17</v>
      </c>
      <c r="E1089" s="3" t="n">
        <f aca="false">IF(Tabla2[[#This Row],[Frecuencia]]="Annual", Tabla2[[#This Row],[Cosecha/Tarea]]/12,Tabla2[[#This Row],[Cosecha/Tarea]])</f>
        <v>7197</v>
      </c>
      <c r="F1089" s="3" t="n">
        <v>50776</v>
      </c>
      <c r="G1089" s="2" t="s">
        <v>18</v>
      </c>
      <c r="H1089" s="2" t="n">
        <f aca="false">F1089/Tabla2[[#This Row],[Cosecha Mensual]]</f>
        <v>7.05516187300264</v>
      </c>
      <c r="I1089" s="2" t="n">
        <f aca="false">H1089*_xlfn.XLOOKUP(Tabla2[[#This Row],[Unidad de producción]],Tabla3[Medida],Tabla3[Equivalencia en Kg],"ELVIS",0)</f>
        <v>320.0221425594</v>
      </c>
      <c r="J1089" s="2" t="n">
        <v>459.416</v>
      </c>
      <c r="K1089" s="2" t="s">
        <v>18</v>
      </c>
      <c r="L1089" s="2" t="n">
        <f aca="false">J1089/_xlfn.XLOOKUP(Tabla2[[#This Row],[Unidad de precio]],Tabla3[Medida],Tabla3[Equivalencia en Kg],"ELVIS",0)</f>
        <v>10.1282186948854</v>
      </c>
      <c r="M1089" s="2" t="n">
        <v>970.18</v>
      </c>
      <c r="N1089" s="3" t="n">
        <f aca="false">(Tabla2[[#This Row],[Productividad (kg/TAS)]]*Tabla2[[#This Row],[Precio por kg]]-Tabla2[[#This Row],[Costos (En RD$/Tarea)]])</f>
        <v>2271.07424704738</v>
      </c>
      <c r="O1089" s="9" t="n">
        <f aca="false">IF(Tabla2[[#This Row],[Costos (En RD$/Tarea)]]=0,0,Tabla2[[#This Row],[Beneficio Neto  (En RD$/Tarea)]]/Tabla2[[#This Row],[Costos (En RD$/Tarea)]])</f>
        <v>2.34087926678285</v>
      </c>
      <c r="P1089" s="7" t="n">
        <f aca="false">Tabla2[[#This Row],[Rentabilidad (%)]]/12</f>
        <v>0.195073272231904</v>
      </c>
    </row>
    <row r="1090" customFormat="false" ht="14.25" hidden="false" customHeight="false" outlineLevel="0" collapsed="false">
      <c r="A1090" s="1" t="n">
        <v>39264</v>
      </c>
      <c r="B1090" s="2" t="s">
        <v>27</v>
      </c>
      <c r="C1090" s="3" t="n">
        <v>4922</v>
      </c>
      <c r="D1090" s="8" t="s">
        <v>17</v>
      </c>
      <c r="E1090" s="3" t="n">
        <f aca="false">IF(Tabla2[[#This Row],[Frecuencia]]="Annual", Tabla2[[#This Row],[Cosecha/Tarea]]/12,Tabla2[[#This Row],[Cosecha/Tarea]])</f>
        <v>4922</v>
      </c>
      <c r="F1090" s="3" t="n">
        <v>48343</v>
      </c>
      <c r="G1090" s="2" t="s">
        <v>18</v>
      </c>
      <c r="H1090" s="2" t="n">
        <f aca="false">F1090/Tabla2[[#This Row],[Cosecha Mensual]]</f>
        <v>9.82182039821211</v>
      </c>
      <c r="I1090" s="2" t="n">
        <f aca="false">H1090*_xlfn.XLOOKUP(Tabla2[[#This Row],[Unidad de producción]],Tabla3[Medida],Tabla3[Equivalencia en Kg],"ELVIS",0)</f>
        <v>445.517773262901</v>
      </c>
      <c r="J1090" s="2" t="n">
        <v>196.6048</v>
      </c>
      <c r="K1090" s="2" t="s">
        <v>18</v>
      </c>
      <c r="L1090" s="2" t="n">
        <f aca="false">J1090/_xlfn.XLOOKUP(Tabla2[[#This Row],[Unidad de precio]],Tabla3[Medida],Tabla3[Equivalencia en Kg],"ELVIS",0)</f>
        <v>4.33432098765432</v>
      </c>
      <c r="M1090" s="2" t="n">
        <v>5280.51</v>
      </c>
      <c r="N1090" s="3" t="n">
        <f aca="false">(Tabla2[[#This Row],[Productividad (kg/TAS)]]*Tabla2[[#This Row],[Precio por kg]]-Tabla2[[#This Row],[Costos (En RD$/Tarea)]])</f>
        <v>-3349.49296497359</v>
      </c>
      <c r="O1090" s="9" t="n">
        <f aca="false">IF(Tabla2[[#This Row],[Costos (En RD$/Tarea)]]=0,0,Tabla2[[#This Row],[Beneficio Neto  (En RD$/Tarea)]]/Tabla2[[#This Row],[Costos (En RD$/Tarea)]])</f>
        <v>-0.634312398797387</v>
      </c>
      <c r="P1090" s="7" t="n">
        <f aca="false">Tabla2[[#This Row],[Rentabilidad (%)]]/12</f>
        <v>-0.0528593665664489</v>
      </c>
    </row>
    <row r="1091" customFormat="false" ht="14.25" hidden="false" customHeight="false" outlineLevel="0" collapsed="false">
      <c r="A1091" s="1" t="n">
        <v>39264</v>
      </c>
      <c r="B1091" s="2" t="s">
        <v>28</v>
      </c>
      <c r="C1091" s="3" t="n">
        <v>5532</v>
      </c>
      <c r="D1091" s="8" t="s">
        <v>17</v>
      </c>
      <c r="E1091" s="3" t="n">
        <f aca="false">IF(Tabla2[[#This Row],[Frecuencia]]="Annual", Tabla2[[#This Row],[Cosecha/Tarea]]/12,Tabla2[[#This Row],[Cosecha/Tarea]])</f>
        <v>5532</v>
      </c>
      <c r="F1091" s="3" t="n">
        <v>1247</v>
      </c>
      <c r="G1091" s="2" t="s">
        <v>29</v>
      </c>
      <c r="H1091" s="2" t="n">
        <f aca="false">F1091/Tabla2[[#This Row],[Cosecha Mensual]]</f>
        <v>0.225415762834418</v>
      </c>
      <c r="I1091" s="2" t="n">
        <f aca="false">H1091*_xlfn.XLOOKUP(Tabla2[[#This Row],[Unidad de producción]],Tabla3[Medida],Tabla3[Equivalencia en Kg],"ELVIS",0)</f>
        <v>126.760300072307</v>
      </c>
      <c r="J1091" s="2" t="n">
        <v>5315.625</v>
      </c>
      <c r="K1091" s="2" t="s">
        <v>29</v>
      </c>
      <c r="L1091" s="2" t="n">
        <f aca="false">J1091/_xlfn.XLOOKUP(Tabla2[[#This Row],[Unidad de precio]],Tabla3[Medida],Tabla3[Equivalencia en Kg],"ELVIS",0)</f>
        <v>9.45268876480421</v>
      </c>
      <c r="M1091" s="2" t="n">
        <v>10097.26</v>
      </c>
      <c r="N1091" s="3" t="n">
        <f aca="false">(Tabla2[[#This Row],[Productividad (kg/TAS)]]*Tabla2[[#This Row],[Precio por kg]]-Tabla2[[#This Row],[Costos (En RD$/Tarea)]])</f>
        <v>-8899.0343356833</v>
      </c>
      <c r="O1091" s="9" t="n">
        <f aca="false">IF(Tabla2[[#This Row],[Costos (En RD$/Tarea)]]=0,0,Tabla2[[#This Row],[Beneficio Neto  (En RD$/Tarea)]]/Tabla2[[#This Row],[Costos (En RD$/Tarea)]])</f>
        <v>-0.881331602403355</v>
      </c>
      <c r="P1091" s="7" t="n">
        <f aca="false">Tabla2[[#This Row],[Rentabilidad (%)]]/12</f>
        <v>-0.0734443002002796</v>
      </c>
    </row>
    <row r="1092" customFormat="false" ht="14.25" hidden="false" customHeight="false" outlineLevel="0" collapsed="false">
      <c r="A1092" s="1" t="n">
        <v>39264</v>
      </c>
      <c r="B1092" s="2" t="s">
        <v>30</v>
      </c>
      <c r="C1092" s="3" t="n">
        <v>309732</v>
      </c>
      <c r="D1092" s="3" t="s">
        <v>31</v>
      </c>
      <c r="E1092" s="3" t="n">
        <f aca="false">IF(Tabla2[[#This Row],[Frecuencia]]="Annual", Tabla2[[#This Row],[Cosecha/Tarea]]/12,Tabla2[[#This Row],[Cosecha/Tarea]])</f>
        <v>25811</v>
      </c>
      <c r="F1092" s="3" t="n">
        <v>1651320</v>
      </c>
      <c r="G1092" s="2" t="s">
        <v>32</v>
      </c>
      <c r="H1092" s="2" t="n">
        <f aca="false">F1092/Tabla2[[#This Row],[Cosecha Mensual]]</f>
        <v>63.9773739878346</v>
      </c>
      <c r="I1092" s="2" t="n">
        <f aca="false">H1092*_xlfn.XLOOKUP(Tabla2[[#This Row],[Unidad de producción]],Tabla3[Medida],Tabla3[Equivalencia en Kg],"ELVIS",0)</f>
        <v>1740.82434620898</v>
      </c>
      <c r="J1092" s="2" t="n">
        <v>66.5283333333333</v>
      </c>
      <c r="K1092" s="2" t="s">
        <v>32</v>
      </c>
      <c r="L1092" s="2" t="n">
        <f aca="false">J1092/_xlfn.XLOOKUP(Tabla2[[#This Row],[Unidad de precio]],Tabla3[Medida],Tabla3[Equivalencia en Kg],"ELVIS",0)</f>
        <v>2.44499571236065</v>
      </c>
      <c r="M1092" s="3" t="n">
        <v>8303.36</v>
      </c>
      <c r="N1092" s="3" t="n">
        <f aca="false">(Tabla2[[#This Row],[Productividad (kg/TAS)]]*Tabla2[[#This Row],[Precio por kg]]-Tabla2[[#This Row],[Costos (En RD$/Tarea)]])</f>
        <v>-4047.05193754601</v>
      </c>
      <c r="O1092" s="9" t="n">
        <f aca="false">IF(Tabla2[[#This Row],[Costos (En RD$/Tarea)]]=0,0,Tabla2[[#This Row],[Beneficio Neto  (En RD$/Tarea)]]/Tabla2[[#This Row],[Costos (En RD$/Tarea)]])</f>
        <v>-0.48739931034497</v>
      </c>
      <c r="P1092" s="7" t="n">
        <f aca="false">Tabla2[[#This Row],[Rentabilidad (%)]]/12</f>
        <v>-0.0406166091954142</v>
      </c>
    </row>
    <row r="1093" customFormat="false" ht="14.25" hidden="false" customHeight="false" outlineLevel="0" collapsed="false">
      <c r="A1093" s="1" t="n">
        <v>39264</v>
      </c>
      <c r="B1093" s="2" t="s">
        <v>33</v>
      </c>
      <c r="C1093" s="3" t="n">
        <v>787251</v>
      </c>
      <c r="D1093" s="3" t="s">
        <v>31</v>
      </c>
      <c r="E1093" s="3" t="n">
        <f aca="false">IF(Tabla2[[#This Row],[Frecuencia]]="Annual", Tabla2[[#This Row],[Cosecha/Tarea]]/12,Tabla2[[#This Row],[Cosecha/Tarea]])</f>
        <v>65604.25</v>
      </c>
      <c r="F1093" s="3" t="n">
        <v>181121</v>
      </c>
      <c r="G1093" s="2" t="s">
        <v>34</v>
      </c>
      <c r="H1093" s="2" t="n">
        <f aca="false">F1093/Tabla2[[#This Row],[Cosecha Mensual]]</f>
        <v>2.76081199007686</v>
      </c>
      <c r="I1093" s="2" t="n">
        <f aca="false">H1093*_xlfn.XLOOKUP(Tabla2[[#This Row],[Unidad de producción]],Tabla3[Medida],Tabla3[Equivalencia en Kg],"ELVIS",0)</f>
        <v>1126.82541374987</v>
      </c>
      <c r="J1093" s="2" t="n">
        <v>2124.38833333333</v>
      </c>
      <c r="K1093" s="2" t="s">
        <v>34</v>
      </c>
      <c r="L1093" s="2" t="n">
        <f aca="false">J1093/_xlfn.XLOOKUP(Tabla2[[#This Row],[Unidad de precio]],Tabla3[Medida],Tabla3[Equivalencia en Kg],"ELVIS",0)</f>
        <v>5.2049205765854</v>
      </c>
      <c r="M1093" s="3" t="n">
        <v>11167.89</v>
      </c>
      <c r="N1093" s="3" t="n">
        <f aca="false">(Tabla2[[#This Row],[Productividad (kg/TAS)]]*Tabla2[[#This Row],[Precio por kg]]-Tabla2[[#This Row],[Costos (En RD$/Tarea)]])</f>
        <v>-5302.85321775394</v>
      </c>
      <c r="O1093" s="9" t="n">
        <f aca="false">IF(Tabla2[[#This Row],[Costos (En RD$/Tarea)]]=0,0,Tabla2[[#This Row],[Beneficio Neto  (En RD$/Tarea)]]/Tabla2[[#This Row],[Costos (En RD$/Tarea)]])</f>
        <v>-0.474830358980429</v>
      </c>
      <c r="P1093" s="7" t="n">
        <f aca="false">Tabla2[[#This Row],[Rentabilidad (%)]]/12</f>
        <v>-0.0395691965817024</v>
      </c>
    </row>
    <row r="1094" customFormat="false" ht="14.25" hidden="false" customHeight="false" outlineLevel="0" collapsed="false">
      <c r="A1094" s="1" t="n">
        <v>39295</v>
      </c>
      <c r="B1094" s="2" t="s">
        <v>16</v>
      </c>
      <c r="C1094" s="3" t="n">
        <v>143581</v>
      </c>
      <c r="D1094" s="8" t="s">
        <v>17</v>
      </c>
      <c r="E1094" s="3" t="n">
        <f aca="false">IF(Tabla2[[#This Row],[Frecuencia]]="Annual", Tabla2[[#This Row],[Cosecha/Tarea]]/12,Tabla2[[#This Row],[Cosecha/Tarea]])</f>
        <v>143581</v>
      </c>
      <c r="F1094" s="3" t="n">
        <v>549221</v>
      </c>
      <c r="G1094" s="2" t="s">
        <v>18</v>
      </c>
      <c r="H1094" s="2" t="n">
        <f aca="false">F1094/Tabla2[[#This Row],[Cosecha Mensual]]</f>
        <v>3.82516488950488</v>
      </c>
      <c r="I1094" s="2" t="n">
        <f aca="false">H1094*_xlfn.XLOOKUP(Tabla2[[#This Row],[Unidad de producción]],Tabla3[Medida],Tabla3[Equivalencia en Kg],"ELVIS",0)</f>
        <v>173.509479387941</v>
      </c>
      <c r="J1094" s="2" t="n">
        <v>1302.25</v>
      </c>
      <c r="K1094" s="2" t="s">
        <v>19</v>
      </c>
      <c r="L1094" s="2" t="n">
        <f aca="false">J1094/_xlfn.XLOOKUP(Tabla2[[#This Row],[Unidad de precio]],Tabla3[Medida],Tabla3[Equivalencia en Kg],"ELVIS",0)</f>
        <v>11.8386363636364</v>
      </c>
      <c r="M1094" s="2" t="n">
        <v>5339.5</v>
      </c>
      <c r="N1094" s="3" t="n">
        <f aca="false">(Tabla2[[#This Row],[Productividad (kg/TAS)]]*Tabla2[[#This Row],[Precio por kg]]-Tabla2[[#This Row],[Costos (En RD$/Tarea)]])</f>
        <v>-3285.3843678823</v>
      </c>
      <c r="O1094" s="9" t="n">
        <f aca="false">IF(Tabla2[[#This Row],[Costos (En RD$/Tarea)]]=0,0,Tabla2[[#This Row],[Beneficio Neto  (En RD$/Tarea)]]/Tabla2[[#This Row],[Costos (En RD$/Tarea)]])</f>
        <v>-0.615298130514525</v>
      </c>
      <c r="P1094" s="7" t="n">
        <f aca="false">Tabla2[[#This Row],[Rentabilidad (%)]]/12</f>
        <v>-0.0512748442095437</v>
      </c>
    </row>
    <row r="1095" customFormat="false" ht="14.25" hidden="false" customHeight="false" outlineLevel="0" collapsed="false">
      <c r="A1095" s="1" t="n">
        <v>39295</v>
      </c>
      <c r="B1095" s="2" t="s">
        <v>20</v>
      </c>
      <c r="C1095" s="3" t="n">
        <v>63939</v>
      </c>
      <c r="D1095" s="8" t="s">
        <v>17</v>
      </c>
      <c r="E1095" s="3" t="n">
        <f aca="false">IF(Tabla2[[#This Row],[Frecuencia]]="Annual", Tabla2[[#This Row],[Cosecha/Tarea]]/12,Tabla2[[#This Row],[Cosecha/Tarea]])</f>
        <v>63939</v>
      </c>
      <c r="F1095" s="3" t="n">
        <v>108527</v>
      </c>
      <c r="G1095" s="2" t="s">
        <v>18</v>
      </c>
      <c r="H1095" s="2" t="n">
        <f aca="false">F1095/Tabla2[[#This Row],[Cosecha Mensual]]</f>
        <v>1.6973521637811</v>
      </c>
      <c r="I1095" s="2" t="n">
        <f aca="false">H1095*_xlfn.XLOOKUP(Tabla2[[#This Row],[Unidad de producción]],Tabla3[Medida],Tabla3[Equivalencia en Kg],"ELVIS",0)</f>
        <v>76.9918941491109</v>
      </c>
      <c r="J1095" s="2" t="n">
        <v>365.224444444445</v>
      </c>
      <c r="K1095" s="2" t="s">
        <v>18</v>
      </c>
      <c r="L1095" s="2" t="n">
        <f aca="false">J1095/_xlfn.XLOOKUP(Tabla2[[#This Row],[Unidad de precio]],Tabla3[Medida],Tabla3[Equivalencia en Kg],"ELVIS",0)</f>
        <v>8.05168528316678</v>
      </c>
      <c r="M1095" s="2" t="n">
        <v>1417.48</v>
      </c>
      <c r="N1095" s="3" t="n">
        <f aca="false">(Tabla2[[#This Row],[Productividad (kg/TAS)]]*Tabla2[[#This Row],[Precio por kg]]-Tabla2[[#This Row],[Costos (En RD$/Tarea)]])</f>
        <v>-797.56549895647</v>
      </c>
      <c r="O1095" s="9" t="n">
        <f aca="false">IF(Tabla2[[#This Row],[Costos (En RD$/Tarea)]]=0,0,Tabla2[[#This Row],[Beneficio Neto  (En RD$/Tarea)]]/Tabla2[[#This Row],[Costos (En RD$/Tarea)]])</f>
        <v>-0.562664375480762</v>
      </c>
      <c r="P1095" s="7" t="n">
        <f aca="false">Tabla2[[#This Row],[Rentabilidad (%)]]/12</f>
        <v>-0.0468886979567301</v>
      </c>
    </row>
    <row r="1096" customFormat="false" ht="14.25" hidden="false" customHeight="false" outlineLevel="0" collapsed="false">
      <c r="A1096" s="1" t="n">
        <v>39295</v>
      </c>
      <c r="B1096" s="2" t="s">
        <v>21</v>
      </c>
      <c r="C1096" s="3" t="n">
        <v>4346</v>
      </c>
      <c r="D1096" s="8" t="s">
        <v>17</v>
      </c>
      <c r="E1096" s="3" t="n">
        <f aca="false">IF(Tabla2[[#This Row],[Frecuencia]]="Annual", Tabla2[[#This Row],[Cosecha/Tarea]]/12,Tabla2[[#This Row],[Cosecha/Tarea]])</f>
        <v>4346</v>
      </c>
      <c r="F1096" s="3" t="n">
        <v>51230</v>
      </c>
      <c r="G1096" s="2" t="s">
        <v>18</v>
      </c>
      <c r="H1096" s="2" t="n">
        <f aca="false">F1096/Tabla2[[#This Row],[Cosecha Mensual]]</f>
        <v>11.7878508973769</v>
      </c>
      <c r="I1096" s="2" t="n">
        <f aca="false">H1096*_xlfn.XLOOKUP(Tabla2[[#This Row],[Unidad de producción]],Tabla3[Medida],Tabla3[Equivalencia en Kg],"ELVIS",0)</f>
        <v>534.696916705016</v>
      </c>
      <c r="J1096" s="2" t="n">
        <v>214.4</v>
      </c>
      <c r="K1096" s="2" t="s">
        <v>18</v>
      </c>
      <c r="L1096" s="2" t="n">
        <f aca="false">J1096/_xlfn.XLOOKUP(Tabla2[[#This Row],[Unidad de precio]],Tabla3[Medida],Tabla3[Equivalencia en Kg],"ELVIS",0)</f>
        <v>4.72663139329806</v>
      </c>
      <c r="M1096" s="2" t="n">
        <v>2131.605</v>
      </c>
      <c r="N1096" s="3" t="n">
        <f aca="false">(Tabla2[[#This Row],[Productividad (kg/TAS)]]*Tabla2[[#This Row],[Precio por kg]]-Tabla2[[#This Row],[Costos (En RD$/Tarea)]])</f>
        <v>395.710232397607</v>
      </c>
      <c r="O1096" s="9" t="n">
        <f aca="false">IF(Tabla2[[#This Row],[Costos (En RD$/Tarea)]]=0,0,Tabla2[[#This Row],[Beneficio Neto  (En RD$/Tarea)]]/Tabla2[[#This Row],[Costos (En RD$/Tarea)]])</f>
        <v>0.18563956849304</v>
      </c>
      <c r="P1096" s="7" t="n">
        <f aca="false">Tabla2[[#This Row],[Rentabilidad (%)]]/12</f>
        <v>0.0154699640410867</v>
      </c>
    </row>
    <row r="1097" customFormat="false" ht="14.25" hidden="false" customHeight="false" outlineLevel="0" collapsed="false">
      <c r="A1097" s="1" t="n">
        <v>39295</v>
      </c>
      <c r="B1097" s="2" t="s">
        <v>22</v>
      </c>
      <c r="C1097" s="3" t="n">
        <v>4185</v>
      </c>
      <c r="D1097" s="8" t="s">
        <v>17</v>
      </c>
      <c r="E1097" s="3" t="n">
        <f aca="false">IF(Tabla2[[#This Row],[Frecuencia]]="Annual", Tabla2[[#This Row],[Cosecha/Tarea]]/12,Tabla2[[#This Row],[Cosecha/Tarea]])</f>
        <v>4185</v>
      </c>
      <c r="F1097" s="3" t="n">
        <v>34853</v>
      </c>
      <c r="G1097" s="2" t="s">
        <v>18</v>
      </c>
      <c r="H1097" s="2" t="n">
        <f aca="false">F1097/Tabla2[[#This Row],[Cosecha Mensual]]</f>
        <v>8.32807646356033</v>
      </c>
      <c r="I1097" s="2" t="n">
        <f aca="false">H1097*_xlfn.XLOOKUP(Tabla2[[#This Row],[Unidad de producción]],Tabla3[Medida],Tabla3[Equivalencia en Kg],"ELVIS",0)</f>
        <v>377.761548387097</v>
      </c>
      <c r="J1097" s="2" t="n">
        <v>823.333333333333</v>
      </c>
      <c r="K1097" s="2" t="s">
        <v>18</v>
      </c>
      <c r="L1097" s="2" t="n">
        <f aca="false">J1097/_xlfn.XLOOKUP(Tabla2[[#This Row],[Unidad de precio]],Tabla3[Medida],Tabla3[Equivalencia en Kg],"ELVIS",0)</f>
        <v>18.151087595532</v>
      </c>
      <c r="M1097" s="2" t="n">
        <v>6063.13</v>
      </c>
      <c r="N1097" s="3" t="n">
        <f aca="false">(Tabla2[[#This Row],[Productividad (kg/TAS)]]*Tabla2[[#This Row],[Precio por kg]]-Tabla2[[#This Row],[Costos (En RD$/Tarea)]])</f>
        <v>793.652954998006</v>
      </c>
      <c r="O1097" s="9" t="n">
        <f aca="false">IF(Tabla2[[#This Row],[Costos (En RD$/Tarea)]]=0,0,Tabla2[[#This Row],[Beneficio Neto  (En RD$/Tarea)]]/Tabla2[[#This Row],[Costos (En RD$/Tarea)]])</f>
        <v>0.130898225008866</v>
      </c>
      <c r="P1097" s="7" t="n">
        <f aca="false">Tabla2[[#This Row],[Rentabilidad (%)]]/12</f>
        <v>0.0109081854174055</v>
      </c>
    </row>
    <row r="1098" customFormat="false" ht="14.25" hidden="false" customHeight="false" outlineLevel="0" collapsed="false">
      <c r="A1098" s="1" t="n">
        <v>39295</v>
      </c>
      <c r="B1098" s="2" t="s">
        <v>23</v>
      </c>
      <c r="C1098" s="3" t="n">
        <v>1637</v>
      </c>
      <c r="D1098" s="8" t="s">
        <v>17</v>
      </c>
      <c r="E1098" s="3" t="n">
        <f aca="false">IF(Tabla2[[#This Row],[Frecuencia]]="Annual", Tabla2[[#This Row],[Cosecha/Tarea]]/12,Tabla2[[#This Row],[Cosecha/Tarea]])</f>
        <v>1637</v>
      </c>
      <c r="F1098" s="3" t="n">
        <v>56493</v>
      </c>
      <c r="G1098" s="2" t="s">
        <v>18</v>
      </c>
      <c r="H1098" s="2" t="n">
        <f aca="false">F1098/Tabla2[[#This Row],[Cosecha Mensual]]</f>
        <v>34.5100794135614</v>
      </c>
      <c r="I1098" s="2" t="n">
        <f aca="false">H1098*_xlfn.XLOOKUP(Tabla2[[#This Row],[Unidad de producción]],Tabla3[Medida],Tabla3[Equivalencia en Kg],"ELVIS",0)</f>
        <v>1565.37720219914</v>
      </c>
      <c r="J1098" s="2" t="n">
        <v>517.86875</v>
      </c>
      <c r="K1098" s="2" t="s">
        <v>18</v>
      </c>
      <c r="L1098" s="2" t="n">
        <f aca="false">J1098/_xlfn.XLOOKUP(Tabla2[[#This Row],[Unidad de precio]],Tabla3[Medida],Tabla3[Equivalencia en Kg],"ELVIS",0)</f>
        <v>11.4168595679012</v>
      </c>
      <c r="M1098" s="2" t="n">
        <v>12092.41</v>
      </c>
      <c r="N1098" s="3" t="n">
        <f aca="false">(Tabla2[[#This Row],[Productividad (kg/TAS)]]*Tabla2[[#This Row],[Precio por kg]]-Tabla2[[#This Row],[Costos (En RD$/Tarea)]])</f>
        <v>5779.28168830177</v>
      </c>
      <c r="O1098" s="9" t="n">
        <f aca="false">IF(Tabla2[[#This Row],[Costos (En RD$/Tarea)]]=0,0,Tabla2[[#This Row],[Beneficio Neto  (En RD$/Tarea)]]/Tabla2[[#This Row],[Costos (En RD$/Tarea)]])</f>
        <v>0.477926375991367</v>
      </c>
      <c r="P1098" s="7" t="n">
        <f aca="false">Tabla2[[#This Row],[Rentabilidad (%)]]/12</f>
        <v>0.0398271979992806</v>
      </c>
    </row>
    <row r="1099" customFormat="false" ht="14.25" hidden="false" customHeight="false" outlineLevel="0" collapsed="false">
      <c r="A1099" s="1" t="n">
        <v>39295</v>
      </c>
      <c r="B1099" s="2" t="s">
        <v>24</v>
      </c>
      <c r="C1099" s="3" t="n">
        <v>4292</v>
      </c>
      <c r="D1099" s="8" t="s">
        <v>17</v>
      </c>
      <c r="E1099" s="3" t="n">
        <f aca="false">IF(Tabla2[[#This Row],[Frecuencia]]="Annual", Tabla2[[#This Row],[Cosecha/Tarea]]/12,Tabla2[[#This Row],[Cosecha/Tarea]])</f>
        <v>4292</v>
      </c>
      <c r="F1099" s="3" t="n">
        <v>37384</v>
      </c>
      <c r="G1099" s="2" t="s">
        <v>18</v>
      </c>
      <c r="H1099" s="2" t="n">
        <f aca="false">F1099/Tabla2[[#This Row],[Cosecha Mensual]]</f>
        <v>8.71015843429637</v>
      </c>
      <c r="I1099" s="2" t="n">
        <f aca="false">H1099*_xlfn.XLOOKUP(Tabla2[[#This Row],[Unidad de producción]],Tabla3[Medida],Tabla3[Equivalencia en Kg],"ELVIS",0)</f>
        <v>395.092786579683</v>
      </c>
      <c r="J1099" s="2" t="n">
        <v>865.25</v>
      </c>
      <c r="K1099" s="2" t="s">
        <v>18</v>
      </c>
      <c r="L1099" s="2" t="n">
        <f aca="false">J1099/_xlfn.XLOOKUP(Tabla2[[#This Row],[Unidad de precio]],Tabla3[Medida],Tabla3[Equivalencia en Kg],"ELVIS",0)</f>
        <v>19.075176366843</v>
      </c>
      <c r="M1099" s="2" t="n">
        <v>4803.45</v>
      </c>
      <c r="N1099" s="3" t="n">
        <f aca="false">(Tabla2[[#This Row],[Productividad (kg/TAS)]]*Tabla2[[#This Row],[Precio por kg]]-Tabla2[[#This Row],[Costos (En RD$/Tarea)]])</f>
        <v>2733.01458527493</v>
      </c>
      <c r="O1099" s="9" t="n">
        <f aca="false">IF(Tabla2[[#This Row],[Costos (En RD$/Tarea)]]=0,0,Tabla2[[#This Row],[Beneficio Neto  (En RD$/Tarea)]]/Tabla2[[#This Row],[Costos (En RD$/Tarea)]])</f>
        <v>0.568969092064023</v>
      </c>
      <c r="P1099" s="7" t="n">
        <f aca="false">Tabla2[[#This Row],[Rentabilidad (%)]]/12</f>
        <v>0.0474140910053353</v>
      </c>
    </row>
    <row r="1100" customFormat="false" ht="14.25" hidden="false" customHeight="false" outlineLevel="0" collapsed="false">
      <c r="A1100" s="1" t="n">
        <v>39295</v>
      </c>
      <c r="B1100" s="2" t="s">
        <v>25</v>
      </c>
      <c r="C1100" s="3" t="n">
        <v>16583</v>
      </c>
      <c r="D1100" s="8" t="s">
        <v>17</v>
      </c>
      <c r="E1100" s="3" t="n">
        <f aca="false">IF(Tabla2[[#This Row],[Frecuencia]]="Annual", Tabla2[[#This Row],[Cosecha/Tarea]]/12,Tabla2[[#This Row],[Cosecha/Tarea]])</f>
        <v>16583</v>
      </c>
      <c r="F1100" s="3" t="n">
        <v>172023</v>
      </c>
      <c r="G1100" s="2" t="s">
        <v>18</v>
      </c>
      <c r="H1100" s="2" t="n">
        <f aca="false">F1100/Tabla2[[#This Row],[Cosecha Mensual]]</f>
        <v>10.3734547428089</v>
      </c>
      <c r="I1100" s="2" t="n">
        <f aca="false">H1100*_xlfn.XLOOKUP(Tabla2[[#This Row],[Unidad de producción]],Tabla3[Medida],Tabla3[Equivalencia en Kg],"ELVIS",0)</f>
        <v>470.539907133812</v>
      </c>
      <c r="J1100" s="2" t="n">
        <v>278.634416666667</v>
      </c>
      <c r="K1100" s="2" t="s">
        <v>18</v>
      </c>
      <c r="L1100" s="2" t="n">
        <f aca="false">J1100/_xlfn.XLOOKUP(Tabla2[[#This Row],[Unidad de precio]],Tabla3[Medida],Tabla3[Equivalencia en Kg],"ELVIS",0)</f>
        <v>6.14273405349795</v>
      </c>
      <c r="M1100" s="2" t="n">
        <v>2341.04</v>
      </c>
      <c r="N1100" s="3" t="n">
        <f aca="false">(Tabla2[[#This Row],[Productividad (kg/TAS)]]*Tabla2[[#This Row],[Precio por kg]]-Tabla2[[#This Row],[Costos (En RD$/Tarea)]])</f>
        <v>549.361511080629</v>
      </c>
      <c r="O1100" s="9" t="n">
        <f aca="false">IF(Tabla2[[#This Row],[Costos (En RD$/Tarea)]]=0,0,Tabla2[[#This Row],[Beneficio Neto  (En RD$/Tarea)]]/Tabla2[[#This Row],[Costos (En RD$/Tarea)]])</f>
        <v>0.234665580716531</v>
      </c>
      <c r="P1100" s="7" t="n">
        <f aca="false">Tabla2[[#This Row],[Rentabilidad (%)]]/12</f>
        <v>0.019555465059711</v>
      </c>
    </row>
    <row r="1101" customFormat="false" ht="14.25" hidden="false" customHeight="false" outlineLevel="0" collapsed="false">
      <c r="A1101" s="1" t="n">
        <v>39295</v>
      </c>
      <c r="B1101" s="2" t="s">
        <v>26</v>
      </c>
      <c r="C1101" s="3" t="n">
        <v>7727</v>
      </c>
      <c r="D1101" s="8" t="s">
        <v>17</v>
      </c>
      <c r="E1101" s="3" t="n">
        <f aca="false">IF(Tabla2[[#This Row],[Frecuencia]]="Annual", Tabla2[[#This Row],[Cosecha/Tarea]]/12,Tabla2[[#This Row],[Cosecha/Tarea]])</f>
        <v>7727</v>
      </c>
      <c r="F1101" s="3" t="n">
        <v>57475</v>
      </c>
      <c r="G1101" s="2" t="s">
        <v>18</v>
      </c>
      <c r="H1101" s="2" t="n">
        <f aca="false">F1101/Tabla2[[#This Row],[Cosecha Mensual]]</f>
        <v>7.43820370130711</v>
      </c>
      <c r="I1101" s="2" t="n">
        <f aca="false">H1101*_xlfn.XLOOKUP(Tabla2[[#This Row],[Unidad de producción]],Tabla3[Medida],Tabla3[Equivalencia en Kg],"ELVIS",0)</f>
        <v>337.39691989129</v>
      </c>
      <c r="J1101" s="2" t="n">
        <v>426.375</v>
      </c>
      <c r="K1101" s="2" t="s">
        <v>18</v>
      </c>
      <c r="L1101" s="2" t="n">
        <f aca="false">J1101/_xlfn.XLOOKUP(Tabla2[[#This Row],[Unidad de precio]],Tabla3[Medida],Tabla3[Equivalencia en Kg],"ELVIS",0)</f>
        <v>9.39980158730159</v>
      </c>
      <c r="M1101" s="2" t="n">
        <v>970.18</v>
      </c>
      <c r="N1101" s="3" t="n">
        <f aca="false">(Tabla2[[#This Row],[Productividad (kg/TAS)]]*Tabla2[[#This Row],[Precio por kg]]-Tabla2[[#This Row],[Costos (En RD$/Tarea)]])</f>
        <v>2201.28410314482</v>
      </c>
      <c r="O1101" s="9" t="n">
        <f aca="false">IF(Tabla2[[#This Row],[Costos (En RD$/Tarea)]]=0,0,Tabla2[[#This Row],[Beneficio Neto  (En RD$/Tarea)]]/Tabla2[[#This Row],[Costos (En RD$/Tarea)]])</f>
        <v>2.2689440136313</v>
      </c>
      <c r="P1101" s="7" t="n">
        <f aca="false">Tabla2[[#This Row],[Rentabilidad (%)]]/12</f>
        <v>0.189078667802609</v>
      </c>
    </row>
    <row r="1102" customFormat="false" ht="14.25" hidden="false" customHeight="false" outlineLevel="0" collapsed="false">
      <c r="A1102" s="1" t="n">
        <v>39295</v>
      </c>
      <c r="B1102" s="2" t="s">
        <v>27</v>
      </c>
      <c r="C1102" s="3" t="n">
        <v>4400</v>
      </c>
      <c r="D1102" s="8" t="s">
        <v>17</v>
      </c>
      <c r="E1102" s="3" t="n">
        <f aca="false">IF(Tabla2[[#This Row],[Frecuencia]]="Annual", Tabla2[[#This Row],[Cosecha/Tarea]]/12,Tabla2[[#This Row],[Cosecha/Tarea]])</f>
        <v>4400</v>
      </c>
      <c r="F1102" s="3" t="n">
        <v>40317</v>
      </c>
      <c r="G1102" s="2" t="s">
        <v>18</v>
      </c>
      <c r="H1102" s="2" t="n">
        <f aca="false">F1102/Tabla2[[#This Row],[Cosecha Mensual]]</f>
        <v>9.16295454545455</v>
      </c>
      <c r="I1102" s="2" t="n">
        <f aca="false">H1102*_xlfn.XLOOKUP(Tabla2[[#This Row],[Unidad de producción]],Tabla3[Medida],Tabla3[Equivalencia en Kg],"ELVIS",0)</f>
        <v>415.631618181818</v>
      </c>
      <c r="J1102" s="2" t="n">
        <v>197.0248</v>
      </c>
      <c r="K1102" s="2" t="s">
        <v>18</v>
      </c>
      <c r="L1102" s="2" t="n">
        <f aca="false">J1102/_xlfn.XLOOKUP(Tabla2[[#This Row],[Unidad de precio]],Tabla3[Medida],Tabla3[Equivalencia en Kg],"ELVIS",0)</f>
        <v>4.34358024691358</v>
      </c>
      <c r="M1102" s="2" t="n">
        <v>5280.51</v>
      </c>
      <c r="N1102" s="3" t="n">
        <f aca="false">(Tabla2[[#This Row],[Productividad (kg/TAS)]]*Tabla2[[#This Row],[Precio por kg]]-Tabla2[[#This Row],[Costos (En RD$/Tarea)]])</f>
        <v>-3475.18071327273</v>
      </c>
      <c r="O1102" s="9" t="n">
        <f aca="false">IF(Tabla2[[#This Row],[Costos (En RD$/Tarea)]]=0,0,Tabla2[[#This Row],[Beneficio Neto  (En RD$/Tarea)]]/Tabla2[[#This Row],[Costos (En RD$/Tarea)]])</f>
        <v>-0.658114597505303</v>
      </c>
      <c r="P1102" s="7" t="n">
        <f aca="false">Tabla2[[#This Row],[Rentabilidad (%)]]/12</f>
        <v>-0.0548428831254419</v>
      </c>
    </row>
    <row r="1103" customFormat="false" ht="14.25" hidden="false" customHeight="false" outlineLevel="0" collapsed="false">
      <c r="A1103" s="1" t="n">
        <v>39295</v>
      </c>
      <c r="B1103" s="2" t="s">
        <v>28</v>
      </c>
      <c r="C1103" s="3" t="n">
        <v>27965</v>
      </c>
      <c r="D1103" s="8" t="s">
        <v>17</v>
      </c>
      <c r="E1103" s="3" t="n">
        <f aca="false">IF(Tabla2[[#This Row],[Frecuencia]]="Annual", Tabla2[[#This Row],[Cosecha/Tarea]]/12,Tabla2[[#This Row],[Cosecha/Tarea]])</f>
        <v>27965</v>
      </c>
      <c r="F1103" s="3" t="n">
        <v>36027</v>
      </c>
      <c r="G1103" s="2" t="s">
        <v>29</v>
      </c>
      <c r="H1103" s="2" t="n">
        <f aca="false">F1103/Tabla2[[#This Row],[Cosecha Mensual]]</f>
        <v>1.28828893259431</v>
      </c>
      <c r="I1103" s="2" t="n">
        <f aca="false">H1103*_xlfn.XLOOKUP(Tabla2[[#This Row],[Unidad de producción]],Tabla3[Medida],Tabla3[Equivalencia en Kg],"ELVIS",0)</f>
        <v>724.456398355087</v>
      </c>
      <c r="J1103" s="2" t="n">
        <v>3571.75</v>
      </c>
      <c r="K1103" s="2" t="s">
        <v>29</v>
      </c>
      <c r="L1103" s="2" t="n">
        <f aca="false">J1103/_xlfn.XLOOKUP(Tabla2[[#This Row],[Unidad de precio]],Tabla3[Medida],Tabla3[Equivalencia en Kg],"ELVIS",0)</f>
        <v>6.3515844506882</v>
      </c>
      <c r="M1103" s="2" t="n">
        <v>10097.26</v>
      </c>
      <c r="N1103" s="3" t="n">
        <f aca="false">(Tabla2[[#This Row],[Productividad (kg/TAS)]]*Tabla2[[#This Row],[Precio por kg]]-Tabla2[[#This Row],[Costos (En RD$/Tarea)]])</f>
        <v>-5495.81400500626</v>
      </c>
      <c r="O1103" s="9" t="n">
        <f aca="false">IF(Tabla2[[#This Row],[Costos (En RD$/Tarea)]]=0,0,Tabla2[[#This Row],[Beneficio Neto  (En RD$/Tarea)]]/Tabla2[[#This Row],[Costos (En RD$/Tarea)]])</f>
        <v>-0.5442876587318</v>
      </c>
      <c r="P1103" s="7" t="n">
        <f aca="false">Tabla2[[#This Row],[Rentabilidad (%)]]/12</f>
        <v>-0.0453573048943167</v>
      </c>
    </row>
    <row r="1104" customFormat="false" ht="14.25" hidden="false" customHeight="false" outlineLevel="0" collapsed="false">
      <c r="A1104" s="1" t="n">
        <v>39295</v>
      </c>
      <c r="B1104" s="2" t="s">
        <v>30</v>
      </c>
      <c r="C1104" s="3" t="n">
        <v>312752</v>
      </c>
      <c r="D1104" s="3" t="s">
        <v>31</v>
      </c>
      <c r="E1104" s="3" t="n">
        <f aca="false">IF(Tabla2[[#This Row],[Frecuencia]]="Annual", Tabla2[[#This Row],[Cosecha/Tarea]]/12,Tabla2[[#This Row],[Cosecha/Tarea]])</f>
        <v>26062.6666666667</v>
      </c>
      <c r="F1104" s="3" t="n">
        <v>2061238</v>
      </c>
      <c r="G1104" s="2" t="s">
        <v>32</v>
      </c>
      <c r="H1104" s="2" t="n">
        <f aca="false">F1104/Tabla2[[#This Row],[Cosecha Mensual]]</f>
        <v>79.0877628280555</v>
      </c>
      <c r="I1104" s="2" t="n">
        <f aca="false">H1104*_xlfn.XLOOKUP(Tabla2[[#This Row],[Unidad de producción]],Tabla3[Medida],Tabla3[Equivalencia en Kg],"ELVIS",0)</f>
        <v>2151.97802655139</v>
      </c>
      <c r="J1104" s="2" t="n">
        <v>73.6666666666667</v>
      </c>
      <c r="K1104" s="2" t="s">
        <v>32</v>
      </c>
      <c r="L1104" s="2" t="n">
        <f aca="false">J1104/_xlfn.XLOOKUP(Tabla2[[#This Row],[Unidad de precio]],Tabla3[Medida],Tabla3[Equivalencia en Kg],"ELVIS",0)</f>
        <v>2.70733798848463</v>
      </c>
      <c r="M1104" s="3" t="n">
        <v>8303.36</v>
      </c>
      <c r="N1104" s="3" t="n">
        <f aca="false">(Tabla2[[#This Row],[Productividad (kg/TAS)]]*Tabla2[[#This Row],[Precio por kg]]-Tabla2[[#This Row],[Costos (En RD$/Tarea)]])</f>
        <v>-2477.22813833325</v>
      </c>
      <c r="O1104" s="9" t="n">
        <f aca="false">IF(Tabla2[[#This Row],[Costos (En RD$/Tarea)]]=0,0,Tabla2[[#This Row],[Beneficio Neto  (En RD$/Tarea)]]/Tabla2[[#This Row],[Costos (En RD$/Tarea)]])</f>
        <v>-0.298340447521635</v>
      </c>
      <c r="P1104" s="7" t="n">
        <f aca="false">Tabla2[[#This Row],[Rentabilidad (%)]]/12</f>
        <v>-0.0248617039601363</v>
      </c>
    </row>
    <row r="1105" customFormat="false" ht="14.25" hidden="false" customHeight="false" outlineLevel="0" collapsed="false">
      <c r="A1105" s="1" t="n">
        <v>39295</v>
      </c>
      <c r="B1105" s="2" t="s">
        <v>33</v>
      </c>
      <c r="C1105" s="3" t="n">
        <v>777106</v>
      </c>
      <c r="D1105" s="3" t="s">
        <v>31</v>
      </c>
      <c r="E1105" s="3" t="n">
        <f aca="false">IF(Tabla2[[#This Row],[Frecuencia]]="Annual", Tabla2[[#This Row],[Cosecha/Tarea]]/12,Tabla2[[#This Row],[Cosecha/Tarea]])</f>
        <v>64758.8333333333</v>
      </c>
      <c r="F1105" s="3" t="n">
        <v>196171</v>
      </c>
      <c r="G1105" s="2" t="s">
        <v>34</v>
      </c>
      <c r="H1105" s="2" t="n">
        <f aca="false">F1105/Tabla2[[#This Row],[Cosecha Mensual]]</f>
        <v>3.02925469627052</v>
      </c>
      <c r="I1105" s="2" t="n">
        <f aca="false">H1105*_xlfn.XLOOKUP(Tabla2[[#This Row],[Unidad de producción]],Tabla3[Medida],Tabla3[Equivalencia en Kg],"ELVIS",0)</f>
        <v>1236.39030428281</v>
      </c>
      <c r="J1105" s="2" t="n">
        <v>2402.05555555556</v>
      </c>
      <c r="K1105" s="2" t="s">
        <v>34</v>
      </c>
      <c r="L1105" s="2" t="n">
        <f aca="false">J1105/_xlfn.XLOOKUP(Tabla2[[#This Row],[Unidad de precio]],Tabla3[Medida],Tabla3[Equivalencia en Kg],"ELVIS",0)</f>
        <v>5.88522738100101</v>
      </c>
      <c r="M1105" s="3" t="n">
        <v>11167.89</v>
      </c>
      <c r="N1105" s="3" t="n">
        <f aca="false">(Tabla2[[#This Row],[Productividad (kg/TAS)]]*Tabla2[[#This Row],[Precio por kg]]-Tabla2[[#This Row],[Costos (En RD$/Tarea)]])</f>
        <v>-3891.45192763062</v>
      </c>
      <c r="O1105" s="9" t="n">
        <f aca="false">IF(Tabla2[[#This Row],[Costos (En RD$/Tarea)]]=0,0,Tabla2[[#This Row],[Beneficio Neto  (En RD$/Tarea)]]/Tabla2[[#This Row],[Costos (En RD$/Tarea)]])</f>
        <v>-0.348450058841072</v>
      </c>
      <c r="P1105" s="7" t="n">
        <f aca="false">Tabla2[[#This Row],[Rentabilidad (%)]]/12</f>
        <v>-0.0290375049034227</v>
      </c>
    </row>
    <row r="1106" customFormat="false" ht="14.25" hidden="false" customHeight="false" outlineLevel="0" collapsed="false">
      <c r="A1106" s="1" t="n">
        <v>39326</v>
      </c>
      <c r="B1106" s="2" t="s">
        <v>16</v>
      </c>
      <c r="C1106" s="3" t="n">
        <v>228496</v>
      </c>
      <c r="D1106" s="8" t="s">
        <v>17</v>
      </c>
      <c r="E1106" s="3" t="n">
        <f aca="false">IF(Tabla2[[#This Row],[Frecuencia]]="Annual", Tabla2[[#This Row],[Cosecha/Tarea]]/12,Tabla2[[#This Row],[Cosecha/Tarea]])</f>
        <v>228496</v>
      </c>
      <c r="F1106" s="3" t="n">
        <v>943535</v>
      </c>
      <c r="G1106" s="2" t="s">
        <v>18</v>
      </c>
      <c r="H1106" s="2" t="n">
        <f aca="false">F1106/Tabla2[[#This Row],[Cosecha Mensual]]</f>
        <v>4.1293283033401</v>
      </c>
      <c r="I1106" s="2" t="n">
        <f aca="false">H1106*_xlfn.XLOOKUP(Tabla2[[#This Row],[Unidad de producción]],Tabla3[Medida],Tabla3[Equivalencia en Kg],"ELVIS",0)</f>
        <v>187.306331839507</v>
      </c>
      <c r="J1106" s="2" t="n">
        <v>1321.375</v>
      </c>
      <c r="K1106" s="2" t="s">
        <v>19</v>
      </c>
      <c r="L1106" s="2" t="n">
        <f aca="false">J1106/_xlfn.XLOOKUP(Tabla2[[#This Row],[Unidad de precio]],Tabla3[Medida],Tabla3[Equivalencia en Kg],"ELVIS",0)</f>
        <v>12.0125</v>
      </c>
      <c r="M1106" s="2" t="n">
        <v>5339.5</v>
      </c>
      <c r="N1106" s="3" t="n">
        <f aca="false">(Tabla2[[#This Row],[Productividad (kg/TAS)]]*Tabla2[[#This Row],[Precio por kg]]-Tabla2[[#This Row],[Costos (En RD$/Tarea)]])</f>
        <v>-3089.48268877792</v>
      </c>
      <c r="O1106" s="9" t="n">
        <f aca="false">IF(Tabla2[[#This Row],[Costos (En RD$/Tarea)]]=0,0,Tabla2[[#This Row],[Beneficio Neto  (En RD$/Tarea)]]/Tabla2[[#This Row],[Costos (En RD$/Tarea)]])</f>
        <v>-0.578608987504059</v>
      </c>
      <c r="P1106" s="7" t="n">
        <f aca="false">Tabla2[[#This Row],[Rentabilidad (%)]]/12</f>
        <v>-0.0482174156253382</v>
      </c>
    </row>
    <row r="1107" customFormat="false" ht="14.25" hidden="false" customHeight="false" outlineLevel="0" collapsed="false">
      <c r="A1107" s="1" t="n">
        <v>39326</v>
      </c>
      <c r="B1107" s="2" t="s">
        <v>20</v>
      </c>
      <c r="C1107" s="3" t="n">
        <v>47615</v>
      </c>
      <c r="D1107" s="8" t="s">
        <v>17</v>
      </c>
      <c r="E1107" s="3" t="n">
        <f aca="false">IF(Tabla2[[#This Row],[Frecuencia]]="Annual", Tabla2[[#This Row],[Cosecha/Tarea]]/12,Tabla2[[#This Row],[Cosecha/Tarea]])</f>
        <v>47615</v>
      </c>
      <c r="F1107" s="3" t="n">
        <v>83903</v>
      </c>
      <c r="G1107" s="2" t="s">
        <v>18</v>
      </c>
      <c r="H1107" s="2" t="n">
        <f aca="false">F1107/Tabla2[[#This Row],[Cosecha Mensual]]</f>
        <v>1.76211277958626</v>
      </c>
      <c r="I1107" s="2" t="n">
        <f aca="false">H1107*_xlfn.XLOOKUP(Tabla2[[#This Row],[Unidad de producción]],Tabla3[Medida],Tabla3[Equivalencia en Kg],"ELVIS",0)</f>
        <v>79.929435682033</v>
      </c>
      <c r="J1107" s="2" t="n">
        <v>396.27965</v>
      </c>
      <c r="K1107" s="2" t="s">
        <v>18</v>
      </c>
      <c r="L1107" s="2" t="n">
        <f aca="false">J1107/_xlfn.XLOOKUP(Tabla2[[#This Row],[Unidad de precio]],Tabla3[Medida],Tabla3[Equivalencia en Kg],"ELVIS",0)</f>
        <v>8.73632385361552</v>
      </c>
      <c r="M1107" s="2" t="n">
        <v>1417.48</v>
      </c>
      <c r="N1107" s="3" t="n">
        <f aca="false">(Tabla2[[#This Row],[Productividad (kg/TAS)]]*Tabla2[[#This Row],[Precio por kg]]-Tabla2[[#This Row],[Costos (En RD$/Tarea)]])</f>
        <v>-719.190564445028</v>
      </c>
      <c r="O1107" s="9" t="n">
        <f aca="false">IF(Tabla2[[#This Row],[Costos (En RD$/Tarea)]]=0,0,Tabla2[[#This Row],[Beneficio Neto  (En RD$/Tarea)]]/Tabla2[[#This Row],[Costos (En RD$/Tarea)]])</f>
        <v>-0.507372636259438</v>
      </c>
      <c r="P1107" s="7" t="n">
        <f aca="false">Tabla2[[#This Row],[Rentabilidad (%)]]/12</f>
        <v>-0.0422810530216198</v>
      </c>
    </row>
    <row r="1108" customFormat="false" ht="14.25" hidden="false" customHeight="false" outlineLevel="0" collapsed="false">
      <c r="A1108" s="1" t="n">
        <v>39326</v>
      </c>
      <c r="B1108" s="2" t="s">
        <v>21</v>
      </c>
      <c r="C1108" s="3" t="n">
        <v>3536</v>
      </c>
      <c r="D1108" s="8" t="s">
        <v>17</v>
      </c>
      <c r="E1108" s="3" t="n">
        <f aca="false">IF(Tabla2[[#This Row],[Frecuencia]]="Annual", Tabla2[[#This Row],[Cosecha/Tarea]]/12,Tabla2[[#This Row],[Cosecha/Tarea]])</f>
        <v>3536</v>
      </c>
      <c r="F1108" s="3" t="n">
        <v>33381</v>
      </c>
      <c r="G1108" s="2" t="s">
        <v>18</v>
      </c>
      <c r="H1108" s="2" t="n">
        <f aca="false">F1108/Tabla2[[#This Row],[Cosecha Mensual]]</f>
        <v>9.44032805429864</v>
      </c>
      <c r="I1108" s="2" t="n">
        <f aca="false">H1108*_xlfn.XLOOKUP(Tabla2[[#This Row],[Unidad de producción]],Tabla3[Medida],Tabla3[Equivalencia en Kg],"ELVIS",0)</f>
        <v>428.213280542986</v>
      </c>
      <c r="J1108" s="2" t="n">
        <v>262.750285714286</v>
      </c>
      <c r="K1108" s="2" t="s">
        <v>18</v>
      </c>
      <c r="L1108" s="2" t="n">
        <f aca="false">J1108/_xlfn.XLOOKUP(Tabla2[[#This Row],[Unidad de precio]],Tabla3[Medida],Tabla3[Equivalencia en Kg],"ELVIS",0)</f>
        <v>5.79255479969766</v>
      </c>
      <c r="M1108" s="2" t="n">
        <v>2131.605</v>
      </c>
      <c r="N1108" s="3" t="n">
        <f aca="false">(Tabla2[[#This Row],[Productividad (kg/TAS)]]*Tabla2[[#This Row],[Precio por kg]]-Tabla2[[#This Row],[Costos (En RD$/Tarea)]])</f>
        <v>348.843893503558</v>
      </c>
      <c r="O1108" s="9" t="n">
        <f aca="false">IF(Tabla2[[#This Row],[Costos (En RD$/Tarea)]]=0,0,Tabla2[[#This Row],[Beneficio Neto  (En RD$/Tarea)]]/Tabla2[[#This Row],[Costos (En RD$/Tarea)]])</f>
        <v>0.163653159709964</v>
      </c>
      <c r="P1108" s="7" t="n">
        <f aca="false">Tabla2[[#This Row],[Rentabilidad (%)]]/12</f>
        <v>0.0136377633091637</v>
      </c>
    </row>
    <row r="1109" customFormat="false" ht="14.25" hidden="false" customHeight="false" outlineLevel="0" collapsed="false">
      <c r="A1109" s="1" t="n">
        <v>39326</v>
      </c>
      <c r="B1109" s="2" t="s">
        <v>22</v>
      </c>
      <c r="C1109" s="3" t="n">
        <v>2156</v>
      </c>
      <c r="D1109" s="8" t="s">
        <v>17</v>
      </c>
      <c r="E1109" s="3" t="n">
        <f aca="false">IF(Tabla2[[#This Row],[Frecuencia]]="Annual", Tabla2[[#This Row],[Cosecha/Tarea]]/12,Tabla2[[#This Row],[Cosecha/Tarea]])</f>
        <v>2156</v>
      </c>
      <c r="F1109" s="3" t="n">
        <v>18938</v>
      </c>
      <c r="G1109" s="2" t="s">
        <v>18</v>
      </c>
      <c r="H1109" s="2" t="n">
        <f aca="false">F1109/Tabla2[[#This Row],[Cosecha Mensual]]</f>
        <v>8.78385899814471</v>
      </c>
      <c r="I1109" s="2" t="n">
        <f aca="false">H1109*_xlfn.XLOOKUP(Tabla2[[#This Row],[Unidad de producción]],Tabla3[Medida],Tabla3[Equivalencia en Kg],"ELVIS",0)</f>
        <v>398.435844155844</v>
      </c>
      <c r="J1109" s="2" t="n">
        <v>784.75</v>
      </c>
      <c r="K1109" s="2" t="s">
        <v>18</v>
      </c>
      <c r="L1109" s="2" t="n">
        <f aca="false">J1109/_xlfn.XLOOKUP(Tabla2[[#This Row],[Unidad de precio]],Tabla3[Medida],Tabla3[Equivalencia en Kg],"ELVIS",0)</f>
        <v>17.3004850088183</v>
      </c>
      <c r="M1109" s="2" t="n">
        <v>6063.13</v>
      </c>
      <c r="N1109" s="3" t="n">
        <f aca="false">(Tabla2[[#This Row],[Productividad (kg/TAS)]]*Tabla2[[#This Row],[Precio por kg]]-Tabla2[[#This Row],[Costos (En RD$/Tarea)]])</f>
        <v>830.003348794063</v>
      </c>
      <c r="O1109" s="9" t="n">
        <f aca="false">IF(Tabla2[[#This Row],[Costos (En RD$/Tarea)]]=0,0,Tabla2[[#This Row],[Beneficio Neto  (En RD$/Tarea)]]/Tabla2[[#This Row],[Costos (En RD$/Tarea)]])</f>
        <v>0.13689354323494</v>
      </c>
      <c r="P1109" s="7" t="n">
        <f aca="false">Tabla2[[#This Row],[Rentabilidad (%)]]/12</f>
        <v>0.0114077952695783</v>
      </c>
    </row>
    <row r="1110" customFormat="false" ht="14.25" hidden="false" customHeight="false" outlineLevel="0" collapsed="false">
      <c r="A1110" s="1" t="n">
        <v>39326</v>
      </c>
      <c r="B1110" s="2" t="s">
        <v>23</v>
      </c>
      <c r="C1110" s="3" t="n">
        <v>1586</v>
      </c>
      <c r="D1110" s="8" t="s">
        <v>17</v>
      </c>
      <c r="E1110" s="3" t="n">
        <f aca="false">IF(Tabla2[[#This Row],[Frecuencia]]="Annual", Tabla2[[#This Row],[Cosecha/Tarea]]/12,Tabla2[[#This Row],[Cosecha/Tarea]])</f>
        <v>1586</v>
      </c>
      <c r="F1110" s="3" t="n">
        <v>47180</v>
      </c>
      <c r="G1110" s="2" t="s">
        <v>18</v>
      </c>
      <c r="H1110" s="2" t="n">
        <f aca="false">F1110/Tabla2[[#This Row],[Cosecha Mensual]]</f>
        <v>29.7477931904161</v>
      </c>
      <c r="I1110" s="2" t="n">
        <f aca="false">H1110*_xlfn.XLOOKUP(Tabla2[[#This Row],[Unidad de producción]],Tabla3[Medida],Tabla3[Equivalencia en Kg],"ELVIS",0)</f>
        <v>1349.35989911728</v>
      </c>
      <c r="J1110" s="2" t="n">
        <v>468.75</v>
      </c>
      <c r="K1110" s="2" t="s">
        <v>18</v>
      </c>
      <c r="L1110" s="2" t="n">
        <f aca="false">J1110/_xlfn.XLOOKUP(Tabla2[[#This Row],[Unidad de precio]],Tabla3[Medida],Tabla3[Equivalencia en Kg],"ELVIS",0)</f>
        <v>10.3339947089947</v>
      </c>
      <c r="M1110" s="2" t="n">
        <v>12092.41</v>
      </c>
      <c r="N1110" s="3" t="n">
        <f aca="false">(Tabla2[[#This Row],[Productividad (kg/TAS)]]*Tabla2[[#This Row],[Precio por kg]]-Tabla2[[#This Row],[Costos (En RD$/Tarea)]])</f>
        <v>1851.86805800757</v>
      </c>
      <c r="O1110" s="9" t="n">
        <f aca="false">IF(Tabla2[[#This Row],[Costos (En RD$/Tarea)]]=0,0,Tabla2[[#This Row],[Beneficio Neto  (En RD$/Tarea)]]/Tabla2[[#This Row],[Costos (En RD$/Tarea)]])</f>
        <v>0.153143009375928</v>
      </c>
      <c r="P1110" s="7" t="n">
        <f aca="false">Tabla2[[#This Row],[Rentabilidad (%)]]/12</f>
        <v>0.012761917447994</v>
      </c>
    </row>
    <row r="1111" customFormat="false" ht="14.25" hidden="false" customHeight="false" outlineLevel="0" collapsed="false">
      <c r="A1111" s="1" t="n">
        <v>39326</v>
      </c>
      <c r="B1111" s="2" t="s">
        <v>24</v>
      </c>
      <c r="C1111" s="3" t="n">
        <v>3926</v>
      </c>
      <c r="D1111" s="8" t="s">
        <v>17</v>
      </c>
      <c r="E1111" s="3" t="n">
        <f aca="false">IF(Tabla2[[#This Row],[Frecuencia]]="Annual", Tabla2[[#This Row],[Cosecha/Tarea]]/12,Tabla2[[#This Row],[Cosecha/Tarea]])</f>
        <v>3926</v>
      </c>
      <c r="F1111" s="3" t="n">
        <v>34009</v>
      </c>
      <c r="G1111" s="2" t="s">
        <v>18</v>
      </c>
      <c r="H1111" s="2" t="n">
        <f aca="false">F1111/Tabla2[[#This Row],[Cosecha Mensual]]</f>
        <v>8.66250636780438</v>
      </c>
      <c r="I1111" s="2" t="n">
        <f aca="false">H1111*_xlfn.XLOOKUP(Tabla2[[#This Row],[Unidad de producción]],Tabla3[Medida],Tabla3[Equivalencia en Kg],"ELVIS",0)</f>
        <v>392.931288843607</v>
      </c>
      <c r="J1111" s="2" t="n">
        <v>986.93125</v>
      </c>
      <c r="K1111" s="2" t="s">
        <v>18</v>
      </c>
      <c r="L1111" s="2" t="n">
        <f aca="false">J1111/_xlfn.XLOOKUP(Tabla2[[#This Row],[Unidad de precio]],Tabla3[Medida],Tabla3[Equivalencia en Kg],"ELVIS",0)</f>
        <v>21.7577436067019</v>
      </c>
      <c r="M1111" s="2" t="n">
        <v>4803.45</v>
      </c>
      <c r="N1111" s="3" t="n">
        <f aca="false">(Tabla2[[#This Row],[Productividad (kg/TAS)]]*Tabla2[[#This Row],[Precio por kg]]-Tabla2[[#This Row],[Costos (En RD$/Tarea)]])</f>
        <v>3745.84823771014</v>
      </c>
      <c r="O1111" s="9" t="n">
        <f aca="false">IF(Tabla2[[#This Row],[Costos (En RD$/Tarea)]]=0,0,Tabla2[[#This Row],[Beneficio Neto  (En RD$/Tarea)]]/Tabla2[[#This Row],[Costos (En RD$/Tarea)]])</f>
        <v>0.779824550627182</v>
      </c>
      <c r="P1111" s="7" t="n">
        <f aca="false">Tabla2[[#This Row],[Rentabilidad (%)]]/12</f>
        <v>0.0649853792189318</v>
      </c>
    </row>
    <row r="1112" customFormat="false" ht="14.25" hidden="false" customHeight="false" outlineLevel="0" collapsed="false">
      <c r="A1112" s="1" t="n">
        <v>39326</v>
      </c>
      <c r="B1112" s="2" t="s">
        <v>25</v>
      </c>
      <c r="C1112" s="3" t="n">
        <v>15472</v>
      </c>
      <c r="D1112" s="8" t="s">
        <v>17</v>
      </c>
      <c r="E1112" s="3" t="n">
        <f aca="false">IF(Tabla2[[#This Row],[Frecuencia]]="Annual", Tabla2[[#This Row],[Cosecha/Tarea]]/12,Tabla2[[#This Row],[Cosecha/Tarea]])</f>
        <v>15472</v>
      </c>
      <c r="F1112" s="3" t="n">
        <v>171824</v>
      </c>
      <c r="G1112" s="2" t="s">
        <v>18</v>
      </c>
      <c r="H1112" s="2" t="n">
        <f aca="false">F1112/Tabla2[[#This Row],[Cosecha Mensual]]</f>
        <v>11.105480868666</v>
      </c>
      <c r="I1112" s="2" t="n">
        <f aca="false">H1112*_xlfn.XLOOKUP(Tabla2[[#This Row],[Unidad de producción]],Tabla3[Medida],Tabla3[Equivalencia en Kg],"ELVIS",0)</f>
        <v>503.744612202689</v>
      </c>
      <c r="J1112" s="2" t="n">
        <v>289.868428571429</v>
      </c>
      <c r="K1112" s="2" t="s">
        <v>18</v>
      </c>
      <c r="L1112" s="2" t="n">
        <f aca="false">J1112/_xlfn.XLOOKUP(Tabla2[[#This Row],[Unidad de precio]],Tabla3[Medida],Tabla3[Equivalencia en Kg],"ELVIS",0)</f>
        <v>6.39039745527842</v>
      </c>
      <c r="M1112" s="2" t="n">
        <v>2341.04</v>
      </c>
      <c r="N1112" s="3" t="n">
        <f aca="false">(Tabla2[[#This Row],[Productividad (kg/TAS)]]*Tabla2[[#This Row],[Precio por kg]]-Tabla2[[#This Row],[Costos (En RD$/Tarea)]])</f>
        <v>878.088287930275</v>
      </c>
      <c r="O1112" s="9" t="n">
        <f aca="false">IF(Tabla2[[#This Row],[Costos (En RD$/Tarea)]]=0,0,Tabla2[[#This Row],[Beneficio Neto  (En RD$/Tarea)]]/Tabla2[[#This Row],[Costos (En RD$/Tarea)]])</f>
        <v>0.375084700786947</v>
      </c>
      <c r="P1112" s="7" t="n">
        <f aca="false">Tabla2[[#This Row],[Rentabilidad (%)]]/12</f>
        <v>0.0312570583989123</v>
      </c>
    </row>
    <row r="1113" customFormat="false" ht="14.25" hidden="false" customHeight="false" outlineLevel="0" collapsed="false">
      <c r="A1113" s="1" t="n">
        <v>39326</v>
      </c>
      <c r="B1113" s="2" t="s">
        <v>26</v>
      </c>
      <c r="C1113" s="3" t="n">
        <v>10070</v>
      </c>
      <c r="D1113" s="8" t="s">
        <v>17</v>
      </c>
      <c r="E1113" s="3" t="n">
        <f aca="false">IF(Tabla2[[#This Row],[Frecuencia]]="Annual", Tabla2[[#This Row],[Cosecha/Tarea]]/12,Tabla2[[#This Row],[Cosecha/Tarea]])</f>
        <v>10070</v>
      </c>
      <c r="F1113" s="3" t="n">
        <v>57309</v>
      </c>
      <c r="G1113" s="2" t="s">
        <v>18</v>
      </c>
      <c r="H1113" s="2" t="n">
        <f aca="false">F1113/Tabla2[[#This Row],[Cosecha Mensual]]</f>
        <v>5.69106256206554</v>
      </c>
      <c r="I1113" s="2" t="n">
        <f aca="false">H1113*_xlfn.XLOOKUP(Tabla2[[#This Row],[Unidad de producción]],Tabla3[Medida],Tabla3[Equivalencia en Kg],"ELVIS",0)</f>
        <v>258.146597815293</v>
      </c>
      <c r="J1113" s="2" t="n">
        <v>563.118571428571</v>
      </c>
      <c r="K1113" s="2" t="s">
        <v>18</v>
      </c>
      <c r="L1113" s="2" t="n">
        <f aca="false">J1113/_xlfn.XLOOKUP(Tabla2[[#This Row],[Unidad de precio]],Tabla3[Medida],Tabla3[Equivalencia en Kg],"ELVIS",0)</f>
        <v>12.4144305870496</v>
      </c>
      <c r="M1113" s="2" t="n">
        <v>970.18</v>
      </c>
      <c r="N1113" s="3" t="n">
        <f aca="false">(Tabla2[[#This Row],[Productividad (kg/TAS)]]*Tabla2[[#This Row],[Precio por kg]]-Tabla2[[#This Row],[Costos (En RD$/Tarea)]])</f>
        <v>2234.56301986097</v>
      </c>
      <c r="O1113" s="9" t="n">
        <f aca="false">IF(Tabla2[[#This Row],[Costos (En RD$/Tarea)]]=0,0,Tabla2[[#This Row],[Beneficio Neto  (En RD$/Tarea)]]/Tabla2[[#This Row],[Costos (En RD$/Tarea)]])</f>
        <v>2.30324580991256</v>
      </c>
      <c r="P1113" s="7" t="n">
        <f aca="false">Tabla2[[#This Row],[Rentabilidad (%)]]/12</f>
        <v>0.191937150826047</v>
      </c>
    </row>
    <row r="1114" customFormat="false" ht="14.25" hidden="false" customHeight="false" outlineLevel="0" collapsed="false">
      <c r="A1114" s="1" t="n">
        <v>39326</v>
      </c>
      <c r="B1114" s="2" t="s">
        <v>27</v>
      </c>
      <c r="C1114" s="3" t="n">
        <v>3824</v>
      </c>
      <c r="D1114" s="8" t="s">
        <v>17</v>
      </c>
      <c r="E1114" s="3" t="n">
        <f aca="false">IF(Tabla2[[#This Row],[Frecuencia]]="Annual", Tabla2[[#This Row],[Cosecha/Tarea]]/12,Tabla2[[#This Row],[Cosecha/Tarea]])</f>
        <v>3824</v>
      </c>
      <c r="F1114" s="3" t="n">
        <v>14060</v>
      </c>
      <c r="G1114" s="2" t="s">
        <v>18</v>
      </c>
      <c r="H1114" s="2" t="n">
        <f aca="false">F1114/Tabla2[[#This Row],[Cosecha Mensual]]</f>
        <v>3.67677824267782</v>
      </c>
      <c r="I1114" s="2" t="n">
        <f aca="false">H1114*_xlfn.XLOOKUP(Tabla2[[#This Row],[Unidad de producción]],Tabla3[Medida],Tabla3[Equivalencia en Kg],"ELVIS",0)</f>
        <v>166.778661087866</v>
      </c>
      <c r="J1114" s="2" t="n">
        <v>220.950133333334</v>
      </c>
      <c r="K1114" s="2" t="s">
        <v>18</v>
      </c>
      <c r="L1114" s="2" t="n">
        <f aca="false">J1114/_xlfn.XLOOKUP(Tabla2[[#This Row],[Unidad de precio]],Tabla3[Medida],Tabla3[Equivalencia en Kg],"ELVIS",0)</f>
        <v>4.87103468547915</v>
      </c>
      <c r="M1114" s="2" t="n">
        <v>5280.51</v>
      </c>
      <c r="N1114" s="3" t="n">
        <f aca="false">(Tabla2[[#This Row],[Productividad (kg/TAS)]]*Tabla2[[#This Row],[Precio por kg]]-Tabla2[[#This Row],[Costos (En RD$/Tarea)]])</f>
        <v>-4468.12535704323</v>
      </c>
      <c r="O1114" s="9" t="n">
        <f aca="false">IF(Tabla2[[#This Row],[Costos (En RD$/Tarea)]]=0,0,Tabla2[[#This Row],[Beneficio Neto  (En RD$/Tarea)]]/Tabla2[[#This Row],[Costos (En RD$/Tarea)]])</f>
        <v>-0.846154132279502</v>
      </c>
      <c r="P1114" s="7" t="n">
        <f aca="false">Tabla2[[#This Row],[Rentabilidad (%)]]/12</f>
        <v>-0.0705128443566252</v>
      </c>
    </row>
    <row r="1115" customFormat="false" ht="14.25" hidden="false" customHeight="false" outlineLevel="0" collapsed="false">
      <c r="A1115" s="1" t="n">
        <v>39326</v>
      </c>
      <c r="B1115" s="2" t="s">
        <v>28</v>
      </c>
      <c r="C1115" s="3" t="n">
        <v>58262</v>
      </c>
      <c r="D1115" s="8" t="s">
        <v>17</v>
      </c>
      <c r="E1115" s="3" t="n">
        <f aca="false">IF(Tabla2[[#This Row],[Frecuencia]]="Annual", Tabla2[[#This Row],[Cosecha/Tarea]]/12,Tabla2[[#This Row],[Cosecha/Tarea]])</f>
        <v>58262</v>
      </c>
      <c r="F1115" s="3" t="n">
        <v>110243</v>
      </c>
      <c r="G1115" s="2" t="s">
        <v>29</v>
      </c>
      <c r="H1115" s="2" t="n">
        <f aca="false">F1115/Tabla2[[#This Row],[Cosecha Mensual]]</f>
        <v>1.89219388280526</v>
      </c>
      <c r="I1115" s="2" t="n">
        <f aca="false">H1115*_xlfn.XLOOKUP(Tabla2[[#This Row],[Unidad de producción]],Tabla3[Medida],Tabla3[Equivalencia en Kg],"ELVIS",0)</f>
        <v>1064.05630805671</v>
      </c>
      <c r="J1115" s="2" t="n">
        <v>3843.78571428571</v>
      </c>
      <c r="K1115" s="2" t="s">
        <v>29</v>
      </c>
      <c r="L1115" s="2" t="n">
        <f aca="false">J1115/_xlfn.XLOOKUP(Tabla2[[#This Row],[Unidad de precio]],Tabla3[Medida],Tabla3[Equivalencia en Kg],"ELVIS",0)</f>
        <v>6.83534110019865</v>
      </c>
      <c r="M1115" s="2" t="n">
        <v>10097.26</v>
      </c>
      <c r="N1115" s="3" t="n">
        <f aca="false">(Tabla2[[#This Row],[Productividad (kg/TAS)]]*Tabla2[[#This Row],[Precio por kg]]-Tabla2[[#This Row],[Costos (En RD$/Tarea)]])</f>
        <v>-2824.07218461434</v>
      </c>
      <c r="O1115" s="9" t="n">
        <f aca="false">IF(Tabla2[[#This Row],[Costos (En RD$/Tarea)]]=0,0,Tabla2[[#This Row],[Beneficio Neto  (En RD$/Tarea)]]/Tabla2[[#This Row],[Costos (En RD$/Tarea)]])</f>
        <v>-0.279686982866078</v>
      </c>
      <c r="P1115" s="7" t="n">
        <f aca="false">Tabla2[[#This Row],[Rentabilidad (%)]]/12</f>
        <v>-0.0233072485721732</v>
      </c>
    </row>
    <row r="1116" customFormat="false" ht="14.25" hidden="false" customHeight="false" outlineLevel="0" collapsed="false">
      <c r="A1116" s="1" t="n">
        <v>39326</v>
      </c>
      <c r="B1116" s="2" t="s">
        <v>30</v>
      </c>
      <c r="C1116" s="3" t="n">
        <v>320185</v>
      </c>
      <c r="D1116" s="3" t="s">
        <v>31</v>
      </c>
      <c r="E1116" s="3" t="n">
        <f aca="false">IF(Tabla2[[#This Row],[Frecuencia]]="Annual", Tabla2[[#This Row],[Cosecha/Tarea]]/12,Tabla2[[#This Row],[Cosecha/Tarea]])</f>
        <v>26682.0833333333</v>
      </c>
      <c r="F1116" s="3" t="n">
        <v>1791044</v>
      </c>
      <c r="G1116" s="2" t="s">
        <v>32</v>
      </c>
      <c r="H1116" s="2" t="n">
        <f aca="false">F1116/Tabla2[[#This Row],[Cosecha Mensual]]</f>
        <v>67.1253431609851</v>
      </c>
      <c r="I1116" s="2" t="n">
        <f aca="false">H1116*_xlfn.XLOOKUP(Tabla2[[#This Row],[Unidad de producción]],Tabla3[Medida],Tabla3[Equivalencia en Kg],"ELVIS",0)</f>
        <v>1826.4805874104</v>
      </c>
      <c r="J1116" s="2" t="n">
        <v>75.885</v>
      </c>
      <c r="K1116" s="2" t="s">
        <v>32</v>
      </c>
      <c r="L1116" s="2" t="n">
        <f aca="false">J1116/_xlfn.XLOOKUP(Tabla2[[#This Row],[Unidad de precio]],Tabla3[Medida],Tabla3[Equivalencia en Kg],"ELVIS",0)</f>
        <v>2.78886438809261</v>
      </c>
      <c r="M1116" s="3" t="n">
        <v>8303.36</v>
      </c>
      <c r="N1116" s="3" t="n">
        <f aca="false">(Tabla2[[#This Row],[Productividad (kg/TAS)]]*Tabla2[[#This Row],[Precio por kg]]-Tabla2[[#This Row],[Costos (En RD$/Tarea)]])</f>
        <v>-3209.55333422865</v>
      </c>
      <c r="O1116" s="9" t="n">
        <f aca="false">IF(Tabla2[[#This Row],[Costos (En RD$/Tarea)]]=0,0,Tabla2[[#This Row],[Beneficio Neto  (En RD$/Tarea)]]/Tabla2[[#This Row],[Costos (En RD$/Tarea)]])</f>
        <v>-0.386536695293068</v>
      </c>
      <c r="P1116" s="7" t="n">
        <f aca="false">Tabla2[[#This Row],[Rentabilidad (%)]]/12</f>
        <v>-0.0322113912744223</v>
      </c>
    </row>
    <row r="1117" customFormat="false" ht="14.25" hidden="false" customHeight="false" outlineLevel="0" collapsed="false">
      <c r="A1117" s="1" t="n">
        <v>39326</v>
      </c>
      <c r="B1117" s="2" t="s">
        <v>33</v>
      </c>
      <c r="C1117" s="3" t="n">
        <v>677779</v>
      </c>
      <c r="D1117" s="3" t="s">
        <v>31</v>
      </c>
      <c r="E1117" s="3" t="n">
        <f aca="false">IF(Tabla2[[#This Row],[Frecuencia]]="Annual", Tabla2[[#This Row],[Cosecha/Tarea]]/12,Tabla2[[#This Row],[Cosecha/Tarea]])</f>
        <v>56481.5833333333</v>
      </c>
      <c r="F1117" s="3" t="n">
        <v>199437</v>
      </c>
      <c r="G1117" s="2" t="s">
        <v>34</v>
      </c>
      <c r="H1117" s="2" t="n">
        <f aca="false">F1117/Tabla2[[#This Row],[Cosecha Mensual]]</f>
        <v>3.53100937031097</v>
      </c>
      <c r="I1117" s="2" t="n">
        <f aca="false">H1117*_xlfn.XLOOKUP(Tabla2[[#This Row],[Unidad de producción]],Tabla3[Medida],Tabla3[Equivalencia en Kg],"ELVIS",0)</f>
        <v>1441.18147449242</v>
      </c>
      <c r="J1117" s="2" t="n">
        <v>2908.96875</v>
      </c>
      <c r="K1117" s="2" t="s">
        <v>34</v>
      </c>
      <c r="L1117" s="2" t="n">
        <f aca="false">J1117/_xlfn.XLOOKUP(Tabla2[[#This Row],[Unidad de precio]],Tabla3[Medida],Tabla3[Equivalencia en Kg],"ELVIS",0)</f>
        <v>7.12720507166483</v>
      </c>
      <c r="M1117" s="3" t="n">
        <v>11167.89</v>
      </c>
      <c r="N1117" s="3" t="n">
        <f aca="false">(Tabla2[[#This Row],[Productividad (kg/TAS)]]*Tabla2[[#This Row],[Precio por kg]]-Tabla2[[#This Row],[Costos (En RD$/Tarea)]])</f>
        <v>-896.294085808206</v>
      </c>
      <c r="O1117" s="9" t="n">
        <f aca="false">IF(Tabla2[[#This Row],[Costos (En RD$/Tarea)]]=0,0,Tabla2[[#This Row],[Beneficio Neto  (En RD$/Tarea)]]/Tabla2[[#This Row],[Costos (En RD$/Tarea)]])</f>
        <v>-0.0802563497498817</v>
      </c>
      <c r="P1117" s="7" t="n">
        <f aca="false">Tabla2[[#This Row],[Rentabilidad (%)]]/12</f>
        <v>-0.00668802914582347</v>
      </c>
    </row>
    <row r="1118" customFormat="false" ht="14.25" hidden="false" customHeight="false" outlineLevel="0" collapsed="false">
      <c r="A1118" s="1" t="n">
        <v>39356</v>
      </c>
      <c r="B1118" s="2" t="s">
        <v>16</v>
      </c>
      <c r="C1118" s="3" t="n">
        <v>454915</v>
      </c>
      <c r="D1118" s="8" t="s">
        <v>17</v>
      </c>
      <c r="E1118" s="3" t="n">
        <f aca="false">IF(Tabla2[[#This Row],[Frecuencia]]="Annual", Tabla2[[#This Row],[Cosecha/Tarea]]/12,Tabla2[[#This Row],[Cosecha/Tarea]])</f>
        <v>454915</v>
      </c>
      <c r="F1118" s="3" t="n">
        <v>1748188</v>
      </c>
      <c r="G1118" s="2" t="s">
        <v>18</v>
      </c>
      <c r="H1118" s="2" t="n">
        <f aca="false">F1118/Tabla2[[#This Row],[Cosecha Mensual]]</f>
        <v>3.84288933097392</v>
      </c>
      <c r="I1118" s="2" t="n">
        <f aca="false">H1118*_xlfn.XLOOKUP(Tabla2[[#This Row],[Unidad de producción]],Tabla3[Medida],Tabla3[Equivalencia en Kg],"ELVIS",0)</f>
        <v>174.313460052977</v>
      </c>
      <c r="J1118" s="2" t="n">
        <v>1270.69333333333</v>
      </c>
      <c r="K1118" s="2" t="s">
        <v>19</v>
      </c>
      <c r="L1118" s="2" t="n">
        <f aca="false">J1118/_xlfn.XLOOKUP(Tabla2[[#This Row],[Unidad de precio]],Tabla3[Medida],Tabla3[Equivalencia en Kg],"ELVIS",0)</f>
        <v>11.5517575757575</v>
      </c>
      <c r="M1118" s="2" t="n">
        <v>5339.5</v>
      </c>
      <c r="N1118" s="3" t="n">
        <f aca="false">(Tabla2[[#This Row],[Productividad (kg/TAS)]]*Tabla2[[#This Row],[Precio por kg]]-Tabla2[[#This Row],[Costos (En RD$/Tarea)]])</f>
        <v>-3325.87316727651</v>
      </c>
      <c r="O1118" s="9" t="n">
        <f aca="false">IF(Tabla2[[#This Row],[Costos (En RD$/Tarea)]]=0,0,Tabla2[[#This Row],[Beneficio Neto  (En RD$/Tarea)]]/Tabla2[[#This Row],[Costos (En RD$/Tarea)]])</f>
        <v>-0.622881012693419</v>
      </c>
      <c r="P1118" s="7" t="n">
        <f aca="false">Tabla2[[#This Row],[Rentabilidad (%)]]/12</f>
        <v>-0.051906751057785</v>
      </c>
    </row>
    <row r="1119" customFormat="false" ht="14.25" hidden="false" customHeight="false" outlineLevel="0" collapsed="false">
      <c r="A1119" s="1" t="n">
        <v>39356</v>
      </c>
      <c r="B1119" s="2" t="s">
        <v>20</v>
      </c>
      <c r="C1119" s="3" t="n">
        <v>24618</v>
      </c>
      <c r="D1119" s="8" t="s">
        <v>17</v>
      </c>
      <c r="E1119" s="3" t="n">
        <f aca="false">IF(Tabla2[[#This Row],[Frecuencia]]="Annual", Tabla2[[#This Row],[Cosecha/Tarea]]/12,Tabla2[[#This Row],[Cosecha/Tarea]])</f>
        <v>24618</v>
      </c>
      <c r="F1119" s="3" t="n">
        <v>51803</v>
      </c>
      <c r="G1119" s="2" t="s">
        <v>18</v>
      </c>
      <c r="H1119" s="2" t="n">
        <f aca="false">F1119/Tabla2[[#This Row],[Cosecha Mensual]]</f>
        <v>2.1042732959623</v>
      </c>
      <c r="I1119" s="2" t="n">
        <f aca="false">H1119*_xlfn.XLOOKUP(Tabla2[[#This Row],[Unidad de producción]],Tabla3[Medida],Tabla3[Equivalencia en Kg],"ELVIS",0)</f>
        <v>95.4498367048501</v>
      </c>
      <c r="J1119" s="2" t="n">
        <v>397.483328571429</v>
      </c>
      <c r="K1119" s="2" t="s">
        <v>18</v>
      </c>
      <c r="L1119" s="2" t="n">
        <f aca="false">J1119/_xlfn.XLOOKUP(Tabla2[[#This Row],[Unidad de precio]],Tabla3[Medida],Tabla3[Equivalencia en Kg],"ELVIS",0)</f>
        <v>8.76285997732427</v>
      </c>
      <c r="M1119" s="2" t="n">
        <v>1417.48</v>
      </c>
      <c r="N1119" s="3" t="n">
        <f aca="false">(Tabla2[[#This Row],[Productividad (kg/TAS)]]*Tabla2[[#This Row],[Precio por kg]]-Tabla2[[#This Row],[Costos (En RD$/Tarea)]])</f>
        <v>-581.066446096932</v>
      </c>
      <c r="O1119" s="9" t="n">
        <f aca="false">IF(Tabla2[[#This Row],[Costos (En RD$/Tarea)]]=0,0,Tabla2[[#This Row],[Beneficio Neto  (En RD$/Tarea)]]/Tabla2[[#This Row],[Costos (En RD$/Tarea)]])</f>
        <v>-0.409929202596814</v>
      </c>
      <c r="P1119" s="7" t="n">
        <f aca="false">Tabla2[[#This Row],[Rentabilidad (%)]]/12</f>
        <v>-0.0341607668830678</v>
      </c>
    </row>
    <row r="1120" customFormat="false" ht="14.25" hidden="false" customHeight="false" outlineLevel="0" collapsed="false">
      <c r="A1120" s="1" t="n">
        <v>39356</v>
      </c>
      <c r="B1120" s="2" t="s">
        <v>21</v>
      </c>
      <c r="C1120" s="3" t="n">
        <v>5503</v>
      </c>
      <c r="D1120" s="8" t="s">
        <v>17</v>
      </c>
      <c r="E1120" s="3" t="n">
        <f aca="false">IF(Tabla2[[#This Row],[Frecuencia]]="Annual", Tabla2[[#This Row],[Cosecha/Tarea]]/12,Tabla2[[#This Row],[Cosecha/Tarea]])</f>
        <v>5503</v>
      </c>
      <c r="F1120" s="3" t="n">
        <v>50303</v>
      </c>
      <c r="G1120" s="2" t="s">
        <v>18</v>
      </c>
      <c r="H1120" s="2" t="n">
        <f aca="false">F1120/Tabla2[[#This Row],[Cosecha Mensual]]</f>
        <v>9.1410139923678</v>
      </c>
      <c r="I1120" s="2" t="n">
        <f aca="false">H1120*_xlfn.XLOOKUP(Tabla2[[#This Row],[Unidad de producción]],Tabla3[Medida],Tabla3[Equivalencia en Kg],"ELVIS",0)</f>
        <v>414.636394693803</v>
      </c>
      <c r="J1120" s="2" t="n">
        <v>259.7496</v>
      </c>
      <c r="K1120" s="2" t="s">
        <v>18</v>
      </c>
      <c r="L1120" s="2" t="n">
        <f aca="false">J1120/_xlfn.XLOOKUP(Tabla2[[#This Row],[Unidad de precio]],Tabla3[Medida],Tabla3[Equivalencia en Kg],"ELVIS",0)</f>
        <v>5.72640211640212</v>
      </c>
      <c r="M1120" s="2" t="n">
        <v>2131.605</v>
      </c>
      <c r="N1120" s="3" t="n">
        <f aca="false">(Tabla2[[#This Row],[Productividad (kg/TAS)]]*Tabla2[[#This Row],[Precio por kg]]-Tabla2[[#This Row],[Costos (En RD$/Tarea)]])</f>
        <v>242.769728111939</v>
      </c>
      <c r="O1120" s="9" t="n">
        <f aca="false">IF(Tabla2[[#This Row],[Costos (En RD$/Tarea)]]=0,0,Tabla2[[#This Row],[Beneficio Neto  (En RD$/Tarea)]]/Tabla2[[#This Row],[Costos (En RD$/Tarea)]])</f>
        <v>0.11389057921704</v>
      </c>
      <c r="P1120" s="7" t="n">
        <f aca="false">Tabla2[[#This Row],[Rentabilidad (%)]]/12</f>
        <v>0.00949088160142002</v>
      </c>
    </row>
    <row r="1121" customFormat="false" ht="14.25" hidden="false" customHeight="false" outlineLevel="0" collapsed="false">
      <c r="A1121" s="1" t="n">
        <v>39356</v>
      </c>
      <c r="B1121" s="2" t="s">
        <v>22</v>
      </c>
      <c r="C1121" s="3" t="n">
        <v>2981</v>
      </c>
      <c r="D1121" s="8" t="s">
        <v>17</v>
      </c>
      <c r="E1121" s="3" t="n">
        <f aca="false">IF(Tabla2[[#This Row],[Frecuencia]]="Annual", Tabla2[[#This Row],[Cosecha/Tarea]]/12,Tabla2[[#This Row],[Cosecha/Tarea]])</f>
        <v>2981</v>
      </c>
      <c r="F1121" s="3" t="n">
        <v>24191</v>
      </c>
      <c r="G1121" s="2" t="s">
        <v>18</v>
      </c>
      <c r="H1121" s="2" t="n">
        <f aca="false">F1121/Tabla2[[#This Row],[Cosecha Mensual]]</f>
        <v>8.11506205971151</v>
      </c>
      <c r="I1121" s="2" t="n">
        <f aca="false">H1121*_xlfn.XLOOKUP(Tabla2[[#This Row],[Unidad de producción]],Tabla3[Medida],Tabla3[Equivalencia en Kg],"ELVIS",0)</f>
        <v>368.099215028514</v>
      </c>
      <c r="J1121" s="2" t="n">
        <v>1035</v>
      </c>
      <c r="K1121" s="2" t="s">
        <v>18</v>
      </c>
      <c r="L1121" s="2" t="n">
        <f aca="false">J1121/_xlfn.XLOOKUP(Tabla2[[#This Row],[Unidad de precio]],Tabla3[Medida],Tabla3[Equivalencia en Kg],"ELVIS",0)</f>
        <v>22.8174603174603</v>
      </c>
      <c r="M1121" s="2" t="n">
        <v>6063.13</v>
      </c>
      <c r="N1121" s="3" t="n">
        <f aca="false">(Tabla2[[#This Row],[Productividad (kg/TAS)]]*Tabla2[[#This Row],[Precio por kg]]-Tabla2[[#This Row],[Costos (En RD$/Tarea)]])</f>
        <v>2335.95923180141</v>
      </c>
      <c r="O1121" s="9" t="n">
        <f aca="false">IF(Tabla2[[#This Row],[Costos (En RD$/Tarea)]]=0,0,Tabla2[[#This Row],[Beneficio Neto  (En RD$/Tarea)]]/Tabla2[[#This Row],[Costos (En RD$/Tarea)]])</f>
        <v>0.385272826378687</v>
      </c>
      <c r="P1121" s="7" t="n">
        <f aca="false">Tabla2[[#This Row],[Rentabilidad (%)]]/12</f>
        <v>0.0321060688648906</v>
      </c>
    </row>
    <row r="1122" customFormat="false" ht="14.25" hidden="false" customHeight="false" outlineLevel="0" collapsed="false">
      <c r="A1122" s="1" t="n">
        <v>39356</v>
      </c>
      <c r="B1122" s="2" t="s">
        <v>23</v>
      </c>
      <c r="C1122" s="3" t="n">
        <v>1934</v>
      </c>
      <c r="D1122" s="8" t="s">
        <v>17</v>
      </c>
      <c r="E1122" s="3" t="n">
        <f aca="false">IF(Tabla2[[#This Row],[Frecuencia]]="Annual", Tabla2[[#This Row],[Cosecha/Tarea]]/12,Tabla2[[#This Row],[Cosecha/Tarea]])</f>
        <v>1934</v>
      </c>
      <c r="F1122" s="3" t="n">
        <v>57290</v>
      </c>
      <c r="G1122" s="2" t="s">
        <v>18</v>
      </c>
      <c r="H1122" s="2" t="n">
        <f aca="false">F1122/Tabla2[[#This Row],[Cosecha Mensual]]</f>
        <v>29.6225439503619</v>
      </c>
      <c r="I1122" s="2" t="n">
        <f aca="false">H1122*_xlfn.XLOOKUP(Tabla2[[#This Row],[Unidad de producción]],Tabla3[Medida],Tabla3[Equivalencia en Kg],"ELVIS",0)</f>
        <v>1343.67859358842</v>
      </c>
      <c r="J1122" s="2" t="n">
        <v>496.875</v>
      </c>
      <c r="K1122" s="2" t="s">
        <v>18</v>
      </c>
      <c r="L1122" s="2" t="n">
        <f aca="false">J1122/_xlfn.XLOOKUP(Tabla2[[#This Row],[Unidad de precio]],Tabla3[Medida],Tabla3[Equivalencia en Kg],"ELVIS",0)</f>
        <v>10.9540343915344</v>
      </c>
      <c r="M1122" s="2" t="n">
        <v>12092.41</v>
      </c>
      <c r="N1122" s="3" t="n">
        <f aca="false">(Tabla2[[#This Row],[Productividad (kg/TAS)]]*Tabla2[[#This Row],[Precio por kg]]-Tabla2[[#This Row],[Costos (En RD$/Tarea)]])</f>
        <v>2626.29152533609</v>
      </c>
      <c r="O1122" s="9" t="n">
        <f aca="false">IF(Tabla2[[#This Row],[Costos (En RD$/Tarea)]]=0,0,Tabla2[[#This Row],[Beneficio Neto  (En RD$/Tarea)]]/Tabla2[[#This Row],[Costos (En RD$/Tarea)]])</f>
        <v>0.217185120694394</v>
      </c>
      <c r="P1122" s="7" t="n">
        <f aca="false">Tabla2[[#This Row],[Rentabilidad (%)]]/12</f>
        <v>0.0180987600578661</v>
      </c>
    </row>
    <row r="1123" customFormat="false" ht="14.25" hidden="false" customHeight="false" outlineLevel="0" collapsed="false">
      <c r="A1123" s="1" t="n">
        <v>39356</v>
      </c>
      <c r="B1123" s="2" t="s">
        <v>24</v>
      </c>
      <c r="C1123" s="3" t="n">
        <v>3740</v>
      </c>
      <c r="D1123" s="8" t="s">
        <v>17</v>
      </c>
      <c r="E1123" s="3" t="n">
        <f aca="false">IF(Tabla2[[#This Row],[Frecuencia]]="Annual", Tabla2[[#This Row],[Cosecha/Tarea]]/12,Tabla2[[#This Row],[Cosecha/Tarea]])</f>
        <v>3740</v>
      </c>
      <c r="F1123" s="3" t="n">
        <v>30551</v>
      </c>
      <c r="G1123" s="2" t="s">
        <v>18</v>
      </c>
      <c r="H1123" s="2" t="n">
        <f aca="false">F1123/Tabla2[[#This Row],[Cosecha Mensual]]</f>
        <v>8.16871657754011</v>
      </c>
      <c r="I1123" s="2" t="n">
        <f aca="false">H1123*_xlfn.XLOOKUP(Tabla2[[#This Row],[Unidad de producción]],Tabla3[Medida],Tabla3[Equivalencia en Kg],"ELVIS",0)</f>
        <v>370.532983957219</v>
      </c>
      <c r="J1123" s="2" t="n">
        <v>987.5</v>
      </c>
      <c r="K1123" s="2" t="s">
        <v>18</v>
      </c>
      <c r="L1123" s="2" t="n">
        <f aca="false">J1123/_xlfn.XLOOKUP(Tabla2[[#This Row],[Unidad de precio]],Tabla3[Medida],Tabla3[Equivalencia en Kg],"ELVIS",0)</f>
        <v>21.7702821869489</v>
      </c>
      <c r="M1123" s="2" t="n">
        <v>4803.45</v>
      </c>
      <c r="N1123" s="3" t="n">
        <f aca="false">(Tabla2[[#This Row],[Productividad (kg/TAS)]]*Tabla2[[#This Row],[Precio por kg]]-Tabla2[[#This Row],[Costos (En RD$/Tarea)]])</f>
        <v>3263.15762032086</v>
      </c>
      <c r="O1123" s="9" t="n">
        <f aca="false">IF(Tabla2[[#This Row],[Costos (En RD$/Tarea)]]=0,0,Tabla2[[#This Row],[Beneficio Neto  (En RD$/Tarea)]]/Tabla2[[#This Row],[Costos (En RD$/Tarea)]])</f>
        <v>0.679336231317252</v>
      </c>
      <c r="P1123" s="7" t="n">
        <f aca="false">Tabla2[[#This Row],[Rentabilidad (%)]]/12</f>
        <v>0.056611352609771</v>
      </c>
    </row>
    <row r="1124" customFormat="false" ht="14.25" hidden="false" customHeight="false" outlineLevel="0" collapsed="false">
      <c r="A1124" s="1" t="n">
        <v>39356</v>
      </c>
      <c r="B1124" s="2" t="s">
        <v>25</v>
      </c>
      <c r="C1124" s="3" t="n">
        <v>17536</v>
      </c>
      <c r="D1124" s="8" t="s">
        <v>17</v>
      </c>
      <c r="E1124" s="3" t="n">
        <f aca="false">IF(Tabla2[[#This Row],[Frecuencia]]="Annual", Tabla2[[#This Row],[Cosecha/Tarea]]/12,Tabla2[[#This Row],[Cosecha/Tarea]])</f>
        <v>17536</v>
      </c>
      <c r="F1124" s="3" t="n">
        <v>203334</v>
      </c>
      <c r="G1124" s="2" t="s">
        <v>18</v>
      </c>
      <c r="H1124" s="2" t="n">
        <f aca="false">F1124/Tabla2[[#This Row],[Cosecha Mensual]]</f>
        <v>11.5952326642336</v>
      </c>
      <c r="I1124" s="2" t="n">
        <f aca="false">H1124*_xlfn.XLOOKUP(Tabla2[[#This Row],[Unidad de producción]],Tabla3[Medida],Tabla3[Equivalencia en Kg],"ELVIS",0)</f>
        <v>525.959753649635</v>
      </c>
      <c r="J1124" s="2" t="n">
        <v>302.264857142857</v>
      </c>
      <c r="K1124" s="2" t="s">
        <v>18</v>
      </c>
      <c r="L1124" s="2" t="n">
        <f aca="false">J1124/_xlfn.XLOOKUP(Tabla2[[#This Row],[Unidad de precio]],Tabla3[Medida],Tabla3[Equivalencia en Kg],"ELVIS",0)</f>
        <v>6.66368732678256</v>
      </c>
      <c r="M1124" s="2" t="n">
        <v>2341.04</v>
      </c>
      <c r="N1124" s="3" t="n">
        <f aca="false">(Tabla2[[#This Row],[Productividad (kg/TAS)]]*Tabla2[[#This Row],[Precio por kg]]-Tabla2[[#This Row],[Costos (En RD$/Tarea)]])</f>
        <v>1163.79134479275</v>
      </c>
      <c r="O1124" s="9" t="n">
        <f aca="false">IF(Tabla2[[#This Row],[Costos (En RD$/Tarea)]]=0,0,Tabla2[[#This Row],[Beneficio Neto  (En RD$/Tarea)]]/Tabla2[[#This Row],[Costos (En RD$/Tarea)]])</f>
        <v>0.497125783751133</v>
      </c>
      <c r="P1124" s="7" t="n">
        <f aca="false">Tabla2[[#This Row],[Rentabilidad (%)]]/12</f>
        <v>0.0414271486459277</v>
      </c>
    </row>
    <row r="1125" customFormat="false" ht="14.25" hidden="false" customHeight="false" outlineLevel="0" collapsed="false">
      <c r="A1125" s="1" t="n">
        <v>39356</v>
      </c>
      <c r="B1125" s="2" t="s">
        <v>26</v>
      </c>
      <c r="C1125" s="3" t="n">
        <v>9103</v>
      </c>
      <c r="D1125" s="8" t="s">
        <v>17</v>
      </c>
      <c r="E1125" s="3" t="n">
        <f aca="false">IF(Tabla2[[#This Row],[Frecuencia]]="Annual", Tabla2[[#This Row],[Cosecha/Tarea]]/12,Tabla2[[#This Row],[Cosecha/Tarea]])</f>
        <v>9103</v>
      </c>
      <c r="F1125" s="3" t="n">
        <v>58382</v>
      </c>
      <c r="G1125" s="2" t="s">
        <v>18</v>
      </c>
      <c r="H1125" s="2" t="n">
        <f aca="false">F1125/Tabla2[[#This Row],[Cosecha Mensual]]</f>
        <v>6.41349005822256</v>
      </c>
      <c r="I1125" s="2" t="n">
        <f aca="false">H1125*_xlfn.XLOOKUP(Tabla2[[#This Row],[Unidad de producción]],Tabla3[Medida],Tabla3[Equivalencia en Kg],"ELVIS",0)</f>
        <v>290.915909040976</v>
      </c>
      <c r="J1125" s="2" t="n">
        <v>631.668</v>
      </c>
      <c r="K1125" s="2" t="s">
        <v>18</v>
      </c>
      <c r="L1125" s="2" t="n">
        <f aca="false">J1125/_xlfn.XLOOKUP(Tabla2[[#This Row],[Unidad de precio]],Tabla3[Medida],Tabla3[Equivalencia en Kg],"ELVIS",0)</f>
        <v>13.9256613756614</v>
      </c>
      <c r="M1125" s="2" t="n">
        <v>970.18</v>
      </c>
      <c r="N1125" s="3" t="n">
        <f aca="false">(Tabla2[[#This Row],[Productividad (kg/TAS)]]*Tabla2[[#This Row],[Precio por kg]]-Tabla2[[#This Row],[Costos (En RD$/Tarea)]])</f>
        <v>3081.01643809733</v>
      </c>
      <c r="O1125" s="9" t="n">
        <f aca="false">IF(Tabla2[[#This Row],[Costos (En RD$/Tarea)]]=0,0,Tabla2[[#This Row],[Beneficio Neto  (En RD$/Tarea)]]/Tabla2[[#This Row],[Costos (En RD$/Tarea)]])</f>
        <v>3.17571629810688</v>
      </c>
      <c r="P1125" s="7" t="n">
        <f aca="false">Tabla2[[#This Row],[Rentabilidad (%)]]/12</f>
        <v>0.26464302484224</v>
      </c>
    </row>
    <row r="1126" customFormat="false" ht="14.25" hidden="false" customHeight="false" outlineLevel="0" collapsed="false">
      <c r="A1126" s="1" t="n">
        <v>39356</v>
      </c>
      <c r="B1126" s="2" t="s">
        <v>27</v>
      </c>
      <c r="C1126" s="3" t="n">
        <v>3063</v>
      </c>
      <c r="D1126" s="8" t="s">
        <v>17</v>
      </c>
      <c r="E1126" s="3" t="n">
        <f aca="false">IF(Tabla2[[#This Row],[Frecuencia]]="Annual", Tabla2[[#This Row],[Cosecha/Tarea]]/12,Tabla2[[#This Row],[Cosecha/Tarea]])</f>
        <v>3063</v>
      </c>
      <c r="F1126" s="3" t="n">
        <v>24404</v>
      </c>
      <c r="G1126" s="2" t="s">
        <v>18</v>
      </c>
      <c r="H1126" s="2" t="n">
        <f aca="false">F1126/Tabla2[[#This Row],[Cosecha Mensual]]</f>
        <v>7.9673522690173</v>
      </c>
      <c r="I1126" s="2" t="n">
        <f aca="false">H1126*_xlfn.XLOOKUP(Tabla2[[#This Row],[Unidad de producción]],Tabla3[Medida],Tabla3[Equivalencia en Kg],"ELVIS",0)</f>
        <v>361.399098922625</v>
      </c>
      <c r="J1126" s="2" t="n">
        <v>211.998</v>
      </c>
      <c r="K1126" s="2" t="s">
        <v>18</v>
      </c>
      <c r="L1126" s="2" t="n">
        <f aca="false">J1126/_xlfn.XLOOKUP(Tabla2[[#This Row],[Unidad de precio]],Tabla3[Medida],Tabla3[Equivalencia en Kg],"ELVIS",0)</f>
        <v>4.67367724867725</v>
      </c>
      <c r="M1126" s="2" t="n">
        <v>5280.51</v>
      </c>
      <c r="N1126" s="3" t="n">
        <f aca="false">(Tabla2[[#This Row],[Productividad (kg/TAS)]]*Tabla2[[#This Row],[Precio por kg]]-Tabla2[[#This Row],[Costos (En RD$/Tarea)]])</f>
        <v>-3591.44725367287</v>
      </c>
      <c r="O1126" s="9" t="n">
        <f aca="false">IF(Tabla2[[#This Row],[Costos (En RD$/Tarea)]]=0,0,Tabla2[[#This Row],[Beneficio Neto  (En RD$/Tarea)]]/Tabla2[[#This Row],[Costos (En RD$/Tarea)]])</f>
        <v>-0.680132648867793</v>
      </c>
      <c r="P1126" s="7" t="n">
        <f aca="false">Tabla2[[#This Row],[Rentabilidad (%)]]/12</f>
        <v>-0.0566777207389828</v>
      </c>
    </row>
    <row r="1127" customFormat="false" ht="14.25" hidden="false" customHeight="false" outlineLevel="0" collapsed="false">
      <c r="A1127" s="1" t="n">
        <v>39356</v>
      </c>
      <c r="B1127" s="2" t="s">
        <v>28</v>
      </c>
      <c r="C1127" s="3" t="n">
        <v>61716</v>
      </c>
      <c r="D1127" s="8" t="s">
        <v>17</v>
      </c>
      <c r="E1127" s="3" t="n">
        <f aca="false">IF(Tabla2[[#This Row],[Frecuencia]]="Annual", Tabla2[[#This Row],[Cosecha/Tarea]]/12,Tabla2[[#This Row],[Cosecha/Tarea]])</f>
        <v>61716</v>
      </c>
      <c r="F1127" s="3" t="n">
        <v>98380</v>
      </c>
      <c r="G1127" s="2" t="s">
        <v>29</v>
      </c>
      <c r="H1127" s="2" t="n">
        <f aca="false">F1127/Tabla2[[#This Row],[Cosecha Mensual]]</f>
        <v>1.59407609047897</v>
      </c>
      <c r="I1127" s="2" t="n">
        <f aca="false">H1127*_xlfn.XLOOKUP(Tabla2[[#This Row],[Unidad de producción]],Tabla3[Medida],Tabla3[Equivalencia en Kg],"ELVIS",0)</f>
        <v>896.412748719943</v>
      </c>
      <c r="J1127" s="2" t="n">
        <v>3774.16</v>
      </c>
      <c r="K1127" s="2" t="s">
        <v>29</v>
      </c>
      <c r="L1127" s="2" t="n">
        <f aca="false">J1127/_xlfn.XLOOKUP(Tabla2[[#This Row],[Unidad de precio]],Tabla3[Medida],Tabla3[Equivalencia en Kg],"ELVIS",0)</f>
        <v>6.71152683429953</v>
      </c>
      <c r="M1127" s="2" t="n">
        <v>10097.26</v>
      </c>
      <c r="N1127" s="3" t="n">
        <f aca="false">(Tabla2[[#This Row],[Productividad (kg/TAS)]]*Tabla2[[#This Row],[Precio por kg]]-Tabla2[[#This Row],[Costos (En RD$/Tarea)]])</f>
        <v>-4080.9617823579</v>
      </c>
      <c r="O1127" s="9" t="n">
        <f aca="false">IF(Tabla2[[#This Row],[Costos (En RD$/Tarea)]]=0,0,Tabla2[[#This Row],[Beneficio Neto  (En RD$/Tarea)]]/Tabla2[[#This Row],[Costos (En RD$/Tarea)]])</f>
        <v>-0.404165266850403</v>
      </c>
      <c r="P1127" s="7" t="n">
        <f aca="false">Tabla2[[#This Row],[Rentabilidad (%)]]/12</f>
        <v>-0.0336804389042002</v>
      </c>
    </row>
    <row r="1128" customFormat="false" ht="14.25" hidden="false" customHeight="false" outlineLevel="0" collapsed="false">
      <c r="A1128" s="1" t="n">
        <v>39356</v>
      </c>
      <c r="B1128" s="2" t="s">
        <v>30</v>
      </c>
      <c r="C1128" s="3" t="n">
        <v>335640</v>
      </c>
      <c r="D1128" s="3" t="s">
        <v>31</v>
      </c>
      <c r="E1128" s="3" t="n">
        <f aca="false">IF(Tabla2[[#This Row],[Frecuencia]]="Annual", Tabla2[[#This Row],[Cosecha/Tarea]]/12,Tabla2[[#This Row],[Cosecha/Tarea]])</f>
        <v>27970</v>
      </c>
      <c r="F1128" s="3" t="n">
        <v>2088188</v>
      </c>
      <c r="G1128" s="2" t="s">
        <v>32</v>
      </c>
      <c r="H1128" s="2" t="n">
        <f aca="false">F1128/Tabla2[[#This Row],[Cosecha Mensual]]</f>
        <v>74.6581337146943</v>
      </c>
      <c r="I1128" s="2" t="n">
        <f aca="false">H1128*_xlfn.XLOOKUP(Tabla2[[#This Row],[Unidad de producción]],Tabla3[Medida],Tabla3[Equivalencia en Kg],"ELVIS",0)</f>
        <v>2031.44781837683</v>
      </c>
      <c r="J1128" s="2" t="n">
        <v>72.7628571428571</v>
      </c>
      <c r="K1128" s="2" t="s">
        <v>32</v>
      </c>
      <c r="L1128" s="2" t="n">
        <f aca="false">J1128/_xlfn.XLOOKUP(Tabla2[[#This Row],[Unidad de precio]],Tabla3[Medida],Tabla3[Equivalencia en Kg],"ELVIS",0)</f>
        <v>2.67412190896204</v>
      </c>
      <c r="M1128" s="3" t="n">
        <v>8303.36</v>
      </c>
      <c r="N1128" s="3" t="n">
        <f aca="false">(Tabla2[[#This Row],[Productividad (kg/TAS)]]*Tabla2[[#This Row],[Precio por kg]]-Tabla2[[#This Row],[Costos (En RD$/Tarea)]])</f>
        <v>-2871.02088196537</v>
      </c>
      <c r="O1128" s="9" t="n">
        <f aca="false">IF(Tabla2[[#This Row],[Costos (En RD$/Tarea)]]=0,0,Tabla2[[#This Row],[Beneficio Neto  (En RD$/Tarea)]]/Tabla2[[#This Row],[Costos (En RD$/Tarea)]])</f>
        <v>-0.345766157551326</v>
      </c>
      <c r="P1128" s="7" t="n">
        <f aca="false">Tabla2[[#This Row],[Rentabilidad (%)]]/12</f>
        <v>-0.0288138464626105</v>
      </c>
    </row>
    <row r="1129" customFormat="false" ht="14.25" hidden="false" customHeight="false" outlineLevel="0" collapsed="false">
      <c r="A1129" s="1" t="n">
        <v>39356</v>
      </c>
      <c r="B1129" s="2" t="s">
        <v>33</v>
      </c>
      <c r="C1129" s="3" t="n">
        <v>787962</v>
      </c>
      <c r="D1129" s="3" t="s">
        <v>31</v>
      </c>
      <c r="E1129" s="3" t="n">
        <f aca="false">IF(Tabla2[[#This Row],[Frecuencia]]="Annual", Tabla2[[#This Row],[Cosecha/Tarea]]/12,Tabla2[[#This Row],[Cosecha/Tarea]])</f>
        <v>65663.5</v>
      </c>
      <c r="F1129" s="3" t="n">
        <v>165083</v>
      </c>
      <c r="G1129" s="2" t="s">
        <v>34</v>
      </c>
      <c r="H1129" s="2" t="n">
        <f aca="false">F1129/Tabla2[[#This Row],[Cosecha Mensual]]</f>
        <v>2.51407555186671</v>
      </c>
      <c r="I1129" s="2" t="n">
        <f aca="false">H1129*_xlfn.XLOOKUP(Tabla2[[#This Row],[Unidad de producción]],Tabla3[Medida],Tabla3[Equivalencia en Kg],"ELVIS",0)</f>
        <v>1026.1199364944</v>
      </c>
      <c r="J1129" s="2" t="n">
        <v>2721.35714285714</v>
      </c>
      <c r="K1129" s="2" t="s">
        <v>34</v>
      </c>
      <c r="L1129" s="2" t="n">
        <f aca="false">J1129/_xlfn.XLOOKUP(Tabla2[[#This Row],[Unidad de precio]],Tabla3[Medida],Tabla3[Equivalencia en Kg],"ELVIS",0)</f>
        <v>6.66754169510508</v>
      </c>
      <c r="M1129" s="3" t="n">
        <v>11167.89</v>
      </c>
      <c r="N1129" s="3" t="n">
        <f aca="false">(Tabla2[[#This Row],[Productividad (kg/TAS)]]*Tabla2[[#This Row],[Precio por kg]]-Tabla2[[#This Row],[Costos (En RD$/Tarea)]])</f>
        <v>-4326.19253924501</v>
      </c>
      <c r="O1129" s="9" t="n">
        <f aca="false">IF(Tabla2[[#This Row],[Costos (En RD$/Tarea)]]=0,0,Tabla2[[#This Row],[Beneficio Neto  (En RD$/Tarea)]]/Tabla2[[#This Row],[Costos (En RD$/Tarea)]])</f>
        <v>-0.387377789290995</v>
      </c>
      <c r="P1129" s="7" t="n">
        <f aca="false">Tabla2[[#This Row],[Rentabilidad (%)]]/12</f>
        <v>-0.0322814824409163</v>
      </c>
    </row>
    <row r="1130" customFormat="false" ht="14.25" hidden="false" customHeight="false" outlineLevel="0" collapsed="false">
      <c r="A1130" s="1" t="n">
        <v>39387</v>
      </c>
      <c r="B1130" s="2" t="s">
        <v>16</v>
      </c>
      <c r="C1130" s="3" t="n">
        <v>357472</v>
      </c>
      <c r="D1130" s="8" t="s">
        <v>17</v>
      </c>
      <c r="E1130" s="3" t="n">
        <f aca="false">IF(Tabla2[[#This Row],[Frecuencia]]="Annual", Tabla2[[#This Row],[Cosecha/Tarea]]/12,Tabla2[[#This Row],[Cosecha/Tarea]])</f>
        <v>357472</v>
      </c>
      <c r="F1130" s="3" t="n">
        <v>1357863</v>
      </c>
      <c r="G1130" s="2" t="s">
        <v>18</v>
      </c>
      <c r="H1130" s="2" t="n">
        <f aca="false">F1130/Tabla2[[#This Row],[Cosecha Mensual]]</f>
        <v>3.79851568794199</v>
      </c>
      <c r="I1130" s="2" t="n">
        <f aca="false">H1130*_xlfn.XLOOKUP(Tabla2[[#This Row],[Unidad de producción]],Tabla3[Medida],Tabla3[Equivalencia en Kg],"ELVIS",0)</f>
        <v>172.300671605049</v>
      </c>
      <c r="J1130" s="2" t="n">
        <v>1294.375</v>
      </c>
      <c r="K1130" s="2" t="s">
        <v>19</v>
      </c>
      <c r="L1130" s="2" t="n">
        <f aca="false">J1130/_xlfn.XLOOKUP(Tabla2[[#This Row],[Unidad de precio]],Tabla3[Medida],Tabla3[Equivalencia en Kg],"ELVIS",0)</f>
        <v>11.7670454545455</v>
      </c>
      <c r="M1130" s="2" t="n">
        <v>5339.5</v>
      </c>
      <c r="N1130" s="3" t="n">
        <f aca="false">(Tabla2[[#This Row],[Productividad (kg/TAS)]]*Tabla2[[#This Row],[Precio por kg]]-Tabla2[[#This Row],[Costos (En RD$/Tarea)]])</f>
        <v>-3312.03016537468</v>
      </c>
      <c r="O1130" s="9" t="n">
        <f aca="false">IF(Tabla2[[#This Row],[Costos (En RD$/Tarea)]]=0,0,Tabla2[[#This Row],[Beneficio Neto  (En RD$/Tarea)]]/Tabla2[[#This Row],[Costos (En RD$/Tarea)]])</f>
        <v>-0.620288447490342</v>
      </c>
      <c r="P1130" s="7" t="n">
        <f aca="false">Tabla2[[#This Row],[Rentabilidad (%)]]/12</f>
        <v>-0.0516907039575285</v>
      </c>
    </row>
    <row r="1131" customFormat="false" ht="14.25" hidden="false" customHeight="false" outlineLevel="0" collapsed="false">
      <c r="A1131" s="1" t="n">
        <v>39387</v>
      </c>
      <c r="B1131" s="2" t="s">
        <v>20</v>
      </c>
      <c r="C1131" s="3" t="n">
        <v>19754</v>
      </c>
      <c r="D1131" s="8" t="s">
        <v>17</v>
      </c>
      <c r="E1131" s="3" t="n">
        <f aca="false">IF(Tabla2[[#This Row],[Frecuencia]]="Annual", Tabla2[[#This Row],[Cosecha/Tarea]]/12,Tabla2[[#This Row],[Cosecha/Tarea]])</f>
        <v>19754</v>
      </c>
      <c r="F1131" s="3" t="n">
        <v>33578</v>
      </c>
      <c r="G1131" s="2" t="s">
        <v>18</v>
      </c>
      <c r="H1131" s="2" t="n">
        <f aca="false">F1131/Tabla2[[#This Row],[Cosecha Mensual]]</f>
        <v>1.69980763389693</v>
      </c>
      <c r="I1131" s="2" t="n">
        <f aca="false">H1131*_xlfn.XLOOKUP(Tabla2[[#This Row],[Unidad de producción]],Tabla3[Medida],Tabla3[Equivalencia en Kg],"ELVIS",0)</f>
        <v>77.1032742735649</v>
      </c>
      <c r="J1131" s="2" t="n">
        <v>395.609134375</v>
      </c>
      <c r="K1131" s="2" t="s">
        <v>18</v>
      </c>
      <c r="L1131" s="2" t="n">
        <f aca="false">J1131/_xlfn.XLOOKUP(Tabla2[[#This Row],[Unidad de precio]],Tabla3[Medida],Tabla3[Equivalencia en Kg],"ELVIS",0)</f>
        <v>8.72154176311728</v>
      </c>
      <c r="M1131" s="2" t="n">
        <v>1417.48</v>
      </c>
      <c r="N1131" s="3" t="n">
        <f aca="false">(Tabla2[[#This Row],[Productividad (kg/TAS)]]*Tabla2[[#This Row],[Precio por kg]]-Tabla2[[#This Row],[Costos (En RD$/Tarea)]])</f>
        <v>-745.020573350018</v>
      </c>
      <c r="O1131" s="9" t="n">
        <f aca="false">IF(Tabla2[[#This Row],[Costos (En RD$/Tarea)]]=0,0,Tabla2[[#This Row],[Beneficio Neto  (En RD$/Tarea)]]/Tabla2[[#This Row],[Costos (En RD$/Tarea)]])</f>
        <v>-0.525595121871221</v>
      </c>
      <c r="P1131" s="7" t="n">
        <f aca="false">Tabla2[[#This Row],[Rentabilidad (%)]]/12</f>
        <v>-0.0437995934892684</v>
      </c>
    </row>
    <row r="1132" customFormat="false" ht="14.25" hidden="false" customHeight="false" outlineLevel="0" collapsed="false">
      <c r="A1132" s="1" t="n">
        <v>39387</v>
      </c>
      <c r="B1132" s="2" t="s">
        <v>21</v>
      </c>
      <c r="C1132" s="3" t="n">
        <v>3274</v>
      </c>
      <c r="D1132" s="8" t="s">
        <v>17</v>
      </c>
      <c r="E1132" s="3" t="n">
        <f aca="false">IF(Tabla2[[#This Row],[Frecuencia]]="Annual", Tabla2[[#This Row],[Cosecha/Tarea]]/12,Tabla2[[#This Row],[Cosecha/Tarea]])</f>
        <v>3274</v>
      </c>
      <c r="F1132" s="3" t="n">
        <v>31565</v>
      </c>
      <c r="G1132" s="2" t="s">
        <v>18</v>
      </c>
      <c r="H1132" s="2" t="n">
        <f aca="false">F1132/Tabla2[[#This Row],[Cosecha Mensual]]</f>
        <v>9.6411117898595</v>
      </c>
      <c r="I1132" s="2" t="n">
        <f aca="false">H1132*_xlfn.XLOOKUP(Tabla2[[#This Row],[Unidad de producción]],Tabla3[Medida],Tabla3[Equivalencia en Kg],"ELVIS",0)</f>
        <v>437.320830788027</v>
      </c>
      <c r="J1132" s="2" t="n">
        <v>400.494857142857</v>
      </c>
      <c r="K1132" s="2" t="s">
        <v>18</v>
      </c>
      <c r="L1132" s="2" t="n">
        <f aca="false">J1132/_xlfn.XLOOKUP(Tabla2[[#This Row],[Unidad de precio]],Tabla3[Medida],Tabla3[Equivalencia en Kg],"ELVIS",0)</f>
        <v>8.82925170068027</v>
      </c>
      <c r="M1132" s="2" t="n">
        <v>2131.605</v>
      </c>
      <c r="N1132" s="3" t="n">
        <f aca="false">(Tabla2[[#This Row],[Productividad (kg/TAS)]]*Tabla2[[#This Row],[Precio por kg]]-Tabla2[[#This Row],[Costos (En RD$/Tarea)]])</f>
        <v>1729.61068897809</v>
      </c>
      <c r="O1132" s="9" t="n">
        <f aca="false">IF(Tabla2[[#This Row],[Costos (En RD$/Tarea)]]=0,0,Tabla2[[#This Row],[Beneficio Neto  (En RD$/Tarea)]]/Tabla2[[#This Row],[Costos (En RD$/Tarea)]])</f>
        <v>0.811412381270495</v>
      </c>
      <c r="P1132" s="7" t="n">
        <f aca="false">Tabla2[[#This Row],[Rentabilidad (%)]]/12</f>
        <v>0.0676176984392079</v>
      </c>
    </row>
    <row r="1133" customFormat="false" ht="14.25" hidden="false" customHeight="false" outlineLevel="0" collapsed="false">
      <c r="A1133" s="1" t="n">
        <v>39387</v>
      </c>
      <c r="B1133" s="2" t="s">
        <v>22</v>
      </c>
      <c r="C1133" s="3" t="n">
        <v>6726</v>
      </c>
      <c r="D1133" s="8" t="s">
        <v>17</v>
      </c>
      <c r="E1133" s="3" t="n">
        <f aca="false">IF(Tabla2[[#This Row],[Frecuencia]]="Annual", Tabla2[[#This Row],[Cosecha/Tarea]]/12,Tabla2[[#This Row],[Cosecha/Tarea]])</f>
        <v>6726</v>
      </c>
      <c r="F1133" s="3" t="n">
        <v>65118</v>
      </c>
      <c r="G1133" s="2" t="s">
        <v>18</v>
      </c>
      <c r="H1133" s="2" t="n">
        <f aca="false">F1133/Tabla2[[#This Row],[Cosecha Mensual]]</f>
        <v>9.68153434433541</v>
      </c>
      <c r="I1133" s="2" t="n">
        <f aca="false">H1133*_xlfn.XLOOKUP(Tabla2[[#This Row],[Unidad de producción]],Tabla3[Medida],Tabla3[Equivalencia en Kg],"ELVIS",0)</f>
        <v>439.154397859054</v>
      </c>
      <c r="J1133" s="2" t="n">
        <v>946.25</v>
      </c>
      <c r="K1133" s="2" t="s">
        <v>18</v>
      </c>
      <c r="L1133" s="2" t="n">
        <f aca="false">J1133/_xlfn.XLOOKUP(Tabla2[[#This Row],[Unidad de precio]],Tabla3[Medida],Tabla3[Equivalencia en Kg],"ELVIS",0)</f>
        <v>20.8608906525573</v>
      </c>
      <c r="M1133" s="2" t="n">
        <v>6063.13</v>
      </c>
      <c r="N1133" s="3" t="n">
        <f aca="false">(Tabla2[[#This Row],[Productividad (kg/TAS)]]*Tabla2[[#This Row],[Precio por kg]]-Tabla2[[#This Row],[Costos (En RD$/Tarea)]])</f>
        <v>3098.02187332739</v>
      </c>
      <c r="O1133" s="9" t="n">
        <f aca="false">IF(Tabla2[[#This Row],[Costos (En RD$/Tarea)]]=0,0,Tabla2[[#This Row],[Beneficio Neto  (En RD$/Tarea)]]/Tabla2[[#This Row],[Costos (En RD$/Tarea)]])</f>
        <v>0.510960819465752</v>
      </c>
      <c r="P1133" s="7" t="n">
        <f aca="false">Tabla2[[#This Row],[Rentabilidad (%)]]/12</f>
        <v>0.0425800682888127</v>
      </c>
    </row>
    <row r="1134" customFormat="false" ht="14.25" hidden="false" customHeight="false" outlineLevel="0" collapsed="false">
      <c r="A1134" s="1" t="n">
        <v>39387</v>
      </c>
      <c r="B1134" s="2" t="s">
        <v>23</v>
      </c>
      <c r="C1134" s="3" t="n">
        <v>1717</v>
      </c>
      <c r="D1134" s="8" t="s">
        <v>17</v>
      </c>
      <c r="E1134" s="3" t="n">
        <f aca="false">IF(Tabla2[[#This Row],[Frecuencia]]="Annual", Tabla2[[#This Row],[Cosecha/Tarea]]/12,Tabla2[[#This Row],[Cosecha/Tarea]])</f>
        <v>1717</v>
      </c>
      <c r="F1134" s="3" t="n">
        <v>41105</v>
      </c>
      <c r="G1134" s="2" t="s">
        <v>18</v>
      </c>
      <c r="H1134" s="2" t="n">
        <f aca="false">F1134/Tabla2[[#This Row],[Cosecha Mensual]]</f>
        <v>23.9400116482236</v>
      </c>
      <c r="I1134" s="2" t="n">
        <f aca="false">H1134*_xlfn.XLOOKUP(Tabla2[[#This Row],[Unidad de producción]],Tabla3[Medida],Tabla3[Equivalencia en Kg],"ELVIS",0)</f>
        <v>1085.91892836342</v>
      </c>
      <c r="J1134" s="2" t="n">
        <v>1093.75</v>
      </c>
      <c r="K1134" s="2" t="s">
        <v>18</v>
      </c>
      <c r="L1134" s="2" t="n">
        <f aca="false">J1134/_xlfn.XLOOKUP(Tabla2[[#This Row],[Unidad de precio]],Tabla3[Medida],Tabla3[Equivalencia en Kg],"ELVIS",0)</f>
        <v>24.1126543209877</v>
      </c>
      <c r="M1134" s="2" t="n">
        <v>12092.41</v>
      </c>
      <c r="N1134" s="3" t="n">
        <f aca="false">(Tabla2[[#This Row],[Productividad (kg/TAS)]]*Tabla2[[#This Row],[Precio por kg]]-Tabla2[[#This Row],[Costos (En RD$/Tarea)]])</f>
        <v>14091.9777402446</v>
      </c>
      <c r="O1134" s="9" t="n">
        <f aca="false">IF(Tabla2[[#This Row],[Costos (En RD$/Tarea)]]=0,0,Tabla2[[#This Row],[Beneficio Neto  (En RD$/Tarea)]]/Tabla2[[#This Row],[Costos (En RD$/Tarea)]])</f>
        <v>1.16535725634879</v>
      </c>
      <c r="P1134" s="7" t="n">
        <f aca="false">Tabla2[[#This Row],[Rentabilidad (%)]]/12</f>
        <v>0.0971131046957321</v>
      </c>
    </row>
    <row r="1135" customFormat="false" ht="14.25" hidden="false" customHeight="false" outlineLevel="0" collapsed="false">
      <c r="A1135" s="1" t="n">
        <v>39387</v>
      </c>
      <c r="B1135" s="2" t="s">
        <v>24</v>
      </c>
      <c r="C1135" s="3" t="n">
        <v>7790</v>
      </c>
      <c r="D1135" s="8" t="s">
        <v>17</v>
      </c>
      <c r="E1135" s="3" t="n">
        <f aca="false">IF(Tabla2[[#This Row],[Frecuencia]]="Annual", Tabla2[[#This Row],[Cosecha/Tarea]]/12,Tabla2[[#This Row],[Cosecha/Tarea]])</f>
        <v>7790</v>
      </c>
      <c r="F1135" s="3" t="n">
        <v>77206</v>
      </c>
      <c r="G1135" s="2" t="s">
        <v>18</v>
      </c>
      <c r="H1135" s="2" t="n">
        <f aca="false">F1135/Tabla2[[#This Row],[Cosecha Mensual]]</f>
        <v>9.91091142490372</v>
      </c>
      <c r="I1135" s="2" t="n">
        <f aca="false">H1135*_xlfn.XLOOKUP(Tabla2[[#This Row],[Unidad de producción]],Tabla3[Medida],Tabla3[Equivalencia en Kg],"ELVIS",0)</f>
        <v>449.558942233633</v>
      </c>
      <c r="J1135" s="2" t="n">
        <v>992.275</v>
      </c>
      <c r="K1135" s="2" t="s">
        <v>18</v>
      </c>
      <c r="L1135" s="2" t="n">
        <f aca="false">J1135/_xlfn.XLOOKUP(Tabla2[[#This Row],[Unidad de precio]],Tabla3[Medida],Tabla3[Equivalencia en Kg],"ELVIS",0)</f>
        <v>21.8755511463845</v>
      </c>
      <c r="M1135" s="2" t="n">
        <v>4803.45</v>
      </c>
      <c r="N1135" s="3" t="n">
        <f aca="false">(Tabla2[[#This Row],[Productividad (kg/TAS)]]*Tabla2[[#This Row],[Precio por kg]]-Tabla2[[#This Row],[Costos (En RD$/Tarea)]])</f>
        <v>5030.89963414634</v>
      </c>
      <c r="O1135" s="9" t="n">
        <f aca="false">IF(Tabla2[[#This Row],[Costos (En RD$/Tarea)]]=0,0,Tabla2[[#This Row],[Beneficio Neto  (En RD$/Tarea)]]/Tabla2[[#This Row],[Costos (En RD$/Tarea)]])</f>
        <v>1.04735130669547</v>
      </c>
      <c r="P1135" s="7" t="n">
        <f aca="false">Tabla2[[#This Row],[Rentabilidad (%)]]/12</f>
        <v>0.0872792755579556</v>
      </c>
    </row>
    <row r="1136" customFormat="false" ht="14.25" hidden="false" customHeight="false" outlineLevel="0" collapsed="false">
      <c r="A1136" s="1" t="n">
        <v>39387</v>
      </c>
      <c r="B1136" s="2" t="s">
        <v>25</v>
      </c>
      <c r="C1136" s="3" t="n">
        <v>21619</v>
      </c>
      <c r="D1136" s="8" t="s">
        <v>17</v>
      </c>
      <c r="E1136" s="3" t="n">
        <f aca="false">IF(Tabla2[[#This Row],[Frecuencia]]="Annual", Tabla2[[#This Row],[Cosecha/Tarea]]/12,Tabla2[[#This Row],[Cosecha/Tarea]])</f>
        <v>21619</v>
      </c>
      <c r="F1136" s="3" t="n">
        <v>186324</v>
      </c>
      <c r="G1136" s="2" t="s">
        <v>18</v>
      </c>
      <c r="H1136" s="2" t="n">
        <f aca="false">F1136/Tabla2[[#This Row],[Cosecha Mensual]]</f>
        <v>8.61852999676211</v>
      </c>
      <c r="I1136" s="2" t="n">
        <f aca="false">H1136*_xlfn.XLOOKUP(Tabla2[[#This Row],[Unidad de producción]],Tabla3[Medida],Tabla3[Equivalencia en Kg],"ELVIS",0)</f>
        <v>390.936520653129</v>
      </c>
      <c r="J1136" s="2" t="n">
        <v>317.136625</v>
      </c>
      <c r="K1136" s="2" t="s">
        <v>18</v>
      </c>
      <c r="L1136" s="2" t="n">
        <f aca="false">J1136/_xlfn.XLOOKUP(Tabla2[[#This Row],[Unidad de precio]],Tabla3[Medida],Tabla3[Equivalencia en Kg],"ELVIS",0)</f>
        <v>6.991548170194</v>
      </c>
      <c r="M1136" s="2" t="n">
        <v>2341.04</v>
      </c>
      <c r="N1136" s="3" t="n">
        <f aca="false">(Tabla2[[#This Row],[Productividad (kg/TAS)]]*Tabla2[[#This Row],[Precio por kg]]-Tabla2[[#This Row],[Costos (En RD$/Tarea)]])</f>
        <v>392.211515634396</v>
      </c>
      <c r="O1136" s="9" t="n">
        <f aca="false">IF(Tabla2[[#This Row],[Costos (En RD$/Tarea)]]=0,0,Tabla2[[#This Row],[Beneficio Neto  (En RD$/Tarea)]]/Tabla2[[#This Row],[Costos (En RD$/Tarea)]])</f>
        <v>0.167537297796875</v>
      </c>
      <c r="P1136" s="7" t="n">
        <f aca="false">Tabla2[[#This Row],[Rentabilidad (%)]]/12</f>
        <v>0.0139614414830729</v>
      </c>
    </row>
    <row r="1137" customFormat="false" ht="14.25" hidden="false" customHeight="false" outlineLevel="0" collapsed="false">
      <c r="A1137" s="1" t="n">
        <v>39387</v>
      </c>
      <c r="B1137" s="2" t="s">
        <v>26</v>
      </c>
      <c r="C1137" s="3" t="n">
        <v>9585</v>
      </c>
      <c r="D1137" s="8" t="s">
        <v>17</v>
      </c>
      <c r="E1137" s="3" t="n">
        <f aca="false">IF(Tabla2[[#This Row],[Frecuencia]]="Annual", Tabla2[[#This Row],[Cosecha/Tarea]]/12,Tabla2[[#This Row],[Cosecha/Tarea]])</f>
        <v>9585</v>
      </c>
      <c r="F1137" s="3" t="n">
        <v>50843</v>
      </c>
      <c r="G1137" s="2" t="s">
        <v>18</v>
      </c>
      <c r="H1137" s="2" t="n">
        <f aca="false">F1137/Tabla2[[#This Row],[Cosecha Mensual]]</f>
        <v>5.30443401147627</v>
      </c>
      <c r="I1137" s="2" t="n">
        <f aca="false">H1137*_xlfn.XLOOKUP(Tabla2[[#This Row],[Unidad de producción]],Tabla3[Medida],Tabla3[Equivalencia en Kg],"ELVIS",0)</f>
        <v>240.609126760563</v>
      </c>
      <c r="J1137" s="2" t="n">
        <v>559.131428571429</v>
      </c>
      <c r="K1137" s="2" t="s">
        <v>18</v>
      </c>
      <c r="L1137" s="2" t="n">
        <f aca="false">J1137/_xlfn.XLOOKUP(Tabla2[[#This Row],[Unidad de precio]],Tabla3[Medida],Tabla3[Equivalencia en Kg],"ELVIS",0)</f>
        <v>12.3265306122449</v>
      </c>
      <c r="M1137" s="2" t="n">
        <v>970.18</v>
      </c>
      <c r="N1137" s="3" t="n">
        <f aca="false">(Tabla2[[#This Row],[Productividad (kg/TAS)]]*Tabla2[[#This Row],[Precio por kg]]-Tabla2[[#This Row],[Costos (En RD$/Tarea)]])</f>
        <v>1995.6957665996</v>
      </c>
      <c r="O1137" s="9" t="n">
        <f aca="false">IF(Tabla2[[#This Row],[Costos (En RD$/Tarea)]]=0,0,Tabla2[[#This Row],[Beneficio Neto  (En RD$/Tarea)]]/Tabla2[[#This Row],[Costos (En RD$/Tarea)]])</f>
        <v>2.05703659795048</v>
      </c>
      <c r="P1137" s="7" t="n">
        <f aca="false">Tabla2[[#This Row],[Rentabilidad (%)]]/12</f>
        <v>0.171419716495874</v>
      </c>
    </row>
    <row r="1138" customFormat="false" ht="14.25" hidden="false" customHeight="false" outlineLevel="0" collapsed="false">
      <c r="A1138" s="1" t="n">
        <v>39387</v>
      </c>
      <c r="B1138" s="2" t="s">
        <v>27</v>
      </c>
      <c r="C1138" s="3" t="n">
        <v>3003</v>
      </c>
      <c r="D1138" s="8" t="s">
        <v>17</v>
      </c>
      <c r="E1138" s="3" t="n">
        <f aca="false">IF(Tabla2[[#This Row],[Frecuencia]]="Annual", Tabla2[[#This Row],[Cosecha/Tarea]]/12,Tabla2[[#This Row],[Cosecha/Tarea]])</f>
        <v>3003</v>
      </c>
      <c r="F1138" s="3" t="n">
        <v>21385</v>
      </c>
      <c r="G1138" s="2" t="s">
        <v>18</v>
      </c>
      <c r="H1138" s="2" t="n">
        <f aca="false">F1138/Tabla2[[#This Row],[Cosecha Mensual]]</f>
        <v>7.12121212121212</v>
      </c>
      <c r="I1138" s="2" t="n">
        <f aca="false">H1138*_xlfn.XLOOKUP(Tabla2[[#This Row],[Unidad de producción]],Tabla3[Medida],Tabla3[Equivalencia en Kg],"ELVIS",0)</f>
        <v>323.018181818182</v>
      </c>
      <c r="J1138" s="2" t="n">
        <v>472.106666666667</v>
      </c>
      <c r="K1138" s="2" t="s">
        <v>18</v>
      </c>
      <c r="L1138" s="2" t="n">
        <f aca="false">J1138/_xlfn.XLOOKUP(Tabla2[[#This Row],[Unidad de precio]],Tabla3[Medida],Tabla3[Equivalencia en Kg],"ELVIS",0)</f>
        <v>10.4079952968842</v>
      </c>
      <c r="M1138" s="2" t="n">
        <v>5280.51</v>
      </c>
      <c r="N1138" s="3" t="n">
        <f aca="false">(Tabla2[[#This Row],[Productividad (kg/TAS)]]*Tabla2[[#This Row],[Precio por kg]]-Tabla2[[#This Row],[Costos (En RD$/Tarea)]])</f>
        <v>-1918.53828282828</v>
      </c>
      <c r="O1138" s="9" t="n">
        <f aca="false">IF(Tabla2[[#This Row],[Costos (En RD$/Tarea)]]=0,0,Tabla2[[#This Row],[Beneficio Neto  (En RD$/Tarea)]]/Tabla2[[#This Row],[Costos (En RD$/Tarea)]])</f>
        <v>-0.363324429425999</v>
      </c>
      <c r="P1138" s="7" t="n">
        <f aca="false">Tabla2[[#This Row],[Rentabilidad (%)]]/12</f>
        <v>-0.0302770357854999</v>
      </c>
    </row>
    <row r="1139" customFormat="false" ht="14.25" hidden="false" customHeight="false" outlineLevel="0" collapsed="false">
      <c r="A1139" s="1" t="n">
        <v>39387</v>
      </c>
      <c r="B1139" s="2" t="s">
        <v>28</v>
      </c>
      <c r="C1139" s="3" t="n">
        <v>58059</v>
      </c>
      <c r="D1139" s="8" t="s">
        <v>17</v>
      </c>
      <c r="E1139" s="3" t="n">
        <f aca="false">IF(Tabla2[[#This Row],[Frecuencia]]="Annual", Tabla2[[#This Row],[Cosecha/Tarea]]/12,Tabla2[[#This Row],[Cosecha/Tarea]])</f>
        <v>58059</v>
      </c>
      <c r="F1139" s="3" t="n">
        <v>64984</v>
      </c>
      <c r="G1139" s="2" t="s">
        <v>29</v>
      </c>
      <c r="H1139" s="2" t="n">
        <f aca="false">F1139/Tabla2[[#This Row],[Cosecha Mensual]]</f>
        <v>1.11927522003479</v>
      </c>
      <c r="I1139" s="2" t="n">
        <f aca="false">H1139*_xlfn.XLOOKUP(Tabla2[[#This Row],[Unidad de producción]],Tabla3[Medida],Tabla3[Equivalencia en Kg],"ELVIS",0)</f>
        <v>629.413227234365</v>
      </c>
      <c r="J1139" s="2" t="n">
        <v>5225.39285714286</v>
      </c>
      <c r="K1139" s="2" t="s">
        <v>29</v>
      </c>
      <c r="L1139" s="2" t="n">
        <f aca="false">J1139/_xlfn.XLOOKUP(Tabla2[[#This Row],[Unidad de precio]],Tabla3[Medida],Tabla3[Equivalencia en Kg],"ELVIS",0)</f>
        <v>9.29223042490817</v>
      </c>
      <c r="M1139" s="2" t="n">
        <v>10097.26</v>
      </c>
      <c r="N1139" s="3" t="n">
        <f aca="false">(Tabla2[[#This Row],[Productividad (kg/TAS)]]*Tabla2[[#This Row],[Precio por kg]]-Tabla2[[#This Row],[Costos (En RD$/Tarea)]])</f>
        <v>-4248.60726005319</v>
      </c>
      <c r="O1139" s="9" t="n">
        <f aca="false">IF(Tabla2[[#This Row],[Costos (En RD$/Tarea)]]=0,0,Tabla2[[#This Row],[Beneficio Neto  (En RD$/Tarea)]]/Tabla2[[#This Row],[Costos (En RD$/Tarea)]])</f>
        <v>-0.420768333196649</v>
      </c>
      <c r="P1139" s="7" t="n">
        <f aca="false">Tabla2[[#This Row],[Rentabilidad (%)]]/12</f>
        <v>-0.0350640277663874</v>
      </c>
    </row>
    <row r="1140" customFormat="false" ht="14.25" hidden="false" customHeight="false" outlineLevel="0" collapsed="false">
      <c r="A1140" s="1" t="n">
        <v>39387</v>
      </c>
      <c r="B1140" s="2" t="s">
        <v>30</v>
      </c>
      <c r="C1140" s="3" t="n">
        <v>314311</v>
      </c>
      <c r="D1140" s="3" t="s">
        <v>31</v>
      </c>
      <c r="E1140" s="3" t="n">
        <f aca="false">IF(Tabla2[[#This Row],[Frecuencia]]="Annual", Tabla2[[#This Row],[Cosecha/Tarea]]/12,Tabla2[[#This Row],[Cosecha/Tarea]])</f>
        <v>26192.5833333333</v>
      </c>
      <c r="F1140" s="3" t="n">
        <v>1663394</v>
      </c>
      <c r="G1140" s="2" t="s">
        <v>32</v>
      </c>
      <c r="H1140" s="2" t="n">
        <f aca="false">F1140/Tabla2[[#This Row],[Cosecha Mensual]]</f>
        <v>63.506297902396</v>
      </c>
      <c r="I1140" s="2" t="n">
        <f aca="false">H1140*_xlfn.XLOOKUP(Tabla2[[#This Row],[Unidad de producción]],Tabla3[Medida],Tabla3[Equivalencia en Kg],"ELVIS",0)</f>
        <v>1728.0063659242</v>
      </c>
      <c r="J1140" s="2" t="n">
        <v>80.24</v>
      </c>
      <c r="K1140" s="2" t="s">
        <v>32</v>
      </c>
      <c r="L1140" s="2" t="n">
        <f aca="false">J1140/_xlfn.XLOOKUP(Tabla2[[#This Row],[Unidad de precio]],Tabla3[Medida],Tabla3[Equivalencia en Kg],"ELVIS",0)</f>
        <v>2.94891583976479</v>
      </c>
      <c r="M1140" s="3" t="n">
        <v>8303.36</v>
      </c>
      <c r="N1140" s="3" t="n">
        <f aca="false">(Tabla2[[#This Row],[Productividad (kg/TAS)]]*Tabla2[[#This Row],[Precio por kg]]-Tabla2[[#This Row],[Costos (En RD$/Tarea)]])</f>
        <v>-3207.61465631174</v>
      </c>
      <c r="O1140" s="9" t="n">
        <f aca="false">IF(Tabla2[[#This Row],[Costos (En RD$/Tarea)]]=0,0,Tabla2[[#This Row],[Beneficio Neto  (En RD$/Tarea)]]/Tabla2[[#This Row],[Costos (En RD$/Tarea)]])</f>
        <v>-0.386303214158093</v>
      </c>
      <c r="P1140" s="7" t="n">
        <f aca="false">Tabla2[[#This Row],[Rentabilidad (%)]]/12</f>
        <v>-0.0321919345131744</v>
      </c>
    </row>
    <row r="1141" customFormat="false" ht="14.25" hidden="false" customHeight="false" outlineLevel="0" collapsed="false">
      <c r="A1141" s="1" t="n">
        <v>39387</v>
      </c>
      <c r="B1141" s="2" t="s">
        <v>33</v>
      </c>
      <c r="C1141" s="3" t="n">
        <v>639016</v>
      </c>
      <c r="D1141" s="3" t="s">
        <v>31</v>
      </c>
      <c r="E1141" s="3" t="n">
        <f aca="false">IF(Tabla2[[#This Row],[Frecuencia]]="Annual", Tabla2[[#This Row],[Cosecha/Tarea]]/12,Tabla2[[#This Row],[Cosecha/Tarea]])</f>
        <v>53251.3333333333</v>
      </c>
      <c r="F1141" s="3" t="n">
        <v>108231</v>
      </c>
      <c r="G1141" s="2" t="s">
        <v>34</v>
      </c>
      <c r="H1141" s="2" t="n">
        <f aca="false">F1141/Tabla2[[#This Row],[Cosecha Mensual]]</f>
        <v>2.03245615133267</v>
      </c>
      <c r="I1141" s="2" t="n">
        <f aca="false">H1141*_xlfn.XLOOKUP(Tabla2[[#This Row],[Unidad de producción]],Tabla3[Medida],Tabla3[Equivalencia en Kg],"ELVIS",0)</f>
        <v>829.546978166431</v>
      </c>
      <c r="J1141" s="2" t="n">
        <v>3591.375</v>
      </c>
      <c r="K1141" s="2" t="s">
        <v>34</v>
      </c>
      <c r="L1141" s="2" t="n">
        <f aca="false">J1141/_xlfn.XLOOKUP(Tabla2[[#This Row],[Unidad de precio]],Tabla3[Medida],Tabla3[Equivalencia en Kg],"ELVIS",0)</f>
        <v>8.79915472252848</v>
      </c>
      <c r="M1141" s="3" t="n">
        <v>11167.89</v>
      </c>
      <c r="N1141" s="3" t="n">
        <f aca="false">(Tabla2[[#This Row],[Productividad (kg/TAS)]]*Tabla2[[#This Row],[Precio por kg]]-Tabla2[[#This Row],[Costos (En RD$/Tarea)]])</f>
        <v>-3868.57778950762</v>
      </c>
      <c r="O1141" s="9" t="n">
        <f aca="false">IF(Tabla2[[#This Row],[Costos (En RD$/Tarea)]]=0,0,Tabla2[[#This Row],[Beneficio Neto  (En RD$/Tarea)]]/Tabla2[[#This Row],[Costos (En RD$/Tarea)]])</f>
        <v>-0.346401852946942</v>
      </c>
      <c r="P1141" s="7" t="n">
        <f aca="false">Tabla2[[#This Row],[Rentabilidad (%)]]/12</f>
        <v>-0.0288668210789118</v>
      </c>
    </row>
    <row r="1142" customFormat="false" ht="14.25" hidden="false" customHeight="false" outlineLevel="0" collapsed="false">
      <c r="A1142" s="1" t="n">
        <v>39417</v>
      </c>
      <c r="B1142" s="2" t="s">
        <v>16</v>
      </c>
      <c r="C1142" s="3" t="n">
        <v>81806</v>
      </c>
      <c r="D1142" s="8" t="s">
        <v>17</v>
      </c>
      <c r="E1142" s="3" t="n">
        <f aca="false">IF(Tabla2[[#This Row],[Frecuencia]]="Annual", Tabla2[[#This Row],[Cosecha/Tarea]]/12,Tabla2[[#This Row],[Cosecha/Tarea]])</f>
        <v>81806</v>
      </c>
      <c r="F1142" s="3" t="n">
        <v>307067</v>
      </c>
      <c r="G1142" s="2" t="s">
        <v>18</v>
      </c>
      <c r="H1142" s="2" t="n">
        <f aca="false">F1142/Tabla2[[#This Row],[Cosecha Mensual]]</f>
        <v>3.75359998044153</v>
      </c>
      <c r="I1142" s="2" t="n">
        <f aca="false">H1142*_xlfn.XLOOKUP(Tabla2[[#This Row],[Unidad de producción]],Tabla3[Medida],Tabla3[Equivalencia en Kg],"ELVIS",0)</f>
        <v>170.263295112828</v>
      </c>
      <c r="J1142" s="2" t="n">
        <v>1347.5</v>
      </c>
      <c r="K1142" s="2" t="s">
        <v>19</v>
      </c>
      <c r="L1142" s="2" t="n">
        <f aca="false">J1142/_xlfn.XLOOKUP(Tabla2[[#This Row],[Unidad de precio]],Tabla3[Medida],Tabla3[Equivalencia en Kg],"ELVIS",0)</f>
        <v>12.25</v>
      </c>
      <c r="M1142" s="2" t="n">
        <v>5339.5</v>
      </c>
      <c r="N1142" s="3" t="n">
        <f aca="false">(Tabla2[[#This Row],[Productividad (kg/TAS)]]*Tabla2[[#This Row],[Precio por kg]]-Tabla2[[#This Row],[Costos (En RD$/Tarea)]])</f>
        <v>-3253.77463486786</v>
      </c>
      <c r="O1142" s="9" t="n">
        <f aca="false">IF(Tabla2[[#This Row],[Costos (En RD$/Tarea)]]=0,0,Tabla2[[#This Row],[Beneficio Neto  (En RD$/Tarea)]]/Tabla2[[#This Row],[Costos (En RD$/Tarea)]])</f>
        <v>-0.609378150551149</v>
      </c>
      <c r="P1142" s="7" t="n">
        <f aca="false">Tabla2[[#This Row],[Rentabilidad (%)]]/12</f>
        <v>-0.0507815125459291</v>
      </c>
    </row>
    <row r="1143" customFormat="false" ht="14.25" hidden="false" customHeight="false" outlineLevel="0" collapsed="false">
      <c r="A1143" s="1" t="n">
        <v>39417</v>
      </c>
      <c r="B1143" s="2" t="s">
        <v>20</v>
      </c>
      <c r="C1143" s="3" t="n">
        <v>22324</v>
      </c>
      <c r="D1143" s="8" t="s">
        <v>17</v>
      </c>
      <c r="E1143" s="3" t="n">
        <f aca="false">IF(Tabla2[[#This Row],[Frecuencia]]="Annual", Tabla2[[#This Row],[Cosecha/Tarea]]/12,Tabla2[[#This Row],[Cosecha/Tarea]])</f>
        <v>22324</v>
      </c>
      <c r="F1143" s="3" t="n">
        <v>36873</v>
      </c>
      <c r="G1143" s="2" t="s">
        <v>18</v>
      </c>
      <c r="H1143" s="2" t="n">
        <f aca="false">F1143/Tabla2[[#This Row],[Cosecha Mensual]]</f>
        <v>1.65172012184196</v>
      </c>
      <c r="I1143" s="2" t="n">
        <f aca="false">H1143*_xlfn.XLOOKUP(Tabla2[[#This Row],[Unidad de producción]],Tabla3[Medida],Tabla3[Equivalencia en Kg],"ELVIS",0)</f>
        <v>74.9220247267515</v>
      </c>
      <c r="J1143" s="2" t="n">
        <v>417.836952</v>
      </c>
      <c r="K1143" s="2" t="s">
        <v>18</v>
      </c>
      <c r="L1143" s="2" t="n">
        <f aca="false">J1143/_xlfn.XLOOKUP(Tabla2[[#This Row],[Unidad de precio]],Tabla3[Medida],Tabla3[Equivalencia en Kg],"ELVIS",0)</f>
        <v>9.21157301587302</v>
      </c>
      <c r="M1143" s="2" t="n">
        <v>1417.48</v>
      </c>
      <c r="N1143" s="3" t="n">
        <f aca="false">(Tabla2[[#This Row],[Productividad (kg/TAS)]]*Tabla2[[#This Row],[Precio por kg]]-Tabla2[[#This Row],[Costos (En RD$/Tarea)]])</f>
        <v>-727.330298732485</v>
      </c>
      <c r="O1143" s="9" t="n">
        <f aca="false">IF(Tabla2[[#This Row],[Costos (En RD$/Tarea)]]=0,0,Tabla2[[#This Row],[Beneficio Neto  (En RD$/Tarea)]]/Tabla2[[#This Row],[Costos (En RD$/Tarea)]])</f>
        <v>-0.513115034238568</v>
      </c>
      <c r="P1143" s="7" t="n">
        <f aca="false">Tabla2[[#This Row],[Rentabilidad (%)]]/12</f>
        <v>-0.0427595861865473</v>
      </c>
    </row>
    <row r="1144" customFormat="false" ht="14.25" hidden="false" customHeight="false" outlineLevel="0" collapsed="false">
      <c r="A1144" s="1" t="n">
        <v>39417</v>
      </c>
      <c r="B1144" s="2" t="s">
        <v>21</v>
      </c>
      <c r="C1144" s="3" t="n">
        <v>2282</v>
      </c>
      <c r="D1144" s="8" t="s">
        <v>17</v>
      </c>
      <c r="E1144" s="3" t="n">
        <f aca="false">IF(Tabla2[[#This Row],[Frecuencia]]="Annual", Tabla2[[#This Row],[Cosecha/Tarea]]/12,Tabla2[[#This Row],[Cosecha/Tarea]])</f>
        <v>2282</v>
      </c>
      <c r="F1144" s="3" t="n">
        <v>21236</v>
      </c>
      <c r="G1144" s="2" t="s">
        <v>18</v>
      </c>
      <c r="H1144" s="2" t="n">
        <f aca="false">F1144/Tabla2[[#This Row],[Cosecha Mensual]]</f>
        <v>9.30587204206836</v>
      </c>
      <c r="I1144" s="2" t="n">
        <f aca="false">H1144*_xlfn.XLOOKUP(Tabla2[[#This Row],[Unidad de producción]],Tabla3[Medida],Tabla3[Equivalencia en Kg],"ELVIS",0)</f>
        <v>422.114355828221</v>
      </c>
      <c r="J1144" s="2" t="n">
        <v>447.124571428571</v>
      </c>
      <c r="K1144" s="2" t="s">
        <v>18</v>
      </c>
      <c r="L1144" s="2" t="n">
        <f aca="false">J1144/_xlfn.XLOOKUP(Tabla2[[#This Row],[Unidad de precio]],Tabla3[Medida],Tabla3[Equivalencia en Kg],"ELVIS",0)</f>
        <v>9.85724363819601</v>
      </c>
      <c r="M1144" s="2" t="n">
        <v>2131.605</v>
      </c>
      <c r="N1144" s="3" t="n">
        <f aca="false">(Tabla2[[#This Row],[Productividad (kg/TAS)]]*Tabla2[[#This Row],[Precio por kg]]-Tabla2[[#This Row],[Costos (En RD$/Tarea)]])</f>
        <v>2029.27904857894</v>
      </c>
      <c r="O1144" s="9" t="n">
        <f aca="false">IF(Tabla2[[#This Row],[Costos (En RD$/Tarea)]]=0,0,Tabla2[[#This Row],[Beneficio Neto  (En RD$/Tarea)]]/Tabla2[[#This Row],[Costos (En RD$/Tarea)]])</f>
        <v>0.951995819384425</v>
      </c>
      <c r="P1144" s="7" t="n">
        <f aca="false">Tabla2[[#This Row],[Rentabilidad (%)]]/12</f>
        <v>0.0793329849487021</v>
      </c>
    </row>
    <row r="1145" customFormat="false" ht="14.25" hidden="false" customHeight="false" outlineLevel="0" collapsed="false">
      <c r="A1145" s="1" t="n">
        <v>39417</v>
      </c>
      <c r="B1145" s="2" t="s">
        <v>22</v>
      </c>
      <c r="C1145" s="3" t="n">
        <v>4532</v>
      </c>
      <c r="D1145" s="8" t="s">
        <v>17</v>
      </c>
      <c r="E1145" s="3" t="n">
        <f aca="false">IF(Tabla2[[#This Row],[Frecuencia]]="Annual", Tabla2[[#This Row],[Cosecha/Tarea]]/12,Tabla2[[#This Row],[Cosecha/Tarea]])</f>
        <v>4532</v>
      </c>
      <c r="F1145" s="3" t="n">
        <v>42688</v>
      </c>
      <c r="G1145" s="2" t="s">
        <v>18</v>
      </c>
      <c r="H1145" s="2" t="n">
        <f aca="false">F1145/Tabla2[[#This Row],[Cosecha Mensual]]</f>
        <v>9.41924095322154</v>
      </c>
      <c r="I1145" s="2" t="n">
        <f aca="false">H1145*_xlfn.XLOOKUP(Tabla2[[#This Row],[Unidad de producción]],Tabla3[Medida],Tabla3[Equivalencia en Kg],"ELVIS",0)</f>
        <v>427.256769638129</v>
      </c>
      <c r="J1145" s="2" t="n">
        <v>720.8</v>
      </c>
      <c r="K1145" s="2" t="s">
        <v>18</v>
      </c>
      <c r="L1145" s="2" t="n">
        <f aca="false">J1145/_xlfn.XLOOKUP(Tabla2[[#This Row],[Unidad de precio]],Tabla3[Medida],Tabla3[Equivalencia en Kg],"ELVIS",0)</f>
        <v>15.8906525573192</v>
      </c>
      <c r="M1145" s="2" t="n">
        <v>6063.13</v>
      </c>
      <c r="N1145" s="3" t="n">
        <f aca="false">(Tabla2[[#This Row],[Productividad (kg/TAS)]]*Tabla2[[#This Row],[Precio por kg]]-Tabla2[[#This Row],[Costos (En RD$/Tarea)]])</f>
        <v>726.258879082082</v>
      </c>
      <c r="O1145" s="9" t="n">
        <f aca="false">IF(Tabla2[[#This Row],[Costos (En RD$/Tarea)]]=0,0,Tabla2[[#This Row],[Beneficio Neto  (En RD$/Tarea)]]/Tabla2[[#This Row],[Costos (En RD$/Tarea)]])</f>
        <v>0.11978283148837</v>
      </c>
      <c r="P1145" s="7" t="n">
        <f aca="false">Tabla2[[#This Row],[Rentabilidad (%)]]/12</f>
        <v>0.00998190262403085</v>
      </c>
    </row>
    <row r="1146" customFormat="false" ht="14.25" hidden="false" customHeight="false" outlineLevel="0" collapsed="false">
      <c r="A1146" s="1" t="n">
        <v>39417</v>
      </c>
      <c r="B1146" s="2" t="s">
        <v>23</v>
      </c>
      <c r="C1146" s="3" t="n">
        <v>4417</v>
      </c>
      <c r="D1146" s="8" t="s">
        <v>17</v>
      </c>
      <c r="E1146" s="3" t="n">
        <f aca="false">IF(Tabla2[[#This Row],[Frecuencia]]="Annual", Tabla2[[#This Row],[Cosecha/Tarea]]/12,Tabla2[[#This Row],[Cosecha/Tarea]])</f>
        <v>4417</v>
      </c>
      <c r="F1146" s="3" t="n">
        <v>150225</v>
      </c>
      <c r="G1146" s="2" t="s">
        <v>18</v>
      </c>
      <c r="H1146" s="2" t="n">
        <f aca="false">F1146/Tabla2[[#This Row],[Cosecha Mensual]]</f>
        <v>34.0106407063618</v>
      </c>
      <c r="I1146" s="2" t="n">
        <f aca="false">H1146*_xlfn.XLOOKUP(Tabla2[[#This Row],[Unidad de producción]],Tabla3[Medida],Tabla3[Equivalencia en Kg],"ELVIS",0)</f>
        <v>1542.72266244057</v>
      </c>
      <c r="J1146" s="2" t="n">
        <v>1022.5</v>
      </c>
      <c r="K1146" s="2" t="s">
        <v>18</v>
      </c>
      <c r="L1146" s="2" t="n">
        <f aca="false">J1146/_xlfn.XLOOKUP(Tabla2[[#This Row],[Unidad de precio]],Tabla3[Medida],Tabla3[Equivalencia en Kg],"ELVIS",0)</f>
        <v>22.5418871252205</v>
      </c>
      <c r="M1146" s="2" t="n">
        <v>12092.41</v>
      </c>
      <c r="N1146" s="3" t="n">
        <f aca="false">(Tabla2[[#This Row],[Productividad (kg/TAS)]]*Tabla2[[#This Row],[Precio por kg]]-Tabla2[[#This Row],[Costos (En RD$/Tarea)]])</f>
        <v>22683.4701222549</v>
      </c>
      <c r="O1146" s="9" t="n">
        <f aca="false">IF(Tabla2[[#This Row],[Costos (En RD$/Tarea)]]=0,0,Tabla2[[#This Row],[Beneficio Neto  (En RD$/Tarea)]]/Tabla2[[#This Row],[Costos (En RD$/Tarea)]])</f>
        <v>1.87584361779454</v>
      </c>
      <c r="P1146" s="7" t="n">
        <f aca="false">Tabla2[[#This Row],[Rentabilidad (%)]]/12</f>
        <v>0.156320301482879</v>
      </c>
    </row>
    <row r="1147" customFormat="false" ht="14.25" hidden="false" customHeight="false" outlineLevel="0" collapsed="false">
      <c r="A1147" s="1" t="n">
        <v>39417</v>
      </c>
      <c r="B1147" s="2" t="s">
        <v>24</v>
      </c>
      <c r="C1147" s="3" t="n">
        <v>9526</v>
      </c>
      <c r="D1147" s="8" t="s">
        <v>17</v>
      </c>
      <c r="E1147" s="3" t="n">
        <f aca="false">IF(Tabla2[[#This Row],[Frecuencia]]="Annual", Tabla2[[#This Row],[Cosecha/Tarea]]/12,Tabla2[[#This Row],[Cosecha/Tarea]])</f>
        <v>9526</v>
      </c>
      <c r="F1147" s="3" t="n">
        <v>89431</v>
      </c>
      <c r="G1147" s="2" t="s">
        <v>18</v>
      </c>
      <c r="H1147" s="2" t="n">
        <f aca="false">F1147/Tabla2[[#This Row],[Cosecha Mensual]]</f>
        <v>9.38809573798027</v>
      </c>
      <c r="I1147" s="2" t="n">
        <f aca="false">H1147*_xlfn.XLOOKUP(Tabla2[[#This Row],[Unidad de producción]],Tabla3[Medida],Tabla3[Equivalencia en Kg],"ELVIS",0)</f>
        <v>425.844022674785</v>
      </c>
      <c r="J1147" s="2" t="n">
        <v>1005.72166666667</v>
      </c>
      <c r="K1147" s="2" t="s">
        <v>18</v>
      </c>
      <c r="L1147" s="2" t="n">
        <f aca="false">J1147/_xlfn.XLOOKUP(Tabla2[[#This Row],[Unidad de precio]],Tabla3[Medida],Tabla3[Equivalencia en Kg],"ELVIS",0)</f>
        <v>22.17199441505</v>
      </c>
      <c r="M1147" s="2" t="n">
        <v>4803.45</v>
      </c>
      <c r="N1147" s="3" t="n">
        <f aca="false">(Tabla2[[#This Row],[Productividad (kg/TAS)]]*Tabla2[[#This Row],[Precio por kg]]-Tabla2[[#This Row],[Costos (En RD$/Tarea)]])</f>
        <v>4638.36129242777</v>
      </c>
      <c r="O1147" s="9" t="n">
        <f aca="false">IF(Tabla2[[#This Row],[Costos (En RD$/Tarea)]]=0,0,Tabla2[[#This Row],[Beneficio Neto  (En RD$/Tarea)]]/Tabla2[[#This Row],[Costos (En RD$/Tarea)]])</f>
        <v>0.965631221815107</v>
      </c>
      <c r="P1147" s="7" t="n">
        <f aca="false">Tabla2[[#This Row],[Rentabilidad (%)]]/12</f>
        <v>0.0804692684845922</v>
      </c>
    </row>
    <row r="1148" customFormat="false" ht="14.25" hidden="false" customHeight="false" outlineLevel="0" collapsed="false">
      <c r="A1148" s="1" t="n">
        <v>39417</v>
      </c>
      <c r="B1148" s="2" t="s">
        <v>25</v>
      </c>
      <c r="C1148" s="3" t="n">
        <v>19122</v>
      </c>
      <c r="D1148" s="8" t="s">
        <v>17</v>
      </c>
      <c r="E1148" s="3" t="n">
        <f aca="false">IF(Tabla2[[#This Row],[Frecuencia]]="Annual", Tabla2[[#This Row],[Cosecha/Tarea]]/12,Tabla2[[#This Row],[Cosecha/Tarea]])</f>
        <v>19122</v>
      </c>
      <c r="F1148" s="3" t="n">
        <v>205005</v>
      </c>
      <c r="G1148" s="2" t="s">
        <v>18</v>
      </c>
      <c r="H1148" s="2" t="n">
        <f aca="false">F1148/Tabla2[[#This Row],[Cosecha Mensual]]</f>
        <v>10.7208973956699</v>
      </c>
      <c r="I1148" s="2" t="n">
        <f aca="false">H1148*_xlfn.XLOOKUP(Tabla2[[#This Row],[Unidad de producción]],Tabla3[Medida],Tabla3[Equivalencia en Kg],"ELVIS",0)</f>
        <v>486.299905867587</v>
      </c>
      <c r="J1148" s="2" t="n">
        <v>354.457071428571</v>
      </c>
      <c r="K1148" s="2" t="s">
        <v>18</v>
      </c>
      <c r="L1148" s="2" t="n">
        <f aca="false">J1148/_xlfn.XLOOKUP(Tabla2[[#This Row],[Unidad de precio]],Tabla3[Medida],Tabla3[Equivalencia en Kg],"ELVIS",0)</f>
        <v>7.81430933484504</v>
      </c>
      <c r="M1148" s="2" t="n">
        <v>2341.04</v>
      </c>
      <c r="N1148" s="3" t="n">
        <f aca="false">(Tabla2[[#This Row],[Productividad (kg/TAS)]]*Tabla2[[#This Row],[Precio por kg]]-Tabla2[[#This Row],[Costos (En RD$/Tarea)]])</f>
        <v>1459.05789395535</v>
      </c>
      <c r="O1148" s="9" t="n">
        <f aca="false">IF(Tabla2[[#This Row],[Costos (En RD$/Tarea)]]=0,0,Tabla2[[#This Row],[Beneficio Neto  (En RD$/Tarea)]]/Tabla2[[#This Row],[Costos (En RD$/Tarea)]])</f>
        <v>0.623252013615893</v>
      </c>
      <c r="P1148" s="7" t="n">
        <f aca="false">Tabla2[[#This Row],[Rentabilidad (%)]]/12</f>
        <v>0.0519376678013244</v>
      </c>
    </row>
    <row r="1149" customFormat="false" ht="14.25" hidden="false" customHeight="false" outlineLevel="0" collapsed="false">
      <c r="A1149" s="1" t="n">
        <v>39417</v>
      </c>
      <c r="B1149" s="2" t="s">
        <v>26</v>
      </c>
      <c r="C1149" s="3" t="n">
        <v>9831</v>
      </c>
      <c r="D1149" s="8" t="s">
        <v>17</v>
      </c>
      <c r="E1149" s="3" t="n">
        <f aca="false">IF(Tabla2[[#This Row],[Frecuencia]]="Annual", Tabla2[[#This Row],[Cosecha/Tarea]]/12,Tabla2[[#This Row],[Cosecha/Tarea]])</f>
        <v>9831</v>
      </c>
      <c r="F1149" s="3" t="n">
        <v>55142</v>
      </c>
      <c r="G1149" s="2" t="s">
        <v>18</v>
      </c>
      <c r="H1149" s="2" t="n">
        <f aca="false">F1149/Tabla2[[#This Row],[Cosecha Mensual]]</f>
        <v>5.60899196419489</v>
      </c>
      <c r="I1149" s="2" t="n">
        <f aca="false">H1149*_xlfn.XLOOKUP(Tabla2[[#This Row],[Unidad de producción]],Tabla3[Medida],Tabla3[Equivalencia en Kg],"ELVIS",0)</f>
        <v>254.42387549588</v>
      </c>
      <c r="J1149" s="2" t="n">
        <v>674.634</v>
      </c>
      <c r="K1149" s="2" t="s">
        <v>18</v>
      </c>
      <c r="L1149" s="2" t="n">
        <f aca="false">J1149/_xlfn.XLOOKUP(Tabla2[[#This Row],[Unidad de precio]],Tabla3[Medida],Tabla3[Equivalencia en Kg],"ELVIS",0)</f>
        <v>14.8728835978836</v>
      </c>
      <c r="M1149" s="2" t="n">
        <v>970.18</v>
      </c>
      <c r="N1149" s="3" t="n">
        <f aca="false">(Tabla2[[#This Row],[Productividad (kg/TAS)]]*Tabla2[[#This Row],[Precio por kg]]-Tabla2[[#This Row],[Costos (En RD$/Tarea)]])</f>
        <v>2813.83668477266</v>
      </c>
      <c r="O1149" s="9" t="n">
        <f aca="false">IF(Tabla2[[#This Row],[Costos (En RD$/Tarea)]]=0,0,Tabla2[[#This Row],[Beneficio Neto  (En RD$/Tarea)]]/Tabla2[[#This Row],[Costos (En RD$/Tarea)]])</f>
        <v>2.90032435710142</v>
      </c>
      <c r="P1149" s="7" t="n">
        <f aca="false">Tabla2[[#This Row],[Rentabilidad (%)]]/12</f>
        <v>0.241693696425119</v>
      </c>
    </row>
    <row r="1150" customFormat="false" ht="14.25" hidden="false" customHeight="false" outlineLevel="0" collapsed="false">
      <c r="A1150" s="1" t="n">
        <v>39417</v>
      </c>
      <c r="B1150" s="2" t="s">
        <v>27</v>
      </c>
      <c r="C1150" s="3" t="n">
        <v>3330</v>
      </c>
      <c r="D1150" s="8" t="s">
        <v>17</v>
      </c>
      <c r="E1150" s="3" t="n">
        <f aca="false">IF(Tabla2[[#This Row],[Frecuencia]]="Annual", Tabla2[[#This Row],[Cosecha/Tarea]]/12,Tabla2[[#This Row],[Cosecha/Tarea]])</f>
        <v>3330</v>
      </c>
      <c r="F1150" s="3" t="n">
        <v>22575</v>
      </c>
      <c r="G1150" s="2" t="s">
        <v>18</v>
      </c>
      <c r="H1150" s="2" t="n">
        <f aca="false">F1150/Tabla2[[#This Row],[Cosecha Mensual]]</f>
        <v>6.77927927927928</v>
      </c>
      <c r="I1150" s="2" t="n">
        <f aca="false">H1150*_xlfn.XLOOKUP(Tabla2[[#This Row],[Unidad de producción]],Tabla3[Medida],Tabla3[Equivalencia en Kg],"ELVIS",0)</f>
        <v>307.508108108108</v>
      </c>
      <c r="J1150" s="2" t="n">
        <v>473.106666666667</v>
      </c>
      <c r="K1150" s="2" t="s">
        <v>18</v>
      </c>
      <c r="L1150" s="2" t="n">
        <f aca="false">J1150/_xlfn.XLOOKUP(Tabla2[[#This Row],[Unidad de precio]],Tabla3[Medida],Tabla3[Equivalencia en Kg],"ELVIS",0)</f>
        <v>10.4300411522634</v>
      </c>
      <c r="M1150" s="2" t="n">
        <v>5280.51</v>
      </c>
      <c r="N1150" s="3" t="n">
        <f aca="false">(Tabla2[[#This Row],[Productividad (kg/TAS)]]*Tabla2[[#This Row],[Precio por kg]]-Tabla2[[#This Row],[Costos (En RD$/Tarea)]])</f>
        <v>-2073.18777777778</v>
      </c>
      <c r="O1150" s="9" t="n">
        <f aca="false">IF(Tabla2[[#This Row],[Costos (En RD$/Tarea)]]=0,0,Tabla2[[#This Row],[Beneficio Neto  (En RD$/Tarea)]]/Tabla2[[#This Row],[Costos (En RD$/Tarea)]])</f>
        <v>-0.392611277656472</v>
      </c>
      <c r="P1150" s="7" t="n">
        <f aca="false">Tabla2[[#This Row],[Rentabilidad (%)]]/12</f>
        <v>-0.0327176064713726</v>
      </c>
    </row>
    <row r="1151" customFormat="false" ht="14.25" hidden="false" customHeight="false" outlineLevel="0" collapsed="false">
      <c r="A1151" s="1" t="n">
        <v>39417</v>
      </c>
      <c r="B1151" s="2" t="s">
        <v>28</v>
      </c>
      <c r="C1151" s="3" t="n">
        <v>50775</v>
      </c>
      <c r="D1151" s="8" t="s">
        <v>17</v>
      </c>
      <c r="E1151" s="3" t="n">
        <f aca="false">IF(Tabla2[[#This Row],[Frecuencia]]="Annual", Tabla2[[#This Row],[Cosecha/Tarea]]/12,Tabla2[[#This Row],[Cosecha/Tarea]])</f>
        <v>50775</v>
      </c>
      <c r="F1151" s="3" t="n">
        <v>44499</v>
      </c>
      <c r="G1151" s="2" t="s">
        <v>29</v>
      </c>
      <c r="H1151" s="2" t="n">
        <f aca="false">F1151/Tabla2[[#This Row],[Cosecha Mensual]]</f>
        <v>0.876395864106352</v>
      </c>
      <c r="I1151" s="2" t="n">
        <f aca="false">H1151*_xlfn.XLOOKUP(Tabla2[[#This Row],[Unidad de producción]],Tabla3[Medida],Tabla3[Equivalencia en Kg],"ELVIS",0)</f>
        <v>492.832450221566</v>
      </c>
      <c r="J1151" s="2" t="n">
        <v>6762.9</v>
      </c>
      <c r="K1151" s="2" t="s">
        <v>29</v>
      </c>
      <c r="L1151" s="2" t="n">
        <f aca="false">J1151/_xlfn.XLOOKUP(Tabla2[[#This Row],[Unidad de precio]],Tabla3[Medida],Tabla3[Equivalencia en Kg],"ELVIS",0)</f>
        <v>12.0263541629619</v>
      </c>
      <c r="M1151" s="2" t="n">
        <v>10097.26</v>
      </c>
      <c r="N1151" s="3" t="n">
        <f aca="false">(Tabla2[[#This Row],[Productividad (kg/TAS)]]*Tabla2[[#This Row],[Precio por kg]]-Tabla2[[#This Row],[Costos (En RD$/Tarea)]])</f>
        <v>-4170.28241063516</v>
      </c>
      <c r="O1151" s="9" t="n">
        <f aca="false">IF(Tabla2[[#This Row],[Costos (En RD$/Tarea)]]=0,0,Tabla2[[#This Row],[Beneficio Neto  (En RD$/Tarea)]]/Tabla2[[#This Row],[Costos (En RD$/Tarea)]])</f>
        <v>-0.413011293225603</v>
      </c>
      <c r="P1151" s="7" t="n">
        <f aca="false">Tabla2[[#This Row],[Rentabilidad (%)]]/12</f>
        <v>-0.0344176077688003</v>
      </c>
    </row>
    <row r="1152" customFormat="false" ht="14.25" hidden="false" customHeight="false" outlineLevel="0" collapsed="false">
      <c r="A1152" s="1" t="n">
        <v>39417</v>
      </c>
      <c r="B1152" s="2" t="s">
        <v>30</v>
      </c>
      <c r="C1152" s="3" t="n">
        <v>292710</v>
      </c>
      <c r="D1152" s="3" t="s">
        <v>31</v>
      </c>
      <c r="E1152" s="3" t="n">
        <f aca="false">IF(Tabla2[[#This Row],[Frecuencia]]="Annual", Tabla2[[#This Row],[Cosecha/Tarea]]/12,Tabla2[[#This Row],[Cosecha/Tarea]])</f>
        <v>24392.5</v>
      </c>
      <c r="F1152" s="3" t="n">
        <v>1519316</v>
      </c>
      <c r="G1152" s="2" t="s">
        <v>32</v>
      </c>
      <c r="H1152" s="2" t="n">
        <f aca="false">F1152/Tabla2[[#This Row],[Cosecha Mensual]]</f>
        <v>62.2861945270063</v>
      </c>
      <c r="I1152" s="2" t="n">
        <f aca="false">H1152*_xlfn.XLOOKUP(Tabla2[[#This Row],[Unidad de producción]],Tabla3[Medida],Tabla3[Equivalencia en Kg],"ELVIS",0)</f>
        <v>1694.80735307984</v>
      </c>
      <c r="J1152" s="2" t="n">
        <v>109.56</v>
      </c>
      <c r="K1152" s="2" t="s">
        <v>32</v>
      </c>
      <c r="L1152" s="2" t="n">
        <f aca="false">J1152/_xlfn.XLOOKUP(Tabla2[[#This Row],[Unidad de precio]],Tabla3[Medida],Tabla3[Equivalencia en Kg],"ELVIS",0)</f>
        <v>4.02646085997795</v>
      </c>
      <c r="M1152" s="3" t="n">
        <v>8303.36</v>
      </c>
      <c r="N1152" s="3" t="n">
        <f aca="false">(Tabla2[[#This Row],[Productividad (kg/TAS)]]*Tabla2[[#This Row],[Precio por kg]]-Tabla2[[#This Row],[Costos (En RD$/Tarea)]])</f>
        <v>-1479.2845276212</v>
      </c>
      <c r="O1152" s="9" t="n">
        <f aca="false">IF(Tabla2[[#This Row],[Costos (En RD$/Tarea)]]=0,0,Tabla2[[#This Row],[Beneficio Neto  (En RD$/Tarea)]]/Tabla2[[#This Row],[Costos (En RD$/Tarea)]])</f>
        <v>-0.178154930970257</v>
      </c>
      <c r="P1152" s="7" t="n">
        <f aca="false">Tabla2[[#This Row],[Rentabilidad (%)]]/12</f>
        <v>-0.0148462442475214</v>
      </c>
    </row>
    <row r="1153" customFormat="false" ht="14.25" hidden="false" customHeight="false" outlineLevel="0" collapsed="false">
      <c r="A1153" s="1" t="n">
        <v>39417</v>
      </c>
      <c r="B1153" s="2" t="s">
        <v>33</v>
      </c>
      <c r="C1153" s="3" t="n">
        <v>583764</v>
      </c>
      <c r="D1153" s="3" t="s">
        <v>31</v>
      </c>
      <c r="E1153" s="3" t="n">
        <f aca="false">IF(Tabla2[[#This Row],[Frecuencia]]="Annual", Tabla2[[#This Row],[Cosecha/Tarea]]/12,Tabla2[[#This Row],[Cosecha/Tarea]])</f>
        <v>48647</v>
      </c>
      <c r="F1153" s="3" t="n">
        <v>84357</v>
      </c>
      <c r="G1153" s="2" t="s">
        <v>34</v>
      </c>
      <c r="H1153" s="2" t="n">
        <f aca="false">F1153/Tabla2[[#This Row],[Cosecha Mensual]]</f>
        <v>1.73406376549428</v>
      </c>
      <c r="I1153" s="2" t="n">
        <f aca="false">H1153*_xlfn.XLOOKUP(Tabla2[[#This Row],[Unidad de producción]],Tabla3[Medida],Tabla3[Equivalencia en Kg],"ELVIS",0)</f>
        <v>707.758125886488</v>
      </c>
      <c r="J1153" s="2" t="n">
        <v>4499.07142857143</v>
      </c>
      <c r="K1153" s="2" t="s">
        <v>34</v>
      </c>
      <c r="L1153" s="2" t="n">
        <f aca="false">J1153/_xlfn.XLOOKUP(Tabla2[[#This Row],[Unidad de precio]],Tabla3[Medida],Tabla3[Equivalencia en Kg],"ELVIS",0)</f>
        <v>11.0230832502056</v>
      </c>
      <c r="M1153" s="3" t="n">
        <v>11167.89</v>
      </c>
      <c r="N1153" s="3" t="n">
        <f aca="false">(Tabla2[[#This Row],[Productividad (kg/TAS)]]*Tabla2[[#This Row],[Precio por kg]]-Tabla2[[#This Row],[Costos (En RD$/Tarea)]])</f>
        <v>-3366.21325734372</v>
      </c>
      <c r="O1153" s="9" t="n">
        <f aca="false">IF(Tabla2[[#This Row],[Costos (En RD$/Tarea)]]=0,0,Tabla2[[#This Row],[Beneficio Neto  (En RD$/Tarea)]]/Tabla2[[#This Row],[Costos (En RD$/Tarea)]])</f>
        <v>-0.301418912376798</v>
      </c>
      <c r="P1153" s="7" t="n">
        <f aca="false">Tabla2[[#This Row],[Rentabilidad (%)]]/12</f>
        <v>-0.0251182426980665</v>
      </c>
    </row>
    <row r="1154" customFormat="false" ht="14.25" hidden="false" customHeight="false" outlineLevel="0" collapsed="false">
      <c r="A1154" s="1" t="n">
        <v>39448</v>
      </c>
      <c r="B1154" s="2" t="s">
        <v>16</v>
      </c>
      <c r="C1154" s="3" t="n">
        <v>47655</v>
      </c>
      <c r="D1154" s="8" t="s">
        <v>17</v>
      </c>
      <c r="E1154" s="3" t="n">
        <f aca="false">IF(Tabla2[[#This Row],[Frecuencia]]="Annual", Tabla2[[#This Row],[Cosecha/Tarea]]/12,Tabla2[[#This Row],[Cosecha/Tarea]])</f>
        <v>47655</v>
      </c>
      <c r="F1154" s="3" t="n">
        <v>145489</v>
      </c>
      <c r="G1154" s="2" t="s">
        <v>18</v>
      </c>
      <c r="H1154" s="2" t="n">
        <f aca="false">F1154/Tabla2[[#This Row],[Cosecha Mensual]]</f>
        <v>3.05296401217081</v>
      </c>
      <c r="I1154" s="2" t="n">
        <f aca="false">H1154*_xlfn.XLOOKUP(Tabla2[[#This Row],[Unidad de producción]],Tabla3[Medida],Tabla3[Equivalencia en Kg],"ELVIS",0)</f>
        <v>138.482447592068</v>
      </c>
      <c r="J1154" s="2" t="n">
        <v>1161.5</v>
      </c>
      <c r="K1154" s="2" t="s">
        <v>19</v>
      </c>
      <c r="L1154" s="2" t="n">
        <f aca="false">J1154/_xlfn.XLOOKUP(Tabla2[[#This Row],[Unidad de precio]],Tabla3[Medida],Tabla3[Equivalencia en Kg],"ELVIS",0)</f>
        <v>10.5590909090909</v>
      </c>
      <c r="M1154" s="2" t="n">
        <v>6402.1671715266</v>
      </c>
      <c r="N1154" s="3" t="n">
        <f aca="false">(Tabla2[[#This Row],[Productividad (kg/TAS)]]*Tabla2[[#This Row],[Precio por kg]]-Tabla2[[#This Row],[Costos (En RD$/Tarea)]])</f>
        <v>-4939.91841808854</v>
      </c>
      <c r="O1154" s="9" t="n">
        <f aca="false">IF(Tabla2[[#This Row],[Costos (En RD$/Tarea)]]=0,0,Tabla2[[#This Row],[Beneficio Neto  (En RD$/Tarea)]]/Tabla2[[#This Row],[Costos (En RD$/Tarea)]])</f>
        <v>-0.771600972879721</v>
      </c>
      <c r="P1154" s="7" t="n">
        <f aca="false">Tabla2[[#This Row],[Rentabilidad (%)]]/12</f>
        <v>-0.0643000810733101</v>
      </c>
    </row>
    <row r="1155" customFormat="false" ht="14.25" hidden="false" customHeight="false" outlineLevel="0" collapsed="false">
      <c r="A1155" s="1" t="n">
        <v>39448</v>
      </c>
      <c r="B1155" s="2" t="s">
        <v>20</v>
      </c>
      <c r="C1155" s="3" t="n">
        <v>31802</v>
      </c>
      <c r="D1155" s="8" t="s">
        <v>17</v>
      </c>
      <c r="E1155" s="3" t="n">
        <f aca="false">IF(Tabla2[[#This Row],[Frecuencia]]="Annual", Tabla2[[#This Row],[Cosecha/Tarea]]/12,Tabla2[[#This Row],[Cosecha/Tarea]])</f>
        <v>31802</v>
      </c>
      <c r="F1155" s="3" t="n">
        <v>42577</v>
      </c>
      <c r="G1155" s="2" t="s">
        <v>18</v>
      </c>
      <c r="H1155" s="2" t="n">
        <f aca="false">F1155/Tabla2[[#This Row],[Cosecha Mensual]]</f>
        <v>1.3388151688573</v>
      </c>
      <c r="I1155" s="2" t="n">
        <f aca="false">H1155*_xlfn.XLOOKUP(Tabla2[[#This Row],[Unidad de producción]],Tabla3[Medida],Tabla3[Equivalencia en Kg],"ELVIS",0)</f>
        <v>60.7286560593673</v>
      </c>
      <c r="J1155" s="2" t="n">
        <v>495.900371428571</v>
      </c>
      <c r="K1155" s="2" t="s">
        <v>18</v>
      </c>
      <c r="L1155" s="2" t="n">
        <f aca="false">J1155/_xlfn.XLOOKUP(Tabla2[[#This Row],[Unidad de precio]],Tabla3[Medida],Tabla3[Equivalencia en Kg],"ELVIS",0)</f>
        <v>10.9325478710002</v>
      </c>
      <c r="M1155" s="2" t="n">
        <v>1490.90401998252</v>
      </c>
      <c r="N1155" s="3" t="n">
        <f aca="false">(Tabla2[[#This Row],[Productividad (kg/TAS)]]*Tabla2[[#This Row],[Precio por kg]]-Tabla2[[#This Row],[Costos (En RD$/Tarea)]])</f>
        <v>-826.985080471977</v>
      </c>
      <c r="O1155" s="9" t="n">
        <f aca="false">IF(Tabla2[[#This Row],[Costos (En RD$/Tarea)]]=0,0,Tabla2[[#This Row],[Beneficio Neto  (En RD$/Tarea)]]/Tabla2[[#This Row],[Costos (En RD$/Tarea)]])</f>
        <v>-0.554687001569473</v>
      </c>
      <c r="P1155" s="7" t="n">
        <f aca="false">Tabla2[[#This Row],[Rentabilidad (%)]]/12</f>
        <v>-0.0462239167974561</v>
      </c>
    </row>
    <row r="1156" customFormat="false" ht="14.25" hidden="false" customHeight="false" outlineLevel="0" collapsed="false">
      <c r="A1156" s="1" t="n">
        <v>39448</v>
      </c>
      <c r="B1156" s="2" t="s">
        <v>21</v>
      </c>
      <c r="C1156" s="3" t="n">
        <v>3507</v>
      </c>
      <c r="D1156" s="8" t="s">
        <v>17</v>
      </c>
      <c r="E1156" s="3" t="n">
        <f aca="false">IF(Tabla2[[#This Row],[Frecuencia]]="Annual", Tabla2[[#This Row],[Cosecha/Tarea]]/12,Tabla2[[#This Row],[Cosecha/Tarea]])</f>
        <v>3507</v>
      </c>
      <c r="F1156" s="3" t="n">
        <v>26961</v>
      </c>
      <c r="G1156" s="2" t="s">
        <v>18</v>
      </c>
      <c r="H1156" s="2" t="n">
        <f aca="false">F1156/Tabla2[[#This Row],[Cosecha Mensual]]</f>
        <v>7.68776732249786</v>
      </c>
      <c r="I1156" s="2" t="n">
        <f aca="false">H1156*_xlfn.XLOOKUP(Tabla2[[#This Row],[Unidad de producción]],Tabla3[Medida],Tabla3[Equivalencia en Kg],"ELVIS",0)</f>
        <v>348.717125748503</v>
      </c>
      <c r="J1156" s="2" t="n">
        <v>586.55</v>
      </c>
      <c r="K1156" s="2" t="s">
        <v>18</v>
      </c>
      <c r="L1156" s="2" t="n">
        <f aca="false">J1156/_xlfn.XLOOKUP(Tabla2[[#This Row],[Unidad de precio]],Tabla3[Medida],Tabla3[Equivalencia en Kg],"ELVIS",0)</f>
        <v>12.9309964726631</v>
      </c>
      <c r="M1156" s="2" t="n">
        <v>3935.0401959</v>
      </c>
      <c r="N1156" s="3" t="n">
        <f aca="false">(Tabla2[[#This Row],[Productividad (kg/TAS)]]*Tabla2[[#This Row],[Precio por kg]]-Tabla2[[#This Row],[Costos (En RD$/Tarea)]])</f>
        <v>574.219727111121</v>
      </c>
      <c r="O1156" s="9" t="n">
        <f aca="false">IF(Tabla2[[#This Row],[Costos (En RD$/Tarea)]]=0,0,Tabla2[[#This Row],[Beneficio Neto  (En RD$/Tarea)]]/Tabla2[[#This Row],[Costos (En RD$/Tarea)]])</f>
        <v>0.145924742448479</v>
      </c>
      <c r="P1156" s="7" t="n">
        <f aca="false">Tabla2[[#This Row],[Rentabilidad (%)]]/12</f>
        <v>0.0121603952040399</v>
      </c>
    </row>
    <row r="1157" customFormat="false" ht="14.25" hidden="false" customHeight="false" outlineLevel="0" collapsed="false">
      <c r="A1157" s="1" t="n">
        <v>39448</v>
      </c>
      <c r="B1157" s="2" t="s">
        <v>22</v>
      </c>
      <c r="C1157" s="3" t="n">
        <v>6343</v>
      </c>
      <c r="D1157" s="8" t="s">
        <v>17</v>
      </c>
      <c r="E1157" s="3" t="n">
        <f aca="false">IF(Tabla2[[#This Row],[Frecuencia]]="Annual", Tabla2[[#This Row],[Cosecha/Tarea]]/12,Tabla2[[#This Row],[Cosecha/Tarea]])</f>
        <v>6343</v>
      </c>
      <c r="F1157" s="3" t="n">
        <v>60598</v>
      </c>
      <c r="G1157" s="2" t="s">
        <v>18</v>
      </c>
      <c r="H1157" s="2" t="n">
        <f aca="false">F1157/Tabla2[[#This Row],[Cosecha Mensual]]</f>
        <v>9.55352356928898</v>
      </c>
      <c r="I1157" s="2" t="n">
        <f aca="false">H1157*_xlfn.XLOOKUP(Tabla2[[#This Row],[Unidad de producción]],Tabla3[Medida],Tabla3[Equivalencia en Kg],"ELVIS",0)</f>
        <v>433.347829102948</v>
      </c>
      <c r="J1157" s="2" t="n">
        <v>934.013333333333</v>
      </c>
      <c r="K1157" s="2" t="s">
        <v>18</v>
      </c>
      <c r="L1157" s="2" t="n">
        <f aca="false">J1157/_xlfn.XLOOKUP(Tabla2[[#This Row],[Unidad de precio]],Tabla3[Medida],Tabla3[Equivalencia en Kg],"ELVIS",0)</f>
        <v>20.5911228689006</v>
      </c>
      <c r="M1157" s="2" t="n">
        <v>6901.0735717536</v>
      </c>
      <c r="N1157" s="3" t="n">
        <f aca="false">(Tabla2[[#This Row],[Productividad (kg/TAS)]]*Tabla2[[#This Row],[Precio por kg]]-Tabla2[[#This Row],[Costos (En RD$/Tarea)]])</f>
        <v>2022.04482227656</v>
      </c>
      <c r="O1157" s="9" t="n">
        <f aca="false">IF(Tabla2[[#This Row],[Costos (En RD$/Tarea)]]=0,0,Tabla2[[#This Row],[Beneficio Neto  (En RD$/Tarea)]]/Tabla2[[#This Row],[Costos (En RD$/Tarea)]])</f>
        <v>0.293004385658614</v>
      </c>
      <c r="P1157" s="7" t="n">
        <f aca="false">Tabla2[[#This Row],[Rentabilidad (%)]]/12</f>
        <v>0.0244170321382178</v>
      </c>
    </row>
    <row r="1158" customFormat="false" ht="14.25" hidden="false" customHeight="false" outlineLevel="0" collapsed="false">
      <c r="A1158" s="1" t="n">
        <v>39448</v>
      </c>
      <c r="B1158" s="2" t="s">
        <v>23</v>
      </c>
      <c r="C1158" s="3" t="n">
        <v>1600</v>
      </c>
      <c r="D1158" s="8" t="s">
        <v>17</v>
      </c>
      <c r="E1158" s="3" t="n">
        <f aca="false">IF(Tabla2[[#This Row],[Frecuencia]]="Annual", Tabla2[[#This Row],[Cosecha/Tarea]]/12,Tabla2[[#This Row],[Cosecha/Tarea]])</f>
        <v>1600</v>
      </c>
      <c r="F1158" s="3" t="n">
        <v>65315</v>
      </c>
      <c r="G1158" s="2" t="s">
        <v>18</v>
      </c>
      <c r="H1158" s="2" t="n">
        <f aca="false">F1158/Tabla2[[#This Row],[Cosecha Mensual]]</f>
        <v>40.821875</v>
      </c>
      <c r="I1158" s="2" t="n">
        <f aca="false">H1158*_xlfn.XLOOKUP(Tabla2[[#This Row],[Unidad de producción]],Tabla3[Medida],Tabla3[Equivalencia en Kg],"ELVIS",0)</f>
        <v>1851.68025</v>
      </c>
      <c r="J1158" s="2" t="n">
        <v>1089.33333333333</v>
      </c>
      <c r="K1158" s="2" t="s">
        <v>18</v>
      </c>
      <c r="L1158" s="2" t="n">
        <f aca="false">J1158/_xlfn.XLOOKUP(Tabla2[[#This Row],[Unidad de precio]],Tabla3[Medida],Tabla3[Equivalencia en Kg],"ELVIS",0)</f>
        <v>24.0152851263962</v>
      </c>
      <c r="M1158" s="2" t="n">
        <v>17874.25</v>
      </c>
      <c r="N1158" s="3" t="n">
        <f aca="false">(Tabla2[[#This Row],[Productividad (kg/TAS)]]*Tabla2[[#This Row],[Precio por kg]]-Tabla2[[#This Row],[Costos (En RD$/Tarea)]])</f>
        <v>26594.3791666665</v>
      </c>
      <c r="O1158" s="9" t="n">
        <f aca="false">IF(Tabla2[[#This Row],[Costos (En RD$/Tarea)]]=0,0,Tabla2[[#This Row],[Beneficio Neto  (En RD$/Tarea)]]/Tabla2[[#This Row],[Costos (En RD$/Tarea)]])</f>
        <v>1.48785986358401</v>
      </c>
      <c r="P1158" s="7" t="n">
        <f aca="false">Tabla2[[#This Row],[Rentabilidad (%)]]/12</f>
        <v>0.123988321965334</v>
      </c>
    </row>
    <row r="1159" customFormat="false" ht="14.25" hidden="false" customHeight="false" outlineLevel="0" collapsed="false">
      <c r="A1159" s="1" t="n">
        <v>39448</v>
      </c>
      <c r="B1159" s="2" t="s">
        <v>24</v>
      </c>
      <c r="C1159" s="3" t="n">
        <v>6490</v>
      </c>
      <c r="D1159" s="8" t="s">
        <v>17</v>
      </c>
      <c r="E1159" s="3" t="n">
        <f aca="false">IF(Tabla2[[#This Row],[Frecuencia]]="Annual", Tabla2[[#This Row],[Cosecha/Tarea]]/12,Tabla2[[#This Row],[Cosecha/Tarea]])</f>
        <v>6490</v>
      </c>
      <c r="F1159" s="3" t="n">
        <v>58448</v>
      </c>
      <c r="G1159" s="2" t="s">
        <v>18</v>
      </c>
      <c r="H1159" s="2" t="n">
        <f aca="false">F1159/Tabla2[[#This Row],[Cosecha Mensual]]</f>
        <v>9.00585516178736</v>
      </c>
      <c r="I1159" s="2" t="n">
        <f aca="false">H1159*_xlfn.XLOOKUP(Tabla2[[#This Row],[Unidad de producción]],Tabla3[Medida],Tabla3[Equivalencia en Kg],"ELVIS",0)</f>
        <v>408.505590138675</v>
      </c>
      <c r="J1159" s="2" t="n">
        <v>1085.4</v>
      </c>
      <c r="K1159" s="2" t="s">
        <v>18</v>
      </c>
      <c r="L1159" s="2" t="n">
        <f aca="false">J1159/_xlfn.XLOOKUP(Tabla2[[#This Row],[Unidad de precio]],Tabla3[Medida],Tabla3[Equivalencia en Kg],"ELVIS",0)</f>
        <v>23.9285714285714</v>
      </c>
      <c r="M1159" s="2" t="n">
        <v>5602.34206216742</v>
      </c>
      <c r="N1159" s="3" t="n">
        <f aca="false">(Tabla2[[#This Row],[Productividad (kg/TAS)]]*Tabla2[[#This Row],[Precio por kg]]-Tabla2[[#This Row],[Costos (En RD$/Tarea)]])</f>
        <v>4172.61313043659</v>
      </c>
      <c r="O1159" s="9" t="n">
        <f aca="false">IF(Tabla2[[#This Row],[Costos (En RD$/Tarea)]]=0,0,Tabla2[[#This Row],[Beneficio Neto  (En RD$/Tarea)]]/Tabla2[[#This Row],[Costos (En RD$/Tarea)]])</f>
        <v>0.744797994148593</v>
      </c>
      <c r="P1159" s="7" t="n">
        <f aca="false">Tabla2[[#This Row],[Rentabilidad (%)]]/12</f>
        <v>0.0620664995123827</v>
      </c>
    </row>
    <row r="1160" customFormat="false" ht="14.25" hidden="false" customHeight="false" outlineLevel="0" collapsed="false">
      <c r="A1160" s="1" t="n">
        <v>39448</v>
      </c>
      <c r="B1160" s="2" t="s">
        <v>25</v>
      </c>
      <c r="C1160" s="3" t="n">
        <v>18988</v>
      </c>
      <c r="D1160" s="8" t="s">
        <v>17</v>
      </c>
      <c r="E1160" s="3" t="n">
        <f aca="false">IF(Tabla2[[#This Row],[Frecuencia]]="Annual", Tabla2[[#This Row],[Cosecha/Tarea]]/12,Tabla2[[#This Row],[Cosecha/Tarea]])</f>
        <v>18988</v>
      </c>
      <c r="F1160" s="3" t="n">
        <v>194452</v>
      </c>
      <c r="G1160" s="2" t="s">
        <v>18</v>
      </c>
      <c r="H1160" s="2" t="n">
        <f aca="false">F1160/Tabla2[[#This Row],[Cosecha Mensual]]</f>
        <v>10.2407836528334</v>
      </c>
      <c r="I1160" s="2" t="n">
        <f aca="false">H1160*_xlfn.XLOOKUP(Tabla2[[#This Row],[Unidad de producción]],Tabla3[Medida],Tabla3[Equivalencia en Kg],"ELVIS",0)</f>
        <v>464.521946492522</v>
      </c>
      <c r="J1160" s="2" t="n">
        <v>459.197916666667</v>
      </c>
      <c r="K1160" s="2" t="s">
        <v>18</v>
      </c>
      <c r="L1160" s="2" t="n">
        <f aca="false">J1160/_xlfn.XLOOKUP(Tabla2[[#This Row],[Unidad de precio]],Tabla3[Medida],Tabla3[Equivalencia en Kg],"ELVIS",0)</f>
        <v>10.1234108612581</v>
      </c>
      <c r="M1160" s="2" t="n">
        <v>3201.64901153456</v>
      </c>
      <c r="N1160" s="3" t="n">
        <f aca="false">(Tabla2[[#This Row],[Productividad (kg/TAS)]]*Tabla2[[#This Row],[Precio por kg]]-Tabla2[[#This Row],[Costos (En RD$/Tarea)]])</f>
        <v>1500.89750688058</v>
      </c>
      <c r="O1160" s="9" t="n">
        <f aca="false">IF(Tabla2[[#This Row],[Costos (En RD$/Tarea)]]=0,0,Tabla2[[#This Row],[Beneficio Neto  (En RD$/Tarea)]]/Tabla2[[#This Row],[Costos (En RD$/Tarea)]])</f>
        <v>0.468788896432217</v>
      </c>
      <c r="P1160" s="7" t="n">
        <f aca="false">Tabla2[[#This Row],[Rentabilidad (%)]]/12</f>
        <v>0.0390657413693514</v>
      </c>
    </row>
    <row r="1161" customFormat="false" ht="14.25" hidden="false" customHeight="false" outlineLevel="0" collapsed="false">
      <c r="A1161" s="1" t="n">
        <v>39448</v>
      </c>
      <c r="B1161" s="2" t="s">
        <v>26</v>
      </c>
      <c r="C1161" s="3" t="n">
        <v>13264</v>
      </c>
      <c r="D1161" s="8" t="s">
        <v>17</v>
      </c>
      <c r="E1161" s="3" t="n">
        <f aca="false">IF(Tabla2[[#This Row],[Frecuencia]]="Annual", Tabla2[[#This Row],[Cosecha/Tarea]]/12,Tabla2[[#This Row],[Cosecha/Tarea]])</f>
        <v>13264</v>
      </c>
      <c r="F1161" s="3" t="n">
        <v>68295</v>
      </c>
      <c r="G1161" s="2" t="s">
        <v>18</v>
      </c>
      <c r="H1161" s="2" t="n">
        <f aca="false">F1161/Tabla2[[#This Row],[Cosecha Mensual]]</f>
        <v>5.14889927623643</v>
      </c>
      <c r="I1161" s="2" t="n">
        <f aca="false">H1161*_xlfn.XLOOKUP(Tabla2[[#This Row],[Unidad de producción]],Tabla3[Medida],Tabla3[Equivalencia en Kg],"ELVIS",0)</f>
        <v>233.554071170084</v>
      </c>
      <c r="J1161" s="2" t="n">
        <v>941.6</v>
      </c>
      <c r="K1161" s="2" t="s">
        <v>18</v>
      </c>
      <c r="L1161" s="2" t="n">
        <f aca="false">J1161/_xlfn.XLOOKUP(Tabla2[[#This Row],[Unidad de precio]],Tabla3[Medida],Tabla3[Equivalencia en Kg],"ELVIS",0)</f>
        <v>20.7583774250441</v>
      </c>
      <c r="M1161" s="2" t="n">
        <v>1294.92573769894</v>
      </c>
      <c r="N1161" s="3" t="n">
        <f aca="false">(Tabla2[[#This Row],[Productividad (kg/TAS)]]*Tabla2[[#This Row],[Precio por kg]]-Tabla2[[#This Row],[Costos (En RD$/Tarea)]])</f>
        <v>3553.27782080528</v>
      </c>
      <c r="O1161" s="9" t="n">
        <f aca="false">IF(Tabla2[[#This Row],[Costos (En RD$/Tarea)]]=0,0,Tabla2[[#This Row],[Beneficio Neto  (En RD$/Tarea)]]/Tabla2[[#This Row],[Costos (En RD$/Tarea)]])</f>
        <v>2.7440012329351</v>
      </c>
      <c r="P1161" s="7" t="n">
        <f aca="false">Tabla2[[#This Row],[Rentabilidad (%)]]/12</f>
        <v>0.228666769411258</v>
      </c>
    </row>
    <row r="1162" customFormat="false" ht="14.25" hidden="false" customHeight="false" outlineLevel="0" collapsed="false">
      <c r="A1162" s="1" t="n">
        <v>39448</v>
      </c>
      <c r="B1162" s="2" t="s">
        <v>27</v>
      </c>
      <c r="C1162" s="3" t="n">
        <v>4667</v>
      </c>
      <c r="D1162" s="8" t="s">
        <v>17</v>
      </c>
      <c r="E1162" s="3" t="n">
        <f aca="false">IF(Tabla2[[#This Row],[Frecuencia]]="Annual", Tabla2[[#This Row],[Cosecha/Tarea]]/12,Tabla2[[#This Row],[Cosecha/Tarea]])</f>
        <v>4667</v>
      </c>
      <c r="F1162" s="3" t="n">
        <v>35085</v>
      </c>
      <c r="G1162" s="2" t="s">
        <v>18</v>
      </c>
      <c r="H1162" s="2" t="n">
        <f aca="false">F1162/Tabla2[[#This Row],[Cosecha Mensual]]</f>
        <v>7.51767730876366</v>
      </c>
      <c r="I1162" s="2" t="n">
        <f aca="false">H1162*_xlfn.XLOOKUP(Tabla2[[#This Row],[Unidad de producción]],Tabla3[Medida],Tabla3[Equivalencia en Kg],"ELVIS",0)</f>
        <v>341.00184272552</v>
      </c>
      <c r="J1162" s="2" t="n">
        <v>448.2765</v>
      </c>
      <c r="K1162" s="2" t="s">
        <v>18</v>
      </c>
      <c r="L1162" s="2" t="n">
        <f aca="false">J1162/_xlfn.XLOOKUP(Tabla2[[#This Row],[Unidad de precio]],Tabla3[Medida],Tabla3[Equivalencia en Kg],"ELVIS",0)</f>
        <v>9.88263888888889</v>
      </c>
      <c r="M1162" s="2" t="n">
        <v>5429.72570566602</v>
      </c>
      <c r="N1162" s="3" t="n">
        <f aca="false">(Tabla2[[#This Row],[Productividad (kg/TAS)]]*Tabla2[[#This Row],[Precio por kg]]-Tabla2[[#This Row],[Costos (En RD$/Tarea)]])</f>
        <v>-2059.72763356403</v>
      </c>
      <c r="O1162" s="9" t="n">
        <f aca="false">IF(Tabla2[[#This Row],[Costos (En RD$/Tarea)]]=0,0,Tabla2[[#This Row],[Beneficio Neto  (En RD$/Tarea)]]/Tabla2[[#This Row],[Costos (En RD$/Tarea)]])</f>
        <v>-0.379342851778804</v>
      </c>
      <c r="P1162" s="7" t="n">
        <f aca="false">Tabla2[[#This Row],[Rentabilidad (%)]]/12</f>
        <v>-0.0316119043149003</v>
      </c>
    </row>
    <row r="1163" customFormat="false" ht="14.25" hidden="false" customHeight="false" outlineLevel="0" collapsed="false">
      <c r="A1163" s="1" t="n">
        <v>39448</v>
      </c>
      <c r="B1163" s="2" t="s">
        <v>28</v>
      </c>
      <c r="C1163" s="3" t="n">
        <v>17161</v>
      </c>
      <c r="D1163" s="8" t="s">
        <v>17</v>
      </c>
      <c r="E1163" s="3" t="n">
        <f aca="false">IF(Tabla2[[#This Row],[Frecuencia]]="Annual", Tabla2[[#This Row],[Cosecha/Tarea]]/12,Tabla2[[#This Row],[Cosecha/Tarea]])</f>
        <v>17161</v>
      </c>
      <c r="F1163" s="3" t="n">
        <v>5713</v>
      </c>
      <c r="G1163" s="2" t="s">
        <v>29</v>
      </c>
      <c r="H1163" s="2" t="n">
        <f aca="false">F1163/Tabla2[[#This Row],[Cosecha Mensual]]</f>
        <v>0.332906007808403</v>
      </c>
      <c r="I1163" s="2" t="n">
        <f aca="false">H1163*_xlfn.XLOOKUP(Tabla2[[#This Row],[Unidad de producción]],Tabla3[Medida],Tabla3[Equivalencia en Kg],"ELVIS",0)</f>
        <v>187.206364430977</v>
      </c>
      <c r="J1163" s="2" t="n">
        <v>6565.42857142857</v>
      </c>
      <c r="K1163" s="2" t="s">
        <v>29</v>
      </c>
      <c r="L1163" s="2" t="n">
        <f aca="false">J1163/_xlfn.XLOOKUP(Tabla2[[#This Row],[Unidad de precio]],Tabla3[Medida],Tabla3[Equivalencia en Kg],"ELVIS",0)</f>
        <v>11.6751939599327</v>
      </c>
      <c r="M1163" s="2" t="n">
        <v>4903.37166571833</v>
      </c>
      <c r="N1163" s="3" t="n">
        <f aca="false">(Tabla2[[#This Row],[Productividad (kg/TAS)]]*Tabla2[[#This Row],[Precio por kg]]-Tabla2[[#This Row],[Costos (En RD$/Tarea)]])</f>
        <v>-2717.70105045282</v>
      </c>
      <c r="O1163" s="9" t="n">
        <f aca="false">IF(Tabla2[[#This Row],[Costos (En RD$/Tarea)]]=0,0,Tabla2[[#This Row],[Beneficio Neto  (En RD$/Tarea)]]/Tabla2[[#This Row],[Costos (En RD$/Tarea)]])</f>
        <v>-0.554251489735825</v>
      </c>
      <c r="P1163" s="7" t="n">
        <f aca="false">Tabla2[[#This Row],[Rentabilidad (%)]]/12</f>
        <v>-0.0461876241446521</v>
      </c>
    </row>
    <row r="1164" customFormat="false" ht="14.25" hidden="false" customHeight="false" outlineLevel="0" collapsed="false">
      <c r="A1164" s="1" t="n">
        <v>39448</v>
      </c>
      <c r="B1164" s="2" t="s">
        <v>30</v>
      </c>
      <c r="C1164" s="3" t="n">
        <v>301502</v>
      </c>
      <c r="D1164" s="3" t="s">
        <v>31</v>
      </c>
      <c r="E1164" s="3" t="n">
        <f aca="false">IF(Tabla2[[#This Row],[Frecuencia]]="Annual", Tabla2[[#This Row],[Cosecha/Tarea]]/12,Tabla2[[#This Row],[Cosecha/Tarea]])</f>
        <v>25125.1666666667</v>
      </c>
      <c r="F1164" s="3" t="n">
        <v>1689888</v>
      </c>
      <c r="G1164" s="2" t="s">
        <v>32</v>
      </c>
      <c r="H1164" s="2" t="n">
        <f aca="false">F1164/Tabla2[[#This Row],[Cosecha Mensual]]</f>
        <v>67.2587777195508</v>
      </c>
      <c r="I1164" s="2" t="n">
        <f aca="false">H1164*_xlfn.XLOOKUP(Tabla2[[#This Row],[Unidad de producción]],Tabla3[Medida],Tabla3[Equivalencia en Kg],"ELVIS",0)</f>
        <v>1830.11134174898</v>
      </c>
      <c r="J1164" s="2" t="n">
        <v>105.43</v>
      </c>
      <c r="K1164" s="2" t="s">
        <v>32</v>
      </c>
      <c r="L1164" s="2" t="n">
        <f aca="false">J1164/_xlfn.XLOOKUP(Tabla2[[#This Row],[Unidad de precio]],Tabla3[Medida],Tabla3[Equivalencia en Kg],"ELVIS",0)</f>
        <v>3.87467842704888</v>
      </c>
      <c r="M1164" s="3" t="n">
        <v>8644.77930505247</v>
      </c>
      <c r="N1164" s="3" t="n">
        <f aca="false">(Tabla2[[#This Row],[Productividad (kg/TAS)]]*Tabla2[[#This Row],[Precio por kg]]-Tabla2[[#This Row],[Costos (En RD$/Tarea)]])</f>
        <v>-1553.68637008023</v>
      </c>
      <c r="O1164" s="9" t="n">
        <f aca="false">IF(Tabla2[[#This Row],[Costos (En RD$/Tarea)]]=0,0,Tabla2[[#This Row],[Beneficio Neto  (En RD$/Tarea)]]/Tabla2[[#This Row],[Costos (En RD$/Tarea)]])</f>
        <v>-0.179725394397538</v>
      </c>
      <c r="P1164" s="7" t="n">
        <f aca="false">Tabla2[[#This Row],[Rentabilidad (%)]]/12</f>
        <v>-0.0149771161997949</v>
      </c>
    </row>
    <row r="1165" customFormat="false" ht="14.25" hidden="false" customHeight="false" outlineLevel="0" collapsed="false">
      <c r="A1165" s="1" t="n">
        <v>39448</v>
      </c>
      <c r="B1165" s="2" t="s">
        <v>33</v>
      </c>
      <c r="C1165" s="3" t="n">
        <v>585186</v>
      </c>
      <c r="D1165" s="3" t="s">
        <v>31</v>
      </c>
      <c r="E1165" s="11" t="n">
        <f aca="false">IF(Tabla2[[#This Row],[Frecuencia]]="Annual", Tabla2[[#This Row],[Cosecha/Tarea]]/12,Tabla2[[#This Row],[Cosecha/Tarea]])</f>
        <v>48765.5</v>
      </c>
      <c r="F1165" s="3" t="n">
        <v>92281</v>
      </c>
      <c r="G1165" s="2" t="s">
        <v>34</v>
      </c>
      <c r="H1165" s="2" t="n">
        <f aca="false">F1165/Tabla2[[#This Row],[Cosecha Mensual]]</f>
        <v>1.89234192205555</v>
      </c>
      <c r="I1165" s="2" t="n">
        <f aca="false">H1165*_xlfn.XLOOKUP(Tabla2[[#This Row],[Unidad de producción]],Tabla3[Medida],Tabla3[Equivalencia en Kg],"ELVIS",0)</f>
        <v>772.359355486973</v>
      </c>
      <c r="J1165" s="2" t="n">
        <v>5126.76</v>
      </c>
      <c r="K1165" s="2" t="s">
        <v>34</v>
      </c>
      <c r="L1165" s="2" t="n">
        <f aca="false">J1165/_xlfn.XLOOKUP(Tabla2[[#This Row],[Unidad de precio]],Tabla3[Medida],Tabla3[Equivalencia en Kg],"ELVIS",0)</f>
        <v>12.5609702315325</v>
      </c>
      <c r="M1165" s="3" t="n">
        <v>8418.12886809492</v>
      </c>
      <c r="N1165" s="3" t="n">
        <f aca="false">(Tabla2[[#This Row],[Productividad (kg/TAS)]]*Tabla2[[#This Row],[Precio por kg]]-Tabla2[[#This Row],[Costos (En RD$/Tarea)]])</f>
        <v>1283.4540042226</v>
      </c>
      <c r="O1165" s="9" t="n">
        <f aca="false">IF(Tabla2[[#This Row],[Costos (En RD$/Tarea)]]=0,0,Tabla2[[#This Row],[Beneficio Neto  (En RD$/Tarea)]]/Tabla2[[#This Row],[Costos (En RD$/Tarea)]])</f>
        <v>0.152463097718419</v>
      </c>
      <c r="P1165" s="7" t="n">
        <f aca="false">Tabla2[[#This Row],[Rentabilidad (%)]]/12</f>
        <v>0.0127052581432016</v>
      </c>
    </row>
    <row r="1166" customFormat="false" ht="14.25" hidden="false" customHeight="false" outlineLevel="0" collapsed="false">
      <c r="A1166" s="1" t="n">
        <v>39479</v>
      </c>
      <c r="B1166" s="2" t="s">
        <v>16</v>
      </c>
      <c r="C1166" s="3" t="n">
        <v>16988</v>
      </c>
      <c r="D1166" s="8" t="s">
        <v>17</v>
      </c>
      <c r="E1166" s="3" t="n">
        <f aca="false">IF(Tabla2[[#This Row],[Frecuencia]]="Annual", Tabla2[[#This Row],[Cosecha/Tarea]]/12,Tabla2[[#This Row],[Cosecha/Tarea]])</f>
        <v>16988</v>
      </c>
      <c r="F1166" s="3" t="n">
        <v>44861</v>
      </c>
      <c r="G1166" s="2" t="s">
        <v>18</v>
      </c>
      <c r="H1166" s="2" t="n">
        <f aca="false">F1166/Tabla2[[#This Row],[Cosecha Mensual]]</f>
        <v>2.64074640923004</v>
      </c>
      <c r="I1166" s="2" t="n">
        <f aca="false">H1166*_xlfn.XLOOKUP(Tabla2[[#This Row],[Unidad de producción]],Tabla3[Medida],Tabla3[Equivalencia en Kg],"ELVIS",0)</f>
        <v>119.784257122675</v>
      </c>
      <c r="J1166" s="2" t="n">
        <v>1132.25</v>
      </c>
      <c r="K1166" s="2" t="s">
        <v>19</v>
      </c>
      <c r="L1166" s="2" t="n">
        <f aca="false">J1166/_xlfn.XLOOKUP(Tabla2[[#This Row],[Unidad de precio]],Tabla3[Medida],Tabla3[Equivalencia en Kg],"ELVIS",0)</f>
        <v>10.2931818181818</v>
      </c>
      <c r="M1166" s="2" t="n">
        <v>6402.1671715266</v>
      </c>
      <c r="N1166" s="3" t="n">
        <f aca="false">(Tabla2[[#This Row],[Productividad (kg/TAS)]]*Tabla2[[#This Row],[Precio por kg]]-Tabla2[[#This Row],[Costos (En RD$/Tarea)]])</f>
        <v>-5169.20603400707</v>
      </c>
      <c r="O1166" s="9" t="n">
        <f aca="false">IF(Tabla2[[#This Row],[Costos (En RD$/Tarea)]]=0,0,Tabla2[[#This Row],[Beneficio Neto  (En RD$/Tarea)]]/Tabla2[[#This Row],[Costos (En RD$/Tarea)]])</f>
        <v>-0.807415035489376</v>
      </c>
      <c r="P1166" s="7" t="n">
        <f aca="false">Tabla2[[#This Row],[Rentabilidad (%)]]/12</f>
        <v>-0.0672845862907813</v>
      </c>
    </row>
    <row r="1167" customFormat="false" ht="14.25" hidden="false" customHeight="false" outlineLevel="0" collapsed="false">
      <c r="A1167" s="1" t="n">
        <v>39479</v>
      </c>
      <c r="B1167" s="2" t="s">
        <v>20</v>
      </c>
      <c r="C1167" s="3" t="n">
        <v>17597</v>
      </c>
      <c r="D1167" s="8" t="s">
        <v>17</v>
      </c>
      <c r="E1167" s="3" t="n">
        <f aca="false">IF(Tabla2[[#This Row],[Frecuencia]]="Annual", Tabla2[[#This Row],[Cosecha/Tarea]]/12,Tabla2[[#This Row],[Cosecha/Tarea]])</f>
        <v>17597</v>
      </c>
      <c r="F1167" s="3" t="n">
        <v>29949</v>
      </c>
      <c r="G1167" s="2" t="s">
        <v>18</v>
      </c>
      <c r="H1167" s="2" t="n">
        <f aca="false">F1167/Tabla2[[#This Row],[Cosecha Mensual]]</f>
        <v>1.70193783031199</v>
      </c>
      <c r="I1167" s="2" t="n">
        <f aca="false">H1167*_xlfn.XLOOKUP(Tabla2[[#This Row],[Unidad de producción]],Tabla3[Medida],Tabla3[Equivalencia en Kg],"ELVIS",0)</f>
        <v>77.1998999829516</v>
      </c>
      <c r="J1167" s="2" t="n">
        <v>498.541114285714</v>
      </c>
      <c r="K1167" s="2" t="s">
        <v>18</v>
      </c>
      <c r="L1167" s="2" t="n">
        <f aca="false">J1167/_xlfn.XLOOKUP(Tabla2[[#This Row],[Unidad de precio]],Tabla3[Medida],Tabla3[Equivalencia en Kg],"ELVIS",0)</f>
        <v>10.9907653061224</v>
      </c>
      <c r="M1167" s="2" t="n">
        <v>1490.90401998252</v>
      </c>
      <c r="N1167" s="3" t="n">
        <f aca="false">(Tabla2[[#This Row],[Productividad (kg/TAS)]]*Tabla2[[#This Row],[Precio por kg]]-Tabla2[[#This Row],[Costos (En RD$/Tarea)]])</f>
        <v>-642.418037613773</v>
      </c>
      <c r="O1167" s="9" t="n">
        <f aca="false">IF(Tabla2[[#This Row],[Costos (En RD$/Tarea)]]=0,0,Tabla2[[#This Row],[Beneficio Neto  (En RD$/Tarea)]]/Tabla2[[#This Row],[Costos (En RD$/Tarea)]])</f>
        <v>-0.430891612741982</v>
      </c>
      <c r="P1167" s="7" t="n">
        <f aca="false">Tabla2[[#This Row],[Rentabilidad (%)]]/12</f>
        <v>-0.0359076343951652</v>
      </c>
    </row>
    <row r="1168" customFormat="false" ht="14.25" hidden="false" customHeight="false" outlineLevel="0" collapsed="false">
      <c r="A1168" s="1" t="n">
        <v>39479</v>
      </c>
      <c r="B1168" s="2" t="s">
        <v>21</v>
      </c>
      <c r="C1168" s="3" t="n">
        <v>4016</v>
      </c>
      <c r="D1168" s="8" t="s">
        <v>17</v>
      </c>
      <c r="E1168" s="3" t="n">
        <f aca="false">IF(Tabla2[[#This Row],[Frecuencia]]="Annual", Tabla2[[#This Row],[Cosecha/Tarea]]/12,Tabla2[[#This Row],[Cosecha/Tarea]])</f>
        <v>4016</v>
      </c>
      <c r="F1168" s="3" t="n">
        <v>35581</v>
      </c>
      <c r="G1168" s="2" t="s">
        <v>18</v>
      </c>
      <c r="H1168" s="2" t="n">
        <f aca="false">F1168/Tabla2[[#This Row],[Cosecha Mensual]]</f>
        <v>8.85981075697211</v>
      </c>
      <c r="I1168" s="2" t="n">
        <f aca="false">H1168*_xlfn.XLOOKUP(Tabla2[[#This Row],[Unidad de producción]],Tabla3[Medida],Tabla3[Equivalencia en Kg],"ELVIS",0)</f>
        <v>401.881015936255</v>
      </c>
      <c r="J1168" s="2" t="n">
        <v>771.976666666667</v>
      </c>
      <c r="K1168" s="2" t="s">
        <v>18</v>
      </c>
      <c r="L1168" s="2" t="n">
        <f aca="false">J1168/_xlfn.XLOOKUP(Tabla2[[#This Row],[Unidad de precio]],Tabla3[Medida],Tabla3[Equivalencia en Kg],"ELVIS",0)</f>
        <v>17.0188859494415</v>
      </c>
      <c r="M1168" s="2" t="n">
        <v>3935.0401959</v>
      </c>
      <c r="N1168" s="3" t="n">
        <f aca="false">(Tabla2[[#This Row],[Productividad (kg/TAS)]]*Tabla2[[#This Row],[Precio por kg]]-Tabla2[[#This Row],[Costos (En RD$/Tarea)]])</f>
        <v>2904.52697956481</v>
      </c>
      <c r="O1168" s="9" t="n">
        <f aca="false">IF(Tabla2[[#This Row],[Costos (En RD$/Tarea)]]=0,0,Tabla2[[#This Row],[Beneficio Neto  (En RD$/Tarea)]]/Tabla2[[#This Row],[Costos (En RD$/Tarea)]])</f>
        <v>0.738118757361385</v>
      </c>
      <c r="P1168" s="7" t="n">
        <f aca="false">Tabla2[[#This Row],[Rentabilidad (%)]]/12</f>
        <v>0.0615098964467821</v>
      </c>
    </row>
    <row r="1169" customFormat="false" ht="14.25" hidden="false" customHeight="false" outlineLevel="0" collapsed="false">
      <c r="A1169" s="1" t="n">
        <v>39479</v>
      </c>
      <c r="B1169" s="2" t="s">
        <v>22</v>
      </c>
      <c r="C1169" s="3" t="n">
        <v>9040</v>
      </c>
      <c r="D1169" s="8" t="s">
        <v>17</v>
      </c>
      <c r="E1169" s="3" t="n">
        <f aca="false">IF(Tabla2[[#This Row],[Frecuencia]]="Annual", Tabla2[[#This Row],[Cosecha/Tarea]]/12,Tabla2[[#This Row],[Cosecha/Tarea]])</f>
        <v>9040</v>
      </c>
      <c r="F1169" s="3" t="n">
        <v>88296</v>
      </c>
      <c r="G1169" s="2" t="s">
        <v>18</v>
      </c>
      <c r="H1169" s="2" t="n">
        <f aca="false">F1169/Tabla2[[#This Row],[Cosecha Mensual]]</f>
        <v>9.76725663716814</v>
      </c>
      <c r="I1169" s="2" t="n">
        <f aca="false">H1169*_xlfn.XLOOKUP(Tabla2[[#This Row],[Unidad de producción]],Tabla3[Medida],Tabla3[Equivalencia en Kg],"ELVIS",0)</f>
        <v>443.042761061947</v>
      </c>
      <c r="J1169" s="2" t="n">
        <v>907.9</v>
      </c>
      <c r="K1169" s="2" t="s">
        <v>18</v>
      </c>
      <c r="L1169" s="2" t="n">
        <f aca="false">J1169/_xlfn.XLOOKUP(Tabla2[[#This Row],[Unidad de precio]],Tabla3[Medida],Tabla3[Equivalencia en Kg],"ELVIS",0)</f>
        <v>20.0154320987654</v>
      </c>
      <c r="M1169" s="2" t="n">
        <v>6901.0735717536</v>
      </c>
      <c r="N1169" s="3" t="n">
        <f aca="false">(Tabla2[[#This Row],[Productividad (kg/TAS)]]*Tabla2[[#This Row],[Precio por kg]]-Tabla2[[#This Row],[Costos (En RD$/Tarea)]])</f>
        <v>1966.61872913136</v>
      </c>
      <c r="O1169" s="9" t="n">
        <f aca="false">IF(Tabla2[[#This Row],[Costos (En RD$/Tarea)]]=0,0,Tabla2[[#This Row],[Beneficio Neto  (En RD$/Tarea)]]/Tabla2[[#This Row],[Costos (En RD$/Tarea)]])</f>
        <v>0.284972868160805</v>
      </c>
      <c r="P1169" s="7" t="n">
        <f aca="false">Tabla2[[#This Row],[Rentabilidad (%)]]/12</f>
        <v>0.0237477390134004</v>
      </c>
    </row>
    <row r="1170" customFormat="false" ht="14.25" hidden="false" customHeight="false" outlineLevel="0" collapsed="false">
      <c r="A1170" s="1" t="n">
        <v>39479</v>
      </c>
      <c r="B1170" s="2" t="s">
        <v>23</v>
      </c>
      <c r="C1170" s="3" t="n">
        <v>3442</v>
      </c>
      <c r="D1170" s="8" t="s">
        <v>17</v>
      </c>
      <c r="E1170" s="3" t="n">
        <f aca="false">IF(Tabla2[[#This Row],[Frecuencia]]="Annual", Tabla2[[#This Row],[Cosecha/Tarea]]/12,Tabla2[[#This Row],[Cosecha/Tarea]])</f>
        <v>3442</v>
      </c>
      <c r="F1170" s="3" t="n">
        <v>76995</v>
      </c>
      <c r="G1170" s="2" t="s">
        <v>18</v>
      </c>
      <c r="H1170" s="2" t="n">
        <f aca="false">F1170/Tabla2[[#This Row],[Cosecha Mensual]]</f>
        <v>22.3692620569436</v>
      </c>
      <c r="I1170" s="2" t="n">
        <f aca="false">H1170*_xlfn.XLOOKUP(Tabla2[[#This Row],[Unidad de producción]],Tabla3[Medida],Tabla3[Equivalencia en Kg],"ELVIS",0)</f>
        <v>1014.66972690296</v>
      </c>
      <c r="J1170" s="2" t="n">
        <v>795</v>
      </c>
      <c r="K1170" s="2" t="s">
        <v>18</v>
      </c>
      <c r="L1170" s="2" t="n">
        <f aca="false">J1170/_xlfn.XLOOKUP(Tabla2[[#This Row],[Unidad de precio]],Tabla3[Medida],Tabla3[Equivalencia en Kg],"ELVIS",0)</f>
        <v>17.526455026455</v>
      </c>
      <c r="M1170" s="2" t="n">
        <v>17874.25</v>
      </c>
      <c r="N1170" s="3" t="n">
        <f aca="false">(Tabla2[[#This Row],[Productividad (kg/TAS)]]*Tabla2[[#This Row],[Precio por kg]]-Tabla2[[#This Row],[Costos (En RD$/Tarea)]])</f>
        <v>-90.6866647298084</v>
      </c>
      <c r="O1170" s="9" t="n">
        <f aca="false">IF(Tabla2[[#This Row],[Costos (En RD$/Tarea)]]=0,0,Tabla2[[#This Row],[Beneficio Neto  (En RD$/Tarea)]]/Tabla2[[#This Row],[Costos (En RD$/Tarea)]])</f>
        <v>-0.0050735927230406</v>
      </c>
      <c r="P1170" s="7" t="n">
        <f aca="false">Tabla2[[#This Row],[Rentabilidad (%)]]/12</f>
        <v>-0.000422799393586716</v>
      </c>
    </row>
    <row r="1171" customFormat="false" ht="14.25" hidden="false" customHeight="false" outlineLevel="0" collapsed="false">
      <c r="A1171" s="1" t="n">
        <v>39479</v>
      </c>
      <c r="B1171" s="2" t="s">
        <v>24</v>
      </c>
      <c r="C1171" s="3" t="n">
        <v>6681</v>
      </c>
      <c r="D1171" s="8" t="s">
        <v>17</v>
      </c>
      <c r="E1171" s="3" t="n">
        <f aca="false">IF(Tabla2[[#This Row],[Frecuencia]]="Annual", Tabla2[[#This Row],[Cosecha/Tarea]]/12,Tabla2[[#This Row],[Cosecha/Tarea]])</f>
        <v>6681</v>
      </c>
      <c r="F1171" s="3" t="n">
        <v>60628</v>
      </c>
      <c r="G1171" s="2" t="s">
        <v>18</v>
      </c>
      <c r="H1171" s="2" t="n">
        <f aca="false">F1171/Tabla2[[#This Row],[Cosecha Mensual]]</f>
        <v>9.07468941775183</v>
      </c>
      <c r="I1171" s="2" t="n">
        <f aca="false">H1171*_xlfn.XLOOKUP(Tabla2[[#This Row],[Unidad de producción]],Tabla3[Medida],Tabla3[Equivalencia en Kg],"ELVIS",0)</f>
        <v>411.627911989223</v>
      </c>
      <c r="J1171" s="2" t="n">
        <v>1024.25</v>
      </c>
      <c r="K1171" s="2" t="s">
        <v>18</v>
      </c>
      <c r="L1171" s="2" t="n">
        <f aca="false">J1171/_xlfn.XLOOKUP(Tabla2[[#This Row],[Unidad de precio]],Tabla3[Medida],Tabla3[Equivalencia en Kg],"ELVIS",0)</f>
        <v>22.580467372134</v>
      </c>
      <c r="M1171" s="2" t="n">
        <v>5602.34206216742</v>
      </c>
      <c r="N1171" s="3" t="n">
        <f aca="false">(Tabla2[[#This Row],[Productividad (kg/TAS)]]*Tabla2[[#This Row],[Precio por kg]]-Tabla2[[#This Row],[Costos (En RD$/Tarea)]])</f>
        <v>3692.4085739649</v>
      </c>
      <c r="O1171" s="9" t="n">
        <f aca="false">IF(Tabla2[[#This Row],[Costos (En RD$/Tarea)]]=0,0,Tabla2[[#This Row],[Beneficio Neto  (En RD$/Tarea)]]/Tabla2[[#This Row],[Costos (En RD$/Tarea)]])</f>
        <v>0.659083028667547</v>
      </c>
      <c r="P1171" s="7" t="n">
        <f aca="false">Tabla2[[#This Row],[Rentabilidad (%)]]/12</f>
        <v>0.0549235857222956</v>
      </c>
    </row>
    <row r="1172" customFormat="false" ht="14.25" hidden="false" customHeight="false" outlineLevel="0" collapsed="false">
      <c r="A1172" s="1" t="n">
        <v>39479</v>
      </c>
      <c r="B1172" s="2" t="s">
        <v>25</v>
      </c>
      <c r="C1172" s="3" t="n">
        <v>23574</v>
      </c>
      <c r="D1172" s="8" t="s">
        <v>17</v>
      </c>
      <c r="E1172" s="3" t="n">
        <f aca="false">IF(Tabla2[[#This Row],[Frecuencia]]="Annual", Tabla2[[#This Row],[Cosecha/Tarea]]/12,Tabla2[[#This Row],[Cosecha/Tarea]])</f>
        <v>23574</v>
      </c>
      <c r="F1172" s="3" t="n">
        <v>243053</v>
      </c>
      <c r="G1172" s="2" t="s">
        <v>18</v>
      </c>
      <c r="H1172" s="2" t="n">
        <f aca="false">F1172/Tabla2[[#This Row],[Cosecha Mensual]]</f>
        <v>10.310214643251</v>
      </c>
      <c r="I1172" s="2" t="n">
        <f aca="false">H1172*_xlfn.XLOOKUP(Tabla2[[#This Row],[Unidad de producción]],Tabla3[Medida],Tabla3[Equivalencia en Kg],"ELVIS",0)</f>
        <v>467.671336217867</v>
      </c>
      <c r="J1172" s="2" t="n">
        <v>791.257142857143</v>
      </c>
      <c r="K1172" s="2" t="s">
        <v>18</v>
      </c>
      <c r="L1172" s="2" t="n">
        <f aca="false">J1172/_xlfn.XLOOKUP(Tabla2[[#This Row],[Unidad de precio]],Tabla3[Medida],Tabla3[Equivalencia en Kg],"ELVIS",0)</f>
        <v>17.4439405391786</v>
      </c>
      <c r="M1172" s="2" t="n">
        <v>3201.64901153456</v>
      </c>
      <c r="N1172" s="3" t="n">
        <f aca="false">(Tabla2[[#This Row],[Productividad (kg/TAS)]]*Tabla2[[#This Row],[Precio por kg]]-Tabla2[[#This Row],[Costos (En RD$/Tarea)]])</f>
        <v>4956.38196932814</v>
      </c>
      <c r="O1172" s="9" t="n">
        <f aca="false">IF(Tabla2[[#This Row],[Costos (En RD$/Tarea)]]=0,0,Tabla2[[#This Row],[Beneficio Neto  (En RD$/Tarea)]]/Tabla2[[#This Row],[Costos (En RD$/Tarea)]])</f>
        <v>1.54807161917868</v>
      </c>
      <c r="P1172" s="7" t="n">
        <f aca="false">Tabla2[[#This Row],[Rentabilidad (%)]]/12</f>
        <v>0.12900596826489</v>
      </c>
    </row>
    <row r="1173" customFormat="false" ht="14.25" hidden="false" customHeight="false" outlineLevel="0" collapsed="false">
      <c r="A1173" s="1" t="n">
        <v>39479</v>
      </c>
      <c r="B1173" s="2" t="s">
        <v>26</v>
      </c>
      <c r="C1173" s="3" t="n">
        <v>16599</v>
      </c>
      <c r="D1173" s="8" t="s">
        <v>17</v>
      </c>
      <c r="E1173" s="3" t="n">
        <f aca="false">IF(Tabla2[[#This Row],[Frecuencia]]="Annual", Tabla2[[#This Row],[Cosecha/Tarea]]/12,Tabla2[[#This Row],[Cosecha/Tarea]])</f>
        <v>16599</v>
      </c>
      <c r="F1173" s="3" t="n">
        <v>107207</v>
      </c>
      <c r="G1173" s="2" t="s">
        <v>18</v>
      </c>
      <c r="H1173" s="2" t="n">
        <f aca="false">F1173/Tabla2[[#This Row],[Cosecha Mensual]]</f>
        <v>6.4586420868727</v>
      </c>
      <c r="I1173" s="2" t="n">
        <f aca="false">H1173*_xlfn.XLOOKUP(Tabla2[[#This Row],[Unidad de producción]],Tabla3[Medida],Tabla3[Equivalencia en Kg],"ELVIS",0)</f>
        <v>292.964005060546</v>
      </c>
      <c r="J1173" s="2" t="n">
        <v>682.655</v>
      </c>
      <c r="K1173" s="2" t="s">
        <v>18</v>
      </c>
      <c r="L1173" s="2" t="n">
        <f aca="false">J1173/_xlfn.XLOOKUP(Tabla2[[#This Row],[Unidad de precio]],Tabla3[Medida],Tabla3[Equivalencia en Kg],"ELVIS",0)</f>
        <v>15.0497134038801</v>
      </c>
      <c r="M1173" s="2" t="n">
        <v>1294.92573769894</v>
      </c>
      <c r="N1173" s="3" t="n">
        <f aca="false">(Tabla2[[#This Row],[Productividad (kg/TAS)]]*Tabla2[[#This Row],[Precio por kg]]-Tabla2[[#This Row],[Costos (En RD$/Tarea)]])</f>
        <v>3114.09857611514</v>
      </c>
      <c r="O1173" s="9" t="n">
        <f aca="false">IF(Tabla2[[#This Row],[Costos (En RD$/Tarea)]]=0,0,Tabla2[[#This Row],[Beneficio Neto  (En RD$/Tarea)]]/Tabla2[[#This Row],[Costos (En RD$/Tarea)]])</f>
        <v>2.40484723212687</v>
      </c>
      <c r="P1173" s="7" t="n">
        <f aca="false">Tabla2[[#This Row],[Rentabilidad (%)]]/12</f>
        <v>0.200403936010573</v>
      </c>
    </row>
    <row r="1174" customFormat="false" ht="14.25" hidden="false" customHeight="false" outlineLevel="0" collapsed="false">
      <c r="A1174" s="1" t="n">
        <v>39479</v>
      </c>
      <c r="B1174" s="2" t="s">
        <v>27</v>
      </c>
      <c r="C1174" s="3" t="n">
        <v>4778</v>
      </c>
      <c r="D1174" s="8" t="s">
        <v>17</v>
      </c>
      <c r="E1174" s="3" t="n">
        <f aca="false">IF(Tabla2[[#This Row],[Frecuencia]]="Annual", Tabla2[[#This Row],[Cosecha/Tarea]]/12,Tabla2[[#This Row],[Cosecha/Tarea]])</f>
        <v>4778</v>
      </c>
      <c r="F1174" s="3" t="n">
        <v>37777</v>
      </c>
      <c r="G1174" s="2" t="s">
        <v>18</v>
      </c>
      <c r="H1174" s="2" t="n">
        <f aca="false">F1174/Tabla2[[#This Row],[Cosecha Mensual]]</f>
        <v>7.9064462118041</v>
      </c>
      <c r="I1174" s="2" t="n">
        <f aca="false">H1174*_xlfn.XLOOKUP(Tabla2[[#This Row],[Unidad de producción]],Tabla3[Medida],Tabla3[Equivalencia en Kg],"ELVIS",0)</f>
        <v>358.636400167434</v>
      </c>
      <c r="J1174" s="2" t="n">
        <v>430.7328</v>
      </c>
      <c r="K1174" s="2" t="s">
        <v>18</v>
      </c>
      <c r="L1174" s="2" t="n">
        <f aca="false">J1174/_xlfn.XLOOKUP(Tabla2[[#This Row],[Unidad de precio]],Tabla3[Medida],Tabla3[Equivalencia en Kg],"ELVIS",0)</f>
        <v>9.49587301587302</v>
      </c>
      <c r="M1174" s="2" t="n">
        <v>5429.72570566602</v>
      </c>
      <c r="N1174" s="3" t="n">
        <f aca="false">(Tabla2[[#This Row],[Productividad (kg/TAS)]]*Tabla2[[#This Row],[Precio por kg]]-Tabla2[[#This Row],[Costos (En RD$/Tarea)]])</f>
        <v>-2024.15999080625</v>
      </c>
      <c r="O1174" s="9" t="n">
        <f aca="false">IF(Tabla2[[#This Row],[Costos (En RD$/Tarea)]]=0,0,Tabla2[[#This Row],[Beneficio Neto  (En RD$/Tarea)]]/Tabla2[[#This Row],[Costos (En RD$/Tarea)]])</f>
        <v>-0.37279231042813</v>
      </c>
      <c r="P1174" s="7" t="n">
        <f aca="false">Tabla2[[#This Row],[Rentabilidad (%)]]/12</f>
        <v>-0.0310660258690109</v>
      </c>
    </row>
    <row r="1175" customFormat="false" ht="14.25" hidden="false" customHeight="false" outlineLevel="0" collapsed="false">
      <c r="A1175" s="1" t="n">
        <v>39479</v>
      </c>
      <c r="B1175" s="2" t="s">
        <v>28</v>
      </c>
      <c r="C1175" s="3" t="n">
        <v>5684</v>
      </c>
      <c r="D1175" s="8" t="s">
        <v>17</v>
      </c>
      <c r="E1175" s="3" t="n">
        <f aca="false">IF(Tabla2[[#This Row],[Frecuencia]]="Annual", Tabla2[[#This Row],[Cosecha/Tarea]]/12,Tabla2[[#This Row],[Cosecha/Tarea]])</f>
        <v>5684</v>
      </c>
      <c r="F1175" s="3" t="n">
        <v>5791</v>
      </c>
      <c r="G1175" s="2" t="s">
        <v>29</v>
      </c>
      <c r="H1175" s="2" t="n">
        <f aca="false">F1175/Tabla2[[#This Row],[Cosecha Mensual]]</f>
        <v>1.01882477128783</v>
      </c>
      <c r="I1175" s="2" t="n">
        <f aca="false">H1175*_xlfn.XLOOKUP(Tabla2[[#This Row],[Unidad de producción]],Tabla3[Medida],Tabla3[Equivalencia en Kg],"ELVIS",0)</f>
        <v>572.925921885996</v>
      </c>
      <c r="J1175" s="2" t="n">
        <v>6185.5</v>
      </c>
      <c r="K1175" s="2" t="s">
        <v>29</v>
      </c>
      <c r="L1175" s="2" t="n">
        <f aca="false">J1175/_xlfn.XLOOKUP(Tabla2[[#This Row],[Unidad de precio]],Tabla3[Medida],Tabla3[Equivalencia en Kg],"ELVIS",0)</f>
        <v>10.9995732119358</v>
      </c>
      <c r="M1175" s="2" t="n">
        <v>4903.37166571833</v>
      </c>
      <c r="N1175" s="3" t="n">
        <f aca="false">(Tabla2[[#This Row],[Productividad (kg/TAS)]]*Tabla2[[#This Row],[Precio por kg]]-Tabla2[[#This Row],[Costos (En RD$/Tarea)]])</f>
        <v>1398.56895708252</v>
      </c>
      <c r="O1175" s="9" t="n">
        <f aca="false">IF(Tabla2[[#This Row],[Costos (En RD$/Tarea)]]=0,0,Tabla2[[#This Row],[Beneficio Neto  (En RD$/Tarea)]]/Tabla2[[#This Row],[Costos (En RD$/Tarea)]])</f>
        <v>0.285225973560303</v>
      </c>
      <c r="P1175" s="7" t="n">
        <f aca="false">Tabla2[[#This Row],[Rentabilidad (%)]]/12</f>
        <v>0.0237688311300252</v>
      </c>
    </row>
    <row r="1176" customFormat="false" ht="14.25" hidden="false" customHeight="false" outlineLevel="0" collapsed="false">
      <c r="A1176" s="1" t="n">
        <v>39479</v>
      </c>
      <c r="B1176" s="2" t="s">
        <v>30</v>
      </c>
      <c r="C1176" s="3" t="n">
        <v>256704</v>
      </c>
      <c r="D1176" s="3" t="s">
        <v>31</v>
      </c>
      <c r="E1176" s="3" t="n">
        <f aca="false">IF(Tabla2[[#This Row],[Frecuencia]]="Annual", Tabla2[[#This Row],[Cosecha/Tarea]]/12,Tabla2[[#This Row],[Cosecha/Tarea]])</f>
        <v>21392</v>
      </c>
      <c r="F1176" s="3" t="n">
        <v>1363153</v>
      </c>
      <c r="G1176" s="2" t="s">
        <v>32</v>
      </c>
      <c r="H1176" s="2" t="n">
        <f aca="false">F1176/Tabla2[[#This Row],[Cosecha Mensual]]</f>
        <v>63.7225598354525</v>
      </c>
      <c r="I1176" s="2" t="n">
        <f aca="false">H1176*_xlfn.XLOOKUP(Tabla2[[#This Row],[Unidad de producción]],Tabla3[Medida],Tabla3[Equivalencia en Kg],"ELVIS",0)</f>
        <v>1733.89085312266</v>
      </c>
      <c r="J1176" s="2" t="n">
        <v>109.19</v>
      </c>
      <c r="K1176" s="2" t="s">
        <v>32</v>
      </c>
      <c r="L1176" s="2" t="n">
        <f aca="false">J1176/_xlfn.XLOOKUP(Tabla2[[#This Row],[Unidad de precio]],Tabla3[Medida],Tabla3[Equivalencia en Kg],"ELVIS",0)</f>
        <v>4.01286291804484</v>
      </c>
      <c r="M1176" s="3" t="n">
        <v>8644.77930505247</v>
      </c>
      <c r="N1176" s="3" t="n">
        <f aca="false">(Tabla2[[#This Row],[Productividad (kg/TAS)]]*Tabla2[[#This Row],[Precio por kg]]-Tabla2[[#This Row],[Costos (En RD$/Tarea)]])</f>
        <v>-1686.91299661941</v>
      </c>
      <c r="O1176" s="9" t="n">
        <f aca="false">IF(Tabla2[[#This Row],[Costos (En RD$/Tarea)]]=0,0,Tabla2[[#This Row],[Beneficio Neto  (En RD$/Tarea)]]/Tabla2[[#This Row],[Costos (En RD$/Tarea)]])</f>
        <v>-0.195136617962415</v>
      </c>
      <c r="P1176" s="7" t="n">
        <f aca="false">Tabla2[[#This Row],[Rentabilidad (%)]]/12</f>
        <v>-0.0162613848302012</v>
      </c>
    </row>
    <row r="1177" customFormat="false" ht="14.25" hidden="false" customHeight="false" outlineLevel="0" collapsed="false">
      <c r="A1177" s="1" t="n">
        <v>39479</v>
      </c>
      <c r="B1177" s="2" t="s">
        <v>33</v>
      </c>
      <c r="C1177" s="3" t="n">
        <v>584582</v>
      </c>
      <c r="D1177" s="3" t="s">
        <v>31</v>
      </c>
      <c r="E1177" s="11" t="n">
        <f aca="false">IF(Tabla2[[#This Row],[Frecuencia]]="Annual", Tabla2[[#This Row],[Cosecha/Tarea]]/12,Tabla2[[#This Row],[Cosecha/Tarea]])</f>
        <v>48715.1666666667</v>
      </c>
      <c r="F1177" s="3" t="n">
        <v>92076</v>
      </c>
      <c r="G1177" s="2" t="s">
        <v>34</v>
      </c>
      <c r="H1177" s="2" t="n">
        <f aca="false">F1177/Tabla2[[#This Row],[Cosecha Mensual]]</f>
        <v>1.89008898666055</v>
      </c>
      <c r="I1177" s="2" t="n">
        <f aca="false">H1177*_xlfn.XLOOKUP(Tabla2[[#This Row],[Unidad de producción]],Tabla3[Medida],Tabla3[Equivalencia en Kg],"ELVIS",0)</f>
        <v>771.439819905505</v>
      </c>
      <c r="J1177" s="2" t="n">
        <v>5749.47571428571</v>
      </c>
      <c r="K1177" s="2" t="s">
        <v>34</v>
      </c>
      <c r="L1177" s="2" t="n">
        <f aca="false">J1177/_xlfn.XLOOKUP(Tabla2[[#This Row],[Unidad de precio]],Tabla3[Medida],Tabla3[Equivalencia en Kg],"ELVIS",0)</f>
        <v>14.0866733168828</v>
      </c>
      <c r="M1177" s="3" t="n">
        <v>8418.12886809492</v>
      </c>
      <c r="N1177" s="3" t="n">
        <f aca="false">(Tabla2[[#This Row],[Productividad (kg/TAS)]]*Tabla2[[#This Row],[Precio por kg]]-Tabla2[[#This Row],[Costos (En RD$/Tarea)]])</f>
        <v>2448.89185854882</v>
      </c>
      <c r="O1177" s="9" t="n">
        <f aca="false">IF(Tabla2[[#This Row],[Costos (En RD$/Tarea)]]=0,0,Tabla2[[#This Row],[Beneficio Neto  (En RD$/Tarea)]]/Tabla2[[#This Row],[Costos (En RD$/Tarea)]])</f>
        <v>0.290906910184071</v>
      </c>
      <c r="P1177" s="7" t="n">
        <f aca="false">Tabla2[[#This Row],[Rentabilidad (%)]]/12</f>
        <v>0.0242422425153392</v>
      </c>
    </row>
    <row r="1178" customFormat="false" ht="14.25" hidden="false" customHeight="false" outlineLevel="0" collapsed="false">
      <c r="A1178" s="1" t="n">
        <v>39508</v>
      </c>
      <c r="B1178" s="2" t="s">
        <v>16</v>
      </c>
      <c r="C1178" s="3" t="n">
        <v>5770</v>
      </c>
      <c r="D1178" s="8" t="s">
        <v>17</v>
      </c>
      <c r="E1178" s="3" t="n">
        <f aca="false">IF(Tabla2[[#This Row],[Frecuencia]]="Annual", Tabla2[[#This Row],[Cosecha/Tarea]]/12,Tabla2[[#This Row],[Cosecha/Tarea]])</f>
        <v>5770</v>
      </c>
      <c r="F1178" s="3" t="n">
        <v>28134</v>
      </c>
      <c r="G1178" s="2" t="s">
        <v>18</v>
      </c>
      <c r="H1178" s="2" t="n">
        <f aca="false">F1178/Tabla2[[#This Row],[Cosecha Mensual]]</f>
        <v>4.87590987868284</v>
      </c>
      <c r="I1178" s="2" t="n">
        <f aca="false">H1178*_xlfn.XLOOKUP(Tabla2[[#This Row],[Unidad de producción]],Tabla3[Medida],Tabla3[Equivalencia en Kg],"ELVIS",0)</f>
        <v>221.171272097054</v>
      </c>
      <c r="J1178" s="2" t="n">
        <v>1102</v>
      </c>
      <c r="K1178" s="2" t="s">
        <v>19</v>
      </c>
      <c r="L1178" s="2" t="n">
        <f aca="false">J1178/_xlfn.XLOOKUP(Tabla2[[#This Row],[Unidad de precio]],Tabla3[Medida],Tabla3[Equivalencia en Kg],"ELVIS",0)</f>
        <v>10.0181818181818</v>
      </c>
      <c r="M1178" s="2" t="n">
        <v>6402.1671715266</v>
      </c>
      <c r="N1178" s="3" t="n">
        <f aca="false">(Tabla2[[#This Row],[Productividad (kg/TAS)]]*Tabla2[[#This Row],[Precio por kg]]-Tabla2[[#This Row],[Costos (En RD$/Tarea)]])</f>
        <v>-4186.43315469975</v>
      </c>
      <c r="O1178" s="9" t="n">
        <f aca="false">IF(Tabla2[[#This Row],[Costos (En RD$/Tarea)]]=0,0,Tabla2[[#This Row],[Beneficio Neto  (En RD$/Tarea)]]/Tabla2[[#This Row],[Costos (En RD$/Tarea)]])</f>
        <v>-0.653908753479409</v>
      </c>
      <c r="P1178" s="7" t="n">
        <f aca="false">Tabla2[[#This Row],[Rentabilidad (%)]]/12</f>
        <v>-0.0544923961232841</v>
      </c>
    </row>
    <row r="1179" customFormat="false" ht="14.25" hidden="false" customHeight="false" outlineLevel="0" collapsed="false">
      <c r="A1179" s="1" t="n">
        <v>39508</v>
      </c>
      <c r="B1179" s="2" t="s">
        <v>20</v>
      </c>
      <c r="C1179" s="3" t="n">
        <v>15880</v>
      </c>
      <c r="D1179" s="8" t="s">
        <v>17</v>
      </c>
      <c r="E1179" s="3" t="n">
        <f aca="false">IF(Tabla2[[#This Row],[Frecuencia]]="Annual", Tabla2[[#This Row],[Cosecha/Tarea]]/12,Tabla2[[#This Row],[Cosecha/Tarea]])</f>
        <v>15880</v>
      </c>
      <c r="F1179" s="3" t="n">
        <v>37608</v>
      </c>
      <c r="G1179" s="2" t="s">
        <v>18</v>
      </c>
      <c r="H1179" s="2" t="n">
        <f aca="false">F1179/Tabla2[[#This Row],[Cosecha Mensual]]</f>
        <v>2.36826196473552</v>
      </c>
      <c r="I1179" s="2" t="n">
        <f aca="false">H1179*_xlfn.XLOOKUP(Tabla2[[#This Row],[Unidad de producción]],Tabla3[Medida],Tabla3[Equivalencia en Kg],"ELVIS",0)</f>
        <v>107.424362720403</v>
      </c>
      <c r="J1179" s="2" t="n">
        <v>400.030283428571</v>
      </c>
      <c r="K1179" s="2" t="s">
        <v>18</v>
      </c>
      <c r="L1179" s="2" t="n">
        <f aca="false">J1179/_xlfn.XLOOKUP(Tabla2[[#This Row],[Unidad de precio]],Tabla3[Medida],Tabla3[Equivalencia en Kg],"ELVIS",0)</f>
        <v>8.81900977576215</v>
      </c>
      <c r="M1179" s="2" t="n">
        <v>1490.90401998252</v>
      </c>
      <c r="N1179" s="3" t="n">
        <f aca="false">(Tabla2[[#This Row],[Productividad (kg/TAS)]]*Tabla2[[#This Row],[Precio por kg]]-Tabla2[[#This Row],[Costos (En RD$/Tarea)]])</f>
        <v>-543.527514996267</v>
      </c>
      <c r="O1179" s="9" t="n">
        <f aca="false">IF(Tabla2[[#This Row],[Costos (En RD$/Tarea)]]=0,0,Tabla2[[#This Row],[Beneficio Neto  (En RD$/Tarea)]]/Tabla2[[#This Row],[Costos (En RD$/Tarea)]])</f>
        <v>-0.3645623780682</v>
      </c>
      <c r="P1179" s="7" t="n">
        <f aca="false">Tabla2[[#This Row],[Rentabilidad (%)]]/12</f>
        <v>-0.03038019817235</v>
      </c>
    </row>
    <row r="1180" customFormat="false" ht="14.25" hidden="false" customHeight="false" outlineLevel="0" collapsed="false">
      <c r="A1180" s="1" t="n">
        <v>39508</v>
      </c>
      <c r="B1180" s="2" t="s">
        <v>21</v>
      </c>
      <c r="C1180" s="3" t="n">
        <v>6627</v>
      </c>
      <c r="D1180" s="8" t="s">
        <v>17</v>
      </c>
      <c r="E1180" s="3" t="n">
        <f aca="false">IF(Tabla2[[#This Row],[Frecuencia]]="Annual", Tabla2[[#This Row],[Cosecha/Tarea]]/12,Tabla2[[#This Row],[Cosecha/Tarea]])</f>
        <v>6627</v>
      </c>
      <c r="F1180" s="3" t="n">
        <v>57711</v>
      </c>
      <c r="G1180" s="2" t="s">
        <v>18</v>
      </c>
      <c r="H1180" s="2" t="n">
        <f aca="false">F1180/Tabla2[[#This Row],[Cosecha Mensual]]</f>
        <v>8.70846536894523</v>
      </c>
      <c r="I1180" s="2" t="n">
        <f aca="false">H1180*_xlfn.XLOOKUP(Tabla2[[#This Row],[Unidad de producción]],Tabla3[Medida],Tabla3[Equivalencia en Kg],"ELVIS",0)</f>
        <v>395.015989135355</v>
      </c>
      <c r="J1180" s="2" t="n">
        <v>989</v>
      </c>
      <c r="K1180" s="2" t="s">
        <v>18</v>
      </c>
      <c r="L1180" s="2" t="n">
        <f aca="false">J1180/_xlfn.XLOOKUP(Tabla2[[#This Row],[Unidad de precio]],Tabla3[Medida],Tabla3[Equivalencia en Kg],"ELVIS",0)</f>
        <v>21.8033509700176</v>
      </c>
      <c r="M1180" s="2" t="n">
        <v>3935.0401959</v>
      </c>
      <c r="N1180" s="3" t="n">
        <f aca="false">(Tabla2[[#This Row],[Productividad (kg/TAS)]]*Tabla2[[#This Row],[Precio por kg]]-Tabla2[[#This Row],[Costos (En RD$/Tarea)]])</f>
        <v>4677.63205398683</v>
      </c>
      <c r="O1180" s="9" t="n">
        <f aca="false">IF(Tabla2[[#This Row],[Costos (En RD$/Tarea)]]=0,0,Tabla2[[#This Row],[Beneficio Neto  (En RD$/Tarea)]]/Tabla2[[#This Row],[Costos (En RD$/Tarea)]])</f>
        <v>1.1887126486943</v>
      </c>
      <c r="P1180" s="7" t="n">
        <f aca="false">Tabla2[[#This Row],[Rentabilidad (%)]]/12</f>
        <v>0.0990593873911917</v>
      </c>
    </row>
    <row r="1181" customFormat="false" ht="14.25" hidden="false" customHeight="false" outlineLevel="0" collapsed="false">
      <c r="A1181" s="1" t="n">
        <v>39508</v>
      </c>
      <c r="B1181" s="2" t="s">
        <v>22</v>
      </c>
      <c r="C1181" s="3" t="n">
        <v>11955</v>
      </c>
      <c r="D1181" s="8" t="s">
        <v>17</v>
      </c>
      <c r="E1181" s="3" t="n">
        <f aca="false">IF(Tabla2[[#This Row],[Frecuencia]]="Annual", Tabla2[[#This Row],[Cosecha/Tarea]]/12,Tabla2[[#This Row],[Cosecha/Tarea]])</f>
        <v>11955</v>
      </c>
      <c r="F1181" s="3" t="n">
        <v>115159</v>
      </c>
      <c r="G1181" s="2" t="s">
        <v>18</v>
      </c>
      <c r="H1181" s="2" t="n">
        <f aca="false">F1181/Tabla2[[#This Row],[Cosecha Mensual]]</f>
        <v>9.63270598076119</v>
      </c>
      <c r="I1181" s="2" t="n">
        <f aca="false">H1181*_xlfn.XLOOKUP(Tabla2[[#This Row],[Unidad de producción]],Tabla3[Medida],Tabla3[Equivalencia en Kg],"ELVIS",0)</f>
        <v>436.939543287327</v>
      </c>
      <c r="J1181" s="2" t="n">
        <v>986.2125</v>
      </c>
      <c r="K1181" s="2" t="s">
        <v>18</v>
      </c>
      <c r="L1181" s="2" t="n">
        <f aca="false">J1181/_xlfn.XLOOKUP(Tabla2[[#This Row],[Unidad de precio]],Tabla3[Medida],Tabla3[Equivalencia en Kg],"ELVIS",0)</f>
        <v>21.7418981481482</v>
      </c>
      <c r="M1181" s="2" t="n">
        <v>6901.0735717536</v>
      </c>
      <c r="N1181" s="3" t="n">
        <f aca="false">(Tabla2[[#This Row],[Productividad (kg/TAS)]]*Tabla2[[#This Row],[Precio por kg]]-Tabla2[[#This Row],[Costos (En RD$/Tarea)]])</f>
        <v>2598.82147529784</v>
      </c>
      <c r="O1181" s="9" t="n">
        <f aca="false">IF(Tabla2[[#This Row],[Costos (En RD$/Tarea)]]=0,0,Tabla2[[#This Row],[Beneficio Neto  (En RD$/Tarea)]]/Tabla2[[#This Row],[Costos (En RD$/Tarea)]])</f>
        <v>0.376582201055635</v>
      </c>
      <c r="P1181" s="7" t="n">
        <f aca="false">Tabla2[[#This Row],[Rentabilidad (%)]]/12</f>
        <v>0.0313818500879696</v>
      </c>
    </row>
    <row r="1182" customFormat="false" ht="14.25" hidden="false" customHeight="false" outlineLevel="0" collapsed="false">
      <c r="A1182" s="1" t="n">
        <v>39508</v>
      </c>
      <c r="B1182" s="2" t="s">
        <v>23</v>
      </c>
      <c r="C1182" s="3" t="n">
        <v>2159</v>
      </c>
      <c r="D1182" s="8" t="s">
        <v>17</v>
      </c>
      <c r="E1182" s="3" t="n">
        <f aca="false">IF(Tabla2[[#This Row],[Frecuencia]]="Annual", Tabla2[[#This Row],[Cosecha/Tarea]]/12,Tabla2[[#This Row],[Cosecha/Tarea]])</f>
        <v>2159</v>
      </c>
      <c r="F1182" s="3" t="n">
        <v>50875</v>
      </c>
      <c r="G1182" s="2" t="s">
        <v>18</v>
      </c>
      <c r="H1182" s="2" t="n">
        <f aca="false">F1182/Tabla2[[#This Row],[Cosecha Mensual]]</f>
        <v>23.5641500694766</v>
      </c>
      <c r="I1182" s="2" t="n">
        <f aca="false">H1182*_xlfn.XLOOKUP(Tabla2[[#This Row],[Unidad de producción]],Tabla3[Medida],Tabla3[Equivalencia en Kg],"ELVIS",0)</f>
        <v>1068.86984715146</v>
      </c>
      <c r="J1182" s="2" t="n">
        <v>1150</v>
      </c>
      <c r="K1182" s="2" t="s">
        <v>18</v>
      </c>
      <c r="L1182" s="2" t="n">
        <f aca="false">J1182/_xlfn.XLOOKUP(Tabla2[[#This Row],[Unidad de precio]],Tabla3[Medida],Tabla3[Equivalencia en Kg],"ELVIS",0)</f>
        <v>25.352733686067</v>
      </c>
      <c r="M1182" s="2" t="n">
        <v>17874.25</v>
      </c>
      <c r="N1182" s="3" t="n">
        <f aca="false">(Tabla2[[#This Row],[Productividad (kg/TAS)]]*Tabla2[[#This Row],[Precio por kg]]-Tabla2[[#This Row],[Costos (En RD$/Tarea)]])</f>
        <v>9224.5225798981</v>
      </c>
      <c r="O1182" s="9" t="n">
        <f aca="false">IF(Tabla2[[#This Row],[Costos (En RD$/Tarea)]]=0,0,Tabla2[[#This Row],[Beneficio Neto  (En RD$/Tarea)]]/Tabla2[[#This Row],[Costos (En RD$/Tarea)]])</f>
        <v>0.516078860925527</v>
      </c>
      <c r="P1182" s="7" t="n">
        <f aca="false">Tabla2[[#This Row],[Rentabilidad (%)]]/12</f>
        <v>0.0430065717437939</v>
      </c>
    </row>
    <row r="1183" customFormat="false" ht="14.25" hidden="false" customHeight="false" outlineLevel="0" collapsed="false">
      <c r="A1183" s="1" t="n">
        <v>39508</v>
      </c>
      <c r="B1183" s="2" t="s">
        <v>24</v>
      </c>
      <c r="C1183" s="3" t="n">
        <v>6642</v>
      </c>
      <c r="D1183" s="8" t="s">
        <v>17</v>
      </c>
      <c r="E1183" s="3" t="n">
        <f aca="false">IF(Tabla2[[#This Row],[Frecuencia]]="Annual", Tabla2[[#This Row],[Cosecha/Tarea]]/12,Tabla2[[#This Row],[Cosecha/Tarea]])</f>
        <v>6642</v>
      </c>
      <c r="F1183" s="3" t="n">
        <v>59734</v>
      </c>
      <c r="G1183" s="2" t="s">
        <v>18</v>
      </c>
      <c r="H1183" s="2" t="n">
        <f aca="false">F1183/Tabla2[[#This Row],[Cosecha Mensual]]</f>
        <v>8.99337548931045</v>
      </c>
      <c r="I1183" s="2" t="n">
        <f aca="false">H1183*_xlfn.XLOOKUP(Tabla2[[#This Row],[Unidad de producción]],Tabla3[Medida],Tabla3[Equivalencia en Kg],"ELVIS",0)</f>
        <v>407.939512195122</v>
      </c>
      <c r="J1183" s="2" t="n">
        <v>1040</v>
      </c>
      <c r="K1183" s="2" t="s">
        <v>18</v>
      </c>
      <c r="L1183" s="2" t="n">
        <f aca="false">J1183/_xlfn.XLOOKUP(Tabla2[[#This Row],[Unidad de precio]],Tabla3[Medida],Tabla3[Equivalencia en Kg],"ELVIS",0)</f>
        <v>22.9276895943563</v>
      </c>
      <c r="M1183" s="2" t="n">
        <v>5602.34206216742</v>
      </c>
      <c r="N1183" s="3" t="n">
        <f aca="false">(Tabla2[[#This Row],[Productividad (kg/TAS)]]*Tabla2[[#This Row],[Precio por kg]]-Tabla2[[#This Row],[Costos (En RD$/Tarea)]])</f>
        <v>3750.76844671545</v>
      </c>
      <c r="O1183" s="9" t="n">
        <f aca="false">IF(Tabla2[[#This Row],[Costos (En RD$/Tarea)]]=0,0,Tabla2[[#This Row],[Beneficio Neto  (En RD$/Tarea)]]/Tabla2[[#This Row],[Costos (En RD$/Tarea)]])</f>
        <v>0.669500077841438</v>
      </c>
      <c r="P1183" s="7" t="n">
        <f aca="false">Tabla2[[#This Row],[Rentabilidad (%)]]/12</f>
        <v>0.0557916731534531</v>
      </c>
    </row>
    <row r="1184" customFormat="false" ht="14.25" hidden="false" customHeight="false" outlineLevel="0" collapsed="false">
      <c r="A1184" s="1" t="n">
        <v>39508</v>
      </c>
      <c r="B1184" s="2" t="s">
        <v>25</v>
      </c>
      <c r="C1184" s="3" t="n">
        <v>23441</v>
      </c>
      <c r="D1184" s="8" t="s">
        <v>17</v>
      </c>
      <c r="E1184" s="3" t="n">
        <f aca="false">IF(Tabla2[[#This Row],[Frecuencia]]="Annual", Tabla2[[#This Row],[Cosecha/Tarea]]/12,Tabla2[[#This Row],[Cosecha/Tarea]])</f>
        <v>23441</v>
      </c>
      <c r="F1184" s="3" t="n">
        <v>235347</v>
      </c>
      <c r="G1184" s="2" t="s">
        <v>18</v>
      </c>
      <c r="H1184" s="2" t="n">
        <f aca="false">F1184/Tabla2[[#This Row],[Cosecha Mensual]]</f>
        <v>10.0399726974105</v>
      </c>
      <c r="I1184" s="2" t="n">
        <f aca="false">H1184*_xlfn.XLOOKUP(Tabla2[[#This Row],[Unidad de producción]],Tabla3[Medida],Tabla3[Equivalencia en Kg],"ELVIS",0)</f>
        <v>455.413161554541</v>
      </c>
      <c r="J1184" s="2" t="n">
        <v>974.035</v>
      </c>
      <c r="K1184" s="2" t="s">
        <v>18</v>
      </c>
      <c r="L1184" s="2" t="n">
        <f aca="false">J1184/_xlfn.XLOOKUP(Tabla2[[#This Row],[Unidad de precio]],Tabla3[Medida],Tabla3[Equivalencia en Kg],"ELVIS",0)</f>
        <v>21.4734347442681</v>
      </c>
      <c r="M1184" s="2" t="n">
        <v>3201.64901153456</v>
      </c>
      <c r="N1184" s="3" t="n">
        <f aca="false">(Tabla2[[#This Row],[Productividad (kg/TAS)]]*Tabla2[[#This Row],[Precio por kg]]-Tabla2[[#This Row],[Costos (En RD$/Tarea)]])</f>
        <v>6577.63579478769</v>
      </c>
      <c r="O1184" s="9" t="n">
        <f aca="false">IF(Tabla2[[#This Row],[Costos (En RD$/Tarea)]]=0,0,Tabla2[[#This Row],[Beneficio Neto  (En RD$/Tarea)]]/Tabla2[[#This Row],[Costos (En RD$/Tarea)]])</f>
        <v>2.05445249341526</v>
      </c>
      <c r="P1184" s="7" t="n">
        <f aca="false">Tabla2[[#This Row],[Rentabilidad (%)]]/12</f>
        <v>0.171204374451272</v>
      </c>
    </row>
    <row r="1185" customFormat="false" ht="14.25" hidden="false" customHeight="false" outlineLevel="0" collapsed="false">
      <c r="A1185" s="1" t="n">
        <v>39508</v>
      </c>
      <c r="B1185" s="2" t="s">
        <v>26</v>
      </c>
      <c r="C1185" s="3" t="n">
        <v>18103</v>
      </c>
      <c r="D1185" s="8" t="s">
        <v>17</v>
      </c>
      <c r="E1185" s="3" t="n">
        <f aca="false">IF(Tabla2[[#This Row],[Frecuencia]]="Annual", Tabla2[[#This Row],[Cosecha/Tarea]]/12,Tabla2[[#This Row],[Cosecha/Tarea]])</f>
        <v>18103</v>
      </c>
      <c r="F1185" s="3" t="n">
        <v>99361</v>
      </c>
      <c r="G1185" s="2" t="s">
        <v>18</v>
      </c>
      <c r="H1185" s="2" t="n">
        <f aca="false">F1185/Tabla2[[#This Row],[Cosecha Mensual]]</f>
        <v>5.48864829033862</v>
      </c>
      <c r="I1185" s="2" t="n">
        <f aca="false">H1185*_xlfn.XLOOKUP(Tabla2[[#This Row],[Unidad de producción]],Tabla3[Medida],Tabla3[Equivalencia en Kg],"ELVIS",0)</f>
        <v>248.96508644976</v>
      </c>
      <c r="J1185" s="2" t="n">
        <v>804.934</v>
      </c>
      <c r="K1185" s="2" t="s">
        <v>18</v>
      </c>
      <c r="L1185" s="2" t="n">
        <f aca="false">J1185/_xlfn.XLOOKUP(Tabla2[[#This Row],[Unidad de precio]],Tabla3[Medida],Tabla3[Equivalencia en Kg],"ELVIS",0)</f>
        <v>17.7454585537919</v>
      </c>
      <c r="M1185" s="2" t="n">
        <v>1294.92573769894</v>
      </c>
      <c r="N1185" s="3" t="n">
        <f aca="false">(Tabla2[[#This Row],[Productividad (kg/TAS)]]*Tabla2[[#This Row],[Precio por kg]]-Tabla2[[#This Row],[Costos (En RD$/Tarea)]])</f>
        <v>3123.07388523649</v>
      </c>
      <c r="O1185" s="9" t="n">
        <f aca="false">IF(Tabla2[[#This Row],[Costos (En RD$/Tarea)]]=0,0,Tabla2[[#This Row],[Beneficio Neto  (En RD$/Tarea)]]/Tabla2[[#This Row],[Costos (En RD$/Tarea)]])</f>
        <v>2.41177837023004</v>
      </c>
      <c r="P1185" s="7" t="n">
        <f aca="false">Tabla2[[#This Row],[Rentabilidad (%)]]/12</f>
        <v>0.200981530852504</v>
      </c>
    </row>
    <row r="1186" customFormat="false" ht="14.25" hidden="false" customHeight="false" outlineLevel="0" collapsed="false">
      <c r="A1186" s="1" t="n">
        <v>39508</v>
      </c>
      <c r="B1186" s="2" t="s">
        <v>27</v>
      </c>
      <c r="C1186" s="3" t="n">
        <v>6810</v>
      </c>
      <c r="D1186" s="8" t="s">
        <v>17</v>
      </c>
      <c r="E1186" s="3" t="n">
        <f aca="false">IF(Tabla2[[#This Row],[Frecuencia]]="Annual", Tabla2[[#This Row],[Cosecha/Tarea]]/12,Tabla2[[#This Row],[Cosecha/Tarea]])</f>
        <v>6810</v>
      </c>
      <c r="F1186" s="3" t="n">
        <v>48481</v>
      </c>
      <c r="G1186" s="2" t="s">
        <v>18</v>
      </c>
      <c r="H1186" s="2" t="n">
        <f aca="false">F1186/Tabla2[[#This Row],[Cosecha Mensual]]</f>
        <v>7.11908957415565</v>
      </c>
      <c r="I1186" s="2" t="n">
        <f aca="false">H1186*_xlfn.XLOOKUP(Tabla2[[#This Row],[Unidad de producción]],Tabla3[Medida],Tabla3[Equivalencia en Kg],"ELVIS",0)</f>
        <v>322.9219030837</v>
      </c>
      <c r="J1186" s="2" t="n">
        <v>405.3471</v>
      </c>
      <c r="K1186" s="2" t="s">
        <v>18</v>
      </c>
      <c r="L1186" s="2" t="n">
        <f aca="false">J1186/_xlfn.XLOOKUP(Tabla2[[#This Row],[Unidad de precio]],Tabla3[Medida],Tabla3[Equivalencia en Kg],"ELVIS",0)</f>
        <v>8.93622354497355</v>
      </c>
      <c r="M1186" s="2" t="n">
        <v>5429.72570566602</v>
      </c>
      <c r="N1186" s="3" t="n">
        <f aca="false">(Tabla2[[#This Row],[Productividad (kg/TAS)]]*Tabla2[[#This Row],[Precio por kg]]-Tabla2[[#This Row],[Costos (En RD$/Tarea)]])</f>
        <v>-2544.02339214179</v>
      </c>
      <c r="O1186" s="9" t="n">
        <f aca="false">IF(Tabla2[[#This Row],[Costos (En RD$/Tarea)]]=0,0,Tabla2[[#This Row],[Beneficio Neto  (En RD$/Tarea)]]/Tabla2[[#This Row],[Costos (En RD$/Tarea)]])</f>
        <v>-0.468536263164648</v>
      </c>
      <c r="P1186" s="7" t="n">
        <f aca="false">Tabla2[[#This Row],[Rentabilidad (%)]]/12</f>
        <v>-0.039044688597054</v>
      </c>
    </row>
    <row r="1187" customFormat="false" ht="14.25" hidden="false" customHeight="false" outlineLevel="0" collapsed="false">
      <c r="A1187" s="1" t="n">
        <v>39508</v>
      </c>
      <c r="B1187" s="2" t="s">
        <v>28</v>
      </c>
      <c r="C1187" s="3" t="n">
        <v>2295</v>
      </c>
      <c r="D1187" s="8" t="s">
        <v>17</v>
      </c>
      <c r="E1187" s="3" t="n">
        <f aca="false">IF(Tabla2[[#This Row],[Frecuencia]]="Annual", Tabla2[[#This Row],[Cosecha/Tarea]]/12,Tabla2[[#This Row],[Cosecha/Tarea]])</f>
        <v>2295</v>
      </c>
      <c r="F1187" s="3" t="n">
        <v>1099</v>
      </c>
      <c r="G1187" s="2" t="s">
        <v>29</v>
      </c>
      <c r="H1187" s="2" t="n">
        <f aca="false">F1187/Tabla2[[#This Row],[Cosecha Mensual]]</f>
        <v>0.478867102396514</v>
      </c>
      <c r="I1187" s="2" t="n">
        <f aca="false">H1187*_xlfn.XLOOKUP(Tabla2[[#This Row],[Unidad de producción]],Tabla3[Medida],Tabla3[Equivalencia en Kg],"ELVIS",0)</f>
        <v>269.286126361656</v>
      </c>
      <c r="J1187" s="2" t="n">
        <v>6619.75</v>
      </c>
      <c r="K1187" s="2" t="s">
        <v>29</v>
      </c>
      <c r="L1187" s="2" t="n">
        <f aca="false">J1187/_xlfn.XLOOKUP(Tabla2[[#This Row],[Unidad de precio]],Tabla3[Medida],Tabla3[Equivalencia en Kg],"ELVIS",0)</f>
        <v>11.7717928655262</v>
      </c>
      <c r="M1187" s="2" t="n">
        <v>4903.37166571833</v>
      </c>
      <c r="N1187" s="3" t="n">
        <f aca="false">(Tabla2[[#This Row],[Productividad (kg/TAS)]]*Tabla2[[#This Row],[Precio por kg]]-Tabla2[[#This Row],[Costos (En RD$/Tarea)]])</f>
        <v>-1733.39116462901</v>
      </c>
      <c r="O1187" s="9" t="n">
        <f aca="false">IF(Tabla2[[#This Row],[Costos (En RD$/Tarea)]]=0,0,Tabla2[[#This Row],[Beneficio Neto  (En RD$/Tarea)]]/Tabla2[[#This Row],[Costos (En RD$/Tarea)]])</f>
        <v>-0.353510050390004</v>
      </c>
      <c r="P1187" s="7" t="n">
        <f aca="false">Tabla2[[#This Row],[Rentabilidad (%)]]/12</f>
        <v>-0.0294591708658337</v>
      </c>
    </row>
    <row r="1188" customFormat="false" ht="14.25" hidden="false" customHeight="false" outlineLevel="0" collapsed="false">
      <c r="A1188" s="1" t="n">
        <v>39508</v>
      </c>
      <c r="B1188" s="2" t="s">
        <v>30</v>
      </c>
      <c r="C1188" s="3" t="n">
        <v>298677</v>
      </c>
      <c r="D1188" s="3" t="s">
        <v>31</v>
      </c>
      <c r="E1188" s="3" t="n">
        <f aca="false">IF(Tabla2[[#This Row],[Frecuencia]]="Annual", Tabla2[[#This Row],[Cosecha/Tarea]]/12,Tabla2[[#This Row],[Cosecha/Tarea]])</f>
        <v>24889.75</v>
      </c>
      <c r="F1188" s="3" t="n">
        <v>1436282</v>
      </c>
      <c r="G1188" s="2" t="s">
        <v>32</v>
      </c>
      <c r="H1188" s="2" t="n">
        <f aca="false">F1188/Tabla2[[#This Row],[Cosecha Mensual]]</f>
        <v>57.705762412238</v>
      </c>
      <c r="I1188" s="2" t="n">
        <f aca="false">H1188*_xlfn.XLOOKUP(Tabla2[[#This Row],[Unidad de producción]],Tabla3[Medida],Tabla3[Equivalencia en Kg],"ELVIS",0)</f>
        <v>1570.173795237</v>
      </c>
      <c r="J1188" s="2" t="n">
        <v>117.821428571429</v>
      </c>
      <c r="K1188" s="2" t="s">
        <v>32</v>
      </c>
      <c r="L1188" s="2" t="n">
        <f aca="false">J1188/_xlfn.XLOOKUP(Tabla2[[#This Row],[Unidad de precio]],Tabla3[Medida],Tabla3[Equivalencia en Kg],"ELVIS",0)</f>
        <v>4.33007822754241</v>
      </c>
      <c r="M1188" s="3" t="n">
        <v>8644.77930505247</v>
      </c>
      <c r="N1188" s="3" t="n">
        <f aca="false">(Tabla2[[#This Row],[Productividad (kg/TAS)]]*Tabla2[[#This Row],[Precio por kg]]-Tabla2[[#This Row],[Costos (En RD$/Tarea)]])</f>
        <v>-1845.80394083912</v>
      </c>
      <c r="O1188" s="9" t="n">
        <f aca="false">IF(Tabla2[[#This Row],[Costos (En RD$/Tarea)]]=0,0,Tabla2[[#This Row],[Beneficio Neto  (En RD$/Tarea)]]/Tabla2[[#This Row],[Costos (En RD$/Tarea)]])</f>
        <v>-0.213516606463318</v>
      </c>
      <c r="P1188" s="7" t="n">
        <f aca="false">Tabla2[[#This Row],[Rentabilidad (%)]]/12</f>
        <v>-0.0177930505386098</v>
      </c>
    </row>
    <row r="1189" customFormat="false" ht="14.25" hidden="false" customHeight="false" outlineLevel="0" collapsed="false">
      <c r="A1189" s="1" t="n">
        <v>39508</v>
      </c>
      <c r="B1189" s="2" t="s">
        <v>33</v>
      </c>
      <c r="C1189" s="3" t="n">
        <v>578370</v>
      </c>
      <c r="D1189" s="3" t="s">
        <v>31</v>
      </c>
      <c r="E1189" s="11" t="n">
        <f aca="false">IF(Tabla2[[#This Row],[Frecuencia]]="Annual", Tabla2[[#This Row],[Cosecha/Tarea]]/12,Tabla2[[#This Row],[Cosecha/Tarea]])</f>
        <v>48197.5</v>
      </c>
      <c r="F1189" s="3" t="n">
        <v>100492</v>
      </c>
      <c r="G1189" s="2" t="s">
        <v>34</v>
      </c>
      <c r="H1189" s="2" t="n">
        <f aca="false">F1189/Tabla2[[#This Row],[Cosecha Mensual]]</f>
        <v>2.08500440894237</v>
      </c>
      <c r="I1189" s="2" t="n">
        <f aca="false">H1189*_xlfn.XLOOKUP(Tabla2[[#This Row],[Unidad de producción]],Tabla3[Medida],Tabla3[Equivalencia en Kg],"ELVIS",0)</f>
        <v>850.994549509829</v>
      </c>
      <c r="J1189" s="2" t="n">
        <v>5426.71428571429</v>
      </c>
      <c r="K1189" s="2" t="s">
        <v>34</v>
      </c>
      <c r="L1189" s="2" t="n">
        <f aca="false">J1189/_xlfn.XLOOKUP(Tabla2[[#This Row],[Unidad de precio]],Tabla3[Medida],Tabla3[Equivalencia en Kg],"ELVIS",0)</f>
        <v>13.2958821161688</v>
      </c>
      <c r="M1189" s="3" t="n">
        <v>8418.12886809492</v>
      </c>
      <c r="N1189" s="3" t="n">
        <f aca="false">(Tabla2[[#This Row],[Productividad (kg/TAS)]]*Tabla2[[#This Row],[Precio por kg]]-Tabla2[[#This Row],[Costos (En RD$/Tarea)]])</f>
        <v>2896.59434368993</v>
      </c>
      <c r="O1189" s="9" t="n">
        <f aca="false">IF(Tabla2[[#This Row],[Costos (En RD$/Tarea)]]=0,0,Tabla2[[#This Row],[Beneficio Neto  (En RD$/Tarea)]]/Tabla2[[#This Row],[Costos (En RD$/Tarea)]])</f>
        <v>0.344090045314957</v>
      </c>
      <c r="P1189" s="7" t="n">
        <f aca="false">Tabla2[[#This Row],[Rentabilidad (%)]]/12</f>
        <v>0.0286741704429131</v>
      </c>
    </row>
    <row r="1190" customFormat="false" ht="14.25" hidden="false" customHeight="false" outlineLevel="0" collapsed="false">
      <c r="A1190" s="1" t="n">
        <v>39539</v>
      </c>
      <c r="B1190" s="2" t="s">
        <v>16</v>
      </c>
      <c r="C1190" s="3" t="n">
        <v>193612</v>
      </c>
      <c r="D1190" s="8" t="s">
        <v>17</v>
      </c>
      <c r="E1190" s="3" t="n">
        <f aca="false">IF(Tabla2[[#This Row],[Frecuencia]]="Annual", Tabla2[[#This Row],[Cosecha/Tarea]]/12,Tabla2[[#This Row],[Cosecha/Tarea]])</f>
        <v>193612</v>
      </c>
      <c r="F1190" s="3" t="n">
        <v>1054130</v>
      </c>
      <c r="G1190" s="2" t="s">
        <v>18</v>
      </c>
      <c r="H1190" s="2" t="n">
        <f aca="false">F1190/Tabla2[[#This Row],[Cosecha Mensual]]</f>
        <v>5.44454889159763</v>
      </c>
      <c r="I1190" s="2" t="n">
        <f aca="false">H1190*_xlfn.XLOOKUP(Tabla2[[#This Row],[Unidad de producción]],Tabla3[Medida],Tabla3[Equivalencia en Kg],"ELVIS",0)</f>
        <v>246.964737722868</v>
      </c>
      <c r="J1190" s="2" t="n">
        <v>1160.7104</v>
      </c>
      <c r="K1190" s="2" t="s">
        <v>19</v>
      </c>
      <c r="L1190" s="2" t="n">
        <f aca="false">J1190/_xlfn.XLOOKUP(Tabla2[[#This Row],[Unidad de precio]],Tabla3[Medida],Tabla3[Equivalencia en Kg],"ELVIS",0)</f>
        <v>10.5519127272727</v>
      </c>
      <c r="M1190" s="2" t="n">
        <v>6402.1671715266</v>
      </c>
      <c r="N1190" s="3" t="n">
        <f aca="false">(Tabla2[[#This Row],[Productividad (kg/TAS)]]*Tabla2[[#This Row],[Precio por kg]]-Tabla2[[#This Row],[Costos (En RD$/Tarea)]])</f>
        <v>-3796.21681236109</v>
      </c>
      <c r="O1190" s="9" t="n">
        <f aca="false">IF(Tabla2[[#This Row],[Costos (En RD$/Tarea)]]=0,0,Tabla2[[#This Row],[Beneficio Neto  (En RD$/Tarea)]]/Tabla2[[#This Row],[Costos (En RD$/Tarea)]])</f>
        <v>-0.592958089136539</v>
      </c>
      <c r="P1190" s="7" t="n">
        <f aca="false">Tabla2[[#This Row],[Rentabilidad (%)]]/12</f>
        <v>-0.0494131740947116</v>
      </c>
    </row>
    <row r="1191" customFormat="false" ht="14.25" hidden="false" customHeight="false" outlineLevel="0" collapsed="false">
      <c r="A1191" s="1" t="n">
        <v>39539</v>
      </c>
      <c r="B1191" s="2" t="s">
        <v>20</v>
      </c>
      <c r="C1191" s="3" t="n">
        <v>21177</v>
      </c>
      <c r="D1191" s="8" t="s">
        <v>17</v>
      </c>
      <c r="E1191" s="3" t="n">
        <f aca="false">IF(Tabla2[[#This Row],[Frecuencia]]="Annual", Tabla2[[#This Row],[Cosecha/Tarea]]/12,Tabla2[[#This Row],[Cosecha/Tarea]])</f>
        <v>21177</v>
      </c>
      <c r="F1191" s="3" t="n">
        <v>43706</v>
      </c>
      <c r="G1191" s="2" t="s">
        <v>18</v>
      </c>
      <c r="H1191" s="2" t="n">
        <f aca="false">F1191/Tabla2[[#This Row],[Cosecha Mensual]]</f>
        <v>2.06384284837324</v>
      </c>
      <c r="I1191" s="2" t="n">
        <f aca="false">H1191*_xlfn.XLOOKUP(Tabla2[[#This Row],[Unidad de producción]],Tabla3[Medida],Tabla3[Equivalencia en Kg],"ELVIS",0)</f>
        <v>93.6159116022099</v>
      </c>
      <c r="J1191" s="2" t="n">
        <v>591.624</v>
      </c>
      <c r="K1191" s="2" t="s">
        <v>18</v>
      </c>
      <c r="L1191" s="2" t="n">
        <f aca="false">J1191/_xlfn.XLOOKUP(Tabla2[[#This Row],[Unidad de precio]],Tabla3[Medida],Tabla3[Equivalencia en Kg],"ELVIS",0)</f>
        <v>13.0428571428571</v>
      </c>
      <c r="M1191" s="2" t="n">
        <v>1490.90401998252</v>
      </c>
      <c r="N1191" s="3" t="n">
        <f aca="false">(Tabla2[[#This Row],[Productividad (kg/TAS)]]*Tabla2[[#This Row],[Precio por kg]]-Tabla2[[#This Row],[Costos (En RD$/Tarea)]])</f>
        <v>-269.885058656553</v>
      </c>
      <c r="O1191" s="9" t="n">
        <f aca="false">IF(Tabla2[[#This Row],[Costos (En RD$/Tarea)]]=0,0,Tabla2[[#This Row],[Beneficio Neto  (En RD$/Tarea)]]/Tabla2[[#This Row],[Costos (En RD$/Tarea)]])</f>
        <v>-0.181021081866636</v>
      </c>
      <c r="P1191" s="7" t="n">
        <f aca="false">Tabla2[[#This Row],[Rentabilidad (%)]]/12</f>
        <v>-0.015085090155553</v>
      </c>
    </row>
    <row r="1192" customFormat="false" ht="14.25" hidden="false" customHeight="false" outlineLevel="0" collapsed="false">
      <c r="A1192" s="1" t="n">
        <v>39539</v>
      </c>
      <c r="B1192" s="2" t="s">
        <v>21</v>
      </c>
      <c r="C1192" s="3" t="n">
        <v>8413</v>
      </c>
      <c r="D1192" s="8" t="s">
        <v>17</v>
      </c>
      <c r="E1192" s="3" t="n">
        <f aca="false">IF(Tabla2[[#This Row],[Frecuencia]]="Annual", Tabla2[[#This Row],[Cosecha/Tarea]]/12,Tabla2[[#This Row],[Cosecha/Tarea]])</f>
        <v>8413</v>
      </c>
      <c r="F1192" s="3" t="n">
        <v>59768</v>
      </c>
      <c r="G1192" s="2" t="s">
        <v>18</v>
      </c>
      <c r="H1192" s="2" t="n">
        <f aca="false">F1192/Tabla2[[#This Row],[Cosecha Mensual]]</f>
        <v>7.1042434327826</v>
      </c>
      <c r="I1192" s="2" t="n">
        <f aca="false">H1192*_xlfn.XLOOKUP(Tabla2[[#This Row],[Unidad de producción]],Tabla3[Medida],Tabla3[Equivalencia en Kg],"ELVIS",0)</f>
        <v>322.248482111019</v>
      </c>
      <c r="J1192" s="2" t="n">
        <v>833.555</v>
      </c>
      <c r="K1192" s="2" t="s">
        <v>18</v>
      </c>
      <c r="L1192" s="2" t="n">
        <f aca="false">J1192/_xlfn.XLOOKUP(Tabla2[[#This Row],[Unidad de precio]],Tabla3[Medida],Tabla3[Equivalencia en Kg],"ELVIS",0)</f>
        <v>18.3764329805996</v>
      </c>
      <c r="M1192" s="2" t="n">
        <v>3935.0401959</v>
      </c>
      <c r="N1192" s="3" t="n">
        <f aca="false">(Tabla2[[#This Row],[Productividad (kg/TAS)]]*Tabla2[[#This Row],[Precio por kg]]-Tabla2[[#This Row],[Costos (En RD$/Tarea)]])</f>
        <v>1986.7374387131</v>
      </c>
      <c r="O1192" s="9" t="n">
        <f aca="false">IF(Tabla2[[#This Row],[Costos (En RD$/Tarea)]]=0,0,Tabla2[[#This Row],[Beneficio Neto  (En RD$/Tarea)]]/Tabla2[[#This Row],[Costos (En RD$/Tarea)]])</f>
        <v>0.504883645352117</v>
      </c>
      <c r="P1192" s="7" t="n">
        <f aca="false">Tabla2[[#This Row],[Rentabilidad (%)]]/12</f>
        <v>0.0420736371126764</v>
      </c>
    </row>
    <row r="1193" customFormat="false" ht="14.25" hidden="false" customHeight="false" outlineLevel="0" collapsed="false">
      <c r="A1193" s="1" t="n">
        <v>39539</v>
      </c>
      <c r="B1193" s="2" t="s">
        <v>22</v>
      </c>
      <c r="C1193" s="3" t="n">
        <v>6511</v>
      </c>
      <c r="D1193" s="8" t="s">
        <v>17</v>
      </c>
      <c r="E1193" s="3" t="n">
        <f aca="false">IF(Tabla2[[#This Row],[Frecuencia]]="Annual", Tabla2[[#This Row],[Cosecha/Tarea]]/12,Tabla2[[#This Row],[Cosecha/Tarea]])</f>
        <v>6511</v>
      </c>
      <c r="F1193" s="3" t="n">
        <v>64446</v>
      </c>
      <c r="G1193" s="2" t="s">
        <v>18</v>
      </c>
      <c r="H1193" s="2" t="n">
        <f aca="false">F1193/Tabla2[[#This Row],[Cosecha Mensual]]</f>
        <v>9.89801873752112</v>
      </c>
      <c r="I1193" s="2" t="n">
        <f aca="false">H1193*_xlfn.XLOOKUP(Tabla2[[#This Row],[Unidad de producción]],Tabla3[Medida],Tabla3[Equivalencia en Kg],"ELVIS",0)</f>
        <v>448.974129933958</v>
      </c>
      <c r="J1193" s="2" t="n">
        <v>972.4</v>
      </c>
      <c r="K1193" s="2" t="s">
        <v>18</v>
      </c>
      <c r="L1193" s="2" t="n">
        <f aca="false">J1193/_xlfn.XLOOKUP(Tabla2[[#This Row],[Unidad de precio]],Tabla3[Medida],Tabla3[Equivalencia en Kg],"ELVIS",0)</f>
        <v>21.4373897707231</v>
      </c>
      <c r="M1193" s="2" t="n">
        <v>6901.0735717536</v>
      </c>
      <c r="N1193" s="3" t="n">
        <f aca="false">(Tabla2[[#This Row],[Productividad (kg/TAS)]]*Tabla2[[#This Row],[Precio por kg]]-Tabla2[[#This Row],[Costos (En RD$/Tarea)]])</f>
        <v>2723.75984861194</v>
      </c>
      <c r="O1193" s="9" t="n">
        <f aca="false">IF(Tabla2[[#This Row],[Costos (En RD$/Tarea)]]=0,0,Tabla2[[#This Row],[Beneficio Neto  (En RD$/Tarea)]]/Tabla2[[#This Row],[Costos (En RD$/Tarea)]])</f>
        <v>0.394686394847376</v>
      </c>
      <c r="P1193" s="7" t="n">
        <f aca="false">Tabla2[[#This Row],[Rentabilidad (%)]]/12</f>
        <v>0.032890532903948</v>
      </c>
    </row>
    <row r="1194" customFormat="false" ht="14.25" hidden="false" customHeight="false" outlineLevel="0" collapsed="false">
      <c r="A1194" s="1" t="n">
        <v>39539</v>
      </c>
      <c r="B1194" s="2" t="s">
        <v>23</v>
      </c>
      <c r="C1194" s="3" t="n">
        <v>2269</v>
      </c>
      <c r="D1194" s="8" t="s">
        <v>17</v>
      </c>
      <c r="E1194" s="3" t="n">
        <f aca="false">IF(Tabla2[[#This Row],[Frecuencia]]="Annual", Tabla2[[#This Row],[Cosecha/Tarea]]/12,Tabla2[[#This Row],[Cosecha/Tarea]])</f>
        <v>2269</v>
      </c>
      <c r="F1194" s="3" t="n">
        <v>57870</v>
      </c>
      <c r="G1194" s="2" t="s">
        <v>18</v>
      </c>
      <c r="H1194" s="2" t="n">
        <f aca="false">F1194/Tabla2[[#This Row],[Cosecha Mensual]]</f>
        <v>25.5046275892464</v>
      </c>
      <c r="I1194" s="2" t="n">
        <f aca="false">H1194*_xlfn.XLOOKUP(Tabla2[[#This Row],[Unidad de producción]],Tabla3[Medida],Tabla3[Equivalencia en Kg],"ELVIS",0)</f>
        <v>1156.88990744822</v>
      </c>
      <c r="J1194" s="2" t="n">
        <v>820.833333333333</v>
      </c>
      <c r="K1194" s="2" t="s">
        <v>18</v>
      </c>
      <c r="L1194" s="2" t="n">
        <f aca="false">J1194/_xlfn.XLOOKUP(Tabla2[[#This Row],[Unidad de precio]],Tabla3[Medida],Tabla3[Equivalencia en Kg],"ELVIS",0)</f>
        <v>18.0959729570841</v>
      </c>
      <c r="M1194" s="2" t="n">
        <v>17874.25</v>
      </c>
      <c r="N1194" s="3" t="n">
        <f aca="false">(Tabla2[[#This Row],[Productividad (kg/TAS)]]*Tabla2[[#This Row],[Precio por kg]]-Tabla2[[#This Row],[Costos (En RD$/Tarea)]])</f>
        <v>3060.79847950638</v>
      </c>
      <c r="O1194" s="9" t="n">
        <f aca="false">IF(Tabla2[[#This Row],[Costos (En RD$/Tarea)]]=0,0,Tabla2[[#This Row],[Beneficio Neto  (En RD$/Tarea)]]/Tabla2[[#This Row],[Costos (En RD$/Tarea)]])</f>
        <v>0.171240666294048</v>
      </c>
      <c r="P1194" s="7" t="n">
        <f aca="false">Tabla2[[#This Row],[Rentabilidad (%)]]/12</f>
        <v>0.014270055524504</v>
      </c>
    </row>
    <row r="1195" customFormat="false" ht="14.25" hidden="false" customHeight="false" outlineLevel="0" collapsed="false">
      <c r="A1195" s="1" t="n">
        <v>39539</v>
      </c>
      <c r="B1195" s="2" t="s">
        <v>24</v>
      </c>
      <c r="C1195" s="3" t="n">
        <v>7310</v>
      </c>
      <c r="D1195" s="8" t="s">
        <v>17</v>
      </c>
      <c r="E1195" s="3" t="n">
        <f aca="false">IF(Tabla2[[#This Row],[Frecuencia]]="Annual", Tabla2[[#This Row],[Cosecha/Tarea]]/12,Tabla2[[#This Row],[Cosecha/Tarea]])</f>
        <v>7310</v>
      </c>
      <c r="F1195" s="3" t="n">
        <v>63033</v>
      </c>
      <c r="G1195" s="2" t="s">
        <v>18</v>
      </c>
      <c r="H1195" s="2" t="n">
        <f aca="false">F1195/Tabla2[[#This Row],[Cosecha Mensual]]</f>
        <v>8.62284541723666</v>
      </c>
      <c r="I1195" s="2" t="n">
        <f aca="false">H1195*_xlfn.XLOOKUP(Tabla2[[#This Row],[Unidad de producción]],Tabla3[Medida],Tabla3[Equivalencia en Kg],"ELVIS",0)</f>
        <v>391.132268125855</v>
      </c>
      <c r="J1195" s="2" t="n">
        <v>1032.125</v>
      </c>
      <c r="K1195" s="2" t="s">
        <v>18</v>
      </c>
      <c r="L1195" s="2" t="n">
        <f aca="false">J1195/_xlfn.XLOOKUP(Tabla2[[#This Row],[Unidad de precio]],Tabla3[Medida],Tabla3[Equivalencia en Kg],"ELVIS",0)</f>
        <v>22.7540784832452</v>
      </c>
      <c r="M1195" s="2" t="n">
        <v>5602.34206216742</v>
      </c>
      <c r="N1195" s="3" t="n">
        <f aca="false">(Tabla2[[#This Row],[Productividad (kg/TAS)]]*Tabla2[[#This Row],[Precio por kg]]-Tabla2[[#This Row],[Costos (En RD$/Tarea)]])</f>
        <v>3297.51226409797</v>
      </c>
      <c r="O1195" s="9" t="n">
        <f aca="false">IF(Tabla2[[#This Row],[Costos (En RD$/Tarea)]]=0,0,Tabla2[[#This Row],[Beneficio Neto  (En RD$/Tarea)]]/Tabla2[[#This Row],[Costos (En RD$/Tarea)]])</f>
        <v>0.58859531023035</v>
      </c>
      <c r="P1195" s="7" t="n">
        <f aca="false">Tabla2[[#This Row],[Rentabilidad (%)]]/12</f>
        <v>0.0490496091858625</v>
      </c>
    </row>
    <row r="1196" customFormat="false" ht="14.25" hidden="false" customHeight="false" outlineLevel="0" collapsed="false">
      <c r="A1196" s="1" t="n">
        <v>39539</v>
      </c>
      <c r="B1196" s="2" t="s">
        <v>25</v>
      </c>
      <c r="C1196" s="3" t="n">
        <v>19157</v>
      </c>
      <c r="D1196" s="8" t="s">
        <v>17</v>
      </c>
      <c r="E1196" s="3" t="n">
        <f aca="false">IF(Tabla2[[#This Row],[Frecuencia]]="Annual", Tabla2[[#This Row],[Cosecha/Tarea]]/12,Tabla2[[#This Row],[Cosecha/Tarea]])</f>
        <v>19157</v>
      </c>
      <c r="F1196" s="3" t="n">
        <v>188599</v>
      </c>
      <c r="G1196" s="2" t="s">
        <v>18</v>
      </c>
      <c r="H1196" s="2" t="n">
        <f aca="false">F1196/Tabla2[[#This Row],[Cosecha Mensual]]</f>
        <v>9.8449130866002</v>
      </c>
      <c r="I1196" s="2" t="n">
        <f aca="false">H1196*_xlfn.XLOOKUP(Tabla2[[#This Row],[Unidad de producción]],Tabla3[Medida],Tabla3[Equivalencia en Kg],"ELVIS",0)</f>
        <v>446.565257608185</v>
      </c>
      <c r="J1196" s="2" t="n">
        <v>1007.63333333333</v>
      </c>
      <c r="K1196" s="2" t="s">
        <v>18</v>
      </c>
      <c r="L1196" s="2" t="n">
        <f aca="false">J1196/_xlfn.XLOOKUP(Tabla2[[#This Row],[Unidad de precio]],Tabla3[Medida],Tabla3[Equivalencia en Kg],"ELVIS",0)</f>
        <v>22.2141387419164</v>
      </c>
      <c r="M1196" s="2" t="n">
        <v>3201.64901153456</v>
      </c>
      <c r="N1196" s="3" t="n">
        <f aca="false">(Tabla2[[#This Row],[Productividad (kg/TAS)]]*Tabla2[[#This Row],[Precio por kg]]-Tabla2[[#This Row],[Costos (En RD$/Tarea)]])</f>
        <v>6718.41357829332</v>
      </c>
      <c r="O1196" s="9" t="n">
        <f aca="false">IF(Tabla2[[#This Row],[Costos (En RD$/Tarea)]]=0,0,Tabla2[[#This Row],[Beneficio Neto  (En RD$/Tarea)]]/Tabla2[[#This Row],[Costos (En RD$/Tarea)]])</f>
        <v>2.0984228921062</v>
      </c>
      <c r="P1196" s="7" t="n">
        <f aca="false">Tabla2[[#This Row],[Rentabilidad (%)]]/12</f>
        <v>0.174868574342184</v>
      </c>
    </row>
    <row r="1197" customFormat="false" ht="14.25" hidden="false" customHeight="false" outlineLevel="0" collapsed="false">
      <c r="A1197" s="1" t="n">
        <v>39539</v>
      </c>
      <c r="B1197" s="2" t="s">
        <v>26</v>
      </c>
      <c r="C1197" s="3" t="n">
        <v>13802</v>
      </c>
      <c r="D1197" s="8" t="s">
        <v>17</v>
      </c>
      <c r="E1197" s="3" t="n">
        <f aca="false">IF(Tabla2[[#This Row],[Frecuencia]]="Annual", Tabla2[[#This Row],[Cosecha/Tarea]]/12,Tabla2[[#This Row],[Cosecha/Tarea]])</f>
        <v>13802</v>
      </c>
      <c r="F1197" s="3" t="n">
        <v>79357</v>
      </c>
      <c r="G1197" s="2" t="s">
        <v>18</v>
      </c>
      <c r="H1197" s="2" t="n">
        <f aca="false">F1197/Tabla2[[#This Row],[Cosecha Mensual]]</f>
        <v>5.74967396029561</v>
      </c>
      <c r="I1197" s="2" t="n">
        <f aca="false">H1197*_xlfn.XLOOKUP(Tabla2[[#This Row],[Unidad de producción]],Tabla3[Medida],Tabla3[Equivalencia en Kg],"ELVIS",0)</f>
        <v>260.805210839009</v>
      </c>
      <c r="J1197" s="2" t="n">
        <v>706.25</v>
      </c>
      <c r="K1197" s="2" t="s">
        <v>18</v>
      </c>
      <c r="L1197" s="2" t="n">
        <f aca="false">J1197/_xlfn.XLOOKUP(Tabla2[[#This Row],[Unidad de precio]],Tabla3[Medida],Tabla3[Equivalencia en Kg],"ELVIS",0)</f>
        <v>15.569885361552</v>
      </c>
      <c r="M1197" s="2" t="n">
        <v>1294.92573769894</v>
      </c>
      <c r="N1197" s="3" t="n">
        <f aca="false">(Tabla2[[#This Row],[Productividad (kg/TAS)]]*Tabla2[[#This Row],[Precio por kg]]-Tabla2[[#This Row],[Costos (En RD$/Tarea)]])</f>
        <v>2765.78149675983</v>
      </c>
      <c r="O1197" s="9" t="n">
        <f aca="false">IF(Tabla2[[#This Row],[Costos (En RD$/Tarea)]]=0,0,Tabla2[[#This Row],[Beneficio Neto  (En RD$/Tarea)]]/Tabla2[[#This Row],[Costos (En RD$/Tarea)]])</f>
        <v>2.13586108935836</v>
      </c>
      <c r="P1197" s="7" t="n">
        <f aca="false">Tabla2[[#This Row],[Rentabilidad (%)]]/12</f>
        <v>0.177988424113197</v>
      </c>
    </row>
    <row r="1198" customFormat="false" ht="14.25" hidden="false" customHeight="false" outlineLevel="0" collapsed="false">
      <c r="A1198" s="1" t="n">
        <v>39539</v>
      </c>
      <c r="B1198" s="2" t="s">
        <v>27</v>
      </c>
      <c r="C1198" s="3" t="n">
        <v>7767</v>
      </c>
      <c r="D1198" s="8" t="s">
        <v>17</v>
      </c>
      <c r="E1198" s="3" t="n">
        <f aca="false">IF(Tabla2[[#This Row],[Frecuencia]]="Annual", Tabla2[[#This Row],[Cosecha/Tarea]]/12,Tabla2[[#This Row],[Cosecha/Tarea]])</f>
        <v>7767</v>
      </c>
      <c r="F1198" s="3" t="n">
        <v>55228</v>
      </c>
      <c r="G1198" s="2" t="s">
        <v>18</v>
      </c>
      <c r="H1198" s="2" t="n">
        <f aca="false">F1198/Tabla2[[#This Row],[Cosecha Mensual]]</f>
        <v>7.11059611175486</v>
      </c>
      <c r="I1198" s="2" t="n">
        <f aca="false">H1198*_xlfn.XLOOKUP(Tabla2[[#This Row],[Unidad de producción]],Tabla3[Medida],Tabla3[Equivalencia en Kg],"ELVIS",0)</f>
        <v>322.5366396292</v>
      </c>
      <c r="J1198" s="2" t="n">
        <v>445.1216</v>
      </c>
      <c r="K1198" s="2" t="s">
        <v>18</v>
      </c>
      <c r="L1198" s="2" t="n">
        <f aca="false">J1198/_xlfn.XLOOKUP(Tabla2[[#This Row],[Unidad de precio]],Tabla3[Medida],Tabla3[Equivalencia en Kg],"ELVIS",0)</f>
        <v>9.81308641975309</v>
      </c>
      <c r="M1198" s="2" t="n">
        <v>5429.72570566602</v>
      </c>
      <c r="N1198" s="3" t="n">
        <f aca="false">(Tabla2[[#This Row],[Productividad (kg/TAS)]]*Tabla2[[#This Row],[Precio por kg]]-Tabla2[[#This Row],[Costos (En RD$/Tarea)]])</f>
        <v>-2264.64578744792</v>
      </c>
      <c r="O1198" s="9" t="n">
        <f aca="false">IF(Tabla2[[#This Row],[Costos (En RD$/Tarea)]]=0,0,Tabla2[[#This Row],[Beneficio Neto  (En RD$/Tarea)]]/Tabla2[[#This Row],[Costos (En RD$/Tarea)]])</f>
        <v>-0.417082908089578</v>
      </c>
      <c r="P1198" s="7" t="n">
        <f aca="false">Tabla2[[#This Row],[Rentabilidad (%)]]/12</f>
        <v>-0.0347569090074648</v>
      </c>
    </row>
    <row r="1199" customFormat="false" ht="14.25" hidden="false" customHeight="false" outlineLevel="0" collapsed="false">
      <c r="A1199" s="1" t="n">
        <v>39539</v>
      </c>
      <c r="B1199" s="2" t="s">
        <v>28</v>
      </c>
      <c r="C1199" s="3" t="n">
        <v>50</v>
      </c>
      <c r="D1199" s="8" t="s">
        <v>17</v>
      </c>
      <c r="E1199" s="3" t="n">
        <f aca="false">IF(Tabla2[[#This Row],[Frecuencia]]="Annual", Tabla2[[#This Row],[Cosecha/Tarea]]/12,Tabla2[[#This Row],[Cosecha/Tarea]])</f>
        <v>50</v>
      </c>
      <c r="F1199" s="3" t="n">
        <v>5</v>
      </c>
      <c r="G1199" s="2" t="s">
        <v>29</v>
      </c>
      <c r="H1199" s="2" t="n">
        <f aca="false">F1199/Tabla2[[#This Row],[Cosecha Mensual]]</f>
        <v>0.1</v>
      </c>
      <c r="I1199" s="2" t="n">
        <f aca="false">H1199*_xlfn.XLOOKUP(Tabla2[[#This Row],[Unidad de producción]],Tabla3[Medida],Tabla3[Equivalencia en Kg],"ELVIS",0)</f>
        <v>56.234</v>
      </c>
      <c r="J1199" s="2" t="n">
        <v>6500</v>
      </c>
      <c r="K1199" s="2" t="s">
        <v>29</v>
      </c>
      <c r="L1199" s="2" t="n">
        <f aca="false">J1199/_xlfn.XLOOKUP(Tabla2[[#This Row],[Unidad de precio]],Tabla3[Medida],Tabla3[Equivalencia en Kg],"ELVIS",0)</f>
        <v>11.5588434043461</v>
      </c>
      <c r="M1199" s="2" t="n">
        <v>4903.37166571833</v>
      </c>
      <c r="N1199" s="3" t="n">
        <f aca="false">(Tabla2[[#This Row],[Productividad (kg/TAS)]]*Tabla2[[#This Row],[Precio por kg]]-Tabla2[[#This Row],[Costos (En RD$/Tarea)]])</f>
        <v>-4253.37166571833</v>
      </c>
      <c r="O1199" s="9" t="n">
        <f aca="false">IF(Tabla2[[#This Row],[Costos (En RD$/Tarea)]]=0,0,Tabla2[[#This Row],[Beneficio Neto  (En RD$/Tarea)]]/Tabla2[[#This Row],[Costos (En RD$/Tarea)]])</f>
        <v>-0.867438153924892</v>
      </c>
      <c r="P1199" s="7" t="n">
        <f aca="false">Tabla2[[#This Row],[Rentabilidad (%)]]/12</f>
        <v>-0.0722865128270743</v>
      </c>
    </row>
    <row r="1200" customFormat="false" ht="14.25" hidden="false" customHeight="false" outlineLevel="0" collapsed="false">
      <c r="A1200" s="1" t="n">
        <v>39539</v>
      </c>
      <c r="B1200" s="2" t="s">
        <v>30</v>
      </c>
      <c r="C1200" s="3" t="n">
        <v>287000</v>
      </c>
      <c r="D1200" s="3" t="s">
        <v>31</v>
      </c>
      <c r="E1200" s="3" t="n">
        <f aca="false">IF(Tabla2[[#This Row],[Frecuencia]]="Annual", Tabla2[[#This Row],[Cosecha/Tarea]]/12,Tabla2[[#This Row],[Cosecha/Tarea]])</f>
        <v>23916.6666666667</v>
      </c>
      <c r="F1200" s="3" t="n">
        <v>1435893</v>
      </c>
      <c r="G1200" s="2" t="s">
        <v>32</v>
      </c>
      <c r="H1200" s="2" t="n">
        <f aca="false">F1200/Tabla2[[#This Row],[Cosecha Mensual]]</f>
        <v>60.0373379790941</v>
      </c>
      <c r="I1200" s="2" t="n">
        <f aca="false">H1200*_xlfn.XLOOKUP(Tabla2[[#This Row],[Unidad de producción]],Tabla3[Medida],Tabla3[Equivalencia en Kg],"ELVIS",0)</f>
        <v>1633.61596641115</v>
      </c>
      <c r="J1200" s="2" t="n">
        <v>103.166666666667</v>
      </c>
      <c r="K1200" s="2" t="s">
        <v>32</v>
      </c>
      <c r="L1200" s="2" t="n">
        <f aca="false">J1200/_xlfn.XLOOKUP(Tabla2[[#This Row],[Unidad de precio]],Tabla3[Medida],Tabla3[Equivalencia en Kg],"ELVIS",0)</f>
        <v>3.79149822369228</v>
      </c>
      <c r="M1200" s="3" t="n">
        <v>8644.77930505247</v>
      </c>
      <c r="N1200" s="3" t="n">
        <f aca="false">(Tabla2[[#This Row],[Productividad (kg/TAS)]]*Tabla2[[#This Row],[Precio por kg]]-Tabla2[[#This Row],[Costos (En RD$/Tarea)]])</f>
        <v>-2450.92727020925</v>
      </c>
      <c r="O1200" s="9" t="n">
        <f aca="false">IF(Tabla2[[#This Row],[Costos (En RD$/Tarea)]]=0,0,Tabla2[[#This Row],[Beneficio Neto  (En RD$/Tarea)]]/Tabla2[[#This Row],[Costos (En RD$/Tarea)]])</f>
        <v>-0.283515308340699</v>
      </c>
      <c r="P1200" s="7" t="n">
        <f aca="false">Tabla2[[#This Row],[Rentabilidad (%)]]/12</f>
        <v>-0.0236262756950583</v>
      </c>
    </row>
    <row r="1201" customFormat="false" ht="14.25" hidden="false" customHeight="false" outlineLevel="0" collapsed="false">
      <c r="A1201" s="1" t="n">
        <v>39539</v>
      </c>
      <c r="B1201" s="2" t="s">
        <v>33</v>
      </c>
      <c r="C1201" s="3" t="n">
        <v>587151</v>
      </c>
      <c r="D1201" s="3" t="s">
        <v>31</v>
      </c>
      <c r="E1201" s="11" t="n">
        <f aca="false">IF(Tabla2[[#This Row],[Frecuencia]]="Annual", Tabla2[[#This Row],[Cosecha/Tarea]]/12,Tabla2[[#This Row],[Cosecha/Tarea]])</f>
        <v>48929.25</v>
      </c>
      <c r="F1201" s="3" t="n">
        <v>99883</v>
      </c>
      <c r="G1201" s="2" t="s">
        <v>34</v>
      </c>
      <c r="H1201" s="2" t="n">
        <f aca="false">F1201/Tabla2[[#This Row],[Cosecha Mensual]]</f>
        <v>2.04137606850708</v>
      </c>
      <c r="I1201" s="2" t="n">
        <f aca="false">H1201*_xlfn.XLOOKUP(Tabla2[[#This Row],[Unidad de producción]],Tabla3[Medida],Tabla3[Equivalencia en Kg],"ELVIS",0)</f>
        <v>833.187642361164</v>
      </c>
      <c r="J1201" s="2" t="n">
        <v>4917.70833333333</v>
      </c>
      <c r="K1201" s="2" t="s">
        <v>34</v>
      </c>
      <c r="L1201" s="2" t="n">
        <f aca="false">J1201/_xlfn.XLOOKUP(Tabla2[[#This Row],[Unidad de precio]],Tabla3[Medida],Tabla3[Equivalencia en Kg],"ELVIS",0)</f>
        <v>12.0487770019192</v>
      </c>
      <c r="M1201" s="3" t="n">
        <v>8418.12886809492</v>
      </c>
      <c r="N1201" s="3" t="n">
        <f aca="false">(Tabla2[[#This Row],[Productividad (kg/TAS)]]*Tabla2[[#This Row],[Precio por kg]]-Tabla2[[#This Row],[Costos (En RD$/Tarea)]])</f>
        <v>1620.76323546957</v>
      </c>
      <c r="O1201" s="9" t="n">
        <f aca="false">IF(Tabla2[[#This Row],[Costos (En RD$/Tarea)]]=0,0,Tabla2[[#This Row],[Beneficio Neto  (En RD$/Tarea)]]/Tabla2[[#This Row],[Costos (En RD$/Tarea)]])</f>
        <v>0.192532480895171</v>
      </c>
      <c r="P1201" s="7" t="n">
        <f aca="false">Tabla2[[#This Row],[Rentabilidad (%)]]/12</f>
        <v>0.0160443734079309</v>
      </c>
    </row>
    <row r="1202" customFormat="false" ht="14.25" hidden="false" customHeight="false" outlineLevel="0" collapsed="false">
      <c r="A1202" s="1" t="n">
        <v>39569</v>
      </c>
      <c r="B1202" s="2" t="s">
        <v>16</v>
      </c>
      <c r="C1202" s="3" t="n">
        <v>438526</v>
      </c>
      <c r="D1202" s="8" t="s">
        <v>17</v>
      </c>
      <c r="E1202" s="3" t="n">
        <f aca="false">IF(Tabla2[[#This Row],[Frecuencia]]="Annual", Tabla2[[#This Row],[Cosecha/Tarea]]/12,Tabla2[[#This Row],[Cosecha/Tarea]])</f>
        <v>438526</v>
      </c>
      <c r="F1202" s="3" t="n">
        <v>2169959</v>
      </c>
      <c r="G1202" s="2" t="s">
        <v>18</v>
      </c>
      <c r="H1202" s="2" t="n">
        <f aca="false">F1202/Tabla2[[#This Row],[Cosecha Mensual]]</f>
        <v>4.94830181106708</v>
      </c>
      <c r="I1202" s="2" t="n">
        <f aca="false">H1202*_xlfn.XLOOKUP(Tabla2[[#This Row],[Unidad de producción]],Tabla3[Medida],Tabla3[Equivalencia en Kg],"ELVIS",0)</f>
        <v>224.454970150003</v>
      </c>
      <c r="J1202" s="2" t="n">
        <v>1120</v>
      </c>
      <c r="K1202" s="2" t="s">
        <v>19</v>
      </c>
      <c r="L1202" s="2" t="n">
        <f aca="false">J1202/_xlfn.XLOOKUP(Tabla2[[#This Row],[Unidad de precio]],Tabla3[Medida],Tabla3[Equivalencia en Kg],"ELVIS",0)</f>
        <v>10.1818181818182</v>
      </c>
      <c r="M1202" s="2" t="n">
        <v>6402.1671715266</v>
      </c>
      <c r="N1202" s="3" t="n">
        <f aca="false">(Tabla2[[#This Row],[Productividad (kg/TAS)]]*Tabla2[[#This Row],[Precio por kg]]-Tabla2[[#This Row],[Costos (En RD$/Tarea)]])</f>
        <v>-4116.80747545385</v>
      </c>
      <c r="O1202" s="9" t="n">
        <f aca="false">IF(Tabla2[[#This Row],[Costos (En RD$/Tarea)]]=0,0,Tabla2[[#This Row],[Beneficio Neto  (En RD$/Tarea)]]/Tabla2[[#This Row],[Costos (En RD$/Tarea)]])</f>
        <v>-0.643033423707396</v>
      </c>
      <c r="P1202" s="7" t="n">
        <f aca="false">Tabla2[[#This Row],[Rentabilidad (%)]]/12</f>
        <v>-0.053586118642283</v>
      </c>
    </row>
    <row r="1203" customFormat="false" ht="14.25" hidden="false" customHeight="false" outlineLevel="0" collapsed="false">
      <c r="A1203" s="1" t="n">
        <v>39569</v>
      </c>
      <c r="B1203" s="2" t="s">
        <v>20</v>
      </c>
      <c r="C1203" s="3" t="n">
        <v>16685</v>
      </c>
      <c r="D1203" s="8" t="s">
        <v>17</v>
      </c>
      <c r="E1203" s="3" t="n">
        <f aca="false">IF(Tabla2[[#This Row],[Frecuencia]]="Annual", Tabla2[[#This Row],[Cosecha/Tarea]]/12,Tabla2[[#This Row],[Cosecha/Tarea]])</f>
        <v>16685</v>
      </c>
      <c r="F1203" s="3" t="n">
        <v>32648</v>
      </c>
      <c r="G1203" s="2" t="s">
        <v>18</v>
      </c>
      <c r="H1203" s="2" t="n">
        <f aca="false">F1203/Tabla2[[#This Row],[Cosecha Mensual]]</f>
        <v>1.9567275996404</v>
      </c>
      <c r="I1203" s="2" t="n">
        <f aca="false">H1203*_xlfn.XLOOKUP(Tabla2[[#This Row],[Unidad de producción]],Tabla3[Medida],Tabla3[Equivalencia en Kg],"ELVIS",0)</f>
        <v>88.7571639196884</v>
      </c>
      <c r="J1203" s="2" t="n">
        <v>812.846666666667</v>
      </c>
      <c r="K1203" s="2" t="s">
        <v>18</v>
      </c>
      <c r="L1203" s="2" t="n">
        <f aca="false">J1203/_xlfn.XLOOKUP(Tabla2[[#This Row],[Unidad de precio]],Tabla3[Medida],Tabla3[Equivalencia en Kg],"ELVIS",0)</f>
        <v>17.919900058789</v>
      </c>
      <c r="M1203" s="2" t="n">
        <v>1490.90401998252</v>
      </c>
      <c r="N1203" s="3" t="n">
        <f aca="false">(Tabla2[[#This Row],[Productividad (kg/TAS)]]*Tabla2[[#This Row],[Precio por kg]]-Tabla2[[#This Row],[Costos (En RD$/Tarea)]])</f>
        <v>99.6154869598443</v>
      </c>
      <c r="O1203" s="9" t="n">
        <f aca="false">IF(Tabla2[[#This Row],[Costos (En RD$/Tarea)]]=0,0,Tabla2[[#This Row],[Beneficio Neto  (En RD$/Tarea)]]/Tabla2[[#This Row],[Costos (En RD$/Tarea)]])</f>
        <v>0.0668154928987395</v>
      </c>
      <c r="P1203" s="7" t="n">
        <f aca="false">Tabla2[[#This Row],[Rentabilidad (%)]]/12</f>
        <v>0.00556795774156163</v>
      </c>
    </row>
    <row r="1204" customFormat="false" ht="14.25" hidden="false" customHeight="false" outlineLevel="0" collapsed="false">
      <c r="A1204" s="1" t="n">
        <v>39569</v>
      </c>
      <c r="B1204" s="2" t="s">
        <v>21</v>
      </c>
      <c r="C1204" s="3" t="n">
        <v>6905</v>
      </c>
      <c r="D1204" s="8" t="s">
        <v>17</v>
      </c>
      <c r="E1204" s="3" t="n">
        <f aca="false">IF(Tabla2[[#This Row],[Frecuencia]]="Annual", Tabla2[[#This Row],[Cosecha/Tarea]]/12,Tabla2[[#This Row],[Cosecha/Tarea]])</f>
        <v>6905</v>
      </c>
      <c r="F1204" s="3" t="n">
        <v>76423</v>
      </c>
      <c r="G1204" s="2" t="s">
        <v>18</v>
      </c>
      <c r="H1204" s="2" t="n">
        <f aca="false">F1204/Tabla2[[#This Row],[Cosecha Mensual]]</f>
        <v>11.0677769732078</v>
      </c>
      <c r="I1204" s="2" t="n">
        <f aca="false">H1204*_xlfn.XLOOKUP(Tabla2[[#This Row],[Unidad de producción]],Tabla3[Medida],Tabla3[Equivalencia en Kg],"ELVIS",0)</f>
        <v>502.034363504707</v>
      </c>
      <c r="J1204" s="2" t="n">
        <v>664.24</v>
      </c>
      <c r="K1204" s="2" t="s">
        <v>18</v>
      </c>
      <c r="L1204" s="2" t="n">
        <f aca="false">J1204/_xlfn.XLOOKUP(Tabla2[[#This Row],[Unidad de precio]],Tabla3[Medida],Tabla3[Equivalencia en Kg],"ELVIS",0)</f>
        <v>14.6437389770723</v>
      </c>
      <c r="M1204" s="2" t="n">
        <v>3935.0401959</v>
      </c>
      <c r="N1204" s="3" t="n">
        <f aca="false">(Tabla2[[#This Row],[Productividad (kg/TAS)]]*Tabla2[[#This Row],[Precio por kg]]-Tabla2[[#This Row],[Costos (En RD$/Tarea)]])</f>
        <v>3416.61998078356</v>
      </c>
      <c r="O1204" s="9" t="n">
        <f aca="false">IF(Tabla2[[#This Row],[Costos (En RD$/Tarea)]]=0,0,Tabla2[[#This Row],[Beneficio Neto  (En RD$/Tarea)]]/Tabla2[[#This Row],[Costos (En RD$/Tarea)]])</f>
        <v>0.868255420705336</v>
      </c>
      <c r="P1204" s="7" t="n">
        <f aca="false">Tabla2[[#This Row],[Rentabilidad (%)]]/12</f>
        <v>0.0723546183921113</v>
      </c>
    </row>
    <row r="1205" customFormat="false" ht="14.25" hidden="false" customHeight="false" outlineLevel="0" collapsed="false">
      <c r="A1205" s="1" t="n">
        <v>39569</v>
      </c>
      <c r="B1205" s="2" t="s">
        <v>22</v>
      </c>
      <c r="C1205" s="3" t="n">
        <v>4947</v>
      </c>
      <c r="D1205" s="8" t="s">
        <v>17</v>
      </c>
      <c r="E1205" s="3" t="n">
        <f aca="false">IF(Tabla2[[#This Row],[Frecuencia]]="Annual", Tabla2[[#This Row],[Cosecha/Tarea]]/12,Tabla2[[#This Row],[Cosecha/Tarea]])</f>
        <v>4947</v>
      </c>
      <c r="F1205" s="3" t="n">
        <v>48128</v>
      </c>
      <c r="G1205" s="2" t="s">
        <v>18</v>
      </c>
      <c r="H1205" s="2" t="n">
        <f aca="false">F1205/Tabla2[[#This Row],[Cosecha Mensual]]</f>
        <v>9.72872447948251</v>
      </c>
      <c r="I1205" s="2" t="n">
        <f aca="false">H1205*_xlfn.XLOOKUP(Tabla2[[#This Row],[Unidad de producción]],Tabla3[Medida],Tabla3[Equivalencia en Kg],"ELVIS",0)</f>
        <v>441.294942389327</v>
      </c>
      <c r="J1205" s="2" t="n">
        <v>890.5</v>
      </c>
      <c r="K1205" s="2" t="s">
        <v>18</v>
      </c>
      <c r="L1205" s="2" t="n">
        <f aca="false">J1205/_xlfn.XLOOKUP(Tabla2[[#This Row],[Unidad de precio]],Tabla3[Medida],Tabla3[Equivalencia en Kg],"ELVIS",0)</f>
        <v>19.6318342151675</v>
      </c>
      <c r="M1205" s="2" t="n">
        <v>6901.0735717536</v>
      </c>
      <c r="N1205" s="3" t="n">
        <f aca="false">(Tabla2[[#This Row],[Productividad (kg/TAS)]]*Tabla2[[#This Row],[Precio por kg]]-Tabla2[[#This Row],[Costos (En RD$/Tarea)]])</f>
        <v>1762.35557722558</v>
      </c>
      <c r="O1205" s="9" t="n">
        <f aca="false">IF(Tabla2[[#This Row],[Costos (En RD$/Tarea)]]=0,0,Tabla2[[#This Row],[Beneficio Neto  (En RD$/Tarea)]]/Tabla2[[#This Row],[Costos (En RD$/Tarea)]])</f>
        <v>0.255374118084899</v>
      </c>
      <c r="P1205" s="7" t="n">
        <f aca="false">Tabla2[[#This Row],[Rentabilidad (%)]]/12</f>
        <v>0.0212811765070749</v>
      </c>
    </row>
    <row r="1206" customFormat="false" ht="14.25" hidden="false" customHeight="false" outlineLevel="0" collapsed="false">
      <c r="A1206" s="1" t="n">
        <v>39569</v>
      </c>
      <c r="B1206" s="2" t="s">
        <v>23</v>
      </c>
      <c r="C1206" s="3" t="n">
        <v>3709</v>
      </c>
      <c r="D1206" s="8" t="s">
        <v>17</v>
      </c>
      <c r="E1206" s="3" t="n">
        <f aca="false">IF(Tabla2[[#This Row],[Frecuencia]]="Annual", Tabla2[[#This Row],[Cosecha/Tarea]]/12,Tabla2[[#This Row],[Cosecha/Tarea]])</f>
        <v>3709</v>
      </c>
      <c r="F1206" s="3" t="n">
        <v>89261</v>
      </c>
      <c r="G1206" s="2" t="s">
        <v>18</v>
      </c>
      <c r="H1206" s="2" t="n">
        <f aca="false">F1206/Tabla2[[#This Row],[Cosecha Mensual]]</f>
        <v>24.066055540577</v>
      </c>
      <c r="I1206" s="2" t="n">
        <f aca="false">H1206*_xlfn.XLOOKUP(Tabla2[[#This Row],[Unidad de producción]],Tabla3[Medida],Tabla3[Equivalencia en Kg],"ELVIS",0)</f>
        <v>1091.63627932057</v>
      </c>
      <c r="J1206" s="2" t="n">
        <v>816.666666666667</v>
      </c>
      <c r="K1206" s="2" t="s">
        <v>18</v>
      </c>
      <c r="L1206" s="2" t="n">
        <f aca="false">J1206/_xlfn.XLOOKUP(Tabla2[[#This Row],[Unidad de precio]],Tabla3[Medida],Tabla3[Equivalencia en Kg],"ELVIS",0)</f>
        <v>18.0041152263375</v>
      </c>
      <c r="M1206" s="2" t="n">
        <v>17874.25</v>
      </c>
      <c r="N1206" s="3" t="n">
        <f aca="false">(Tabla2[[#This Row],[Productividad (kg/TAS)]]*Tabla2[[#This Row],[Precio por kg]]-Tabla2[[#This Row],[Costos (En RD$/Tarea)]])</f>
        <v>1779.69535813787</v>
      </c>
      <c r="O1206" s="9" t="n">
        <f aca="false">IF(Tabla2[[#This Row],[Costos (En RD$/Tarea)]]=0,0,Tabla2[[#This Row],[Beneficio Neto  (En RD$/Tarea)]]/Tabla2[[#This Row],[Costos (En RD$/Tarea)]])</f>
        <v>0.0995675543386645</v>
      </c>
      <c r="P1206" s="7" t="n">
        <f aca="false">Tabla2[[#This Row],[Rentabilidad (%)]]/12</f>
        <v>0.0082972961948887</v>
      </c>
    </row>
    <row r="1207" customFormat="false" ht="14.25" hidden="false" customHeight="false" outlineLevel="0" collapsed="false">
      <c r="A1207" s="1" t="n">
        <v>39569</v>
      </c>
      <c r="B1207" s="2" t="s">
        <v>24</v>
      </c>
      <c r="C1207" s="3" t="n">
        <v>5173</v>
      </c>
      <c r="D1207" s="8" t="s">
        <v>17</v>
      </c>
      <c r="E1207" s="3" t="n">
        <f aca="false">IF(Tabla2[[#This Row],[Frecuencia]]="Annual", Tabla2[[#This Row],[Cosecha/Tarea]]/12,Tabla2[[#This Row],[Cosecha/Tarea]])</f>
        <v>5173</v>
      </c>
      <c r="F1207" s="3" t="n">
        <v>41885</v>
      </c>
      <c r="G1207" s="2" t="s">
        <v>18</v>
      </c>
      <c r="H1207" s="2" t="n">
        <f aca="false">F1207/Tabla2[[#This Row],[Cosecha Mensual]]</f>
        <v>8.09684902377731</v>
      </c>
      <c r="I1207" s="2" t="n">
        <f aca="false">H1207*_xlfn.XLOOKUP(Tabla2[[#This Row],[Unidad de producción]],Tabla3[Medida],Tabla3[Equivalencia en Kg],"ELVIS",0)</f>
        <v>367.273071718539</v>
      </c>
      <c r="J1207" s="2" t="n">
        <v>1057.5</v>
      </c>
      <c r="K1207" s="2" t="s">
        <v>18</v>
      </c>
      <c r="L1207" s="2" t="n">
        <f aca="false">J1207/_xlfn.XLOOKUP(Tabla2[[#This Row],[Unidad de precio]],Tabla3[Medida],Tabla3[Equivalencia en Kg],"ELVIS",0)</f>
        <v>23.3134920634921</v>
      </c>
      <c r="M1207" s="2" t="n">
        <v>5602.34206216742</v>
      </c>
      <c r="N1207" s="3" t="n">
        <f aca="false">(Tabla2[[#This Row],[Productividad (kg/TAS)]]*Tabla2[[#This Row],[Precio por kg]]-Tabla2[[#This Row],[Costos (En RD$/Tarea)]])</f>
        <v>2960.07578047708</v>
      </c>
      <c r="O1207" s="9" t="n">
        <f aca="false">IF(Tabla2[[#This Row],[Costos (En RD$/Tarea)]]=0,0,Tabla2[[#This Row],[Beneficio Neto  (En RD$/Tarea)]]/Tabla2[[#This Row],[Costos (En RD$/Tarea)]])</f>
        <v>0.528363985567117</v>
      </c>
      <c r="P1207" s="7" t="n">
        <f aca="false">Tabla2[[#This Row],[Rentabilidad (%)]]/12</f>
        <v>0.0440303321305931</v>
      </c>
    </row>
    <row r="1208" customFormat="false" ht="14.25" hidden="false" customHeight="false" outlineLevel="0" collapsed="false">
      <c r="A1208" s="1" t="n">
        <v>39569</v>
      </c>
      <c r="B1208" s="2" t="s">
        <v>25</v>
      </c>
      <c r="C1208" s="3" t="n">
        <v>15882</v>
      </c>
      <c r="D1208" s="8" t="s">
        <v>17</v>
      </c>
      <c r="E1208" s="3" t="n">
        <f aca="false">IF(Tabla2[[#This Row],[Frecuencia]]="Annual", Tabla2[[#This Row],[Cosecha/Tarea]]/12,Tabla2[[#This Row],[Cosecha/Tarea]])</f>
        <v>15882</v>
      </c>
      <c r="F1208" s="3" t="n">
        <v>158884</v>
      </c>
      <c r="G1208" s="2" t="s">
        <v>18</v>
      </c>
      <c r="H1208" s="2" t="n">
        <f aca="false">F1208/Tabla2[[#This Row],[Cosecha Mensual]]</f>
        <v>10.0040297191789</v>
      </c>
      <c r="I1208" s="2" t="n">
        <f aca="false">H1208*_xlfn.XLOOKUP(Tabla2[[#This Row],[Unidad de producción]],Tabla3[Medida],Tabla3[Equivalencia en Kg],"ELVIS",0)</f>
        <v>453.782788061957</v>
      </c>
      <c r="J1208" s="2" t="n">
        <v>1096.996</v>
      </c>
      <c r="K1208" s="2" t="s">
        <v>18</v>
      </c>
      <c r="L1208" s="2" t="n">
        <f aca="false">J1208/_xlfn.XLOOKUP(Tabla2[[#This Row],[Unidad de precio]],Tabla3[Medida],Tabla3[Equivalencia en Kg],"ELVIS",0)</f>
        <v>24.1842151675485</v>
      </c>
      <c r="M1208" s="2" t="n">
        <v>3201.64901153456</v>
      </c>
      <c r="N1208" s="3" t="n">
        <f aca="false">(Tabla2[[#This Row],[Productividad (kg/TAS)]]*Tabla2[[#This Row],[Precio por kg]]-Tabla2[[#This Row],[Costos (En RD$/Tarea)]])</f>
        <v>7772.73157428587</v>
      </c>
      <c r="O1208" s="9" t="n">
        <f aca="false">IF(Tabla2[[#This Row],[Costos (En RD$/Tarea)]]=0,0,Tabla2[[#This Row],[Beneficio Neto  (En RD$/Tarea)]]/Tabla2[[#This Row],[Costos (En RD$/Tarea)]])</f>
        <v>2.42772756985013</v>
      </c>
      <c r="P1208" s="7" t="n">
        <f aca="false">Tabla2[[#This Row],[Rentabilidad (%)]]/12</f>
        <v>0.202310630820844</v>
      </c>
    </row>
    <row r="1209" customFormat="false" ht="14.25" hidden="false" customHeight="false" outlineLevel="0" collapsed="false">
      <c r="A1209" s="1" t="n">
        <v>39569</v>
      </c>
      <c r="B1209" s="2" t="s">
        <v>26</v>
      </c>
      <c r="C1209" s="3" t="n">
        <v>12349</v>
      </c>
      <c r="D1209" s="8" t="s">
        <v>17</v>
      </c>
      <c r="E1209" s="3" t="n">
        <f aca="false">IF(Tabla2[[#This Row],[Frecuencia]]="Annual", Tabla2[[#This Row],[Cosecha/Tarea]]/12,Tabla2[[#This Row],[Cosecha/Tarea]])</f>
        <v>12349</v>
      </c>
      <c r="F1209" s="3" t="n">
        <v>85193</v>
      </c>
      <c r="G1209" s="2" t="s">
        <v>18</v>
      </c>
      <c r="H1209" s="2" t="n">
        <f aca="false">F1209/Tabla2[[#This Row],[Cosecha Mensual]]</f>
        <v>6.89877722892542</v>
      </c>
      <c r="I1209" s="2" t="n">
        <f aca="false">H1209*_xlfn.XLOOKUP(Tabla2[[#This Row],[Unidad de producción]],Tabla3[Medida],Tabla3[Equivalencia en Kg],"ELVIS",0)</f>
        <v>312.928535104057</v>
      </c>
      <c r="J1209" s="2" t="n">
        <v>657.8125</v>
      </c>
      <c r="K1209" s="2" t="s">
        <v>18</v>
      </c>
      <c r="L1209" s="2" t="n">
        <f aca="false">J1209/_xlfn.XLOOKUP(Tabla2[[#This Row],[Unidad de precio]],Tabla3[Medida],Tabla3[Equivalencia en Kg],"ELVIS",0)</f>
        <v>14.5020392416226</v>
      </c>
      <c r="M1209" s="2" t="n">
        <v>1294.92573769894</v>
      </c>
      <c r="N1209" s="3" t="n">
        <f aca="false">(Tabla2[[#This Row],[Productividad (kg/TAS)]]*Tabla2[[#This Row],[Precio por kg]]-Tabla2[[#This Row],[Costos (En RD$/Tarea)]])</f>
        <v>3243.17615820356</v>
      </c>
      <c r="O1209" s="9" t="n">
        <f aca="false">IF(Tabla2[[#This Row],[Costos (En RD$/Tarea)]]=0,0,Tabla2[[#This Row],[Beneficio Neto  (En RD$/Tarea)]]/Tabla2[[#This Row],[Costos (En RD$/Tarea)]])</f>
        <v>2.5045267568522</v>
      </c>
      <c r="P1209" s="7" t="n">
        <f aca="false">Tabla2[[#This Row],[Rentabilidad (%)]]/12</f>
        <v>0.208710563071016</v>
      </c>
    </row>
    <row r="1210" customFormat="false" ht="14.25" hidden="false" customHeight="false" outlineLevel="0" collapsed="false">
      <c r="A1210" s="1" t="n">
        <v>39569</v>
      </c>
      <c r="B1210" s="2" t="s">
        <v>27</v>
      </c>
      <c r="C1210" s="3" t="n">
        <v>7939</v>
      </c>
      <c r="D1210" s="8" t="s">
        <v>17</v>
      </c>
      <c r="E1210" s="3" t="n">
        <f aca="false">IF(Tabla2[[#This Row],[Frecuencia]]="Annual", Tabla2[[#This Row],[Cosecha/Tarea]]/12,Tabla2[[#This Row],[Cosecha/Tarea]])</f>
        <v>7939</v>
      </c>
      <c r="F1210" s="3" t="n">
        <v>50477</v>
      </c>
      <c r="G1210" s="2" t="s">
        <v>18</v>
      </c>
      <c r="H1210" s="2" t="n">
        <f aca="false">F1210/Tabla2[[#This Row],[Cosecha Mensual]]</f>
        <v>6.35810555485578</v>
      </c>
      <c r="I1210" s="2" t="n">
        <f aca="false">H1210*_xlfn.XLOOKUP(Tabla2[[#This Row],[Unidad de producción]],Tabla3[Medida],Tabla3[Equivalencia en Kg],"ELVIS",0)</f>
        <v>288.403667968258</v>
      </c>
      <c r="J1210" s="2" t="n">
        <v>402.4216</v>
      </c>
      <c r="K1210" s="2" t="s">
        <v>18</v>
      </c>
      <c r="L1210" s="2" t="n">
        <f aca="false">J1210/_xlfn.XLOOKUP(Tabla2[[#This Row],[Unidad de precio]],Tabla3[Medida],Tabla3[Equivalencia en Kg],"ELVIS",0)</f>
        <v>8.87172839506173</v>
      </c>
      <c r="M1210" s="2" t="n">
        <v>5429.72570566602</v>
      </c>
      <c r="N1210" s="3" t="n">
        <f aca="false">(Tabla2[[#This Row],[Productividad (kg/TAS)]]*Tabla2[[#This Row],[Precio por kg]]-Tabla2[[#This Row],[Costos (En RD$/Tarea)]])</f>
        <v>-2871.08669531207</v>
      </c>
      <c r="O1210" s="9" t="n">
        <f aca="false">IF(Tabla2[[#This Row],[Costos (En RD$/Tarea)]]=0,0,Tabla2[[#This Row],[Beneficio Neto  (En RD$/Tarea)]]/Tabla2[[#This Row],[Costos (En RD$/Tarea)]])</f>
        <v>-0.52877195846487</v>
      </c>
      <c r="P1210" s="7" t="n">
        <f aca="false">Tabla2[[#This Row],[Rentabilidad (%)]]/12</f>
        <v>-0.0440643298720725</v>
      </c>
    </row>
    <row r="1211" customFormat="false" ht="14.25" hidden="false" customHeight="false" outlineLevel="0" collapsed="false">
      <c r="A1211" s="1" t="n">
        <v>39569</v>
      </c>
      <c r="B1211" s="2" t="s">
        <v>28</v>
      </c>
      <c r="C1211" s="3" t="n">
        <v>212</v>
      </c>
      <c r="D1211" s="8" t="s">
        <v>17</v>
      </c>
      <c r="E1211" s="3" t="n">
        <f aca="false">IF(Tabla2[[#This Row],[Frecuencia]]="Annual", Tabla2[[#This Row],[Cosecha/Tarea]]/12,Tabla2[[#This Row],[Cosecha/Tarea]])</f>
        <v>212</v>
      </c>
      <c r="F1211" s="3" t="n">
        <v>53</v>
      </c>
      <c r="G1211" s="2" t="s">
        <v>29</v>
      </c>
      <c r="H1211" s="2" t="n">
        <f aca="false">F1211/Tabla2[[#This Row],[Cosecha Mensual]]</f>
        <v>0.25</v>
      </c>
      <c r="I1211" s="2" t="n">
        <f aca="false">H1211*_xlfn.XLOOKUP(Tabla2[[#This Row],[Unidad de producción]],Tabla3[Medida],Tabla3[Equivalencia en Kg],"ELVIS",0)</f>
        <v>140.585</v>
      </c>
      <c r="J1211" s="2" t="n">
        <v>6200</v>
      </c>
      <c r="K1211" s="2" t="s">
        <v>29</v>
      </c>
      <c r="L1211" s="2" t="n">
        <f aca="false">J1211/_xlfn.XLOOKUP(Tabla2[[#This Row],[Unidad de precio]],Tabla3[Medida],Tabla3[Equivalencia en Kg],"ELVIS",0)</f>
        <v>11.0253583241455</v>
      </c>
      <c r="M1211" s="2" t="n">
        <v>4903.37166571833</v>
      </c>
      <c r="N1211" s="3" t="n">
        <f aca="false">(Tabla2[[#This Row],[Productividad (kg/TAS)]]*Tabla2[[#This Row],[Precio por kg]]-Tabla2[[#This Row],[Costos (En RD$/Tarea)]])</f>
        <v>-3353.37166571833</v>
      </c>
      <c r="O1211" s="9" t="n">
        <f aca="false">IF(Tabla2[[#This Row],[Costos (En RD$/Tarea)]]=0,0,Tabla2[[#This Row],[Beneficio Neto  (En RD$/Tarea)]]/Tabla2[[#This Row],[Costos (En RD$/Tarea)]])</f>
        <v>-0.683890982436281</v>
      </c>
      <c r="P1211" s="7" t="n">
        <f aca="false">Tabla2[[#This Row],[Rentabilidad (%)]]/12</f>
        <v>-0.0569909152030234</v>
      </c>
    </row>
    <row r="1212" customFormat="false" ht="14.25" hidden="false" customHeight="false" outlineLevel="0" collapsed="false">
      <c r="A1212" s="1" t="n">
        <v>39569</v>
      </c>
      <c r="B1212" s="2" t="s">
        <v>30</v>
      </c>
      <c r="C1212" s="3" t="n">
        <v>292588</v>
      </c>
      <c r="D1212" s="3" t="s">
        <v>31</v>
      </c>
      <c r="E1212" s="3" t="n">
        <f aca="false">IF(Tabla2[[#This Row],[Frecuencia]]="Annual", Tabla2[[#This Row],[Cosecha/Tarea]]/12,Tabla2[[#This Row],[Cosecha/Tarea]])</f>
        <v>24382.3333333333</v>
      </c>
      <c r="F1212" s="3" t="n">
        <v>1508833</v>
      </c>
      <c r="G1212" s="2" t="s">
        <v>32</v>
      </c>
      <c r="H1212" s="2" t="n">
        <f aca="false">F1212/Tabla2[[#This Row],[Cosecha Mensual]]</f>
        <v>61.8822234678114</v>
      </c>
      <c r="I1212" s="2" t="n">
        <f aca="false">H1212*_xlfn.XLOOKUP(Tabla2[[#This Row],[Unidad de producción]],Tabla3[Medida],Tabla3[Equivalencia en Kg],"ELVIS",0)</f>
        <v>1683.81530055915</v>
      </c>
      <c r="J1212" s="2" t="n">
        <v>109.9</v>
      </c>
      <c r="K1212" s="2" t="s">
        <v>32</v>
      </c>
      <c r="L1212" s="2" t="n">
        <f aca="false">J1212/_xlfn.XLOOKUP(Tabla2[[#This Row],[Unidad de precio]],Tabla3[Medida],Tabla3[Equivalencia en Kg],"ELVIS",0)</f>
        <v>4.03895626607865</v>
      </c>
      <c r="M1212" s="3" t="n">
        <v>8644.77930505247</v>
      </c>
      <c r="N1212" s="3" t="n">
        <f aca="false">(Tabla2[[#This Row],[Productividad (kg/TAS)]]*Tabla2[[#This Row],[Precio por kg]]-Tabla2[[#This Row],[Costos (En RD$/Tarea)]])</f>
        <v>-1843.92294594</v>
      </c>
      <c r="O1212" s="9" t="n">
        <f aca="false">IF(Tabla2[[#This Row],[Costos (En RD$/Tarea)]]=0,0,Tabla2[[#This Row],[Beneficio Neto  (En RD$/Tarea)]]/Tabla2[[#This Row],[Costos (En RD$/Tarea)]])</f>
        <v>-0.213299019081067</v>
      </c>
      <c r="P1212" s="7" t="n">
        <f aca="false">Tabla2[[#This Row],[Rentabilidad (%)]]/12</f>
        <v>-0.0177749182567556</v>
      </c>
    </row>
    <row r="1213" customFormat="false" ht="14.25" hidden="false" customHeight="false" outlineLevel="0" collapsed="false">
      <c r="A1213" s="1" t="n">
        <v>39569</v>
      </c>
      <c r="B1213" s="2" t="s">
        <v>33</v>
      </c>
      <c r="C1213" s="3" t="n">
        <v>589591</v>
      </c>
      <c r="D1213" s="3" t="s">
        <v>31</v>
      </c>
      <c r="E1213" s="11" t="n">
        <f aca="false">IF(Tabla2[[#This Row],[Frecuencia]]="Annual", Tabla2[[#This Row],[Cosecha/Tarea]]/12,Tabla2[[#This Row],[Cosecha/Tarea]])</f>
        <v>49132.5833333333</v>
      </c>
      <c r="F1213" s="3" t="n">
        <v>100212</v>
      </c>
      <c r="G1213" s="2" t="s">
        <v>34</v>
      </c>
      <c r="H1213" s="2" t="n">
        <f aca="false">F1213/Tabla2[[#This Row],[Cosecha Mensual]]</f>
        <v>2.03962407838654</v>
      </c>
      <c r="I1213" s="2" t="n">
        <f aca="false">H1213*_xlfn.XLOOKUP(Tabla2[[#This Row],[Unidad de producción]],Tabla3[Medida],Tabla3[Equivalencia en Kg],"ELVIS",0)</f>
        <v>832.472567593467</v>
      </c>
      <c r="J1213" s="2" t="n">
        <v>4645.366</v>
      </c>
      <c r="K1213" s="2" t="s">
        <v>34</v>
      </c>
      <c r="L1213" s="2" t="n">
        <f aca="false">J1213/_xlfn.XLOOKUP(Tabla2[[#This Row],[Unidad de precio]],Tabla3[Medida],Tabla3[Equivalencia en Kg],"ELVIS",0)</f>
        <v>11.3815165992895</v>
      </c>
      <c r="M1213" s="3" t="n">
        <v>8418.12886809492</v>
      </c>
      <c r="N1213" s="3" t="n">
        <f aca="false">(Tabla2[[#This Row],[Productividad (kg/TAS)]]*Tabla2[[#This Row],[Precio por kg]]-Tabla2[[#This Row],[Costos (En RD$/Tarea)]])</f>
        <v>1056.67147842326</v>
      </c>
      <c r="O1213" s="9" t="n">
        <f aca="false">IF(Tabla2[[#This Row],[Costos (En RD$/Tarea)]]=0,0,Tabla2[[#This Row],[Beneficio Neto  (En RD$/Tarea)]]/Tabla2[[#This Row],[Costos (En RD$/Tarea)]])</f>
        <v>0.125523319371849</v>
      </c>
      <c r="P1213" s="7" t="n">
        <f aca="false">Tabla2[[#This Row],[Rentabilidad (%)]]/12</f>
        <v>0.0104602766143207</v>
      </c>
    </row>
    <row r="1214" customFormat="false" ht="14.25" hidden="false" customHeight="false" outlineLevel="0" collapsed="false">
      <c r="A1214" s="1" t="n">
        <v>39600</v>
      </c>
      <c r="B1214" s="2" t="s">
        <v>16</v>
      </c>
      <c r="C1214" s="3" t="n">
        <v>324591</v>
      </c>
      <c r="D1214" s="8" t="s">
        <v>17</v>
      </c>
      <c r="E1214" s="3" t="n">
        <f aca="false">IF(Tabla2[[#This Row],[Frecuencia]]="Annual", Tabla2[[#This Row],[Cosecha/Tarea]]/12,Tabla2[[#This Row],[Cosecha/Tarea]])</f>
        <v>324591</v>
      </c>
      <c r="F1214" s="3" t="n">
        <v>1747622</v>
      </c>
      <c r="G1214" s="2" t="s">
        <v>18</v>
      </c>
      <c r="H1214" s="2" t="n">
        <f aca="false">F1214/Tabla2[[#This Row],[Cosecha Mensual]]</f>
        <v>5.3840741117283</v>
      </c>
      <c r="I1214" s="2" t="n">
        <f aca="false">H1214*_xlfn.XLOOKUP(Tabla2[[#This Row],[Unidad de producción]],Tabla3[Medida],Tabla3[Equivalencia en Kg],"ELVIS",0)</f>
        <v>244.221601707996</v>
      </c>
      <c r="J1214" s="2" t="n">
        <v>1170.084</v>
      </c>
      <c r="K1214" s="2" t="s">
        <v>19</v>
      </c>
      <c r="L1214" s="2" t="n">
        <f aca="false">J1214/_xlfn.XLOOKUP(Tabla2[[#This Row],[Unidad de precio]],Tabla3[Medida],Tabla3[Equivalencia en Kg],"ELVIS",0)</f>
        <v>10.6371272727273</v>
      </c>
      <c r="M1214" s="2" t="n">
        <v>6402.1671715266</v>
      </c>
      <c r="N1214" s="3" t="n">
        <f aca="false">(Tabla2[[#This Row],[Productividad (kg/TAS)]]*Tabla2[[#This Row],[Precio por kg]]-Tabla2[[#This Row],[Costos (En RD$/Tarea)]])</f>
        <v>-3804.35091140934</v>
      </c>
      <c r="O1214" s="9" t="n">
        <f aca="false">IF(Tabla2[[#This Row],[Costos (En RD$/Tarea)]]=0,0,Tabla2[[#This Row],[Beneficio Neto  (En RD$/Tarea)]]/Tabla2[[#This Row],[Costos (En RD$/Tarea)]])</f>
        <v>-0.594228611887714</v>
      </c>
      <c r="P1214" s="7" t="n">
        <f aca="false">Tabla2[[#This Row],[Rentabilidad (%)]]/12</f>
        <v>-0.0495190509906428</v>
      </c>
    </row>
    <row r="1215" customFormat="false" ht="14.25" hidden="false" customHeight="false" outlineLevel="0" collapsed="false">
      <c r="A1215" s="1" t="n">
        <v>39600</v>
      </c>
      <c r="B1215" s="2" t="s">
        <v>20</v>
      </c>
      <c r="C1215" s="3" t="n">
        <v>15505</v>
      </c>
      <c r="D1215" s="8" t="s">
        <v>17</v>
      </c>
      <c r="E1215" s="3" t="n">
        <f aca="false">IF(Tabla2[[#This Row],[Frecuencia]]="Annual", Tabla2[[#This Row],[Cosecha/Tarea]]/12,Tabla2[[#This Row],[Cosecha/Tarea]])</f>
        <v>15505</v>
      </c>
      <c r="F1215" s="3" t="n">
        <v>29055</v>
      </c>
      <c r="G1215" s="2" t="s">
        <v>18</v>
      </c>
      <c r="H1215" s="2" t="n">
        <f aca="false">F1215/Tabla2[[#This Row],[Cosecha Mensual]]</f>
        <v>1.873911641406</v>
      </c>
      <c r="I1215" s="2" t="n">
        <f aca="false">H1215*_xlfn.XLOOKUP(Tabla2[[#This Row],[Unidad de producción]],Tabla3[Medida],Tabla3[Equivalencia en Kg],"ELVIS",0)</f>
        <v>85.0006320541761</v>
      </c>
      <c r="J1215" s="2" t="n">
        <v>925.254</v>
      </c>
      <c r="K1215" s="2" t="s">
        <v>18</v>
      </c>
      <c r="L1215" s="2" t="n">
        <f aca="false">J1215/_xlfn.XLOOKUP(Tabla2[[#This Row],[Unidad de precio]],Tabla3[Medida],Tabla3[Equivalencia en Kg],"ELVIS",0)</f>
        <v>20.3980158730159</v>
      </c>
      <c r="M1215" s="2" t="n">
        <v>1490.90401998252</v>
      </c>
      <c r="N1215" s="3" t="n">
        <f aca="false">(Tabla2[[#This Row],[Productividad (kg/TAS)]]*Tabla2[[#This Row],[Precio por kg]]-Tabla2[[#This Row],[Costos (En RD$/Tarea)]])</f>
        <v>242.940221874945</v>
      </c>
      <c r="O1215" s="9" t="n">
        <f aca="false">IF(Tabla2[[#This Row],[Costos (En RD$/Tarea)]]=0,0,Tabla2[[#This Row],[Beneficio Neto  (En RD$/Tarea)]]/Tabla2[[#This Row],[Costos (En RD$/Tarea)]])</f>
        <v>0.162948264018896</v>
      </c>
      <c r="P1215" s="7" t="n">
        <f aca="false">Tabla2[[#This Row],[Rentabilidad (%)]]/12</f>
        <v>0.0135790220015747</v>
      </c>
    </row>
    <row r="1216" customFormat="false" ht="14.25" hidden="false" customHeight="false" outlineLevel="0" collapsed="false">
      <c r="A1216" s="1" t="n">
        <v>39600</v>
      </c>
      <c r="B1216" s="2" t="s">
        <v>21</v>
      </c>
      <c r="C1216" s="3" t="n">
        <v>7541</v>
      </c>
      <c r="D1216" s="8" t="s">
        <v>17</v>
      </c>
      <c r="E1216" s="3" t="n">
        <f aca="false">IF(Tabla2[[#This Row],[Frecuencia]]="Annual", Tabla2[[#This Row],[Cosecha/Tarea]]/12,Tabla2[[#This Row],[Cosecha/Tarea]])</f>
        <v>7541</v>
      </c>
      <c r="F1216" s="3" t="n">
        <v>81450</v>
      </c>
      <c r="G1216" s="2" t="s">
        <v>18</v>
      </c>
      <c r="H1216" s="2" t="n">
        <f aca="false">F1216/Tabla2[[#This Row],[Cosecha Mensual]]</f>
        <v>10.8009547805331</v>
      </c>
      <c r="I1216" s="2" t="n">
        <f aca="false">H1216*_xlfn.XLOOKUP(Tabla2[[#This Row],[Unidad de producción]],Tabla3[Medida],Tabla3[Equivalencia en Kg],"ELVIS",0)</f>
        <v>489.931308844981</v>
      </c>
      <c r="J1216" s="2" t="n">
        <v>358.5406175</v>
      </c>
      <c r="K1216" s="2" t="s">
        <v>18</v>
      </c>
      <c r="L1216" s="2" t="n">
        <f aca="false">J1216/_xlfn.XLOOKUP(Tabla2[[#This Row],[Unidad de precio]],Tabla3[Medida],Tabla3[Equivalencia en Kg],"ELVIS",0)</f>
        <v>7.90433460097002</v>
      </c>
      <c r="M1216" s="2" t="n">
        <v>3935.0401959</v>
      </c>
      <c r="N1216" s="3" t="n">
        <f aca="false">(Tabla2[[#This Row],[Productividad (kg/TAS)]]*Tabla2[[#This Row],[Precio por kg]]-Tabla2[[#This Row],[Costos (En RD$/Tarea)]])</f>
        <v>-62.4591992980904</v>
      </c>
      <c r="O1216" s="9" t="n">
        <f aca="false">IF(Tabla2[[#This Row],[Costos (En RD$/Tarea)]]=0,0,Tabla2[[#This Row],[Beneficio Neto  (En RD$/Tarea)]]/Tabla2[[#This Row],[Costos (En RD$/Tarea)]])</f>
        <v>-0.0158725695770955</v>
      </c>
      <c r="P1216" s="7" t="n">
        <f aca="false">Tabla2[[#This Row],[Rentabilidad (%)]]/12</f>
        <v>-0.00132271413142463</v>
      </c>
    </row>
    <row r="1217" customFormat="false" ht="14.25" hidden="false" customHeight="false" outlineLevel="0" collapsed="false">
      <c r="A1217" s="1" t="n">
        <v>39600</v>
      </c>
      <c r="B1217" s="2" t="s">
        <v>22</v>
      </c>
      <c r="C1217" s="3" t="n">
        <v>2605</v>
      </c>
      <c r="D1217" s="8" t="s">
        <v>17</v>
      </c>
      <c r="E1217" s="3" t="n">
        <f aca="false">IF(Tabla2[[#This Row],[Frecuencia]]="Annual", Tabla2[[#This Row],[Cosecha/Tarea]]/12,Tabla2[[#This Row],[Cosecha/Tarea]])</f>
        <v>2605</v>
      </c>
      <c r="F1217" s="3" t="n">
        <v>25618</v>
      </c>
      <c r="G1217" s="2" t="s">
        <v>18</v>
      </c>
      <c r="H1217" s="2" t="n">
        <f aca="false">F1217/Tabla2[[#This Row],[Cosecha Mensual]]</f>
        <v>9.8341650671785</v>
      </c>
      <c r="I1217" s="2" t="n">
        <f aca="false">H1217*_xlfn.XLOOKUP(Tabla2[[#This Row],[Unidad de producción]],Tabla3[Medida],Tabla3[Equivalencia en Kg],"ELVIS",0)</f>
        <v>446.077727447217</v>
      </c>
      <c r="J1217" s="2" t="n">
        <v>1075</v>
      </c>
      <c r="K1217" s="2" t="s">
        <v>18</v>
      </c>
      <c r="L1217" s="2" t="n">
        <f aca="false">J1217/_xlfn.XLOOKUP(Tabla2[[#This Row],[Unidad de precio]],Tabla3[Medida],Tabla3[Equivalencia en Kg],"ELVIS",0)</f>
        <v>23.6992945326279</v>
      </c>
      <c r="M1217" s="2" t="n">
        <v>6901.0735717536</v>
      </c>
      <c r="N1217" s="3" t="n">
        <f aca="false">(Tabla2[[#This Row],[Productividad (kg/TAS)]]*Tabla2[[#This Row],[Precio por kg]]-Tabla2[[#This Row],[Costos (En RD$/Tarea)]])</f>
        <v>3670.65387546329</v>
      </c>
      <c r="O1217" s="9" t="n">
        <f aca="false">IF(Tabla2[[#This Row],[Costos (En RD$/Tarea)]]=0,0,Tabla2[[#This Row],[Beneficio Neto  (En RD$/Tarea)]]/Tabla2[[#This Row],[Costos (En RD$/Tarea)]])</f>
        <v>0.531896064764103</v>
      </c>
      <c r="P1217" s="7" t="n">
        <f aca="false">Tabla2[[#This Row],[Rentabilidad (%)]]/12</f>
        <v>0.0443246720636752</v>
      </c>
    </row>
    <row r="1218" customFormat="false" ht="14.25" hidden="false" customHeight="false" outlineLevel="0" collapsed="false">
      <c r="A1218" s="1" t="n">
        <v>39600</v>
      </c>
      <c r="B1218" s="2" t="s">
        <v>23</v>
      </c>
      <c r="C1218" s="3" t="n">
        <v>1658</v>
      </c>
      <c r="D1218" s="8" t="s">
        <v>17</v>
      </c>
      <c r="E1218" s="3" t="n">
        <f aca="false">IF(Tabla2[[#This Row],[Frecuencia]]="Annual", Tabla2[[#This Row],[Cosecha/Tarea]]/12,Tabla2[[#This Row],[Cosecha/Tarea]])</f>
        <v>1658</v>
      </c>
      <c r="F1218" s="3" t="n">
        <v>49669</v>
      </c>
      <c r="G1218" s="2" t="s">
        <v>18</v>
      </c>
      <c r="H1218" s="2" t="n">
        <f aca="false">F1218/Tabla2[[#This Row],[Cosecha Mensual]]</f>
        <v>29.9571773220748</v>
      </c>
      <c r="I1218" s="2" t="n">
        <f aca="false">H1218*_xlfn.XLOOKUP(Tabla2[[#This Row],[Unidad de producción]],Tabla3[Medida],Tabla3[Equivalencia en Kg],"ELVIS",0)</f>
        <v>1358.85756332931</v>
      </c>
      <c r="J1218" s="2" t="n">
        <v>850</v>
      </c>
      <c r="K1218" s="2" t="s">
        <v>18</v>
      </c>
      <c r="L1218" s="2" t="n">
        <f aca="false">J1218/_xlfn.XLOOKUP(Tabla2[[#This Row],[Unidad de precio]],Tabla3[Medida],Tabla3[Equivalencia en Kg],"ELVIS",0)</f>
        <v>18.7389770723104</v>
      </c>
      <c r="M1218" s="2" t="n">
        <v>17874.25</v>
      </c>
      <c r="N1218" s="3" t="n">
        <f aca="false">(Tabla2[[#This Row],[Productividad (kg/TAS)]]*Tabla2[[#This Row],[Precio por kg]]-Tabla2[[#This Row],[Costos (En RD$/Tarea)]])</f>
        <v>7589.35072376357</v>
      </c>
      <c r="O1218" s="9" t="n">
        <f aca="false">IF(Tabla2[[#This Row],[Costos (En RD$/Tarea)]]=0,0,Tabla2[[#This Row],[Beneficio Neto  (En RD$/Tarea)]]/Tabla2[[#This Row],[Costos (En RD$/Tarea)]])</f>
        <v>0.424596876722859</v>
      </c>
      <c r="P1218" s="7" t="n">
        <f aca="false">Tabla2[[#This Row],[Rentabilidad (%)]]/12</f>
        <v>0.0353830730602383</v>
      </c>
    </row>
    <row r="1219" customFormat="false" ht="14.25" hidden="false" customHeight="false" outlineLevel="0" collapsed="false">
      <c r="A1219" s="1" t="n">
        <v>39600</v>
      </c>
      <c r="B1219" s="2" t="s">
        <v>24</v>
      </c>
      <c r="C1219" s="3" t="n">
        <v>3634</v>
      </c>
      <c r="D1219" s="8" t="s">
        <v>17</v>
      </c>
      <c r="E1219" s="3" t="n">
        <f aca="false">IF(Tabla2[[#This Row],[Frecuencia]]="Annual", Tabla2[[#This Row],[Cosecha/Tarea]]/12,Tabla2[[#This Row],[Cosecha/Tarea]])</f>
        <v>3634</v>
      </c>
      <c r="F1219" s="3" t="n">
        <v>38764</v>
      </c>
      <c r="G1219" s="2" t="s">
        <v>18</v>
      </c>
      <c r="H1219" s="2" t="n">
        <f aca="false">F1219/Tabla2[[#This Row],[Cosecha Mensual]]</f>
        <v>10.6670335718217</v>
      </c>
      <c r="I1219" s="2" t="n">
        <f aca="false">H1219*_xlfn.XLOOKUP(Tabla2[[#This Row],[Unidad de producción]],Tabla3[Medida],Tabla3[Equivalencia en Kg],"ELVIS",0)</f>
        <v>483.856642817832</v>
      </c>
      <c r="J1219" s="2" t="n">
        <v>950</v>
      </c>
      <c r="K1219" s="2" t="s">
        <v>18</v>
      </c>
      <c r="L1219" s="2" t="n">
        <f aca="false">J1219/_xlfn.XLOOKUP(Tabla2[[#This Row],[Unidad de precio]],Tabla3[Medida],Tabla3[Equivalencia en Kg],"ELVIS",0)</f>
        <v>20.9435626102293</v>
      </c>
      <c r="M1219" s="2" t="n">
        <v>5602.34206216742</v>
      </c>
      <c r="N1219" s="3" t="n">
        <f aca="false">(Tabla2[[#This Row],[Productividad (kg/TAS)]]*Tabla2[[#This Row],[Precio por kg]]-Tabla2[[#This Row],[Costos (En RD$/Tarea)]])</f>
        <v>4531.33983106318</v>
      </c>
      <c r="O1219" s="9" t="n">
        <f aca="false">IF(Tabla2[[#This Row],[Costos (En RD$/Tarea)]]=0,0,Tabla2[[#This Row],[Beneficio Neto  (En RD$/Tarea)]]/Tabla2[[#This Row],[Costos (En RD$/Tarea)]])</f>
        <v>0.80882955392233</v>
      </c>
      <c r="P1219" s="7" t="n">
        <f aca="false">Tabla2[[#This Row],[Rentabilidad (%)]]/12</f>
        <v>0.0674024628268608</v>
      </c>
    </row>
    <row r="1220" customFormat="false" ht="14.25" hidden="false" customHeight="false" outlineLevel="0" collapsed="false">
      <c r="A1220" s="1" t="n">
        <v>39600</v>
      </c>
      <c r="B1220" s="2" t="s">
        <v>25</v>
      </c>
      <c r="C1220" s="3" t="n">
        <v>13118</v>
      </c>
      <c r="D1220" s="8" t="s">
        <v>17</v>
      </c>
      <c r="E1220" s="3" t="n">
        <f aca="false">IF(Tabla2[[#This Row],[Frecuencia]]="Annual", Tabla2[[#This Row],[Cosecha/Tarea]]/12,Tabla2[[#This Row],[Cosecha/Tarea]])</f>
        <v>13118</v>
      </c>
      <c r="F1220" s="3" t="n">
        <v>147460</v>
      </c>
      <c r="G1220" s="2" t="s">
        <v>18</v>
      </c>
      <c r="H1220" s="2" t="n">
        <f aca="false">F1220/Tabla2[[#This Row],[Cosecha Mensual]]</f>
        <v>11.2410428418966</v>
      </c>
      <c r="I1220" s="2" t="n">
        <f aca="false">H1220*_xlfn.XLOOKUP(Tabla2[[#This Row],[Unidad de producción]],Tabla3[Medida],Tabla3[Equivalencia en Kg],"ELVIS",0)</f>
        <v>509.893703308431</v>
      </c>
      <c r="J1220" s="2" t="n">
        <v>1088.89</v>
      </c>
      <c r="K1220" s="2" t="s">
        <v>18</v>
      </c>
      <c r="L1220" s="2" t="n">
        <f aca="false">J1220/_xlfn.XLOOKUP(Tabla2[[#This Row],[Unidad de precio]],Tabla3[Medida],Tabla3[Equivalencia en Kg],"ELVIS",0)</f>
        <v>24.0055114638448</v>
      </c>
      <c r="M1220" s="2" t="n">
        <v>3201.64901153456</v>
      </c>
      <c r="N1220" s="3" t="n">
        <f aca="false">(Tabla2[[#This Row],[Productividad (kg/TAS)]]*Tabla2[[#This Row],[Precio por kg]]-Tabla2[[#This Row],[Costos (En RD$/Tarea)]])</f>
        <v>9038.61012857826</v>
      </c>
      <c r="O1220" s="9" t="n">
        <f aca="false">IF(Tabla2[[#This Row],[Costos (En RD$/Tarea)]]=0,0,Tabla2[[#This Row],[Beneficio Neto  (En RD$/Tarea)]]/Tabla2[[#This Row],[Costos (En RD$/Tarea)]])</f>
        <v>2.82311087068411</v>
      </c>
      <c r="P1220" s="7" t="n">
        <f aca="false">Tabla2[[#This Row],[Rentabilidad (%)]]/12</f>
        <v>0.235259239223676</v>
      </c>
    </row>
    <row r="1221" customFormat="false" ht="14.25" hidden="false" customHeight="false" outlineLevel="0" collapsed="false">
      <c r="A1221" s="1" t="n">
        <v>39600</v>
      </c>
      <c r="B1221" s="2" t="s">
        <v>26</v>
      </c>
      <c r="C1221" s="3" t="n">
        <v>11116</v>
      </c>
      <c r="D1221" s="8" t="s">
        <v>17</v>
      </c>
      <c r="E1221" s="3" t="n">
        <f aca="false">IF(Tabla2[[#This Row],[Frecuencia]]="Annual", Tabla2[[#This Row],[Cosecha/Tarea]]/12,Tabla2[[#This Row],[Cosecha/Tarea]])</f>
        <v>11116</v>
      </c>
      <c r="F1221" s="3" t="n">
        <v>65275</v>
      </c>
      <c r="G1221" s="2" t="s">
        <v>18</v>
      </c>
      <c r="H1221" s="2" t="n">
        <f aca="false">F1221/Tabla2[[#This Row],[Cosecha Mensual]]</f>
        <v>5.87216624685139</v>
      </c>
      <c r="I1221" s="2" t="n">
        <f aca="false">H1221*_xlfn.XLOOKUP(Tabla2[[#This Row],[Unidad de producción]],Tabla3[Medida],Tabla3[Equivalencia en Kg],"ELVIS",0)</f>
        <v>266.361460957179</v>
      </c>
      <c r="J1221" s="2" t="n">
        <v>766.666666666667</v>
      </c>
      <c r="K1221" s="2" t="s">
        <v>18</v>
      </c>
      <c r="L1221" s="2" t="n">
        <f aca="false">J1221/_xlfn.XLOOKUP(Tabla2[[#This Row],[Unidad de precio]],Tabla3[Medida],Tabla3[Equivalencia en Kg],"ELVIS",0)</f>
        <v>16.901822457378</v>
      </c>
      <c r="M1221" s="2" t="n">
        <v>1294.92573769894</v>
      </c>
      <c r="N1221" s="3" t="n">
        <f aca="false">(Tabla2[[#This Row],[Productividad (kg/TAS)]]*Tabla2[[#This Row],[Precio por kg]]-Tabla2[[#This Row],[Costos (En RD$/Tarea)]])</f>
        <v>3207.06838488713</v>
      </c>
      <c r="O1221" s="9" t="n">
        <f aca="false">IF(Tabla2[[#This Row],[Costos (En RD$/Tarea)]]=0,0,Tabla2[[#This Row],[Beneficio Neto  (En RD$/Tarea)]]/Tabla2[[#This Row],[Costos (En RD$/Tarea)]])</f>
        <v>2.47664270739265</v>
      </c>
      <c r="P1221" s="7" t="n">
        <f aca="false">Tabla2[[#This Row],[Rentabilidad (%)]]/12</f>
        <v>0.206386892282721</v>
      </c>
    </row>
    <row r="1222" customFormat="false" ht="14.25" hidden="false" customHeight="false" outlineLevel="0" collapsed="false">
      <c r="A1222" s="1" t="n">
        <v>39600</v>
      </c>
      <c r="B1222" s="2" t="s">
        <v>27</v>
      </c>
      <c r="C1222" s="3" t="n">
        <v>7494</v>
      </c>
      <c r="D1222" s="8" t="s">
        <v>17</v>
      </c>
      <c r="E1222" s="3" t="n">
        <f aca="false">IF(Tabla2[[#This Row],[Frecuencia]]="Annual", Tabla2[[#This Row],[Cosecha/Tarea]]/12,Tabla2[[#This Row],[Cosecha/Tarea]])</f>
        <v>7494</v>
      </c>
      <c r="F1222" s="3" t="n">
        <v>56614</v>
      </c>
      <c r="G1222" s="2" t="s">
        <v>18</v>
      </c>
      <c r="H1222" s="2" t="n">
        <f aca="false">F1222/Tabla2[[#This Row],[Cosecha Mensual]]</f>
        <v>7.55457699492928</v>
      </c>
      <c r="I1222" s="2" t="n">
        <f aca="false">H1222*_xlfn.XLOOKUP(Tabla2[[#This Row],[Unidad de producción]],Tabla3[Medida],Tabla3[Equivalencia en Kg],"ELVIS",0)</f>
        <v>342.675612489992</v>
      </c>
      <c r="J1222" s="2" t="n">
        <v>313.6</v>
      </c>
      <c r="K1222" s="2" t="s">
        <v>18</v>
      </c>
      <c r="L1222" s="2" t="n">
        <f aca="false">J1222/_xlfn.XLOOKUP(Tabla2[[#This Row],[Unidad de precio]],Tabla3[Medida],Tabla3[Equivalencia en Kg],"ELVIS",0)</f>
        <v>6.91358024691358</v>
      </c>
      <c r="M1222" s="2" t="n">
        <v>5429.72570566602</v>
      </c>
      <c r="N1222" s="3" t="n">
        <f aca="false">(Tabla2[[#This Row],[Productividad (kg/TAS)]]*Tabla2[[#This Row],[Precio por kg]]-Tabla2[[#This Row],[Costos (En RD$/Tarea)]])</f>
        <v>-3060.6103600562</v>
      </c>
      <c r="O1222" s="9" t="n">
        <f aca="false">IF(Tabla2[[#This Row],[Costos (En RD$/Tarea)]]=0,0,Tabla2[[#This Row],[Beneficio Neto  (En RD$/Tarea)]]/Tabla2[[#This Row],[Costos (En RD$/Tarea)]])</f>
        <v>-0.563676790682519</v>
      </c>
      <c r="P1222" s="7" t="n">
        <f aca="false">Tabla2[[#This Row],[Rentabilidad (%)]]/12</f>
        <v>-0.0469730658902099</v>
      </c>
    </row>
    <row r="1223" customFormat="false" ht="14.25" hidden="false" customHeight="false" outlineLevel="0" collapsed="false">
      <c r="A1223" s="1" t="n">
        <v>39600</v>
      </c>
      <c r="B1223" s="2" t="s">
        <v>28</v>
      </c>
      <c r="C1223" s="3" t="n">
        <v>358</v>
      </c>
      <c r="D1223" s="8" t="s">
        <v>17</v>
      </c>
      <c r="E1223" s="3" t="n">
        <f aca="false">IF(Tabla2[[#This Row],[Frecuencia]]="Annual", Tabla2[[#This Row],[Cosecha/Tarea]]/12,Tabla2[[#This Row],[Cosecha/Tarea]])</f>
        <v>358</v>
      </c>
      <c r="F1223" s="3" t="n">
        <v>254</v>
      </c>
      <c r="G1223" s="2" t="s">
        <v>29</v>
      </c>
      <c r="H1223" s="2" t="n">
        <f aca="false">F1223/Tabla2[[#This Row],[Cosecha Mensual]]</f>
        <v>0.709497206703911</v>
      </c>
      <c r="I1223" s="2" t="n">
        <f aca="false">H1223*_xlfn.XLOOKUP(Tabla2[[#This Row],[Unidad de producción]],Tabla3[Medida],Tabla3[Equivalencia en Kg],"ELVIS",0)</f>
        <v>398.978659217877</v>
      </c>
      <c r="J1223" s="2" t="n">
        <v>7800</v>
      </c>
      <c r="K1223" s="2" t="s">
        <v>29</v>
      </c>
      <c r="L1223" s="2" t="n">
        <f aca="false">J1223/_xlfn.XLOOKUP(Tabla2[[#This Row],[Unidad de precio]],Tabla3[Medida],Tabla3[Equivalencia en Kg],"ELVIS",0)</f>
        <v>13.8706120852153</v>
      </c>
      <c r="M1223" s="2" t="n">
        <v>4903.37166571833</v>
      </c>
      <c r="N1223" s="3" t="n">
        <f aca="false">(Tabla2[[#This Row],[Productividad (kg/TAS)]]*Tabla2[[#This Row],[Precio por kg]]-Tabla2[[#This Row],[Costos (En RD$/Tarea)]])</f>
        <v>630.706546572173</v>
      </c>
      <c r="O1223" s="9" t="n">
        <f aca="false">IF(Tabla2[[#This Row],[Costos (En RD$/Tarea)]]=0,0,Tabla2[[#This Row],[Beneficio Neto  (En RD$/Tarea)]]/Tabla2[[#This Row],[Costos (En RD$/Tarea)]])</f>
        <v>0.128627114069636</v>
      </c>
      <c r="P1223" s="7" t="n">
        <f aca="false">Tabla2[[#This Row],[Rentabilidad (%)]]/12</f>
        <v>0.0107189261724697</v>
      </c>
    </row>
    <row r="1224" customFormat="false" ht="14.25" hidden="false" customHeight="false" outlineLevel="0" collapsed="false">
      <c r="A1224" s="1" t="n">
        <v>39600</v>
      </c>
      <c r="B1224" s="2" t="s">
        <v>30</v>
      </c>
      <c r="C1224" s="3" t="n">
        <v>287072</v>
      </c>
      <c r="D1224" s="3" t="s">
        <v>31</v>
      </c>
      <c r="E1224" s="3" t="n">
        <f aca="false">IF(Tabla2[[#This Row],[Frecuencia]]="Annual", Tabla2[[#This Row],[Cosecha/Tarea]]/12,Tabla2[[#This Row],[Cosecha/Tarea]])</f>
        <v>23922.6666666667</v>
      </c>
      <c r="F1224" s="3" t="n">
        <v>1368313</v>
      </c>
      <c r="G1224" s="2" t="s">
        <v>32</v>
      </c>
      <c r="H1224" s="2" t="n">
        <f aca="false">F1224/Tabla2[[#This Row],[Cosecha Mensual]]</f>
        <v>57.1973442202653</v>
      </c>
      <c r="I1224" s="2" t="n">
        <f aca="false">H1224*_xlfn.XLOOKUP(Tabla2[[#This Row],[Unidad de producción]],Tabla3[Medida],Tabla3[Equivalencia en Kg],"ELVIS",0)</f>
        <v>1556.33973623342</v>
      </c>
      <c r="J1224" s="2" t="n">
        <v>99.7233333333333</v>
      </c>
      <c r="K1224" s="2" t="s">
        <v>32</v>
      </c>
      <c r="L1224" s="2" t="n">
        <f aca="false">J1224/_xlfn.XLOOKUP(Tabla2[[#This Row],[Unidad de precio]],Tabla3[Medida],Tabla3[Equivalencia en Kg],"ELVIS",0)</f>
        <v>3.66495161092735</v>
      </c>
      <c r="M1224" s="3" t="n">
        <v>8644.77930505247</v>
      </c>
      <c r="N1224" s="3" t="n">
        <f aca="false">(Tabla2[[#This Row],[Productividad (kg/TAS)]]*Tabla2[[#This Row],[Precio por kg]]-Tabla2[[#This Row],[Costos (En RD$/Tarea)]])</f>
        <v>-2940.86948159355</v>
      </c>
      <c r="O1224" s="9" t="n">
        <f aca="false">IF(Tabla2[[#This Row],[Costos (En RD$/Tarea)]]=0,0,Tabla2[[#This Row],[Beneficio Neto  (En RD$/Tarea)]]/Tabla2[[#This Row],[Costos (En RD$/Tarea)]])</f>
        <v>-0.340190232488035</v>
      </c>
      <c r="P1224" s="7" t="n">
        <f aca="false">Tabla2[[#This Row],[Rentabilidad (%)]]/12</f>
        <v>-0.0283491860406695</v>
      </c>
    </row>
    <row r="1225" customFormat="false" ht="14.25" hidden="false" customHeight="false" outlineLevel="0" collapsed="false">
      <c r="A1225" s="1" t="n">
        <v>39600</v>
      </c>
      <c r="B1225" s="2" t="s">
        <v>33</v>
      </c>
      <c r="C1225" s="3" t="n">
        <v>600819</v>
      </c>
      <c r="D1225" s="3" t="s">
        <v>31</v>
      </c>
      <c r="E1225" s="11" t="n">
        <f aca="false">IF(Tabla2[[#This Row],[Frecuencia]]="Annual", Tabla2[[#This Row],[Cosecha/Tarea]]/12,Tabla2[[#This Row],[Cosecha/Tarea]])</f>
        <v>50068.25</v>
      </c>
      <c r="F1225" s="3" t="n">
        <v>121850</v>
      </c>
      <c r="G1225" s="2" t="s">
        <v>34</v>
      </c>
      <c r="H1225" s="2" t="n">
        <f aca="false">F1225/Tabla2[[#This Row],[Cosecha Mensual]]</f>
        <v>2.43367802948975</v>
      </c>
      <c r="I1225" s="2" t="n">
        <f aca="false">H1225*_xlfn.XLOOKUP(Tabla2[[#This Row],[Unidad de producción]],Tabla3[Medida],Tabla3[Equivalencia en Kg],"ELVIS",0)</f>
        <v>993.30568773624</v>
      </c>
      <c r="J1225" s="2" t="n">
        <v>4700</v>
      </c>
      <c r="K1225" s="2" t="s">
        <v>34</v>
      </c>
      <c r="L1225" s="2" t="n">
        <f aca="false">J1225/_xlfn.XLOOKUP(Tabla2[[#This Row],[Unidad de precio]],Tabla3[Medida],Tabla3[Equivalencia en Kg],"ELVIS",0)</f>
        <v>11.5153742496631</v>
      </c>
      <c r="M1225" s="3" t="n">
        <v>8418.12886809492</v>
      </c>
      <c r="N1225" s="3" t="n">
        <f aca="false">(Tabla2[[#This Row],[Productividad (kg/TAS)]]*Tabla2[[#This Row],[Precio por kg]]-Tabla2[[#This Row],[Costos (En RD$/Tarea)]])</f>
        <v>3020.15787050689</v>
      </c>
      <c r="O1225" s="9" t="n">
        <f aca="false">IF(Tabla2[[#This Row],[Costos (En RD$/Tarea)]]=0,0,Tabla2[[#This Row],[Beneficio Neto  (En RD$/Tarea)]]/Tabla2[[#This Row],[Costos (En RD$/Tarea)]])</f>
        <v>0.358768310372798</v>
      </c>
      <c r="P1225" s="7" t="n">
        <f aca="false">Tabla2[[#This Row],[Rentabilidad (%)]]/12</f>
        <v>0.0298973591977332</v>
      </c>
    </row>
    <row r="1226" customFormat="false" ht="14.25" hidden="false" customHeight="false" outlineLevel="0" collapsed="false">
      <c r="A1226" s="1" t="n">
        <v>39630</v>
      </c>
      <c r="B1226" s="2" t="s">
        <v>16</v>
      </c>
      <c r="C1226" s="3" t="n">
        <v>204471</v>
      </c>
      <c r="D1226" s="8" t="s">
        <v>17</v>
      </c>
      <c r="E1226" s="3" t="n">
        <f aca="false">IF(Tabla2[[#This Row],[Frecuencia]]="Annual", Tabla2[[#This Row],[Cosecha/Tarea]]/12,Tabla2[[#This Row],[Cosecha/Tarea]])</f>
        <v>204471</v>
      </c>
      <c r="F1226" s="3" t="n">
        <v>1159887</v>
      </c>
      <c r="G1226" s="2" t="s">
        <v>18</v>
      </c>
      <c r="H1226" s="2" t="n">
        <f aca="false">F1226/Tabla2[[#This Row],[Cosecha Mensual]]</f>
        <v>5.67262350162126</v>
      </c>
      <c r="I1226" s="2" t="n">
        <f aca="false">H1226*_xlfn.XLOOKUP(Tabla2[[#This Row],[Unidad de producción]],Tabla3[Medida],Tabla3[Equivalencia en Kg],"ELVIS",0)</f>
        <v>257.31020203354</v>
      </c>
      <c r="J1226" s="2" t="n">
        <v>1273.05376</v>
      </c>
      <c r="K1226" s="2" t="s">
        <v>19</v>
      </c>
      <c r="L1226" s="2" t="n">
        <f aca="false">J1226/_xlfn.XLOOKUP(Tabla2[[#This Row],[Unidad de precio]],Tabla3[Medida],Tabla3[Equivalencia en Kg],"ELVIS",0)</f>
        <v>11.573216</v>
      </c>
      <c r="M1226" s="2" t="n">
        <v>6402.1671715266</v>
      </c>
      <c r="N1226" s="3" t="n">
        <f aca="false">(Tabla2[[#This Row],[Productividad (kg/TAS)]]*Tabla2[[#This Row],[Precio por kg]]-Tabla2[[#This Row],[Costos (En RD$/Tarea)]])</f>
        <v>-3424.2606243888</v>
      </c>
      <c r="O1226" s="9" t="n">
        <f aca="false">IF(Tabla2[[#This Row],[Costos (En RD$/Tarea)]]=0,0,Tabla2[[#This Row],[Beneficio Neto  (En RD$/Tarea)]]/Tabla2[[#This Row],[Costos (En RD$/Tarea)]])</f>
        <v>-0.534859608105529</v>
      </c>
      <c r="P1226" s="7" t="n">
        <f aca="false">Tabla2[[#This Row],[Rentabilidad (%)]]/12</f>
        <v>-0.0445716340087941</v>
      </c>
    </row>
    <row r="1227" customFormat="false" ht="14.25" hidden="false" customHeight="false" outlineLevel="0" collapsed="false">
      <c r="A1227" s="1" t="n">
        <v>39630</v>
      </c>
      <c r="B1227" s="2" t="s">
        <v>20</v>
      </c>
      <c r="C1227" s="3" t="n">
        <v>20816</v>
      </c>
      <c r="D1227" s="8" t="s">
        <v>17</v>
      </c>
      <c r="E1227" s="3" t="n">
        <f aca="false">IF(Tabla2[[#This Row],[Frecuencia]]="Annual", Tabla2[[#This Row],[Cosecha/Tarea]]/12,Tabla2[[#This Row],[Cosecha/Tarea]])</f>
        <v>20816</v>
      </c>
      <c r="F1227" s="3" t="n">
        <v>62877</v>
      </c>
      <c r="G1227" s="2" t="s">
        <v>18</v>
      </c>
      <c r="H1227" s="2" t="n">
        <f aca="false">F1227/Tabla2[[#This Row],[Cosecha Mensual]]</f>
        <v>3.02060914681015</v>
      </c>
      <c r="I1227" s="2" t="n">
        <f aca="false">H1227*_xlfn.XLOOKUP(Tabla2[[#This Row],[Unidad de producción]],Tabla3[Medida],Tabla3[Equivalencia en Kg],"ELVIS",0)</f>
        <v>137.014830899308</v>
      </c>
      <c r="J1227" s="2" t="n">
        <v>880.97</v>
      </c>
      <c r="K1227" s="2" t="s">
        <v>18</v>
      </c>
      <c r="L1227" s="2" t="n">
        <f aca="false">J1227/_xlfn.XLOOKUP(Tabla2[[#This Row],[Unidad de precio]],Tabla3[Medida],Tabla3[Equivalencia en Kg],"ELVIS",0)</f>
        <v>19.4217372134039</v>
      </c>
      <c r="M1227" s="2" t="n">
        <v>1490.90401998252</v>
      </c>
      <c r="N1227" s="3" t="n">
        <f aca="false">(Tabla2[[#This Row],[Productividad (kg/TAS)]]*Tabla2[[#This Row],[Precio por kg]]-Tabla2[[#This Row],[Costos (En RD$/Tarea)]])</f>
        <v>1170.16202008281</v>
      </c>
      <c r="O1227" s="9" t="n">
        <f aca="false">IF(Tabla2[[#This Row],[Costos (En RD$/Tarea)]]=0,0,Tabla2[[#This Row],[Beneficio Neto  (En RD$/Tarea)]]/Tabla2[[#This Row],[Costos (En RD$/Tarea)]])</f>
        <v>0.784867439083392</v>
      </c>
      <c r="P1227" s="7" t="n">
        <f aca="false">Tabla2[[#This Row],[Rentabilidad (%)]]/12</f>
        <v>0.065405619923616</v>
      </c>
    </row>
    <row r="1228" customFormat="false" ht="14.25" hidden="false" customHeight="false" outlineLevel="0" collapsed="false">
      <c r="A1228" s="1" t="n">
        <v>39630</v>
      </c>
      <c r="B1228" s="2" t="s">
        <v>21</v>
      </c>
      <c r="C1228" s="3" t="n">
        <v>6022</v>
      </c>
      <c r="D1228" s="8" t="s">
        <v>17</v>
      </c>
      <c r="E1228" s="3" t="n">
        <f aca="false">IF(Tabla2[[#This Row],[Frecuencia]]="Annual", Tabla2[[#This Row],[Cosecha/Tarea]]/12,Tabla2[[#This Row],[Cosecha/Tarea]])</f>
        <v>6022</v>
      </c>
      <c r="F1228" s="3" t="n">
        <v>56692</v>
      </c>
      <c r="G1228" s="2" t="s">
        <v>18</v>
      </c>
      <c r="H1228" s="2" t="n">
        <f aca="false">F1228/Tabla2[[#This Row],[Cosecha Mensual]]</f>
        <v>9.41414812354699</v>
      </c>
      <c r="I1228" s="2" t="n">
        <f aca="false">H1228*_xlfn.XLOOKUP(Tabla2[[#This Row],[Unidad de producción]],Tabla3[Medida],Tabla3[Equivalencia en Kg],"ELVIS",0)</f>
        <v>427.025758884092</v>
      </c>
      <c r="J1228" s="2" t="n">
        <v>393.338673</v>
      </c>
      <c r="K1228" s="2" t="s">
        <v>18</v>
      </c>
      <c r="L1228" s="2" t="n">
        <f aca="false">J1228/_xlfn.XLOOKUP(Tabla2[[#This Row],[Unidad de precio]],Tabla3[Medida],Tabla3[Equivalencia en Kg],"ELVIS",0)</f>
        <v>8.6714875</v>
      </c>
      <c r="M1228" s="2" t="n">
        <v>3935.0401959</v>
      </c>
      <c r="N1228" s="3" t="n">
        <f aca="false">(Tabla2[[#This Row],[Productividad (kg/TAS)]]*Tabla2[[#This Row],[Precio por kg]]-Tabla2[[#This Row],[Costos (En RD$/Tarea)]])</f>
        <v>-232.091665558586</v>
      </c>
      <c r="O1228" s="9" t="n">
        <f aca="false">IF(Tabla2[[#This Row],[Costos (En RD$/Tarea)]]=0,0,Tabla2[[#This Row],[Beneficio Neto  (En RD$/Tarea)]]/Tabla2[[#This Row],[Costos (En RD$/Tarea)]])</f>
        <v>-0.0589807610606892</v>
      </c>
      <c r="P1228" s="7" t="n">
        <f aca="false">Tabla2[[#This Row],[Rentabilidad (%)]]/12</f>
        <v>-0.0049150634217241</v>
      </c>
    </row>
    <row r="1229" customFormat="false" ht="14.25" hidden="false" customHeight="false" outlineLevel="0" collapsed="false">
      <c r="A1229" s="1" t="n">
        <v>39630</v>
      </c>
      <c r="B1229" s="2" t="s">
        <v>22</v>
      </c>
      <c r="C1229" s="3" t="n">
        <v>3565</v>
      </c>
      <c r="D1229" s="8" t="s">
        <v>17</v>
      </c>
      <c r="E1229" s="3" t="n">
        <f aca="false">IF(Tabla2[[#This Row],[Frecuencia]]="Annual", Tabla2[[#This Row],[Cosecha/Tarea]]/12,Tabla2[[#This Row],[Cosecha/Tarea]])</f>
        <v>3565</v>
      </c>
      <c r="F1229" s="3" t="n">
        <v>28552</v>
      </c>
      <c r="G1229" s="2" t="s">
        <v>18</v>
      </c>
      <c r="H1229" s="2" t="n">
        <f aca="false">F1229/Tabla2[[#This Row],[Cosecha Mensual]]</f>
        <v>8.00897615708275</v>
      </c>
      <c r="I1229" s="2" t="n">
        <f aca="false">H1229*_xlfn.XLOOKUP(Tabla2[[#This Row],[Unidad de producción]],Tabla3[Medida],Tabla3[Equivalencia en Kg],"ELVIS",0)</f>
        <v>363.287158485274</v>
      </c>
      <c r="J1229" s="2" t="n">
        <v>1260</v>
      </c>
      <c r="K1229" s="2" t="s">
        <v>18</v>
      </c>
      <c r="L1229" s="2" t="n">
        <f aca="false">J1229/_xlfn.XLOOKUP(Tabla2[[#This Row],[Unidad de precio]],Tabla3[Medida],Tabla3[Equivalencia en Kg],"ELVIS",0)</f>
        <v>27.7777777777778</v>
      </c>
      <c r="M1229" s="2" t="n">
        <v>6901.0735717536</v>
      </c>
      <c r="N1229" s="3" t="n">
        <f aca="false">(Tabla2[[#This Row],[Productividad (kg/TAS)]]*Tabla2[[#This Row],[Precio por kg]]-Tabla2[[#This Row],[Costos (En RD$/Tarea)]])</f>
        <v>3190.23638617066</v>
      </c>
      <c r="O1229" s="9" t="n">
        <f aca="false">IF(Tabla2[[#This Row],[Costos (En RD$/Tarea)]]=0,0,Tabla2[[#This Row],[Beneficio Neto  (En RD$/Tarea)]]/Tabla2[[#This Row],[Costos (En RD$/Tarea)]])</f>
        <v>0.462281173066817</v>
      </c>
      <c r="P1229" s="7" t="n">
        <f aca="false">Tabla2[[#This Row],[Rentabilidad (%)]]/12</f>
        <v>0.0385234310889014</v>
      </c>
    </row>
    <row r="1230" customFormat="false" ht="14.25" hidden="false" customHeight="false" outlineLevel="0" collapsed="false">
      <c r="A1230" s="1" t="n">
        <v>39630</v>
      </c>
      <c r="B1230" s="2" t="s">
        <v>23</v>
      </c>
      <c r="C1230" s="3" t="n">
        <v>1655</v>
      </c>
      <c r="D1230" s="8" t="s">
        <v>17</v>
      </c>
      <c r="E1230" s="3" t="n">
        <f aca="false">IF(Tabla2[[#This Row],[Frecuencia]]="Annual", Tabla2[[#This Row],[Cosecha/Tarea]]/12,Tabla2[[#This Row],[Cosecha/Tarea]])</f>
        <v>1655</v>
      </c>
      <c r="F1230" s="3" t="n">
        <v>41245</v>
      </c>
      <c r="G1230" s="2" t="s">
        <v>18</v>
      </c>
      <c r="H1230" s="2" t="n">
        <f aca="false">F1230/Tabla2[[#This Row],[Cosecha Mensual]]</f>
        <v>24.9214501510574</v>
      </c>
      <c r="I1230" s="2" t="n">
        <f aca="false">H1230*_xlfn.XLOOKUP(Tabla2[[#This Row],[Unidad de producción]],Tabla3[Medida],Tabla3[Equivalencia en Kg],"ELVIS",0)</f>
        <v>1130.43697885196</v>
      </c>
      <c r="J1230" s="2" t="n">
        <v>937.5</v>
      </c>
      <c r="K1230" s="2" t="s">
        <v>18</v>
      </c>
      <c r="L1230" s="2" t="n">
        <f aca="false">J1230/_xlfn.XLOOKUP(Tabla2[[#This Row],[Unidad de precio]],Tabla3[Medida],Tabla3[Equivalencia en Kg],"ELVIS",0)</f>
        <v>20.6679894179894</v>
      </c>
      <c r="M1230" s="2" t="n">
        <v>17874.25</v>
      </c>
      <c r="N1230" s="3" t="n">
        <f aca="false">(Tabla2[[#This Row],[Productividad (kg/TAS)]]*Tabla2[[#This Row],[Precio por kg]]-Tabla2[[#This Row],[Costos (En RD$/Tarea)]])</f>
        <v>5489.60951661632</v>
      </c>
      <c r="O1230" s="9" t="n">
        <f aca="false">IF(Tabla2[[#This Row],[Costos (En RD$/Tarea)]]=0,0,Tabla2[[#This Row],[Beneficio Neto  (En RD$/Tarea)]]/Tabla2[[#This Row],[Costos (En RD$/Tarea)]])</f>
        <v>0.307123908226433</v>
      </c>
      <c r="P1230" s="7" t="n">
        <f aca="false">Tabla2[[#This Row],[Rentabilidad (%)]]/12</f>
        <v>0.0255936590188694</v>
      </c>
    </row>
    <row r="1231" customFormat="false" ht="14.25" hidden="false" customHeight="false" outlineLevel="0" collapsed="false">
      <c r="A1231" s="1" t="n">
        <v>39630</v>
      </c>
      <c r="B1231" s="2" t="s">
        <v>24</v>
      </c>
      <c r="C1231" s="3" t="n">
        <v>3675</v>
      </c>
      <c r="D1231" s="8" t="s">
        <v>17</v>
      </c>
      <c r="E1231" s="3" t="n">
        <f aca="false">IF(Tabla2[[#This Row],[Frecuencia]]="Annual", Tabla2[[#This Row],[Cosecha/Tarea]]/12,Tabla2[[#This Row],[Cosecha/Tarea]])</f>
        <v>3675</v>
      </c>
      <c r="F1231" s="3" t="n">
        <v>27679</v>
      </c>
      <c r="G1231" s="2" t="s">
        <v>18</v>
      </c>
      <c r="H1231" s="2" t="n">
        <f aca="false">F1231/Tabla2[[#This Row],[Cosecha Mensual]]</f>
        <v>7.53170068027211</v>
      </c>
      <c r="I1231" s="2" t="n">
        <f aca="false">H1231*_xlfn.XLOOKUP(Tabla2[[#This Row],[Unidad de producción]],Tabla3[Medida],Tabla3[Equivalencia en Kg],"ELVIS",0)</f>
        <v>341.637942857143</v>
      </c>
      <c r="J1231" s="2" t="n">
        <v>1200</v>
      </c>
      <c r="K1231" s="2" t="s">
        <v>18</v>
      </c>
      <c r="L1231" s="2" t="n">
        <f aca="false">J1231/_xlfn.XLOOKUP(Tabla2[[#This Row],[Unidad de precio]],Tabla3[Medida],Tabla3[Equivalencia en Kg],"ELVIS",0)</f>
        <v>26.4550264550265</v>
      </c>
      <c r="M1231" s="2" t="n">
        <v>5602.34206216742</v>
      </c>
      <c r="N1231" s="3" t="n">
        <f aca="false">(Tabla2[[#This Row],[Productividad (kg/TAS)]]*Tabla2[[#This Row],[Precio por kg]]-Tabla2[[#This Row],[Costos (En RD$/Tarea)]])</f>
        <v>3435.69875415911</v>
      </c>
      <c r="O1231" s="9" t="n">
        <f aca="false">IF(Tabla2[[#This Row],[Costos (En RD$/Tarea)]]=0,0,Tabla2[[#This Row],[Beneficio Neto  (En RD$/Tarea)]]/Tabla2[[#This Row],[Costos (En RD$/Tarea)]])</f>
        <v>0.61326115328808</v>
      </c>
      <c r="P1231" s="7" t="n">
        <f aca="false">Tabla2[[#This Row],[Rentabilidad (%)]]/12</f>
        <v>0.05110509610734</v>
      </c>
    </row>
    <row r="1232" customFormat="false" ht="14.25" hidden="false" customHeight="false" outlineLevel="0" collapsed="false">
      <c r="A1232" s="1" t="n">
        <v>39630</v>
      </c>
      <c r="B1232" s="2" t="s">
        <v>25</v>
      </c>
      <c r="C1232" s="3" t="n">
        <v>14471</v>
      </c>
      <c r="D1232" s="8" t="s">
        <v>17</v>
      </c>
      <c r="E1232" s="3" t="n">
        <f aca="false">IF(Tabla2[[#This Row],[Frecuencia]]="Annual", Tabla2[[#This Row],[Cosecha/Tarea]]/12,Tabla2[[#This Row],[Cosecha/Tarea]])</f>
        <v>14471</v>
      </c>
      <c r="F1232" s="3" t="n">
        <v>165914</v>
      </c>
      <c r="G1232" s="2" t="s">
        <v>18</v>
      </c>
      <c r="H1232" s="2" t="n">
        <f aca="false">F1232/Tabla2[[#This Row],[Cosecha Mensual]]</f>
        <v>11.4652753783429</v>
      </c>
      <c r="I1232" s="2" t="n">
        <f aca="false">H1232*_xlfn.XLOOKUP(Tabla2[[#This Row],[Unidad de producción]],Tabla3[Medida],Tabla3[Equivalencia en Kg],"ELVIS",0)</f>
        <v>520.064891161634</v>
      </c>
      <c r="J1232" s="2" t="n">
        <v>1049.004</v>
      </c>
      <c r="K1232" s="2" t="s">
        <v>18</v>
      </c>
      <c r="L1232" s="2" t="n">
        <f aca="false">J1232/_xlfn.XLOOKUP(Tabla2[[#This Row],[Unidad de precio]],Tabla3[Medida],Tabla3[Equivalencia en Kg],"ELVIS",0)</f>
        <v>23.1261904761905</v>
      </c>
      <c r="M1232" s="2" t="n">
        <v>3201.64901153456</v>
      </c>
      <c r="N1232" s="3" t="n">
        <f aca="false">(Tabla2[[#This Row],[Productividad (kg/TAS)]]*Tabla2[[#This Row],[Precio por kg]]-Tabla2[[#This Row],[Costos (En RD$/Tarea)]])</f>
        <v>8825.47072144865</v>
      </c>
      <c r="O1232" s="9" t="n">
        <f aca="false">IF(Tabla2[[#This Row],[Costos (En RD$/Tarea)]]=0,0,Tabla2[[#This Row],[Beneficio Neto  (En RD$/Tarea)]]/Tabla2[[#This Row],[Costos (En RD$/Tarea)]])</f>
        <v>2.75653911145575</v>
      </c>
      <c r="P1232" s="7" t="n">
        <f aca="false">Tabla2[[#This Row],[Rentabilidad (%)]]/12</f>
        <v>0.229711592621312</v>
      </c>
    </row>
    <row r="1233" customFormat="false" ht="14.25" hidden="false" customHeight="false" outlineLevel="0" collapsed="false">
      <c r="A1233" s="1" t="n">
        <v>39630</v>
      </c>
      <c r="B1233" s="2" t="s">
        <v>26</v>
      </c>
      <c r="C1233" s="3" t="n">
        <v>11948</v>
      </c>
      <c r="D1233" s="8" t="s">
        <v>17</v>
      </c>
      <c r="E1233" s="3" t="n">
        <f aca="false">IF(Tabla2[[#This Row],[Frecuencia]]="Annual", Tabla2[[#This Row],[Cosecha/Tarea]]/12,Tabla2[[#This Row],[Cosecha/Tarea]])</f>
        <v>11948</v>
      </c>
      <c r="F1233" s="3" t="n">
        <v>66743</v>
      </c>
      <c r="G1233" s="2" t="s">
        <v>18</v>
      </c>
      <c r="H1233" s="2" t="n">
        <f aca="false">F1233/Tabla2[[#This Row],[Cosecha Mensual]]</f>
        <v>5.58612320053565</v>
      </c>
      <c r="I1233" s="2" t="n">
        <f aca="false">H1233*_xlfn.XLOOKUP(Tabla2[[#This Row],[Unidad de producción]],Tabla3[Medida],Tabla3[Equivalencia en Kg],"ELVIS",0)</f>
        <v>253.386548376297</v>
      </c>
      <c r="J1233" s="2" t="n">
        <v>649.0625</v>
      </c>
      <c r="K1233" s="2" t="s">
        <v>18</v>
      </c>
      <c r="L1233" s="2" t="n">
        <f aca="false">J1233/_xlfn.XLOOKUP(Tabla2[[#This Row],[Unidad de precio]],Tabla3[Medida],Tabla3[Equivalencia en Kg],"ELVIS",0)</f>
        <v>14.3091380070547</v>
      </c>
      <c r="M1233" s="2" t="n">
        <v>1294.92573769894</v>
      </c>
      <c r="N1233" s="3" t="n">
        <f aca="false">(Tabla2[[#This Row],[Productividad (kg/TAS)]]*Tabla2[[#This Row],[Precio por kg]]-Tabla2[[#This Row],[Costos (En RD$/Tarea)]])</f>
        <v>2330.81735214873</v>
      </c>
      <c r="O1233" s="9" t="n">
        <f aca="false">IF(Tabla2[[#This Row],[Costos (En RD$/Tarea)]]=0,0,Tabla2[[#This Row],[Beneficio Neto  (En RD$/Tarea)]]/Tabla2[[#This Row],[Costos (En RD$/Tarea)]])</f>
        <v>1.79996217875054</v>
      </c>
      <c r="P1233" s="7" t="n">
        <f aca="false">Tabla2[[#This Row],[Rentabilidad (%)]]/12</f>
        <v>0.149996848229212</v>
      </c>
    </row>
    <row r="1234" customFormat="false" ht="14.25" hidden="false" customHeight="false" outlineLevel="0" collapsed="false">
      <c r="A1234" s="1" t="n">
        <v>39630</v>
      </c>
      <c r="B1234" s="2" t="s">
        <v>27</v>
      </c>
      <c r="C1234" s="3" t="n">
        <v>6080</v>
      </c>
      <c r="D1234" s="8" t="s">
        <v>17</v>
      </c>
      <c r="E1234" s="3" t="n">
        <f aca="false">IF(Tabla2[[#This Row],[Frecuencia]]="Annual", Tabla2[[#This Row],[Cosecha/Tarea]]/12,Tabla2[[#This Row],[Cosecha/Tarea]])</f>
        <v>6080</v>
      </c>
      <c r="F1234" s="3" t="n">
        <v>53427</v>
      </c>
      <c r="G1234" s="2" t="s">
        <v>18</v>
      </c>
      <c r="H1234" s="2" t="n">
        <f aca="false">F1234/Tabla2[[#This Row],[Cosecha Mensual]]</f>
        <v>8.78733552631579</v>
      </c>
      <c r="I1234" s="2" t="n">
        <f aca="false">H1234*_xlfn.XLOOKUP(Tabla2[[#This Row],[Unidad de producción]],Tabla3[Medida],Tabla3[Equivalencia en Kg],"ELVIS",0)</f>
        <v>398.593539473684</v>
      </c>
      <c r="J1234" s="2" t="n">
        <v>381.25</v>
      </c>
      <c r="K1234" s="2" t="s">
        <v>18</v>
      </c>
      <c r="L1234" s="2" t="n">
        <f aca="false">J1234/_xlfn.XLOOKUP(Tabla2[[#This Row],[Unidad de precio]],Tabla3[Medida],Tabla3[Equivalencia en Kg],"ELVIS",0)</f>
        <v>8.4049823633157</v>
      </c>
      <c r="M1234" s="2" t="n">
        <v>5429.72570566602</v>
      </c>
      <c r="N1234" s="3" t="n">
        <f aca="false">(Tabla2[[#This Row],[Productividad (kg/TAS)]]*Tabla2[[#This Row],[Precio por kg]]-Tabla2[[#This Row],[Costos (En RD$/Tarea)]])</f>
        <v>-2079.55403625813</v>
      </c>
      <c r="O1234" s="9" t="n">
        <f aca="false">IF(Tabla2[[#This Row],[Costos (En RD$/Tarea)]]=0,0,Tabla2[[#This Row],[Beneficio Neto  (En RD$/Tarea)]]/Tabla2[[#This Row],[Costos (En RD$/Tarea)]])</f>
        <v>-0.382994307445047</v>
      </c>
      <c r="P1234" s="7" t="n">
        <f aca="false">Tabla2[[#This Row],[Rentabilidad (%)]]/12</f>
        <v>-0.0319161922870872</v>
      </c>
    </row>
    <row r="1235" customFormat="false" ht="14.25" hidden="false" customHeight="false" outlineLevel="0" collapsed="false">
      <c r="A1235" s="1" t="n">
        <v>39630</v>
      </c>
      <c r="B1235" s="2" t="s">
        <v>28</v>
      </c>
      <c r="C1235" s="3" t="n">
        <v>13034</v>
      </c>
      <c r="D1235" s="8" t="s">
        <v>17</v>
      </c>
      <c r="E1235" s="3" t="n">
        <f aca="false">IF(Tabla2[[#This Row],[Frecuencia]]="Annual", Tabla2[[#This Row],[Cosecha/Tarea]]/12,Tabla2[[#This Row],[Cosecha/Tarea]])</f>
        <v>13034</v>
      </c>
      <c r="F1235" s="3" t="n">
        <v>14552</v>
      </c>
      <c r="G1235" s="2" t="s">
        <v>29</v>
      </c>
      <c r="H1235" s="2" t="n">
        <f aca="false">F1235/Tabla2[[#This Row],[Cosecha Mensual]]</f>
        <v>1.11646463096517</v>
      </c>
      <c r="I1235" s="2" t="n">
        <f aca="false">H1235*_xlfn.XLOOKUP(Tabla2[[#This Row],[Unidad de producción]],Tabla3[Medida],Tabla3[Equivalencia en Kg],"ELVIS",0)</f>
        <v>627.832720576953</v>
      </c>
      <c r="J1235" s="2" t="n">
        <v>5759.26</v>
      </c>
      <c r="K1235" s="2" t="s">
        <v>29</v>
      </c>
      <c r="L1235" s="2" t="n">
        <f aca="false">J1235/_xlfn.XLOOKUP(Tabla2[[#This Row],[Unidad de precio]],Tabla3[Medida],Tabla3[Equivalencia en Kg],"ELVIS",0)</f>
        <v>10.2415976099868</v>
      </c>
      <c r="M1235" s="2" t="n">
        <v>4903.37166571833</v>
      </c>
      <c r="N1235" s="3" t="n">
        <f aca="false">(Tabla2[[#This Row],[Productividad (kg/TAS)]]*Tabla2[[#This Row],[Precio por kg]]-Tabla2[[#This Row],[Costos (En RD$/Tarea)]])</f>
        <v>1526.63842481412</v>
      </c>
      <c r="O1235" s="9" t="n">
        <f aca="false">IF(Tabla2[[#This Row],[Costos (En RD$/Tarea)]]=0,0,Tabla2[[#This Row],[Beneficio Neto  (En RD$/Tarea)]]/Tabla2[[#This Row],[Costos (En RD$/Tarea)]])</f>
        <v>0.311344627511624</v>
      </c>
      <c r="P1235" s="7" t="n">
        <f aca="false">Tabla2[[#This Row],[Rentabilidad (%)]]/12</f>
        <v>0.0259453856259686</v>
      </c>
    </row>
    <row r="1236" customFormat="false" ht="14.25" hidden="false" customHeight="false" outlineLevel="0" collapsed="false">
      <c r="A1236" s="1" t="n">
        <v>39630</v>
      </c>
      <c r="B1236" s="2" t="s">
        <v>30</v>
      </c>
      <c r="C1236" s="3" t="n">
        <v>280000</v>
      </c>
      <c r="D1236" s="3" t="s">
        <v>31</v>
      </c>
      <c r="E1236" s="3" t="n">
        <f aca="false">IF(Tabla2[[#This Row],[Frecuencia]]="Annual", Tabla2[[#This Row],[Cosecha/Tarea]]/12,Tabla2[[#This Row],[Cosecha/Tarea]])</f>
        <v>23333.3333333333</v>
      </c>
      <c r="F1236" s="3" t="n">
        <v>1590945</v>
      </c>
      <c r="G1236" s="2" t="s">
        <v>32</v>
      </c>
      <c r="H1236" s="2" t="n">
        <f aca="false">F1236/Tabla2[[#This Row],[Cosecha Mensual]]</f>
        <v>68.1833571428572</v>
      </c>
      <c r="I1236" s="2" t="n">
        <f aca="false">H1236*_xlfn.XLOOKUP(Tabla2[[#This Row],[Unidad de producción]],Tabla3[Medida],Tabla3[Equivalencia en Kg],"ELVIS",0)</f>
        <v>1855.26914785714</v>
      </c>
      <c r="J1236" s="2" t="n">
        <v>101.0725</v>
      </c>
      <c r="K1236" s="2" t="s">
        <v>32</v>
      </c>
      <c r="L1236" s="2" t="n">
        <f aca="false">J1236/_xlfn.XLOOKUP(Tabla2[[#This Row],[Unidad de precio]],Tabla3[Medida],Tabla3[Equivalencia en Kg],"ELVIS",0)</f>
        <v>3.71453509739067</v>
      </c>
      <c r="M1236" s="3" t="n">
        <v>8644.77930505247</v>
      </c>
      <c r="N1236" s="3" t="n">
        <f aca="false">(Tabla2[[#This Row],[Productividad (kg/TAS)]]*Tabla2[[#This Row],[Precio por kg]]-Tabla2[[#This Row],[Costos (En RD$/Tarea)]])</f>
        <v>-1753.31694023104</v>
      </c>
      <c r="O1236" s="9" t="n">
        <f aca="false">IF(Tabla2[[#This Row],[Costos (En RD$/Tarea)]]=0,0,Tabla2[[#This Row],[Beneficio Neto  (En RD$/Tarea)]]/Tabla2[[#This Row],[Costos (En RD$/Tarea)]])</f>
        <v>-0.202818010542653</v>
      </c>
      <c r="P1236" s="7" t="n">
        <f aca="false">Tabla2[[#This Row],[Rentabilidad (%)]]/12</f>
        <v>-0.0169015008785544</v>
      </c>
    </row>
    <row r="1237" customFormat="false" ht="14.25" hidden="false" customHeight="false" outlineLevel="0" collapsed="false">
      <c r="A1237" s="1" t="n">
        <v>39630</v>
      </c>
      <c r="B1237" s="2" t="s">
        <v>33</v>
      </c>
      <c r="C1237" s="3" t="n">
        <v>563312</v>
      </c>
      <c r="D1237" s="3" t="s">
        <v>31</v>
      </c>
      <c r="E1237" s="11" t="n">
        <f aca="false">IF(Tabla2[[#This Row],[Frecuencia]]="Annual", Tabla2[[#This Row],[Cosecha/Tarea]]/12,Tabla2[[#This Row],[Cosecha/Tarea]])</f>
        <v>46942.6666666667</v>
      </c>
      <c r="F1237" s="3" t="n">
        <v>112702</v>
      </c>
      <c r="G1237" s="2" t="s">
        <v>34</v>
      </c>
      <c r="H1237" s="2" t="n">
        <f aca="false">F1237/Tabla2[[#This Row],[Cosecha Mensual]]</f>
        <v>2.40084358224217</v>
      </c>
      <c r="I1237" s="2" t="n">
        <f aca="false">H1237*_xlfn.XLOOKUP(Tabla2[[#This Row],[Unidad de producción]],Tabla3[Medida],Tabla3[Equivalencia en Kg],"ELVIS",0)</f>
        <v>979.904308092141</v>
      </c>
      <c r="J1237" s="2" t="n">
        <v>5031.6</v>
      </c>
      <c r="K1237" s="2" t="s">
        <v>34</v>
      </c>
      <c r="L1237" s="2" t="n">
        <f aca="false">J1237/_xlfn.XLOOKUP(Tabla2[[#This Row],[Unidad de precio]],Tabla3[Medida],Tabla3[Equivalencia en Kg],"ELVIS",0)</f>
        <v>12.3278206541713</v>
      </c>
      <c r="M1237" s="3" t="n">
        <v>8418.12886809492</v>
      </c>
      <c r="N1237" s="3" t="n">
        <f aca="false">(Tabla2[[#This Row],[Productividad (kg/TAS)]]*Tabla2[[#This Row],[Precio por kg]]-Tabla2[[#This Row],[Costos (En RD$/Tarea)]])</f>
        <v>3661.95570031477</v>
      </c>
      <c r="O1237" s="9" t="n">
        <f aca="false">IF(Tabla2[[#This Row],[Costos (En RD$/Tarea)]]=0,0,Tabla2[[#This Row],[Beneficio Neto  (En RD$/Tarea)]]/Tabla2[[#This Row],[Costos (En RD$/Tarea)]])</f>
        <v>0.435008272942191</v>
      </c>
      <c r="P1237" s="7" t="n">
        <f aca="false">Tabla2[[#This Row],[Rentabilidad (%)]]/12</f>
        <v>0.0362506894118493</v>
      </c>
    </row>
    <row r="1238" customFormat="false" ht="14.25" hidden="false" customHeight="false" outlineLevel="0" collapsed="false">
      <c r="A1238" s="1" t="n">
        <v>39661</v>
      </c>
      <c r="B1238" s="2" t="s">
        <v>16</v>
      </c>
      <c r="C1238" s="3" t="n">
        <v>84496</v>
      </c>
      <c r="D1238" s="8" t="s">
        <v>17</v>
      </c>
      <c r="E1238" s="3" t="n">
        <f aca="false">IF(Tabla2[[#This Row],[Frecuencia]]="Annual", Tabla2[[#This Row],[Cosecha/Tarea]]/12,Tabla2[[#This Row],[Cosecha/Tarea]])</f>
        <v>84496</v>
      </c>
      <c r="F1238" s="3" t="n">
        <v>362797</v>
      </c>
      <c r="G1238" s="2" t="s">
        <v>18</v>
      </c>
      <c r="H1238" s="2" t="n">
        <f aca="false">F1238/Tabla2[[#This Row],[Cosecha Mensual]]</f>
        <v>4.29365887142587</v>
      </c>
      <c r="I1238" s="2" t="n">
        <f aca="false">H1238*_xlfn.XLOOKUP(Tabla2[[#This Row],[Unidad de producción]],Tabla3[Medida],Tabla3[Equivalencia en Kg],"ELVIS",0)</f>
        <v>194.760366407877</v>
      </c>
      <c r="J1238" s="2" t="n">
        <v>1317.0288</v>
      </c>
      <c r="K1238" s="2" t="s">
        <v>19</v>
      </c>
      <c r="L1238" s="2" t="n">
        <f aca="false">J1238/_xlfn.XLOOKUP(Tabla2[[#This Row],[Unidad de precio]],Tabla3[Medida],Tabla3[Equivalencia en Kg],"ELVIS",0)</f>
        <v>11.9729890909091</v>
      </c>
      <c r="M1238" s="2" t="n">
        <v>6402.1671715266</v>
      </c>
      <c r="N1238" s="3" t="n">
        <f aca="false">(Tabla2[[#This Row],[Productividad (kg/TAS)]]*Tabla2[[#This Row],[Precio por kg]]-Tabla2[[#This Row],[Costos (En RD$/Tarea)]])</f>
        <v>-4070.30342918363</v>
      </c>
      <c r="O1238" s="9" t="n">
        <f aca="false">IF(Tabla2[[#This Row],[Costos (En RD$/Tarea)]]=0,0,Tabla2[[#This Row],[Beneficio Neto  (En RD$/Tarea)]]/Tabla2[[#This Row],[Costos (En RD$/Tarea)]])</f>
        <v>-0.635769626148806</v>
      </c>
      <c r="P1238" s="7" t="n">
        <f aca="false">Tabla2[[#This Row],[Rentabilidad (%)]]/12</f>
        <v>-0.0529808021790672</v>
      </c>
    </row>
    <row r="1239" customFormat="false" ht="14.25" hidden="false" customHeight="false" outlineLevel="0" collapsed="false">
      <c r="A1239" s="1" t="n">
        <v>39661</v>
      </c>
      <c r="B1239" s="2" t="s">
        <v>20</v>
      </c>
      <c r="C1239" s="3" t="n">
        <v>42049</v>
      </c>
      <c r="D1239" s="8" t="s">
        <v>17</v>
      </c>
      <c r="E1239" s="3" t="n">
        <f aca="false">IF(Tabla2[[#This Row],[Frecuencia]]="Annual", Tabla2[[#This Row],[Cosecha/Tarea]]/12,Tabla2[[#This Row],[Cosecha/Tarea]])</f>
        <v>42049</v>
      </c>
      <c r="F1239" s="3" t="n">
        <v>80507</v>
      </c>
      <c r="G1239" s="2" t="s">
        <v>18</v>
      </c>
      <c r="H1239" s="2" t="n">
        <f aca="false">F1239/Tabla2[[#This Row],[Cosecha Mensual]]</f>
        <v>1.91459963376061</v>
      </c>
      <c r="I1239" s="2" t="n">
        <f aca="false">H1239*_xlfn.XLOOKUP(Tabla2[[#This Row],[Unidad de producción]],Tabla3[Medida],Tabla3[Equivalencia en Kg],"ELVIS",0)</f>
        <v>86.8462393873814</v>
      </c>
      <c r="J1239" s="2" t="n">
        <v>836.582</v>
      </c>
      <c r="K1239" s="2" t="s">
        <v>18</v>
      </c>
      <c r="L1239" s="2" t="n">
        <f aca="false">J1239/_xlfn.XLOOKUP(Tabla2[[#This Row],[Unidad de precio]],Tabla3[Medida],Tabla3[Equivalencia en Kg],"ELVIS",0)</f>
        <v>18.4431657848325</v>
      </c>
      <c r="M1239" s="2" t="n">
        <v>1490.90401998252</v>
      </c>
      <c r="N1239" s="3" t="n">
        <f aca="false">(Tabla2[[#This Row],[Productividad (kg/TAS)]]*Tabla2[[#This Row],[Precio por kg]]-Tabla2[[#This Row],[Costos (En RD$/Tarea)]])</f>
        <v>110.815570828201</v>
      </c>
      <c r="O1239" s="9" t="n">
        <f aca="false">IF(Tabla2[[#This Row],[Costos (En RD$/Tarea)]]=0,0,Tabla2[[#This Row],[Beneficio Neto  (En RD$/Tarea)]]/Tabla2[[#This Row],[Costos (En RD$/Tarea)]])</f>
        <v>0.0743277698248477</v>
      </c>
      <c r="P1239" s="7" t="n">
        <f aca="false">Tabla2[[#This Row],[Rentabilidad (%)]]/12</f>
        <v>0.00619398081873731</v>
      </c>
    </row>
    <row r="1240" customFormat="false" ht="14.25" hidden="false" customHeight="false" outlineLevel="0" collapsed="false">
      <c r="A1240" s="1" t="n">
        <v>39661</v>
      </c>
      <c r="B1240" s="2" t="s">
        <v>21</v>
      </c>
      <c r="C1240" s="3" t="n">
        <v>7918</v>
      </c>
      <c r="D1240" s="8" t="s">
        <v>17</v>
      </c>
      <c r="E1240" s="3" t="n">
        <f aca="false">IF(Tabla2[[#This Row],[Frecuencia]]="Annual", Tabla2[[#This Row],[Cosecha/Tarea]]/12,Tabla2[[#This Row],[Cosecha/Tarea]])</f>
        <v>7918</v>
      </c>
      <c r="F1240" s="3" t="n">
        <v>88589</v>
      </c>
      <c r="G1240" s="2" t="s">
        <v>18</v>
      </c>
      <c r="H1240" s="2" t="n">
        <f aca="false">F1240/Tabla2[[#This Row],[Cosecha Mensual]]</f>
        <v>11.1883051275575</v>
      </c>
      <c r="I1240" s="2" t="n">
        <f aca="false">H1240*_xlfn.XLOOKUP(Tabla2[[#This Row],[Unidad de producción]],Tabla3[Medida],Tabla3[Equivalencia en Kg],"ELVIS",0)</f>
        <v>507.501520586007</v>
      </c>
      <c r="J1240" s="2" t="n">
        <v>298.9025</v>
      </c>
      <c r="K1240" s="2" t="s">
        <v>18</v>
      </c>
      <c r="L1240" s="2" t="n">
        <f aca="false">J1240/_xlfn.XLOOKUP(Tabla2[[#This Row],[Unidad de precio]],Tabla3[Medida],Tabla3[Equivalencia en Kg],"ELVIS",0)</f>
        <v>6.58956128747795</v>
      </c>
      <c r="M1240" s="2" t="n">
        <v>3935.0401959</v>
      </c>
      <c r="N1240" s="3" t="n">
        <f aca="false">(Tabla2[[#This Row],[Productividad (kg/TAS)]]*Tabla2[[#This Row],[Precio por kg]]-Tabla2[[#This Row],[Costos (En RD$/Tarea)]])</f>
        <v>-590.827822510255</v>
      </c>
      <c r="O1240" s="9" t="n">
        <f aca="false">IF(Tabla2[[#This Row],[Costos (En RD$/Tarea)]]=0,0,Tabla2[[#This Row],[Beneficio Neto  (En RD$/Tarea)]]/Tabla2[[#This Row],[Costos (En RD$/Tarea)]])</f>
        <v>-0.150145308077374</v>
      </c>
      <c r="P1240" s="7" t="n">
        <f aca="false">Tabla2[[#This Row],[Rentabilidad (%)]]/12</f>
        <v>-0.0125121090064478</v>
      </c>
    </row>
    <row r="1241" customFormat="false" ht="14.25" hidden="false" customHeight="false" outlineLevel="0" collapsed="false">
      <c r="A1241" s="1" t="n">
        <v>39661</v>
      </c>
      <c r="B1241" s="2" t="s">
        <v>22</v>
      </c>
      <c r="C1241" s="3" t="n">
        <v>1959</v>
      </c>
      <c r="D1241" s="8" t="s">
        <v>17</v>
      </c>
      <c r="E1241" s="3" t="n">
        <f aca="false">IF(Tabla2[[#This Row],[Frecuencia]]="Annual", Tabla2[[#This Row],[Cosecha/Tarea]]/12,Tabla2[[#This Row],[Cosecha/Tarea]])</f>
        <v>1959</v>
      </c>
      <c r="F1241" s="3" t="n">
        <v>19098</v>
      </c>
      <c r="G1241" s="2" t="s">
        <v>18</v>
      </c>
      <c r="H1241" s="2" t="n">
        <f aca="false">F1241/Tabla2[[#This Row],[Cosecha Mensual]]</f>
        <v>9.74885145482389</v>
      </c>
      <c r="I1241" s="2" t="n">
        <f aca="false">H1241*_xlfn.XLOOKUP(Tabla2[[#This Row],[Unidad de producción]],Tabla3[Medida],Tabla3[Equivalencia en Kg],"ELVIS",0)</f>
        <v>442.207901990812</v>
      </c>
      <c r="J1241" s="2" t="n">
        <v>983.25</v>
      </c>
      <c r="K1241" s="2" t="s">
        <v>18</v>
      </c>
      <c r="L1241" s="2" t="n">
        <f aca="false">J1241/_xlfn.XLOOKUP(Tabla2[[#This Row],[Unidad de precio]],Tabla3[Medida],Tabla3[Equivalencia en Kg],"ELVIS",0)</f>
        <v>21.6765873015873</v>
      </c>
      <c r="M1241" s="2" t="n">
        <v>6901.0735717536</v>
      </c>
      <c r="N1241" s="3" t="n">
        <f aca="false">(Tabla2[[#This Row],[Productividad (kg/TAS)]]*Tabla2[[#This Row],[Precio por kg]]-Tabla2[[#This Row],[Costos (En RD$/Tarea)]])</f>
        <v>2684.48462120199</v>
      </c>
      <c r="O1241" s="9" t="n">
        <f aca="false">IF(Tabla2[[#This Row],[Costos (En RD$/Tarea)]]=0,0,Tabla2[[#This Row],[Beneficio Neto  (En RD$/Tarea)]]/Tabla2[[#This Row],[Costos (En RD$/Tarea)]])</f>
        <v>0.388995218394672</v>
      </c>
      <c r="P1241" s="7" t="n">
        <f aca="false">Tabla2[[#This Row],[Rentabilidad (%)]]/12</f>
        <v>0.032416268199556</v>
      </c>
    </row>
    <row r="1242" customFormat="false" ht="14.25" hidden="false" customHeight="false" outlineLevel="0" collapsed="false">
      <c r="A1242" s="1" t="n">
        <v>39661</v>
      </c>
      <c r="B1242" s="2" t="s">
        <v>23</v>
      </c>
      <c r="C1242" s="3" t="n">
        <v>1243</v>
      </c>
      <c r="D1242" s="8" t="s">
        <v>17</v>
      </c>
      <c r="E1242" s="3" t="n">
        <f aca="false">IF(Tabla2[[#This Row],[Frecuencia]]="Annual", Tabla2[[#This Row],[Cosecha/Tarea]]/12,Tabla2[[#This Row],[Cosecha/Tarea]])</f>
        <v>1243</v>
      </c>
      <c r="F1242" s="3" t="n">
        <v>28280</v>
      </c>
      <c r="G1242" s="2" t="s">
        <v>18</v>
      </c>
      <c r="H1242" s="2" t="n">
        <f aca="false">F1242/Tabla2[[#This Row],[Cosecha Mensual]]</f>
        <v>22.7514078841513</v>
      </c>
      <c r="I1242" s="2" t="n">
        <f aca="false">H1242*_xlfn.XLOOKUP(Tabla2[[#This Row],[Unidad de producción]],Tabla3[Medida],Tabla3[Equivalencia en Kg],"ELVIS",0)</f>
        <v>1032.0038616251</v>
      </c>
      <c r="J1242" s="2" t="n">
        <v>950</v>
      </c>
      <c r="K1242" s="2" t="s">
        <v>18</v>
      </c>
      <c r="L1242" s="2" t="n">
        <f aca="false">J1242/_xlfn.XLOOKUP(Tabla2[[#This Row],[Unidad de precio]],Tabla3[Medida],Tabla3[Equivalencia en Kg],"ELVIS",0)</f>
        <v>20.9435626102293</v>
      </c>
      <c r="M1242" s="2" t="n">
        <v>17874.25</v>
      </c>
      <c r="N1242" s="3" t="n">
        <f aca="false">(Tabla2[[#This Row],[Productividad (kg/TAS)]]*Tabla2[[#This Row],[Precio por kg]]-Tabla2[[#This Row],[Costos (En RD$/Tarea)]])</f>
        <v>3739.58748994369</v>
      </c>
      <c r="O1242" s="9" t="n">
        <f aca="false">IF(Tabla2[[#This Row],[Costos (En RD$/Tarea)]]=0,0,Tabla2[[#This Row],[Beneficio Neto  (En RD$/Tarea)]]/Tabla2[[#This Row],[Costos (En RD$/Tarea)]])</f>
        <v>0.209216470058531</v>
      </c>
      <c r="P1242" s="7" t="n">
        <f aca="false">Tabla2[[#This Row],[Rentabilidad (%)]]/12</f>
        <v>0.0174347058382109</v>
      </c>
    </row>
    <row r="1243" customFormat="false" ht="14.25" hidden="false" customHeight="false" outlineLevel="0" collapsed="false">
      <c r="A1243" s="1" t="n">
        <v>39661</v>
      </c>
      <c r="B1243" s="2" t="s">
        <v>24</v>
      </c>
      <c r="C1243" s="3" t="n">
        <v>4807</v>
      </c>
      <c r="D1243" s="8" t="s">
        <v>17</v>
      </c>
      <c r="E1243" s="3" t="n">
        <f aca="false">IF(Tabla2[[#This Row],[Frecuencia]]="Annual", Tabla2[[#This Row],[Cosecha/Tarea]]/12,Tabla2[[#This Row],[Cosecha/Tarea]])</f>
        <v>4807</v>
      </c>
      <c r="F1243" s="3" t="n">
        <v>35821</v>
      </c>
      <c r="G1243" s="2" t="s">
        <v>18</v>
      </c>
      <c r="H1243" s="2" t="n">
        <f aca="false">F1243/Tabla2[[#This Row],[Cosecha Mensual]]</f>
        <v>7.45184106511338</v>
      </c>
      <c r="I1243" s="2" t="n">
        <f aca="false">H1243*_xlfn.XLOOKUP(Tabla2[[#This Row],[Unidad de producción]],Tabla3[Medida],Tabla3[Equivalencia en Kg],"ELVIS",0)</f>
        <v>338.015510713543</v>
      </c>
      <c r="J1243" s="2" t="n">
        <v>1200</v>
      </c>
      <c r="K1243" s="2" t="s">
        <v>18</v>
      </c>
      <c r="L1243" s="2" t="n">
        <f aca="false">J1243/_xlfn.XLOOKUP(Tabla2[[#This Row],[Unidad de precio]],Tabla3[Medida],Tabla3[Equivalencia en Kg],"ELVIS",0)</f>
        <v>26.4550264550265</v>
      </c>
      <c r="M1243" s="2" t="n">
        <v>5602.34206216742</v>
      </c>
      <c r="N1243" s="3" t="n">
        <f aca="false">(Tabla2[[#This Row],[Productividad (kg/TAS)]]*Tabla2[[#This Row],[Precio por kg]]-Tabla2[[#This Row],[Costos (En RD$/Tarea)]])</f>
        <v>3339.86721596863</v>
      </c>
      <c r="O1243" s="9" t="n">
        <f aca="false">IF(Tabla2[[#This Row],[Costos (En RD$/Tarea)]]=0,0,Tabla2[[#This Row],[Beneficio Neto  (En RD$/Tarea)]]/Tabla2[[#This Row],[Costos (En RD$/Tarea)]])</f>
        <v>0.596155532616034</v>
      </c>
      <c r="P1243" s="7" t="n">
        <f aca="false">Tabla2[[#This Row],[Rentabilidad (%)]]/12</f>
        <v>0.0496796277180029</v>
      </c>
    </row>
    <row r="1244" customFormat="false" ht="14.25" hidden="false" customHeight="false" outlineLevel="0" collapsed="false">
      <c r="A1244" s="1" t="n">
        <v>39661</v>
      </c>
      <c r="B1244" s="2" t="s">
        <v>25</v>
      </c>
      <c r="C1244" s="3" t="n">
        <v>18121</v>
      </c>
      <c r="D1244" s="8" t="s">
        <v>17</v>
      </c>
      <c r="E1244" s="3" t="n">
        <f aca="false">IF(Tabla2[[#This Row],[Frecuencia]]="Annual", Tabla2[[#This Row],[Cosecha/Tarea]]/12,Tabla2[[#This Row],[Cosecha/Tarea]])</f>
        <v>18121</v>
      </c>
      <c r="F1244" s="3" t="n">
        <v>175292</v>
      </c>
      <c r="G1244" s="2" t="s">
        <v>18</v>
      </c>
      <c r="H1244" s="2" t="n">
        <f aca="false">F1244/Tabla2[[#This Row],[Cosecha Mensual]]</f>
        <v>9.67341758181116</v>
      </c>
      <c r="I1244" s="2" t="n">
        <f aca="false">H1244*_xlfn.XLOOKUP(Tabla2[[#This Row],[Unidad de producción]],Tabla3[Medida],Tabla3[Equivalencia en Kg],"ELVIS",0)</f>
        <v>438.786221510954</v>
      </c>
      <c r="J1244" s="2" t="n">
        <v>952.062</v>
      </c>
      <c r="K1244" s="2" t="s">
        <v>18</v>
      </c>
      <c r="L1244" s="2" t="n">
        <f aca="false">J1244/_xlfn.XLOOKUP(Tabla2[[#This Row],[Unidad de precio]],Tabla3[Medida],Tabla3[Equivalencia en Kg],"ELVIS",0)</f>
        <v>20.9890211640212</v>
      </c>
      <c r="M1244" s="2" t="n">
        <v>3201.64901153456</v>
      </c>
      <c r="N1244" s="3" t="n">
        <f aca="false">(Tabla2[[#This Row],[Productividad (kg/TAS)]]*Tabla2[[#This Row],[Precio por kg]]-Tabla2[[#This Row],[Costos (En RD$/Tarea)]])</f>
        <v>6008.04427823974</v>
      </c>
      <c r="O1244" s="9" t="n">
        <f aca="false">IF(Tabla2[[#This Row],[Costos (En RD$/Tarea)]]=0,0,Tabla2[[#This Row],[Beneficio Neto  (En RD$/Tarea)]]/Tabla2[[#This Row],[Costos (En RD$/Tarea)]])</f>
        <v>1.87654682215152</v>
      </c>
      <c r="P1244" s="7" t="n">
        <f aca="false">Tabla2[[#This Row],[Rentabilidad (%)]]/12</f>
        <v>0.15637890184596</v>
      </c>
    </row>
    <row r="1245" customFormat="false" ht="14.25" hidden="false" customHeight="false" outlineLevel="0" collapsed="false">
      <c r="A1245" s="1" t="n">
        <v>39661</v>
      </c>
      <c r="B1245" s="2" t="s">
        <v>26</v>
      </c>
      <c r="C1245" s="3" t="n">
        <v>10476</v>
      </c>
      <c r="D1245" s="8" t="s">
        <v>17</v>
      </c>
      <c r="E1245" s="3" t="n">
        <f aca="false">IF(Tabla2[[#This Row],[Frecuencia]]="Annual", Tabla2[[#This Row],[Cosecha/Tarea]]/12,Tabla2[[#This Row],[Cosecha/Tarea]])</f>
        <v>10476</v>
      </c>
      <c r="F1245" s="3" t="n">
        <v>57380</v>
      </c>
      <c r="G1245" s="2" t="s">
        <v>18</v>
      </c>
      <c r="H1245" s="2" t="n">
        <f aca="false">F1245/Tabla2[[#This Row],[Cosecha Mensual]]</f>
        <v>5.47728140511646</v>
      </c>
      <c r="I1245" s="2" t="n">
        <f aca="false">H1245*_xlfn.XLOOKUP(Tabla2[[#This Row],[Unidad de producción]],Tabla3[Medida],Tabla3[Equivalencia en Kg],"ELVIS",0)</f>
        <v>248.449484536082</v>
      </c>
      <c r="J1245" s="2" t="n">
        <v>672.292</v>
      </c>
      <c r="K1245" s="2" t="s">
        <v>18</v>
      </c>
      <c r="L1245" s="2" t="n">
        <f aca="false">J1245/_xlfn.XLOOKUP(Tabla2[[#This Row],[Unidad de precio]],Tabla3[Medida],Tabla3[Equivalencia en Kg],"ELVIS",0)</f>
        <v>14.8212522045855</v>
      </c>
      <c r="M1245" s="2" t="n">
        <v>1294.92573769894</v>
      </c>
      <c r="N1245" s="3" t="n">
        <f aca="false">(Tabla2[[#This Row],[Productividad (kg/TAS)]]*Tabla2[[#This Row],[Precio por kg]]-Tabla2[[#This Row],[Costos (En RD$/Tarea)]])</f>
        <v>2387.40673270961</v>
      </c>
      <c r="O1245" s="9" t="n">
        <f aca="false">IF(Tabla2[[#This Row],[Costos (En RD$/Tarea)]]=0,0,Tabla2[[#This Row],[Beneficio Neto  (En RD$/Tarea)]]/Tabla2[[#This Row],[Costos (En RD$/Tarea)]])</f>
        <v>1.84366304816212</v>
      </c>
      <c r="P1245" s="7" t="n">
        <f aca="false">Tabla2[[#This Row],[Rentabilidad (%)]]/12</f>
        <v>0.153638587346844</v>
      </c>
    </row>
    <row r="1246" customFormat="false" ht="14.25" hidden="false" customHeight="false" outlineLevel="0" collapsed="false">
      <c r="A1246" s="1" t="n">
        <v>39661</v>
      </c>
      <c r="B1246" s="2" t="s">
        <v>27</v>
      </c>
      <c r="C1246" s="3" t="n">
        <v>6618</v>
      </c>
      <c r="D1246" s="8" t="s">
        <v>17</v>
      </c>
      <c r="E1246" s="3" t="n">
        <f aca="false">IF(Tabla2[[#This Row],[Frecuencia]]="Annual", Tabla2[[#This Row],[Cosecha/Tarea]]/12,Tabla2[[#This Row],[Cosecha/Tarea]])</f>
        <v>6618</v>
      </c>
      <c r="F1246" s="3" t="n">
        <v>43534</v>
      </c>
      <c r="G1246" s="2" t="s">
        <v>18</v>
      </c>
      <c r="H1246" s="2" t="n">
        <f aca="false">F1246/Tabla2[[#This Row],[Cosecha Mensual]]</f>
        <v>6.57812027802962</v>
      </c>
      <c r="I1246" s="2" t="n">
        <f aca="false">H1246*_xlfn.XLOOKUP(Tabla2[[#This Row],[Unidad de producción]],Tabla3[Medida],Tabla3[Equivalencia en Kg],"ELVIS",0)</f>
        <v>298.383535811423</v>
      </c>
      <c r="J1246" s="2" t="n">
        <v>387.534</v>
      </c>
      <c r="K1246" s="2" t="s">
        <v>18</v>
      </c>
      <c r="L1246" s="2" t="n">
        <f aca="false">J1246/_xlfn.XLOOKUP(Tabla2[[#This Row],[Unidad de precio]],Tabla3[Medida],Tabla3[Equivalencia en Kg],"ELVIS",0)</f>
        <v>8.54351851851852</v>
      </c>
      <c r="M1246" s="2" t="n">
        <v>5429.72570566602</v>
      </c>
      <c r="N1246" s="3" t="n">
        <f aca="false">(Tabla2[[#This Row],[Productividad (kg/TAS)]]*Tabla2[[#This Row],[Precio por kg]]-Tabla2[[#This Row],[Costos (En RD$/Tarea)]])</f>
        <v>-2880.48044184009</v>
      </c>
      <c r="O1246" s="9" t="n">
        <f aca="false">IF(Tabla2[[#This Row],[Costos (En RD$/Tarea)]]=0,0,Tabla2[[#This Row],[Beneficio Neto  (En RD$/Tarea)]]/Tabla2[[#This Row],[Costos (En RD$/Tarea)]])</f>
        <v>-0.530502017594417</v>
      </c>
      <c r="P1246" s="7" t="n">
        <f aca="false">Tabla2[[#This Row],[Rentabilidad (%)]]/12</f>
        <v>-0.0442085014662014</v>
      </c>
    </row>
    <row r="1247" customFormat="false" ht="14.25" hidden="false" customHeight="false" outlineLevel="0" collapsed="false">
      <c r="A1247" s="1" t="n">
        <v>39661</v>
      </c>
      <c r="B1247" s="2" t="s">
        <v>28</v>
      </c>
      <c r="C1247" s="3" t="n">
        <v>41200</v>
      </c>
      <c r="D1247" s="8" t="s">
        <v>17</v>
      </c>
      <c r="E1247" s="3" t="n">
        <f aca="false">IF(Tabla2[[#This Row],[Frecuencia]]="Annual", Tabla2[[#This Row],[Cosecha/Tarea]]/12,Tabla2[[#This Row],[Cosecha/Tarea]])</f>
        <v>41200</v>
      </c>
      <c r="F1247" s="3" t="n">
        <v>66841</v>
      </c>
      <c r="G1247" s="2" t="s">
        <v>29</v>
      </c>
      <c r="H1247" s="2" t="n">
        <f aca="false">F1247/Tabla2[[#This Row],[Cosecha Mensual]]</f>
        <v>1.62235436893204</v>
      </c>
      <c r="I1247" s="2" t="n">
        <f aca="false">H1247*_xlfn.XLOOKUP(Tabla2[[#This Row],[Unidad de producción]],Tabla3[Medida],Tabla3[Equivalencia en Kg],"ELVIS",0)</f>
        <v>912.314755825243</v>
      </c>
      <c r="J1247" s="2" t="n">
        <v>4542.33333333333</v>
      </c>
      <c r="K1247" s="2" t="s">
        <v>29</v>
      </c>
      <c r="L1247" s="2" t="n">
        <f aca="false">J1247/_xlfn.XLOOKUP(Tabla2[[#This Row],[Unidad de precio]],Tabla3[Medida],Tabla3[Equivalencia en Kg],"ELVIS",0)</f>
        <v>8.07755687543716</v>
      </c>
      <c r="M1247" s="2" t="n">
        <v>4903.37166571833</v>
      </c>
      <c r="N1247" s="3" t="n">
        <f aca="false">(Tabla2[[#This Row],[Productividad (kg/TAS)]]*Tabla2[[#This Row],[Precio por kg]]-Tabla2[[#This Row],[Costos (En RD$/Tarea)]])</f>
        <v>2465.90266276063</v>
      </c>
      <c r="O1247" s="9" t="n">
        <f aca="false">IF(Tabla2[[#This Row],[Costos (En RD$/Tarea)]]=0,0,Tabla2[[#This Row],[Beneficio Neto  (En RD$/Tarea)]]/Tabla2[[#This Row],[Costos (En RD$/Tarea)]])</f>
        <v>0.502899398795498</v>
      </c>
      <c r="P1247" s="7" t="n">
        <f aca="false">Tabla2[[#This Row],[Rentabilidad (%)]]/12</f>
        <v>0.0419082832329582</v>
      </c>
    </row>
    <row r="1248" customFormat="false" ht="14.25" hidden="false" customHeight="false" outlineLevel="0" collapsed="false">
      <c r="A1248" s="1" t="n">
        <v>39661</v>
      </c>
      <c r="B1248" s="2" t="s">
        <v>30</v>
      </c>
      <c r="C1248" s="3" t="n">
        <v>271041</v>
      </c>
      <c r="D1248" s="3" t="s">
        <v>31</v>
      </c>
      <c r="E1248" s="3" t="n">
        <f aca="false">IF(Tabla2[[#This Row],[Frecuencia]]="Annual", Tabla2[[#This Row],[Cosecha/Tarea]]/12,Tabla2[[#This Row],[Cosecha/Tarea]])</f>
        <v>22586.75</v>
      </c>
      <c r="F1248" s="3" t="n">
        <v>1580253</v>
      </c>
      <c r="G1248" s="2" t="s">
        <v>32</v>
      </c>
      <c r="H1248" s="2" t="n">
        <f aca="false">F1248/Tabla2[[#This Row],[Cosecha Mensual]]</f>
        <v>69.9637176663309</v>
      </c>
      <c r="I1248" s="2" t="n">
        <f aca="false">H1248*_xlfn.XLOOKUP(Tabla2[[#This Row],[Unidad de producción]],Tabla3[Medida],Tabla3[Equivalencia en Kg],"ELVIS",0)</f>
        <v>1903.71275770086</v>
      </c>
      <c r="J1248" s="2" t="n">
        <v>125.695</v>
      </c>
      <c r="K1248" s="2" t="s">
        <v>32</v>
      </c>
      <c r="L1248" s="2" t="n">
        <f aca="false">J1248/_xlfn.XLOOKUP(Tabla2[[#This Row],[Unidad de precio]],Tabla3[Medida],Tabla3[Equivalencia en Kg],"ELVIS",0)</f>
        <v>4.61944138184491</v>
      </c>
      <c r="M1248" s="3" t="n">
        <v>8644.77930505247</v>
      </c>
      <c r="N1248" s="3" t="n">
        <f aca="false">(Tabla2[[#This Row],[Productividad (kg/TAS)]]*Tabla2[[#This Row],[Precio por kg]]-Tabla2[[#This Row],[Costos (En RD$/Tarea)]])</f>
        <v>149.310187016994</v>
      </c>
      <c r="O1248" s="9" t="n">
        <f aca="false">IF(Tabla2[[#This Row],[Costos (En RD$/Tarea)]]=0,0,Tabla2[[#This Row],[Beneficio Neto  (En RD$/Tarea)]]/Tabla2[[#This Row],[Costos (En RD$/Tarea)]])</f>
        <v>0.0172717176168661</v>
      </c>
      <c r="P1248" s="7" t="n">
        <f aca="false">Tabla2[[#This Row],[Rentabilidad (%)]]/12</f>
        <v>0.00143930980140551</v>
      </c>
    </row>
    <row r="1249" customFormat="false" ht="14.25" hidden="false" customHeight="false" outlineLevel="0" collapsed="false">
      <c r="A1249" s="1" t="n">
        <v>39661</v>
      </c>
      <c r="B1249" s="2" t="s">
        <v>33</v>
      </c>
      <c r="C1249" s="3" t="n">
        <v>600864</v>
      </c>
      <c r="D1249" s="3" t="s">
        <v>31</v>
      </c>
      <c r="E1249" s="11" t="n">
        <f aca="false">IF(Tabla2[[#This Row],[Frecuencia]]="Annual", Tabla2[[#This Row],[Cosecha/Tarea]]/12,Tabla2[[#This Row],[Cosecha/Tarea]])</f>
        <v>50072</v>
      </c>
      <c r="F1249" s="3" t="n">
        <v>131999</v>
      </c>
      <c r="G1249" s="2" t="s">
        <v>34</v>
      </c>
      <c r="H1249" s="2" t="n">
        <f aca="false">F1249/Tabla2[[#This Row],[Cosecha Mensual]]</f>
        <v>2.63618389519093</v>
      </c>
      <c r="I1249" s="2" t="n">
        <f aca="false">H1249*_xlfn.XLOOKUP(Tabla2[[#This Row],[Unidad de producción]],Tabla3[Medida],Tabla3[Equivalencia en Kg],"ELVIS",0)</f>
        <v>1075.95845682218</v>
      </c>
      <c r="J1249" s="2" t="n">
        <v>5337.22166666667</v>
      </c>
      <c r="K1249" s="2" t="s">
        <v>34</v>
      </c>
      <c r="L1249" s="2" t="n">
        <f aca="false">J1249/_xlfn.XLOOKUP(Tabla2[[#This Row],[Unidad de precio]],Tabla3[Medida],Tabla3[Equivalencia en Kg],"ELVIS",0)</f>
        <v>13.0766180734207</v>
      </c>
      <c r="M1249" s="3" t="n">
        <v>8418.12886809492</v>
      </c>
      <c r="N1249" s="3" t="n">
        <f aca="false">(Tabla2[[#This Row],[Productividad (kg/TAS)]]*Tabla2[[#This Row],[Precio por kg]]-Tabla2[[#This Row],[Costos (En RD$/Tarea)]])</f>
        <v>5651.76893463582</v>
      </c>
      <c r="O1249" s="9" t="n">
        <f aca="false">IF(Tabla2[[#This Row],[Costos (En RD$/Tarea)]]=0,0,Tabla2[[#This Row],[Beneficio Neto  (En RD$/Tarea)]]/Tabla2[[#This Row],[Costos (En RD$/Tarea)]])</f>
        <v>0.671380662281885</v>
      </c>
      <c r="P1249" s="7" t="n">
        <f aca="false">Tabla2[[#This Row],[Rentabilidad (%)]]/12</f>
        <v>0.0559483885234904</v>
      </c>
    </row>
    <row r="1250" customFormat="false" ht="14.25" hidden="false" customHeight="false" outlineLevel="0" collapsed="false">
      <c r="A1250" s="1" t="n">
        <v>39692</v>
      </c>
      <c r="B1250" s="2" t="s">
        <v>16</v>
      </c>
      <c r="C1250" s="3" t="n">
        <v>153957</v>
      </c>
      <c r="D1250" s="8" t="s">
        <v>17</v>
      </c>
      <c r="E1250" s="3" t="n">
        <f aca="false">IF(Tabla2[[#This Row],[Frecuencia]]="Annual", Tabla2[[#This Row],[Cosecha/Tarea]]/12,Tabla2[[#This Row],[Cosecha/Tarea]])</f>
        <v>153957</v>
      </c>
      <c r="F1250" s="3" t="n">
        <v>550703</v>
      </c>
      <c r="G1250" s="2" t="s">
        <v>18</v>
      </c>
      <c r="H1250" s="2" t="n">
        <f aca="false">F1250/Tabla2[[#This Row],[Cosecha Mensual]]</f>
        <v>3.57699227706438</v>
      </c>
      <c r="I1250" s="2" t="n">
        <f aca="false">H1250*_xlfn.XLOOKUP(Tabla2[[#This Row],[Unidad de producción]],Tabla3[Medida],Tabla3[Equivalencia en Kg],"ELVIS",0)</f>
        <v>162.25236968764</v>
      </c>
      <c r="J1250" s="2" t="n">
        <v>1406.56</v>
      </c>
      <c r="K1250" s="2" t="s">
        <v>19</v>
      </c>
      <c r="L1250" s="2" t="n">
        <f aca="false">J1250/_xlfn.XLOOKUP(Tabla2[[#This Row],[Unidad de precio]],Tabla3[Medida],Tabla3[Equivalencia en Kg],"ELVIS",0)</f>
        <v>12.7869090909091</v>
      </c>
      <c r="M1250" s="2" t="n">
        <v>6402.1671715266</v>
      </c>
      <c r="N1250" s="3" t="n">
        <f aca="false">(Tabla2[[#This Row],[Productividad (kg/TAS)]]*Tabla2[[#This Row],[Precio por kg]]-Tabla2[[#This Row],[Costos (En RD$/Tarea)]])</f>
        <v>-4327.46087054617</v>
      </c>
      <c r="O1250" s="9" t="n">
        <f aca="false">IF(Tabla2[[#This Row],[Costos (En RD$/Tarea)]]=0,0,Tabla2[[#This Row],[Beneficio Neto  (En RD$/Tarea)]]/Tabla2[[#This Row],[Costos (En RD$/Tarea)]])</f>
        <v>-0.675936874905797</v>
      </c>
      <c r="P1250" s="7" t="n">
        <f aca="false">Tabla2[[#This Row],[Rentabilidad (%)]]/12</f>
        <v>-0.0563280729088164</v>
      </c>
    </row>
    <row r="1251" customFormat="false" ht="14.25" hidden="false" customHeight="false" outlineLevel="0" collapsed="false">
      <c r="A1251" s="1" t="n">
        <v>39692</v>
      </c>
      <c r="B1251" s="2" t="s">
        <v>20</v>
      </c>
      <c r="C1251" s="3" t="n">
        <v>40595</v>
      </c>
      <c r="D1251" s="8" t="s">
        <v>17</v>
      </c>
      <c r="E1251" s="3" t="n">
        <f aca="false">IF(Tabla2[[#This Row],[Frecuencia]]="Annual", Tabla2[[#This Row],[Cosecha/Tarea]]/12,Tabla2[[#This Row],[Cosecha/Tarea]])</f>
        <v>40595</v>
      </c>
      <c r="F1251" s="3" t="n">
        <v>76546</v>
      </c>
      <c r="G1251" s="2" t="s">
        <v>18</v>
      </c>
      <c r="H1251" s="2" t="n">
        <f aca="false">F1251/Tabla2[[#This Row],[Cosecha Mensual]]</f>
        <v>1.88560167508314</v>
      </c>
      <c r="I1251" s="2" t="n">
        <f aca="false">H1251*_xlfn.XLOOKUP(Tabla2[[#This Row],[Unidad de producción]],Tabla3[Medida],Tabla3[Equivalencia en Kg],"ELVIS",0)</f>
        <v>85.5308919817712</v>
      </c>
      <c r="J1251" s="2" t="n">
        <v>598.160714285714</v>
      </c>
      <c r="K1251" s="2" t="s">
        <v>18</v>
      </c>
      <c r="L1251" s="2" t="n">
        <f aca="false">J1251/_xlfn.XLOOKUP(Tabla2[[#This Row],[Unidad de precio]],Tabla3[Medida],Tabla3[Equivalencia en Kg],"ELVIS",0)</f>
        <v>13.1869646006551</v>
      </c>
      <c r="M1251" s="2" t="n">
        <v>1490.90401998252</v>
      </c>
      <c r="N1251" s="3" t="n">
        <f aca="false">(Tabla2[[#This Row],[Productividad (kg/TAS)]]*Tabla2[[#This Row],[Precio por kg]]-Tabla2[[#This Row],[Costos (En RD$/Tarea)]])</f>
        <v>-363.011175156451</v>
      </c>
      <c r="O1251" s="9" t="n">
        <f aca="false">IF(Tabla2[[#This Row],[Costos (En RD$/Tarea)]]=0,0,Tabla2[[#This Row],[Beneficio Neto  (En RD$/Tarea)]]/Tabla2[[#This Row],[Costos (En RD$/Tarea)]])</f>
        <v>-0.243483933433024</v>
      </c>
      <c r="P1251" s="7" t="n">
        <f aca="false">Tabla2[[#This Row],[Rentabilidad (%)]]/12</f>
        <v>-0.0202903277860853</v>
      </c>
    </row>
    <row r="1252" customFormat="false" ht="14.25" hidden="false" customHeight="false" outlineLevel="0" collapsed="false">
      <c r="A1252" s="1" t="n">
        <v>39692</v>
      </c>
      <c r="B1252" s="2" t="s">
        <v>21</v>
      </c>
      <c r="C1252" s="3" t="n">
        <v>7672</v>
      </c>
      <c r="D1252" s="8" t="s">
        <v>17</v>
      </c>
      <c r="E1252" s="3" t="n">
        <f aca="false">IF(Tabla2[[#This Row],[Frecuencia]]="Annual", Tabla2[[#This Row],[Cosecha/Tarea]]/12,Tabla2[[#This Row],[Cosecha/Tarea]])</f>
        <v>7672</v>
      </c>
      <c r="F1252" s="3" t="n">
        <v>81165</v>
      </c>
      <c r="G1252" s="2" t="s">
        <v>18</v>
      </c>
      <c r="H1252" s="2" t="n">
        <f aca="false">F1252/Tabla2[[#This Row],[Cosecha Mensual]]</f>
        <v>10.5793795620438</v>
      </c>
      <c r="I1252" s="2" t="n">
        <f aca="false">H1252*_xlfn.XLOOKUP(Tabla2[[#This Row],[Unidad de producción]],Tabla3[Medida],Tabla3[Equivalencia en Kg],"ELVIS",0)</f>
        <v>479.880656934307</v>
      </c>
      <c r="J1252" s="2" t="n">
        <v>277.964916666667</v>
      </c>
      <c r="K1252" s="2" t="s">
        <v>18</v>
      </c>
      <c r="L1252" s="2" t="n">
        <f aca="false">J1252/_xlfn.XLOOKUP(Tabla2[[#This Row],[Unidad de precio]],Tabla3[Medida],Tabla3[Equivalencia en Kg],"ELVIS",0)</f>
        <v>6.12797435332158</v>
      </c>
      <c r="M1252" s="2" t="n">
        <v>3935.0401959</v>
      </c>
      <c r="N1252" s="3" t="n">
        <f aca="false">(Tabla2[[#This Row],[Productividad (kg/TAS)]]*Tabla2[[#This Row],[Precio por kg]]-Tabla2[[#This Row],[Costos (En RD$/Tarea)]])</f>
        <v>-994.343837551456</v>
      </c>
      <c r="O1252" s="9" t="n">
        <f aca="false">IF(Tabla2[[#This Row],[Costos (En RD$/Tarea)]]=0,0,Tabla2[[#This Row],[Beneficio Neto  (En RD$/Tarea)]]/Tabla2[[#This Row],[Costos (En RD$/Tarea)]])</f>
        <v>-0.252689626547521</v>
      </c>
      <c r="P1252" s="7" t="n">
        <f aca="false">Tabla2[[#This Row],[Rentabilidad (%)]]/12</f>
        <v>-0.0210574688789601</v>
      </c>
    </row>
    <row r="1253" customFormat="false" ht="14.25" hidden="false" customHeight="false" outlineLevel="0" collapsed="false">
      <c r="A1253" s="1" t="n">
        <v>39692</v>
      </c>
      <c r="B1253" s="2" t="s">
        <v>22</v>
      </c>
      <c r="C1253" s="3" t="n">
        <v>1861</v>
      </c>
      <c r="D1253" s="8" t="s">
        <v>17</v>
      </c>
      <c r="E1253" s="3" t="n">
        <f aca="false">IF(Tabla2[[#This Row],[Frecuencia]]="Annual", Tabla2[[#This Row],[Cosecha/Tarea]]/12,Tabla2[[#This Row],[Cosecha/Tarea]])</f>
        <v>1861</v>
      </c>
      <c r="F1253" s="3" t="n">
        <v>17939</v>
      </c>
      <c r="G1253" s="2" t="s">
        <v>18</v>
      </c>
      <c r="H1253" s="2" t="n">
        <f aca="false">F1253/Tabla2[[#This Row],[Cosecha Mensual]]</f>
        <v>9.63944116066631</v>
      </c>
      <c r="I1253" s="2" t="n">
        <f aca="false">H1253*_xlfn.XLOOKUP(Tabla2[[#This Row],[Unidad de producción]],Tabla3[Medida],Tabla3[Equivalencia en Kg],"ELVIS",0)</f>
        <v>437.245051047824</v>
      </c>
      <c r="J1253" s="2" t="n">
        <v>1093.8</v>
      </c>
      <c r="K1253" s="2" t="s">
        <v>18</v>
      </c>
      <c r="L1253" s="2" t="n">
        <f aca="false">J1253/_xlfn.XLOOKUP(Tabla2[[#This Row],[Unidad de precio]],Tabla3[Medida],Tabla3[Equivalencia en Kg],"ELVIS",0)</f>
        <v>24.1137566137566</v>
      </c>
      <c r="M1253" s="2" t="n">
        <v>6901.0735717536</v>
      </c>
      <c r="N1253" s="3" t="n">
        <f aca="false">(Tabla2[[#This Row],[Productividad (kg/TAS)]]*Tabla2[[#This Row],[Precio por kg]]-Tabla2[[#This Row],[Costos (En RD$/Tarea)]])</f>
        <v>3642.54716978321</v>
      </c>
      <c r="O1253" s="9" t="n">
        <f aca="false">IF(Tabla2[[#This Row],[Costos (En RD$/Tarea)]]=0,0,Tabla2[[#This Row],[Beneficio Neto  (En RD$/Tarea)]]/Tabla2[[#This Row],[Costos (En RD$/Tarea)]])</f>
        <v>0.527823262845989</v>
      </c>
      <c r="P1253" s="7" t="n">
        <f aca="false">Tabla2[[#This Row],[Rentabilidad (%)]]/12</f>
        <v>0.0439852719038324</v>
      </c>
    </row>
    <row r="1254" customFormat="false" ht="14.25" hidden="false" customHeight="false" outlineLevel="0" collapsed="false">
      <c r="A1254" s="1" t="n">
        <v>39692</v>
      </c>
      <c r="B1254" s="2" t="s">
        <v>23</v>
      </c>
      <c r="C1254" s="3" t="n">
        <v>2641</v>
      </c>
      <c r="D1254" s="8" t="s">
        <v>17</v>
      </c>
      <c r="E1254" s="3" t="n">
        <f aca="false">IF(Tabla2[[#This Row],[Frecuencia]]="Annual", Tabla2[[#This Row],[Cosecha/Tarea]]/12,Tabla2[[#This Row],[Cosecha/Tarea]])</f>
        <v>2641</v>
      </c>
      <c r="F1254" s="3" t="n">
        <v>100600</v>
      </c>
      <c r="G1254" s="2" t="s">
        <v>18</v>
      </c>
      <c r="H1254" s="2" t="n">
        <f aca="false">F1254/Tabla2[[#This Row],[Cosecha Mensual]]</f>
        <v>38.0916319575918</v>
      </c>
      <c r="I1254" s="2" t="n">
        <f aca="false">H1254*_xlfn.XLOOKUP(Tabla2[[#This Row],[Unidad de producción]],Tabla3[Medida],Tabla3[Equivalencia en Kg],"ELVIS",0)</f>
        <v>1727.83642559637</v>
      </c>
      <c r="J1254" s="2" t="n">
        <v>850</v>
      </c>
      <c r="K1254" s="2" t="s">
        <v>18</v>
      </c>
      <c r="L1254" s="2" t="n">
        <f aca="false">J1254/_xlfn.XLOOKUP(Tabla2[[#This Row],[Unidad de precio]],Tabla3[Medida],Tabla3[Equivalencia en Kg],"ELVIS",0)</f>
        <v>18.7389770723104</v>
      </c>
      <c r="M1254" s="2" t="n">
        <v>17874.25</v>
      </c>
      <c r="N1254" s="3" t="n">
        <f aca="false">(Tabla2[[#This Row],[Productividad (kg/TAS)]]*Tabla2[[#This Row],[Precio por kg]]-Tabla2[[#This Row],[Costos (En RD$/Tarea)]])</f>
        <v>14503.637163953</v>
      </c>
      <c r="O1254" s="9" t="n">
        <f aca="false">IF(Tabla2[[#This Row],[Costos (En RD$/Tarea)]]=0,0,Tabla2[[#This Row],[Beneficio Neto  (En RD$/Tarea)]]/Tabla2[[#This Row],[Costos (En RD$/Tarea)]])</f>
        <v>0.811426334752677</v>
      </c>
      <c r="P1254" s="7" t="n">
        <f aca="false">Tabla2[[#This Row],[Rentabilidad (%)]]/12</f>
        <v>0.0676188612293898</v>
      </c>
    </row>
    <row r="1255" customFormat="false" ht="14.25" hidden="false" customHeight="false" outlineLevel="0" collapsed="false">
      <c r="A1255" s="1" t="n">
        <v>39692</v>
      </c>
      <c r="B1255" s="2" t="s">
        <v>24</v>
      </c>
      <c r="C1255" s="3" t="n">
        <v>3465</v>
      </c>
      <c r="D1255" s="8" t="s">
        <v>17</v>
      </c>
      <c r="E1255" s="3" t="n">
        <f aca="false">IF(Tabla2[[#This Row],[Frecuencia]]="Annual", Tabla2[[#This Row],[Cosecha/Tarea]]/12,Tabla2[[#This Row],[Cosecha/Tarea]])</f>
        <v>3465</v>
      </c>
      <c r="F1255" s="3" t="n">
        <v>27588</v>
      </c>
      <c r="G1255" s="2" t="s">
        <v>18</v>
      </c>
      <c r="H1255" s="2" t="n">
        <f aca="false">F1255/Tabla2[[#This Row],[Cosecha Mensual]]</f>
        <v>7.96190476190476</v>
      </c>
      <c r="I1255" s="2" t="n">
        <f aca="false">H1255*_xlfn.XLOOKUP(Tabla2[[#This Row],[Unidad de producción]],Tabla3[Medida],Tabla3[Equivalencia en Kg],"ELVIS",0)</f>
        <v>361.152</v>
      </c>
      <c r="J1255" s="2" t="n">
        <v>1350</v>
      </c>
      <c r="K1255" s="2" t="s">
        <v>18</v>
      </c>
      <c r="L1255" s="2" t="n">
        <f aca="false">J1255/_xlfn.XLOOKUP(Tabla2[[#This Row],[Unidad de precio]],Tabla3[Medida],Tabla3[Equivalencia en Kg],"ELVIS",0)</f>
        <v>29.7619047619048</v>
      </c>
      <c r="M1255" s="2" t="n">
        <v>5602.34206216742</v>
      </c>
      <c r="N1255" s="3" t="n">
        <f aca="false">(Tabla2[[#This Row],[Productividad (kg/TAS)]]*Tabla2[[#This Row],[Precio por kg]]-Tabla2[[#This Row],[Costos (En RD$/Tarea)]])</f>
        <v>5146.22936640401</v>
      </c>
      <c r="O1255" s="9" t="n">
        <f aca="false">IF(Tabla2[[#This Row],[Costos (En RD$/Tarea)]]=0,0,Tabla2[[#This Row],[Beneficio Neto  (En RD$/Tarea)]]/Tabla2[[#This Row],[Costos (En RD$/Tarea)]])</f>
        <v>0.918585353999796</v>
      </c>
      <c r="P1255" s="7" t="n">
        <f aca="false">Tabla2[[#This Row],[Rentabilidad (%)]]/12</f>
        <v>0.076548779499983</v>
      </c>
    </row>
    <row r="1256" customFormat="false" ht="14.25" hidden="false" customHeight="false" outlineLevel="0" collapsed="false">
      <c r="A1256" s="1" t="n">
        <v>39692</v>
      </c>
      <c r="B1256" s="2" t="s">
        <v>25</v>
      </c>
      <c r="C1256" s="3" t="n">
        <v>16620</v>
      </c>
      <c r="D1256" s="8" t="s">
        <v>17</v>
      </c>
      <c r="E1256" s="3" t="n">
        <f aca="false">IF(Tabla2[[#This Row],[Frecuencia]]="Annual", Tabla2[[#This Row],[Cosecha/Tarea]]/12,Tabla2[[#This Row],[Cosecha/Tarea]])</f>
        <v>16620</v>
      </c>
      <c r="F1256" s="3" t="n">
        <v>174511</v>
      </c>
      <c r="G1256" s="2" t="s">
        <v>18</v>
      </c>
      <c r="H1256" s="2" t="n">
        <f aca="false">F1256/Tabla2[[#This Row],[Cosecha Mensual]]</f>
        <v>10.5000601684717</v>
      </c>
      <c r="I1256" s="2" t="n">
        <f aca="false">H1256*_xlfn.XLOOKUP(Tabla2[[#This Row],[Unidad de producción]],Tabla3[Medida],Tabla3[Equivalencia en Kg],"ELVIS",0)</f>
        <v>476.282729241877</v>
      </c>
      <c r="J1256" s="2" t="n">
        <v>643.7925</v>
      </c>
      <c r="K1256" s="2" t="s">
        <v>18</v>
      </c>
      <c r="L1256" s="2" t="n">
        <f aca="false">J1256/_xlfn.XLOOKUP(Tabla2[[#This Row],[Unidad de precio]],Tabla3[Medida],Tabla3[Equivalencia en Kg],"ELVIS",0)</f>
        <v>14.1929563492064</v>
      </c>
      <c r="M1256" s="2" t="n">
        <v>3201.64901153456</v>
      </c>
      <c r="N1256" s="3" t="n">
        <f aca="false">(Tabla2[[#This Row],[Productividad (kg/TAS)]]*Tabla2[[#This Row],[Precio por kg]]-Tabla2[[#This Row],[Costos (En RD$/Tarea)]])</f>
        <v>3558.21097447627</v>
      </c>
      <c r="O1256" s="9" t="n">
        <f aca="false">IF(Tabla2[[#This Row],[Costos (En RD$/Tarea)]]=0,0,Tabla2[[#This Row],[Beneficio Neto  (En RD$/Tarea)]]/Tabla2[[#This Row],[Costos (En RD$/Tarea)]])</f>
        <v>1.11136822358014</v>
      </c>
      <c r="P1256" s="7" t="n">
        <f aca="false">Tabla2[[#This Row],[Rentabilidad (%)]]/12</f>
        <v>0.0926140186316782</v>
      </c>
    </row>
    <row r="1257" customFormat="false" ht="14.25" hidden="false" customHeight="false" outlineLevel="0" collapsed="false">
      <c r="A1257" s="1" t="n">
        <v>39692</v>
      </c>
      <c r="B1257" s="2" t="s">
        <v>26</v>
      </c>
      <c r="C1257" s="3" t="n">
        <v>9389</v>
      </c>
      <c r="D1257" s="8" t="s">
        <v>17</v>
      </c>
      <c r="E1257" s="3" t="n">
        <f aca="false">IF(Tabla2[[#This Row],[Frecuencia]]="Annual", Tabla2[[#This Row],[Cosecha/Tarea]]/12,Tabla2[[#This Row],[Cosecha/Tarea]])</f>
        <v>9389</v>
      </c>
      <c r="F1257" s="3" t="n">
        <v>61120</v>
      </c>
      <c r="G1257" s="2" t="s">
        <v>18</v>
      </c>
      <c r="H1257" s="2" t="n">
        <f aca="false">F1257/Tabla2[[#This Row],[Cosecha Mensual]]</f>
        <v>6.50974544679945</v>
      </c>
      <c r="I1257" s="2" t="n">
        <f aca="false">H1257*_xlfn.XLOOKUP(Tabla2[[#This Row],[Unidad de producción]],Tabla3[Medida],Tabla3[Equivalencia en Kg],"ELVIS",0)</f>
        <v>295.282053466823</v>
      </c>
      <c r="J1257" s="2" t="n">
        <v>656.25</v>
      </c>
      <c r="K1257" s="2" t="s">
        <v>18</v>
      </c>
      <c r="L1257" s="2" t="n">
        <f aca="false">J1257/_xlfn.XLOOKUP(Tabla2[[#This Row],[Unidad de precio]],Tabla3[Medida],Tabla3[Equivalencia en Kg],"ELVIS",0)</f>
        <v>14.4675925925926</v>
      </c>
      <c r="M1257" s="2" t="n">
        <v>1294.92573769894</v>
      </c>
      <c r="N1257" s="3" t="n">
        <f aca="false">(Tabla2[[#This Row],[Productividad (kg/TAS)]]*Tabla2[[#This Row],[Precio por kg]]-Tabla2[[#This Row],[Costos (En RD$/Tarea)]])</f>
        <v>2977.0947117632</v>
      </c>
      <c r="O1257" s="9" t="n">
        <f aca="false">IF(Tabla2[[#This Row],[Costos (En RD$/Tarea)]]=0,0,Tabla2[[#This Row],[Beneficio Neto  (En RD$/Tarea)]]/Tabla2[[#This Row],[Costos (En RD$/Tarea)]])</f>
        <v>2.29904667510389</v>
      </c>
      <c r="P1257" s="7" t="n">
        <f aca="false">Tabla2[[#This Row],[Rentabilidad (%)]]/12</f>
        <v>0.191587222925324</v>
      </c>
    </row>
    <row r="1258" customFormat="false" ht="14.25" hidden="false" customHeight="false" outlineLevel="0" collapsed="false">
      <c r="A1258" s="1" t="n">
        <v>39692</v>
      </c>
      <c r="B1258" s="2" t="s">
        <v>27</v>
      </c>
      <c r="C1258" s="3" t="n">
        <v>4558</v>
      </c>
      <c r="D1258" s="8" t="s">
        <v>17</v>
      </c>
      <c r="E1258" s="3" t="n">
        <f aca="false">IF(Tabla2[[#This Row],[Frecuencia]]="Annual", Tabla2[[#This Row],[Cosecha/Tarea]]/12,Tabla2[[#This Row],[Cosecha/Tarea]])</f>
        <v>4558</v>
      </c>
      <c r="F1258" s="3" t="n">
        <v>35098</v>
      </c>
      <c r="G1258" s="2" t="s">
        <v>18</v>
      </c>
      <c r="H1258" s="2" t="n">
        <f aca="false">F1258/Tabla2[[#This Row],[Cosecha Mensual]]</f>
        <v>7.70030715225976</v>
      </c>
      <c r="I1258" s="2" t="n">
        <f aca="false">H1258*_xlfn.XLOOKUP(Tabla2[[#This Row],[Unidad de producción]],Tabla3[Medida],Tabla3[Equivalencia en Kg],"ELVIS",0)</f>
        <v>349.285932426503</v>
      </c>
      <c r="J1258" s="2" t="n">
        <v>519.4588</v>
      </c>
      <c r="K1258" s="2" t="s">
        <v>18</v>
      </c>
      <c r="L1258" s="2" t="n">
        <f aca="false">J1258/_xlfn.XLOOKUP(Tabla2[[#This Row],[Unidad de precio]],Tabla3[Medida],Tabla3[Equivalencia en Kg],"ELVIS",0)</f>
        <v>11.4519135802469</v>
      </c>
      <c r="M1258" s="2" t="n">
        <v>5429.72570566602</v>
      </c>
      <c r="N1258" s="3" t="n">
        <f aca="false">(Tabla2[[#This Row],[Productividad (kg/TAS)]]*Tabla2[[#This Row],[Precio por kg]]-Tabla2[[#This Row],[Costos (En RD$/Tarea)]])</f>
        <v>-1429.73339272175</v>
      </c>
      <c r="O1258" s="9" t="n">
        <f aca="false">IF(Tabla2[[#This Row],[Costos (En RD$/Tarea)]]=0,0,Tabla2[[#This Row],[Beneficio Neto  (En RD$/Tarea)]]/Tabla2[[#This Row],[Costos (En RD$/Tarea)]])</f>
        <v>-0.263315951896022</v>
      </c>
      <c r="P1258" s="7" t="n">
        <f aca="false">Tabla2[[#This Row],[Rentabilidad (%)]]/12</f>
        <v>-0.0219429959913351</v>
      </c>
    </row>
    <row r="1259" customFormat="false" ht="14.25" hidden="false" customHeight="false" outlineLevel="0" collapsed="false">
      <c r="A1259" s="1" t="n">
        <v>39692</v>
      </c>
      <c r="B1259" s="2" t="s">
        <v>28</v>
      </c>
      <c r="C1259" s="3" t="n">
        <v>54874</v>
      </c>
      <c r="D1259" s="8" t="s">
        <v>17</v>
      </c>
      <c r="E1259" s="3" t="n">
        <f aca="false">IF(Tabla2[[#This Row],[Frecuencia]]="Annual", Tabla2[[#This Row],[Cosecha/Tarea]]/12,Tabla2[[#This Row],[Cosecha/Tarea]])</f>
        <v>54874</v>
      </c>
      <c r="F1259" s="3" t="n">
        <v>99390</v>
      </c>
      <c r="G1259" s="2" t="s">
        <v>29</v>
      </c>
      <c r="H1259" s="2" t="n">
        <f aca="false">F1259/Tabla2[[#This Row],[Cosecha Mensual]]</f>
        <v>1.81124029595072</v>
      </c>
      <c r="I1259" s="2" t="n">
        <f aca="false">H1259*_xlfn.XLOOKUP(Tabla2[[#This Row],[Unidad de producción]],Tabla3[Medida],Tabla3[Equivalencia en Kg],"ELVIS",0)</f>
        <v>1018.53286802493</v>
      </c>
      <c r="J1259" s="2" t="n">
        <v>6142.68</v>
      </c>
      <c r="K1259" s="2" t="s">
        <v>29</v>
      </c>
      <c r="L1259" s="2" t="n">
        <f aca="false">J1259/_xlfn.XLOOKUP(Tabla2[[#This Row],[Unidad de precio]],Tabla3[Medida],Tabla3[Equivalencia en Kg],"ELVIS",0)</f>
        <v>10.9234271081552</v>
      </c>
      <c r="M1259" s="2" t="n">
        <v>4903.37166571833</v>
      </c>
      <c r="N1259" s="3" t="n">
        <f aca="false">(Tabla2[[#This Row],[Productividad (kg/TAS)]]*Tabla2[[#This Row],[Precio por kg]]-Tabla2[[#This Row],[Costos (En RD$/Tarea)]])</f>
        <v>6222.49787541226</v>
      </c>
      <c r="O1259" s="9" t="n">
        <f aca="false">IF(Tabla2[[#This Row],[Costos (En RD$/Tarea)]]=0,0,Tabla2[[#This Row],[Beneficio Neto  (En RD$/Tarea)]]/Tabla2[[#This Row],[Costos (En RD$/Tarea)]])</f>
        <v>1.2690243162509</v>
      </c>
      <c r="P1259" s="7" t="n">
        <f aca="false">Tabla2[[#This Row],[Rentabilidad (%)]]/12</f>
        <v>0.105752026354242</v>
      </c>
    </row>
    <row r="1260" customFormat="false" ht="14.25" hidden="false" customHeight="false" outlineLevel="0" collapsed="false">
      <c r="A1260" s="1" t="n">
        <v>39692</v>
      </c>
      <c r="B1260" s="2" t="s">
        <v>30</v>
      </c>
      <c r="C1260" s="3" t="n">
        <v>280690</v>
      </c>
      <c r="D1260" s="3" t="s">
        <v>31</v>
      </c>
      <c r="E1260" s="3" t="n">
        <f aca="false">IF(Tabla2[[#This Row],[Frecuencia]]="Annual", Tabla2[[#This Row],[Cosecha/Tarea]]/12,Tabla2[[#This Row],[Cosecha/Tarea]])</f>
        <v>23390.8333333333</v>
      </c>
      <c r="F1260" s="3" t="n">
        <v>1504583</v>
      </c>
      <c r="G1260" s="2" t="s">
        <v>32</v>
      </c>
      <c r="H1260" s="2" t="n">
        <f aca="false">F1260/Tabla2[[#This Row],[Cosecha Mensual]]</f>
        <v>64.3236168014536</v>
      </c>
      <c r="I1260" s="2" t="n">
        <f aca="false">H1260*_xlfn.XLOOKUP(Tabla2[[#This Row],[Unidad de producción]],Tabla3[Medida],Tabla3[Equivalencia en Kg],"ELVIS",0)</f>
        <v>1750.24561316755</v>
      </c>
      <c r="J1260" s="2" t="n">
        <v>120.316</v>
      </c>
      <c r="K1260" s="2" t="s">
        <v>32</v>
      </c>
      <c r="L1260" s="2" t="n">
        <f aca="false">J1260/_xlfn.XLOOKUP(Tabla2[[#This Row],[Unidad de precio]],Tabla3[Medida],Tabla3[Equivalencia en Kg],"ELVIS",0)</f>
        <v>4.42175670709298</v>
      </c>
      <c r="M1260" s="3" t="n">
        <v>8644.77930505247</v>
      </c>
      <c r="N1260" s="3" t="n">
        <f aca="false">(Tabla2[[#This Row],[Productividad (kg/TAS)]]*Tabla2[[#This Row],[Precio por kg]]-Tabla2[[#This Row],[Costos (En RD$/Tarea)]])</f>
        <v>-905.619025968782</v>
      </c>
      <c r="O1260" s="9" t="n">
        <f aca="false">IF(Tabla2[[#This Row],[Costos (En RD$/Tarea)]]=0,0,Tabla2[[#This Row],[Beneficio Neto  (En RD$/Tarea)]]/Tabla2[[#This Row],[Costos (En RD$/Tarea)]])</f>
        <v>-0.104759068336133</v>
      </c>
      <c r="P1260" s="7" t="n">
        <f aca="false">Tabla2[[#This Row],[Rentabilidad (%)]]/12</f>
        <v>-0.00872992236134443</v>
      </c>
    </row>
    <row r="1261" customFormat="false" ht="14.25" hidden="false" customHeight="false" outlineLevel="0" collapsed="false">
      <c r="A1261" s="1" t="n">
        <v>39692</v>
      </c>
      <c r="B1261" s="2" t="s">
        <v>33</v>
      </c>
      <c r="C1261" s="3" t="n">
        <v>622240</v>
      </c>
      <c r="D1261" s="3" t="s">
        <v>31</v>
      </c>
      <c r="E1261" s="11" t="n">
        <f aca="false">IF(Tabla2[[#This Row],[Frecuencia]]="Annual", Tabla2[[#This Row],[Cosecha/Tarea]]/12,Tabla2[[#This Row],[Cosecha/Tarea]])</f>
        <v>51853.3333333333</v>
      </c>
      <c r="F1261" s="3" t="n">
        <v>136417</v>
      </c>
      <c r="G1261" s="2" t="s">
        <v>34</v>
      </c>
      <c r="H1261" s="2" t="n">
        <f aca="false">F1261/Tabla2[[#This Row],[Cosecha Mensual]]</f>
        <v>2.63082411931088</v>
      </c>
      <c r="I1261" s="2" t="n">
        <f aca="false">H1261*_xlfn.XLOOKUP(Tabla2[[#This Row],[Unidad de producción]],Tabla3[Medida],Tabla3[Equivalencia en Kg],"ELVIS",0)</f>
        <v>1073.77086429673</v>
      </c>
      <c r="J1261" s="2" t="n">
        <v>5574.11166666667</v>
      </c>
      <c r="K1261" s="2" t="s">
        <v>34</v>
      </c>
      <c r="L1261" s="2" t="n">
        <f aca="false">J1261/_xlfn.XLOOKUP(Tabla2[[#This Row],[Unidad de precio]],Tabla3[Medida],Tabla3[Equivalencia en Kg],"ELVIS",0)</f>
        <v>13.6570174364</v>
      </c>
      <c r="M1261" s="3" t="n">
        <v>8418.12886809492</v>
      </c>
      <c r="N1261" s="3" t="n">
        <f aca="false">(Tabla2[[#This Row],[Productividad (kg/TAS)]]*Tabla2[[#This Row],[Precio por kg]]-Tabla2[[#This Row],[Costos (En RD$/Tarea)]])</f>
        <v>6246.37854830391</v>
      </c>
      <c r="O1261" s="9" t="n">
        <f aca="false">IF(Tabla2[[#This Row],[Costos (En RD$/Tarea)]]=0,0,Tabla2[[#This Row],[Beneficio Neto  (En RD$/Tarea)]]/Tabla2[[#This Row],[Costos (En RD$/Tarea)]])</f>
        <v>0.742015077956095</v>
      </c>
      <c r="P1261" s="7" t="n">
        <f aca="false">Tabla2[[#This Row],[Rentabilidad (%)]]/12</f>
        <v>0.0618345898296746</v>
      </c>
    </row>
    <row r="1262" customFormat="false" ht="14.25" hidden="false" customHeight="false" outlineLevel="0" collapsed="false">
      <c r="A1262" s="1" t="n">
        <v>39722</v>
      </c>
      <c r="B1262" s="2" t="s">
        <v>16</v>
      </c>
      <c r="C1262" s="3" t="n">
        <v>532684</v>
      </c>
      <c r="D1262" s="8" t="s">
        <v>17</v>
      </c>
      <c r="E1262" s="3" t="n">
        <f aca="false">IF(Tabla2[[#This Row],[Frecuencia]]="Annual", Tabla2[[#This Row],[Cosecha/Tarea]]/12,Tabla2[[#This Row],[Cosecha/Tarea]])</f>
        <v>532684</v>
      </c>
      <c r="F1262" s="3" t="n">
        <v>1990772</v>
      </c>
      <c r="G1262" s="2" t="s">
        <v>18</v>
      </c>
      <c r="H1262" s="2" t="n">
        <f aca="false">F1262/Tabla2[[#This Row],[Cosecha Mensual]]</f>
        <v>3.73724759895172</v>
      </c>
      <c r="I1262" s="2" t="n">
        <f aca="false">H1262*_xlfn.XLOOKUP(Tabla2[[#This Row],[Unidad de producción]],Tabla3[Medida],Tabla3[Equivalencia en Kg],"ELVIS",0)</f>
        <v>169.52155108845</v>
      </c>
      <c r="J1262" s="2" t="n">
        <v>1368.82624</v>
      </c>
      <c r="K1262" s="2" t="s">
        <v>19</v>
      </c>
      <c r="L1262" s="2" t="n">
        <f aca="false">J1262/_xlfn.XLOOKUP(Tabla2[[#This Row],[Unidad de precio]],Tabla3[Medida],Tabla3[Equivalencia en Kg],"ELVIS",0)</f>
        <v>12.4438749090909</v>
      </c>
      <c r="M1262" s="2" t="n">
        <v>6402.1671715266</v>
      </c>
      <c r="N1262" s="3" t="n">
        <f aca="false">(Tabla2[[#This Row],[Productividad (kg/TAS)]]*Tabla2[[#This Row],[Precio por kg]]-Tabla2[[#This Row],[Costos (En RD$/Tarea)]])</f>
        <v>-4292.66219538686</v>
      </c>
      <c r="O1262" s="9" t="n">
        <f aca="false">IF(Tabla2[[#This Row],[Costos (En RD$/Tarea)]]=0,0,Tabla2[[#This Row],[Beneficio Neto  (En RD$/Tarea)]]/Tabla2[[#This Row],[Costos (En RD$/Tarea)]])</f>
        <v>-0.670501422468054</v>
      </c>
      <c r="P1262" s="7" t="n">
        <f aca="false">Tabla2[[#This Row],[Rentabilidad (%)]]/12</f>
        <v>-0.0558751185390045</v>
      </c>
    </row>
    <row r="1263" customFormat="false" ht="14.25" hidden="false" customHeight="false" outlineLevel="0" collapsed="false">
      <c r="A1263" s="1" t="n">
        <v>39722</v>
      </c>
      <c r="B1263" s="2" t="s">
        <v>20</v>
      </c>
      <c r="C1263" s="3" t="n">
        <v>34978</v>
      </c>
      <c r="D1263" s="8" t="s">
        <v>17</v>
      </c>
      <c r="E1263" s="3" t="n">
        <f aca="false">IF(Tabla2[[#This Row],[Frecuencia]]="Annual", Tabla2[[#This Row],[Cosecha/Tarea]]/12,Tabla2[[#This Row],[Cosecha/Tarea]])</f>
        <v>34978</v>
      </c>
      <c r="F1263" s="3" t="n">
        <v>88930</v>
      </c>
      <c r="G1263" s="2" t="s">
        <v>18</v>
      </c>
      <c r="H1263" s="2" t="n">
        <f aca="false">F1263/Tabla2[[#This Row],[Cosecha Mensual]]</f>
        <v>2.54245525759049</v>
      </c>
      <c r="I1263" s="2" t="n">
        <f aca="false">H1263*_xlfn.XLOOKUP(Tabla2[[#This Row],[Unidad de producción]],Tabla3[Medida],Tabla3[Equivalencia en Kg],"ELVIS",0)</f>
        <v>115.325770484304</v>
      </c>
      <c r="J1263" s="2" t="n">
        <v>589.5605</v>
      </c>
      <c r="K1263" s="2" t="s">
        <v>18</v>
      </c>
      <c r="L1263" s="2" t="n">
        <f aca="false">J1263/_xlfn.XLOOKUP(Tabla2[[#This Row],[Unidad de precio]],Tabla3[Medida],Tabla3[Equivalencia en Kg],"ELVIS",0)</f>
        <v>12.9973655202822</v>
      </c>
      <c r="M1263" s="2" t="n">
        <v>1490.90401998252</v>
      </c>
      <c r="N1263" s="3" t="n">
        <f aca="false">(Tabla2[[#This Row],[Productividad (kg/TAS)]]*Tabla2[[#This Row],[Precio por kg]]-Tabla2[[#This Row],[Costos (En RD$/Tarea)]])</f>
        <v>8.02717291015551</v>
      </c>
      <c r="O1263" s="9" t="n">
        <f aca="false">IF(Tabla2[[#This Row],[Costos (En RD$/Tarea)]]=0,0,Tabla2[[#This Row],[Beneficio Neto  (En RD$/Tarea)]]/Tabla2[[#This Row],[Costos (En RD$/Tarea)]])</f>
        <v>0.00538409770351926</v>
      </c>
      <c r="P1263" s="7" t="n">
        <f aca="false">Tabla2[[#This Row],[Rentabilidad (%)]]/12</f>
        <v>0.000448674808626605</v>
      </c>
    </row>
    <row r="1264" customFormat="false" ht="14.25" hidden="false" customHeight="false" outlineLevel="0" collapsed="false">
      <c r="A1264" s="1" t="n">
        <v>39722</v>
      </c>
      <c r="B1264" s="2" t="s">
        <v>21</v>
      </c>
      <c r="C1264" s="3" t="n">
        <v>9197</v>
      </c>
      <c r="D1264" s="8" t="s">
        <v>17</v>
      </c>
      <c r="E1264" s="3" t="n">
        <f aca="false">IF(Tabla2[[#This Row],[Frecuencia]]="Annual", Tabla2[[#This Row],[Cosecha/Tarea]]/12,Tabla2[[#This Row],[Cosecha/Tarea]])</f>
        <v>9197</v>
      </c>
      <c r="F1264" s="3" t="n">
        <v>100572</v>
      </c>
      <c r="G1264" s="2" t="s">
        <v>18</v>
      </c>
      <c r="H1264" s="2" t="n">
        <f aca="false">F1264/Tabla2[[#This Row],[Cosecha Mensual]]</f>
        <v>10.9353049907579</v>
      </c>
      <c r="I1264" s="2" t="n">
        <f aca="false">H1264*_xlfn.XLOOKUP(Tabla2[[#This Row],[Unidad de producción]],Tabla3[Medida],Tabla3[Equivalencia en Kg],"ELVIS",0)</f>
        <v>496.025434380776</v>
      </c>
      <c r="J1264" s="2" t="n">
        <v>267.462</v>
      </c>
      <c r="K1264" s="2" t="s">
        <v>18</v>
      </c>
      <c r="L1264" s="2" t="n">
        <f aca="false">J1264/_xlfn.XLOOKUP(Tabla2[[#This Row],[Unidad de precio]],Tabla3[Medida],Tabla3[Equivalencia en Kg],"ELVIS",0)</f>
        <v>5.89642857142857</v>
      </c>
      <c r="M1264" s="2" t="n">
        <v>3935.0401959</v>
      </c>
      <c r="N1264" s="3" t="n">
        <f aca="false">(Tabla2[[#This Row],[Productividad (kg/TAS)]]*Tabla2[[#This Row],[Precio por kg]]-Tabla2[[#This Row],[Costos (En RD$/Tarea)]])</f>
        <v>-1010.26165246192</v>
      </c>
      <c r="O1264" s="9" t="n">
        <f aca="false">IF(Tabla2[[#This Row],[Costos (En RD$/Tarea)]]=0,0,Tabla2[[#This Row],[Beneficio Neto  (En RD$/Tarea)]]/Tabla2[[#This Row],[Costos (En RD$/Tarea)]])</f>
        <v>-0.256734773259632</v>
      </c>
      <c r="P1264" s="7" t="n">
        <f aca="false">Tabla2[[#This Row],[Rentabilidad (%)]]/12</f>
        <v>-0.0213945644383026</v>
      </c>
    </row>
    <row r="1265" customFormat="false" ht="14.25" hidden="false" customHeight="false" outlineLevel="0" collapsed="false">
      <c r="A1265" s="1" t="n">
        <v>39722</v>
      </c>
      <c r="B1265" s="2" t="s">
        <v>22</v>
      </c>
      <c r="C1265" s="3" t="n">
        <v>7189</v>
      </c>
      <c r="D1265" s="8" t="s">
        <v>17</v>
      </c>
      <c r="E1265" s="3" t="n">
        <f aca="false">IF(Tabla2[[#This Row],[Frecuencia]]="Annual", Tabla2[[#This Row],[Cosecha/Tarea]]/12,Tabla2[[#This Row],[Cosecha/Tarea]])</f>
        <v>7189</v>
      </c>
      <c r="F1265" s="3" t="n">
        <v>71394</v>
      </c>
      <c r="G1265" s="2" t="s">
        <v>18</v>
      </c>
      <c r="H1265" s="2" t="n">
        <f aca="false">F1265/Tabla2[[#This Row],[Cosecha Mensual]]</f>
        <v>9.9310057031576</v>
      </c>
      <c r="I1265" s="2" t="n">
        <f aca="false">H1265*_xlfn.XLOOKUP(Tabla2[[#This Row],[Unidad de producción]],Tabla3[Medida],Tabla3[Equivalencia en Kg],"ELVIS",0)</f>
        <v>450.470418695229</v>
      </c>
      <c r="J1265" s="2" t="n">
        <v>1168.75</v>
      </c>
      <c r="K1265" s="2" t="s">
        <v>18</v>
      </c>
      <c r="L1265" s="2" t="n">
        <f aca="false">J1265/_xlfn.XLOOKUP(Tabla2[[#This Row],[Unidad de precio]],Tabla3[Medida],Tabla3[Equivalencia en Kg],"ELVIS",0)</f>
        <v>25.7660934744268</v>
      </c>
      <c r="M1265" s="2" t="n">
        <v>6901.0735717536</v>
      </c>
      <c r="N1265" s="3" t="n">
        <f aca="false">(Tabla2[[#This Row],[Productividad (kg/TAS)]]*Tabla2[[#This Row],[Precio por kg]]-Tabla2[[#This Row],[Costos (En RD$/Tarea)]])</f>
        <v>4705.78934381185</v>
      </c>
      <c r="O1265" s="9" t="n">
        <f aca="false">IF(Tabla2[[#This Row],[Costos (En RD$/Tarea)]]=0,0,Tabla2[[#This Row],[Beneficio Neto  (En RD$/Tarea)]]/Tabla2[[#This Row],[Costos (En RD$/Tarea)]])</f>
        <v>0.681892359918151</v>
      </c>
      <c r="P1265" s="7" t="n">
        <f aca="false">Tabla2[[#This Row],[Rentabilidad (%)]]/12</f>
        <v>0.0568243633265126</v>
      </c>
    </row>
    <row r="1266" customFormat="false" ht="14.25" hidden="false" customHeight="false" outlineLevel="0" collapsed="false">
      <c r="A1266" s="1" t="n">
        <v>39722</v>
      </c>
      <c r="B1266" s="2" t="s">
        <v>23</v>
      </c>
      <c r="C1266" s="3" t="n">
        <v>3581</v>
      </c>
      <c r="D1266" s="8" t="s">
        <v>17</v>
      </c>
      <c r="E1266" s="3" t="n">
        <f aca="false">IF(Tabla2[[#This Row],[Frecuencia]]="Annual", Tabla2[[#This Row],[Cosecha/Tarea]]/12,Tabla2[[#This Row],[Cosecha/Tarea]])</f>
        <v>3581</v>
      </c>
      <c r="F1266" s="3" t="n">
        <v>115720</v>
      </c>
      <c r="G1266" s="2" t="s">
        <v>18</v>
      </c>
      <c r="H1266" s="2" t="n">
        <f aca="false">F1266/Tabla2[[#This Row],[Cosecha Mensual]]</f>
        <v>32.3149958112259</v>
      </c>
      <c r="I1266" s="2" t="n">
        <f aca="false">H1266*_xlfn.XLOOKUP(Tabla2[[#This Row],[Unidad de producción]],Tabla3[Medida],Tabla3[Equivalencia en Kg],"ELVIS",0)</f>
        <v>1465.80820999721</v>
      </c>
      <c r="J1266" s="2" t="n">
        <v>900.835</v>
      </c>
      <c r="K1266" s="2" t="s">
        <v>18</v>
      </c>
      <c r="L1266" s="2" t="n">
        <f aca="false">J1266/_xlfn.XLOOKUP(Tabla2[[#This Row],[Unidad de precio]],Tabla3[Medida],Tabla3[Equivalencia en Kg],"ELVIS",0)</f>
        <v>19.8596781305115</v>
      </c>
      <c r="M1266" s="2" t="n">
        <v>17874.25</v>
      </c>
      <c r="N1266" s="3" t="n">
        <f aca="false">(Tabla2[[#This Row],[Productividad (kg/TAS)]]*Tabla2[[#This Row],[Precio por kg]]-Tabla2[[#This Row],[Costos (En RD$/Tarea)]])</f>
        <v>11236.2292516057</v>
      </c>
      <c r="O1266" s="9" t="n">
        <f aca="false">IF(Tabla2[[#This Row],[Costos (En RD$/Tarea)]]=0,0,Tabla2[[#This Row],[Beneficio Neto  (En RD$/Tarea)]]/Tabla2[[#This Row],[Costos (En RD$/Tarea)]])</f>
        <v>0.628626613793904</v>
      </c>
      <c r="P1266" s="7" t="n">
        <f aca="false">Tabla2[[#This Row],[Rentabilidad (%)]]/12</f>
        <v>0.052385551149492</v>
      </c>
    </row>
    <row r="1267" customFormat="false" ht="14.25" hidden="false" customHeight="false" outlineLevel="0" collapsed="false">
      <c r="A1267" s="1" t="n">
        <v>39722</v>
      </c>
      <c r="B1267" s="2" t="s">
        <v>24</v>
      </c>
      <c r="C1267" s="3" t="n">
        <v>3643</v>
      </c>
      <c r="D1267" s="8" t="s">
        <v>17</v>
      </c>
      <c r="E1267" s="3" t="n">
        <f aca="false">IF(Tabla2[[#This Row],[Frecuencia]]="Annual", Tabla2[[#This Row],[Cosecha/Tarea]]/12,Tabla2[[#This Row],[Cosecha/Tarea]])</f>
        <v>3643</v>
      </c>
      <c r="F1267" s="3" t="n">
        <v>29318</v>
      </c>
      <c r="G1267" s="2" t="s">
        <v>18</v>
      </c>
      <c r="H1267" s="2" t="n">
        <f aca="false">F1267/Tabla2[[#This Row],[Cosecha Mensual]]</f>
        <v>8.04776283283009</v>
      </c>
      <c r="I1267" s="2" t="n">
        <f aca="false">H1267*_xlfn.XLOOKUP(Tabla2[[#This Row],[Unidad de producción]],Tabla3[Medida],Tabla3[Equivalencia en Kg],"ELVIS",0)</f>
        <v>365.046522097173</v>
      </c>
      <c r="J1267" s="2" t="n">
        <v>1641.6</v>
      </c>
      <c r="K1267" s="2" t="s">
        <v>18</v>
      </c>
      <c r="L1267" s="2" t="n">
        <f aca="false">J1267/_xlfn.XLOOKUP(Tabla2[[#This Row],[Unidad de precio]],Tabla3[Medida],Tabla3[Equivalencia en Kg],"ELVIS",0)</f>
        <v>36.1904761904762</v>
      </c>
      <c r="M1267" s="2" t="n">
        <v>5602.34206216742</v>
      </c>
      <c r="N1267" s="3" t="n">
        <f aca="false">(Tabla2[[#This Row],[Productividad (kg/TAS)]]*Tabla2[[#This Row],[Precio por kg]]-Tabla2[[#This Row],[Costos (En RD$/Tarea)]])</f>
        <v>7608.86540420645</v>
      </c>
      <c r="O1267" s="9" t="n">
        <f aca="false">IF(Tabla2[[#This Row],[Costos (En RD$/Tarea)]]=0,0,Tabla2[[#This Row],[Beneficio Neto  (En RD$/Tarea)]]/Tabla2[[#This Row],[Costos (En RD$/Tarea)]])</f>
        <v>1.35815794890302</v>
      </c>
      <c r="P1267" s="7" t="n">
        <f aca="false">Tabla2[[#This Row],[Rentabilidad (%)]]/12</f>
        <v>0.113179829075252</v>
      </c>
    </row>
    <row r="1268" customFormat="false" ht="14.25" hidden="false" customHeight="false" outlineLevel="0" collapsed="false">
      <c r="A1268" s="1" t="n">
        <v>39722</v>
      </c>
      <c r="B1268" s="2" t="s">
        <v>25</v>
      </c>
      <c r="C1268" s="3" t="n">
        <v>21546</v>
      </c>
      <c r="D1268" s="8" t="s">
        <v>17</v>
      </c>
      <c r="E1268" s="3" t="n">
        <f aca="false">IF(Tabla2[[#This Row],[Frecuencia]]="Annual", Tabla2[[#This Row],[Cosecha/Tarea]]/12,Tabla2[[#This Row],[Cosecha/Tarea]])</f>
        <v>21546</v>
      </c>
      <c r="F1268" s="3" t="n">
        <v>229714</v>
      </c>
      <c r="G1268" s="2" t="s">
        <v>18</v>
      </c>
      <c r="H1268" s="2" t="n">
        <f aca="false">F1268/Tabla2[[#This Row],[Cosecha Mensual]]</f>
        <v>10.6615613106841</v>
      </c>
      <c r="I1268" s="2" t="n">
        <f aca="false">H1268*_xlfn.XLOOKUP(Tabla2[[#This Row],[Unidad de producción]],Tabla3[Medida],Tabla3[Equivalencia en Kg],"ELVIS",0)</f>
        <v>483.608421052632</v>
      </c>
      <c r="J1268" s="2" t="n">
        <v>556.416</v>
      </c>
      <c r="K1268" s="2" t="s">
        <v>18</v>
      </c>
      <c r="L1268" s="2" t="n">
        <f aca="false">J1268/_xlfn.XLOOKUP(Tabla2[[#This Row],[Unidad de precio]],Tabla3[Medida],Tabla3[Equivalencia en Kg],"ELVIS",0)</f>
        <v>12.2666666666667</v>
      </c>
      <c r="M1268" s="2" t="n">
        <v>3201.64901153456</v>
      </c>
      <c r="N1268" s="3" t="n">
        <f aca="false">(Tabla2[[#This Row],[Productividad (kg/TAS)]]*Tabla2[[#This Row],[Precio por kg]]-Tabla2[[#This Row],[Costos (En RD$/Tarea)]])</f>
        <v>2730.61428671105</v>
      </c>
      <c r="O1268" s="9" t="n">
        <f aca="false">IF(Tabla2[[#This Row],[Costos (En RD$/Tarea)]]=0,0,Tabla2[[#This Row],[Beneficio Neto  (En RD$/Tarea)]]/Tabla2[[#This Row],[Costos (En RD$/Tarea)]])</f>
        <v>0.852877463105259</v>
      </c>
      <c r="P1268" s="7" t="n">
        <f aca="false">Tabla2[[#This Row],[Rentabilidad (%)]]/12</f>
        <v>0.0710731219254382</v>
      </c>
    </row>
    <row r="1269" customFormat="false" ht="14.25" hidden="false" customHeight="false" outlineLevel="0" collapsed="false">
      <c r="A1269" s="1" t="n">
        <v>39722</v>
      </c>
      <c r="B1269" s="2" t="s">
        <v>26</v>
      </c>
      <c r="C1269" s="3" t="n">
        <v>10207</v>
      </c>
      <c r="D1269" s="8" t="s">
        <v>17</v>
      </c>
      <c r="E1269" s="3" t="n">
        <f aca="false">IF(Tabla2[[#This Row],[Frecuencia]]="Annual", Tabla2[[#This Row],[Cosecha/Tarea]]/12,Tabla2[[#This Row],[Cosecha/Tarea]])</f>
        <v>10207</v>
      </c>
      <c r="F1269" s="3" t="n">
        <v>61802</v>
      </c>
      <c r="G1269" s="2" t="s">
        <v>18</v>
      </c>
      <c r="H1269" s="2" t="n">
        <f aca="false">F1269/Tabla2[[#This Row],[Cosecha Mensual]]</f>
        <v>6.05486430880768</v>
      </c>
      <c r="I1269" s="2" t="n">
        <f aca="false">H1269*_xlfn.XLOOKUP(Tabla2[[#This Row],[Unidad de producción]],Tabla3[Medida],Tabla3[Equivalencia en Kg],"ELVIS",0)</f>
        <v>274.648645047516</v>
      </c>
      <c r="J1269" s="2" t="n">
        <v>647.916</v>
      </c>
      <c r="K1269" s="2" t="s">
        <v>18</v>
      </c>
      <c r="L1269" s="2" t="n">
        <f aca="false">J1269/_xlfn.XLOOKUP(Tabla2[[#This Row],[Unidad de precio]],Tabla3[Medida],Tabla3[Equivalencia en Kg],"ELVIS",0)</f>
        <v>14.2838624338624</v>
      </c>
      <c r="M1269" s="2" t="n">
        <v>1294.92573769894</v>
      </c>
      <c r="N1269" s="3" t="n">
        <f aca="false">(Tabla2[[#This Row],[Productividad (kg/TAS)]]*Tabla2[[#This Row],[Precio por kg]]-Tabla2[[#This Row],[Costos (En RD$/Tarea)]])</f>
        <v>2628.1177258065</v>
      </c>
      <c r="O1269" s="9" t="n">
        <f aca="false">IF(Tabla2[[#This Row],[Costos (En RD$/Tarea)]]=0,0,Tabla2[[#This Row],[Beneficio Neto  (En RD$/Tarea)]]/Tabla2[[#This Row],[Costos (En RD$/Tarea)]])</f>
        <v>2.02955092272443</v>
      </c>
      <c r="P1269" s="7" t="n">
        <f aca="false">Tabla2[[#This Row],[Rentabilidad (%)]]/12</f>
        <v>0.169129243560369</v>
      </c>
    </row>
    <row r="1270" customFormat="false" ht="14.25" hidden="false" customHeight="false" outlineLevel="0" collapsed="false">
      <c r="A1270" s="1" t="n">
        <v>39722</v>
      </c>
      <c r="B1270" s="2" t="s">
        <v>27</v>
      </c>
      <c r="C1270" s="3" t="n">
        <v>5063</v>
      </c>
      <c r="D1270" s="8" t="s">
        <v>17</v>
      </c>
      <c r="E1270" s="3" t="n">
        <f aca="false">IF(Tabla2[[#This Row],[Frecuencia]]="Annual", Tabla2[[#This Row],[Cosecha/Tarea]]/12,Tabla2[[#This Row],[Cosecha/Tarea]])</f>
        <v>5063</v>
      </c>
      <c r="F1270" s="3" t="n">
        <v>36126</v>
      </c>
      <c r="G1270" s="2" t="s">
        <v>18</v>
      </c>
      <c r="H1270" s="2" t="n">
        <f aca="false">F1270/Tabla2[[#This Row],[Cosecha Mensual]]</f>
        <v>7.13529527947857</v>
      </c>
      <c r="I1270" s="2" t="n">
        <f aca="false">H1270*_xlfn.XLOOKUP(Tabla2[[#This Row],[Unidad de producción]],Tabla3[Medida],Tabla3[Equivalencia en Kg],"ELVIS",0)</f>
        <v>323.656993877148</v>
      </c>
      <c r="J1270" s="2" t="n">
        <v>330.225</v>
      </c>
      <c r="K1270" s="2" t="s">
        <v>18</v>
      </c>
      <c r="L1270" s="2" t="n">
        <f aca="false">J1270/_xlfn.XLOOKUP(Tabla2[[#This Row],[Unidad de precio]],Tabla3[Medida],Tabla3[Equivalencia en Kg],"ELVIS",0)</f>
        <v>7.28009259259259</v>
      </c>
      <c r="M1270" s="2" t="n">
        <v>5429.72570566602</v>
      </c>
      <c r="N1270" s="3" t="n">
        <f aca="false">(Tabla2[[#This Row],[Productividad (kg/TAS)]]*Tabla2[[#This Row],[Precio por kg]]-Tabla2[[#This Row],[Costos (En RD$/Tarea)]])</f>
        <v>-3073.47282200021</v>
      </c>
      <c r="O1270" s="9" t="n">
        <f aca="false">IF(Tabla2[[#This Row],[Costos (En RD$/Tarea)]]=0,0,Tabla2[[#This Row],[Beneficio Neto  (En RD$/Tarea)]]/Tabla2[[#This Row],[Costos (En RD$/Tarea)]])</f>
        <v>-0.566045687868355</v>
      </c>
      <c r="P1270" s="7" t="n">
        <f aca="false">Tabla2[[#This Row],[Rentabilidad (%)]]/12</f>
        <v>-0.0471704739890295</v>
      </c>
    </row>
    <row r="1271" customFormat="false" ht="14.25" hidden="false" customHeight="false" outlineLevel="0" collapsed="false">
      <c r="A1271" s="1" t="n">
        <v>39722</v>
      </c>
      <c r="B1271" s="2" t="s">
        <v>28</v>
      </c>
      <c r="C1271" s="3" t="n">
        <v>65403</v>
      </c>
      <c r="D1271" s="8" t="s">
        <v>17</v>
      </c>
      <c r="E1271" s="3" t="n">
        <f aca="false">IF(Tabla2[[#This Row],[Frecuencia]]="Annual", Tabla2[[#This Row],[Cosecha/Tarea]]/12,Tabla2[[#This Row],[Cosecha/Tarea]])</f>
        <v>65403</v>
      </c>
      <c r="F1271" s="3" t="n">
        <v>110667</v>
      </c>
      <c r="G1271" s="2" t="s">
        <v>29</v>
      </c>
      <c r="H1271" s="2" t="n">
        <f aca="false">F1271/Tabla2[[#This Row],[Cosecha Mensual]]</f>
        <v>1.69207834503004</v>
      </c>
      <c r="I1271" s="2" t="n">
        <f aca="false">H1271*_xlfn.XLOOKUP(Tabla2[[#This Row],[Unidad de producción]],Tabla3[Medida],Tabla3[Equivalencia en Kg],"ELVIS",0)</f>
        <v>951.523336544195</v>
      </c>
      <c r="J1271" s="2" t="n">
        <v>4089.04166666667</v>
      </c>
      <c r="K1271" s="2" t="s">
        <v>29</v>
      </c>
      <c r="L1271" s="2" t="n">
        <f aca="false">J1271/_xlfn.XLOOKUP(Tabla2[[#This Row],[Unidad de precio]],Tabla3[Medida],Tabla3[Equivalencia en Kg],"ELVIS",0)</f>
        <v>7.27147573828408</v>
      </c>
      <c r="M1271" s="2" t="n">
        <v>4903.37166571833</v>
      </c>
      <c r="N1271" s="3" t="n">
        <f aca="false">(Tabla2[[#This Row],[Productividad (kg/TAS)]]*Tabla2[[#This Row],[Precio por kg]]-Tabla2[[#This Row],[Costos (En RD$/Tarea)]])</f>
        <v>2015.6071903739</v>
      </c>
      <c r="O1271" s="9" t="n">
        <f aca="false">IF(Tabla2[[#This Row],[Costos (En RD$/Tarea)]]=0,0,Tabla2[[#This Row],[Beneficio Neto  (En RD$/Tarea)]]/Tabla2[[#This Row],[Costos (En RD$/Tarea)]])</f>
        <v>0.411065554028041</v>
      </c>
      <c r="P1271" s="7" t="n">
        <f aca="false">Tabla2[[#This Row],[Rentabilidad (%)]]/12</f>
        <v>0.0342554628356701</v>
      </c>
    </row>
    <row r="1272" customFormat="false" ht="14.25" hidden="false" customHeight="false" outlineLevel="0" collapsed="false">
      <c r="A1272" s="1" t="n">
        <v>39722</v>
      </c>
      <c r="B1272" s="2" t="s">
        <v>30</v>
      </c>
      <c r="C1272" s="3" t="n">
        <v>393212</v>
      </c>
      <c r="D1272" s="3" t="s">
        <v>31</v>
      </c>
      <c r="E1272" s="3" t="n">
        <f aca="false">IF(Tabla2[[#This Row],[Frecuencia]]="Annual", Tabla2[[#This Row],[Cosecha/Tarea]]/12,Tabla2[[#This Row],[Cosecha/Tarea]])</f>
        <v>32767.6666666667</v>
      </c>
      <c r="F1272" s="3" t="n">
        <v>1555969</v>
      </c>
      <c r="G1272" s="2" t="s">
        <v>32</v>
      </c>
      <c r="H1272" s="2" t="n">
        <f aca="false">F1272/Tabla2[[#This Row],[Cosecha Mensual]]</f>
        <v>47.4848885588436</v>
      </c>
      <c r="I1272" s="2" t="n">
        <f aca="false">H1272*_xlfn.XLOOKUP(Tabla2[[#This Row],[Unidad de producción]],Tabla3[Medida],Tabla3[Equivalencia en Kg],"ELVIS",0)</f>
        <v>1292.06381768613</v>
      </c>
      <c r="J1272" s="2" t="n">
        <v>128.875</v>
      </c>
      <c r="K1272" s="2" t="s">
        <v>32</v>
      </c>
      <c r="L1272" s="2" t="n">
        <f aca="false">J1272/_xlfn.XLOOKUP(Tabla2[[#This Row],[Unidad de precio]],Tabla3[Medida],Tabla3[Equivalencia en Kg],"ELVIS",0)</f>
        <v>4.73631018008085</v>
      </c>
      <c r="M1272" s="3" t="n">
        <v>8644.77930505247</v>
      </c>
      <c r="N1272" s="3" t="n">
        <f aca="false">(Tabla2[[#This Row],[Productividad (kg/TAS)]]*Tabla2[[#This Row],[Precio por kg]]-Tabla2[[#This Row],[Costos (En RD$/Tarea)]])</f>
        <v>-2525.1642920315</v>
      </c>
      <c r="O1272" s="9" t="n">
        <f aca="false">IF(Tabla2[[#This Row],[Costos (En RD$/Tarea)]]=0,0,Tabla2[[#This Row],[Beneficio Neto  (En RD$/Tarea)]]/Tabla2[[#This Row],[Costos (En RD$/Tarea)]])</f>
        <v>-0.292102805973967</v>
      </c>
      <c r="P1272" s="7" t="n">
        <f aca="false">Tabla2[[#This Row],[Rentabilidad (%)]]/12</f>
        <v>-0.0243419004978306</v>
      </c>
    </row>
    <row r="1273" customFormat="false" ht="14.25" hidden="false" customHeight="false" outlineLevel="0" collapsed="false">
      <c r="A1273" s="1" t="n">
        <v>39722</v>
      </c>
      <c r="B1273" s="2" t="s">
        <v>33</v>
      </c>
      <c r="C1273" s="3" t="n">
        <v>491621</v>
      </c>
      <c r="D1273" s="3" t="s">
        <v>31</v>
      </c>
      <c r="E1273" s="11" t="n">
        <f aca="false">IF(Tabla2[[#This Row],[Frecuencia]]="Annual", Tabla2[[#This Row],[Cosecha/Tarea]]/12,Tabla2[[#This Row],[Cosecha/Tarea]])</f>
        <v>40968.4166666667</v>
      </c>
      <c r="F1273" s="3" t="n">
        <v>132903</v>
      </c>
      <c r="G1273" s="2" t="s">
        <v>34</v>
      </c>
      <c r="H1273" s="2" t="n">
        <f aca="false">F1273/Tabla2[[#This Row],[Cosecha Mensual]]</f>
        <v>3.2440355477085</v>
      </c>
      <c r="I1273" s="2" t="n">
        <f aca="false">H1273*_xlfn.XLOOKUP(Tabla2[[#This Row],[Unidad de producción]],Tabla3[Medida],Tabla3[Equivalencia en Kg],"ELVIS",0)</f>
        <v>1324.05310879722</v>
      </c>
      <c r="J1273" s="2" t="n">
        <v>4788.69</v>
      </c>
      <c r="K1273" s="2" t="s">
        <v>34</v>
      </c>
      <c r="L1273" s="2" t="n">
        <f aca="false">J1273/_xlfn.XLOOKUP(Tabla2[[#This Row],[Unidad de precio]],Tabla3[Medida],Tabla3[Equivalencia en Kg],"ELVIS",0)</f>
        <v>11.7326718118339</v>
      </c>
      <c r="M1273" s="3" t="n">
        <v>8418.12886809492</v>
      </c>
      <c r="N1273" s="3" t="n">
        <f aca="false">(Tabla2[[#This Row],[Productividad (kg/TAS)]]*Tabla2[[#This Row],[Precio por kg]]-Tabla2[[#This Row],[Costos (En RD$/Tarea)]])</f>
        <v>7116.55171886129</v>
      </c>
      <c r="O1273" s="9" t="n">
        <f aca="false">IF(Tabla2[[#This Row],[Costos (En RD$/Tarea)]]=0,0,Tabla2[[#This Row],[Beneficio Neto  (En RD$/Tarea)]]/Tabla2[[#This Row],[Costos (En RD$/Tarea)]])</f>
        <v>0.845384031341375</v>
      </c>
      <c r="P1273" s="7" t="n">
        <f aca="false">Tabla2[[#This Row],[Rentabilidad (%)]]/12</f>
        <v>0.0704486692784479</v>
      </c>
    </row>
    <row r="1274" customFormat="false" ht="14.25" hidden="false" customHeight="false" outlineLevel="0" collapsed="false">
      <c r="A1274" s="1" t="n">
        <v>39753</v>
      </c>
      <c r="B1274" s="2" t="s">
        <v>16</v>
      </c>
      <c r="C1274" s="3" t="n">
        <v>478083</v>
      </c>
      <c r="D1274" s="8" t="s">
        <v>17</v>
      </c>
      <c r="E1274" s="3" t="n">
        <f aca="false">IF(Tabla2[[#This Row],[Frecuencia]]="Annual", Tabla2[[#This Row],[Cosecha/Tarea]]/12,Tabla2[[#This Row],[Cosecha/Tarea]])</f>
        <v>478083</v>
      </c>
      <c r="F1274" s="3" t="n">
        <v>1594435</v>
      </c>
      <c r="G1274" s="2" t="s">
        <v>18</v>
      </c>
      <c r="H1274" s="2" t="n">
        <f aca="false">F1274/Tabla2[[#This Row],[Cosecha Mensual]]</f>
        <v>3.3350589751152</v>
      </c>
      <c r="I1274" s="2" t="n">
        <f aca="false">H1274*_xlfn.XLOOKUP(Tabla2[[#This Row],[Unidad de producción]],Tabla3[Medida],Tabla3[Equivalencia en Kg],"ELVIS",0)</f>
        <v>151.278275111225</v>
      </c>
      <c r="J1274" s="2" t="n">
        <v>1366.834</v>
      </c>
      <c r="K1274" s="2" t="s">
        <v>19</v>
      </c>
      <c r="L1274" s="2" t="n">
        <f aca="false">J1274/_xlfn.XLOOKUP(Tabla2[[#This Row],[Unidad de precio]],Tabla3[Medida],Tabla3[Equivalencia en Kg],"ELVIS",0)</f>
        <v>12.4257636363636</v>
      </c>
      <c r="M1274" s="2" t="n">
        <v>6402.1671715266</v>
      </c>
      <c r="N1274" s="3" t="n">
        <f aca="false">(Tabla2[[#This Row],[Productividad (kg/TAS)]]*Tabla2[[#This Row],[Precio por kg]]-Tabla2[[#This Row],[Costos (En RD$/Tarea)]])</f>
        <v>-4522.41908167772</v>
      </c>
      <c r="O1274" s="9" t="n">
        <f aca="false">IF(Tabla2[[#This Row],[Costos (En RD$/Tarea)]]=0,0,Tabla2[[#This Row],[Beneficio Neto  (En RD$/Tarea)]]/Tabla2[[#This Row],[Costos (En RD$/Tarea)]])</f>
        <v>-0.706388783752947</v>
      </c>
      <c r="P1274" s="7" t="n">
        <f aca="false">Tabla2[[#This Row],[Rentabilidad (%)]]/12</f>
        <v>-0.0588657319794123</v>
      </c>
    </row>
    <row r="1275" customFormat="false" ht="14.25" hidden="false" customHeight="false" outlineLevel="0" collapsed="false">
      <c r="A1275" s="1" t="n">
        <v>39753</v>
      </c>
      <c r="B1275" s="2" t="s">
        <v>20</v>
      </c>
      <c r="C1275" s="3" t="n">
        <v>21750</v>
      </c>
      <c r="D1275" s="8" t="s">
        <v>17</v>
      </c>
      <c r="E1275" s="3" t="n">
        <f aca="false">IF(Tabla2[[#This Row],[Frecuencia]]="Annual", Tabla2[[#This Row],[Cosecha/Tarea]]/12,Tabla2[[#This Row],[Cosecha/Tarea]])</f>
        <v>21750</v>
      </c>
      <c r="F1275" s="3" t="n">
        <v>44997</v>
      </c>
      <c r="G1275" s="2" t="s">
        <v>18</v>
      </c>
      <c r="H1275" s="2" t="n">
        <f aca="false">F1275/Tabla2[[#This Row],[Cosecha Mensual]]</f>
        <v>2.0688275862069</v>
      </c>
      <c r="I1275" s="2" t="n">
        <f aca="false">H1275*_xlfn.XLOOKUP(Tabla2[[#This Row],[Unidad de producción]],Tabla3[Medida],Tabla3[Equivalencia en Kg],"ELVIS",0)</f>
        <v>93.8420193103448</v>
      </c>
      <c r="J1275" s="2" t="n">
        <v>594.99</v>
      </c>
      <c r="K1275" s="2" t="s">
        <v>18</v>
      </c>
      <c r="L1275" s="2" t="n">
        <f aca="false">J1275/_xlfn.XLOOKUP(Tabla2[[#This Row],[Unidad de precio]],Tabla3[Medida],Tabla3[Equivalencia en Kg],"ELVIS",0)</f>
        <v>13.1170634920635</v>
      </c>
      <c r="M1275" s="2" t="n">
        <v>1490.90401998252</v>
      </c>
      <c r="N1275" s="3" t="n">
        <f aca="false">(Tabla2[[#This Row],[Productividad (kg/TAS)]]*Tabla2[[#This Row],[Precio por kg]]-Tabla2[[#This Row],[Costos (En RD$/Tarea)]])</f>
        <v>-259.972294465279</v>
      </c>
      <c r="O1275" s="9" t="n">
        <f aca="false">IF(Tabla2[[#This Row],[Costos (En RD$/Tarea)]]=0,0,Tabla2[[#This Row],[Beneficio Neto  (En RD$/Tarea)]]/Tabla2[[#This Row],[Costos (En RD$/Tarea)]])</f>
        <v>-0.17437225400219</v>
      </c>
      <c r="P1275" s="7" t="n">
        <f aca="false">Tabla2[[#This Row],[Rentabilidad (%)]]/12</f>
        <v>-0.0145310211668492</v>
      </c>
    </row>
    <row r="1276" customFormat="false" ht="14.25" hidden="false" customHeight="false" outlineLevel="0" collapsed="false">
      <c r="A1276" s="1" t="n">
        <v>39753</v>
      </c>
      <c r="B1276" s="2" t="s">
        <v>21</v>
      </c>
      <c r="C1276" s="3" t="n">
        <v>8999</v>
      </c>
      <c r="D1276" s="8" t="s">
        <v>17</v>
      </c>
      <c r="E1276" s="3" t="n">
        <f aca="false">IF(Tabla2[[#This Row],[Frecuencia]]="Annual", Tabla2[[#This Row],[Cosecha/Tarea]]/12,Tabla2[[#This Row],[Cosecha/Tarea]])</f>
        <v>8999</v>
      </c>
      <c r="F1276" s="3" t="n">
        <v>78093</v>
      </c>
      <c r="G1276" s="2" t="s">
        <v>18</v>
      </c>
      <c r="H1276" s="2" t="n">
        <f aca="false">F1276/Tabla2[[#This Row],[Cosecha Mensual]]</f>
        <v>8.67796421824647</v>
      </c>
      <c r="I1276" s="2" t="n">
        <f aca="false">H1276*_xlfn.XLOOKUP(Tabla2[[#This Row],[Unidad de producción]],Tabla3[Medida],Tabla3[Equivalencia en Kg],"ELVIS",0)</f>
        <v>393.63245693966</v>
      </c>
      <c r="J1276" s="2" t="n">
        <v>209.308</v>
      </c>
      <c r="K1276" s="2" t="s">
        <v>18</v>
      </c>
      <c r="L1276" s="2" t="n">
        <f aca="false">J1276/_xlfn.XLOOKUP(Tabla2[[#This Row],[Unidad de precio]],Tabla3[Medida],Tabla3[Equivalencia en Kg],"ELVIS",0)</f>
        <v>4.61437389770723</v>
      </c>
      <c r="M1276" s="2" t="n">
        <v>3935.0401959</v>
      </c>
      <c r="N1276" s="3" t="n">
        <f aca="false">(Tabla2[[#This Row],[Productividad (kg/TAS)]]*Tabla2[[#This Row],[Precio por kg]]-Tabla2[[#This Row],[Costos (En RD$/Tarea)]])</f>
        <v>-2118.67286130727</v>
      </c>
      <c r="O1276" s="9" t="n">
        <f aca="false">IF(Tabla2[[#This Row],[Costos (En RD$/Tarea)]]=0,0,Tabla2[[#This Row],[Beneficio Neto  (En RD$/Tarea)]]/Tabla2[[#This Row],[Costos (En RD$/Tarea)]])</f>
        <v>-0.538411999835416</v>
      </c>
      <c r="P1276" s="7" t="n">
        <f aca="false">Tabla2[[#This Row],[Rentabilidad (%)]]/12</f>
        <v>-0.0448676666529514</v>
      </c>
    </row>
    <row r="1277" customFormat="false" ht="14.25" hidden="false" customHeight="false" outlineLevel="0" collapsed="false">
      <c r="A1277" s="1" t="n">
        <v>39753</v>
      </c>
      <c r="B1277" s="2" t="s">
        <v>22</v>
      </c>
      <c r="C1277" s="3" t="n">
        <v>3633</v>
      </c>
      <c r="D1277" s="8" t="s">
        <v>17</v>
      </c>
      <c r="E1277" s="3" t="n">
        <f aca="false">IF(Tabla2[[#This Row],[Frecuencia]]="Annual", Tabla2[[#This Row],[Cosecha/Tarea]]/12,Tabla2[[#This Row],[Cosecha/Tarea]])</f>
        <v>3633</v>
      </c>
      <c r="F1277" s="3" t="n">
        <v>34245</v>
      </c>
      <c r="G1277" s="2" t="s">
        <v>18</v>
      </c>
      <c r="H1277" s="2" t="n">
        <f aca="false">F1277/Tabla2[[#This Row],[Cosecha Mensual]]</f>
        <v>9.4260941370768</v>
      </c>
      <c r="I1277" s="2" t="n">
        <f aca="false">H1277*_xlfn.XLOOKUP(Tabla2[[#This Row],[Unidad de producción]],Tabla3[Medida],Tabla3[Equivalencia en Kg],"ELVIS",0)</f>
        <v>427.567630057803</v>
      </c>
      <c r="J1277" s="2" t="n">
        <v>1062.5</v>
      </c>
      <c r="K1277" s="2" t="s">
        <v>18</v>
      </c>
      <c r="L1277" s="2" t="n">
        <f aca="false">J1277/_xlfn.XLOOKUP(Tabla2[[#This Row],[Unidad de precio]],Tabla3[Medida],Tabla3[Equivalencia en Kg],"ELVIS",0)</f>
        <v>23.423721340388</v>
      </c>
      <c r="M1277" s="2" t="n">
        <v>6901.0735717536</v>
      </c>
      <c r="N1277" s="3" t="n">
        <f aca="false">(Tabla2[[#This Row],[Productividad (kg/TAS)]]*Tabla2[[#This Row],[Precio por kg]]-Tabla2[[#This Row],[Costos (En RD$/Tarea)]])</f>
        <v>3114.15144889049</v>
      </c>
      <c r="O1277" s="9" t="n">
        <f aca="false">IF(Tabla2[[#This Row],[Costos (En RD$/Tarea)]]=0,0,Tabla2[[#This Row],[Beneficio Neto  (En RD$/Tarea)]]/Tabla2[[#This Row],[Costos (En RD$/Tarea)]])</f>
        <v>0.451256085956952</v>
      </c>
      <c r="P1277" s="7" t="n">
        <f aca="false">Tabla2[[#This Row],[Rentabilidad (%)]]/12</f>
        <v>0.037604673829746</v>
      </c>
    </row>
    <row r="1278" customFormat="false" ht="14.25" hidden="false" customHeight="false" outlineLevel="0" collapsed="false">
      <c r="A1278" s="1" t="n">
        <v>39753</v>
      </c>
      <c r="B1278" s="2" t="s">
        <v>23</v>
      </c>
      <c r="C1278" s="3" t="n">
        <v>1658</v>
      </c>
      <c r="D1278" s="8" t="s">
        <v>17</v>
      </c>
      <c r="E1278" s="3" t="n">
        <f aca="false">IF(Tabla2[[#This Row],[Frecuencia]]="Annual", Tabla2[[#This Row],[Cosecha/Tarea]]/12,Tabla2[[#This Row],[Cosecha/Tarea]])</f>
        <v>1658</v>
      </c>
      <c r="F1278" s="3" t="n">
        <v>50363</v>
      </c>
      <c r="G1278" s="2" t="s">
        <v>18</v>
      </c>
      <c r="H1278" s="2" t="n">
        <f aca="false">F1278/Tabla2[[#This Row],[Cosecha Mensual]]</f>
        <v>30.375753920386</v>
      </c>
      <c r="I1278" s="2" t="n">
        <f aca="false">H1278*_xlfn.XLOOKUP(Tabla2[[#This Row],[Unidad de producción]],Tabla3[Medida],Tabla3[Equivalencia en Kg],"ELVIS",0)</f>
        <v>1377.84419782871</v>
      </c>
      <c r="J1278" s="2" t="n">
        <v>942.5</v>
      </c>
      <c r="K1278" s="2" t="s">
        <v>18</v>
      </c>
      <c r="L1278" s="2" t="n">
        <f aca="false">J1278/_xlfn.XLOOKUP(Tabla2[[#This Row],[Unidad de precio]],Tabla3[Medida],Tabla3[Equivalencia en Kg],"ELVIS",0)</f>
        <v>20.7782186948854</v>
      </c>
      <c r="M1278" s="2" t="n">
        <v>17874.25</v>
      </c>
      <c r="N1278" s="3" t="n">
        <f aca="false">(Tabla2[[#This Row],[Productividad (kg/TAS)]]*Tabla2[[#This Row],[Precio por kg]]-Tabla2[[#This Row],[Costos (En RD$/Tarea)]])</f>
        <v>10754.8980699638</v>
      </c>
      <c r="O1278" s="9" t="n">
        <f aca="false">IF(Tabla2[[#This Row],[Costos (En RD$/Tarea)]]=0,0,Tabla2[[#This Row],[Beneficio Neto  (En RD$/Tarea)]]/Tabla2[[#This Row],[Costos (En RD$/Tarea)]])</f>
        <v>0.601697865362956</v>
      </c>
      <c r="P1278" s="7" t="n">
        <f aca="false">Tabla2[[#This Row],[Rentabilidad (%)]]/12</f>
        <v>0.0501414887802463</v>
      </c>
    </row>
    <row r="1279" customFormat="false" ht="14.25" hidden="false" customHeight="false" outlineLevel="0" collapsed="false">
      <c r="A1279" s="1" t="n">
        <v>39753</v>
      </c>
      <c r="B1279" s="2" t="s">
        <v>24</v>
      </c>
      <c r="C1279" s="3" t="n">
        <v>3685</v>
      </c>
      <c r="D1279" s="8" t="s">
        <v>17</v>
      </c>
      <c r="E1279" s="3" t="n">
        <f aca="false">IF(Tabla2[[#This Row],[Frecuencia]]="Annual", Tabla2[[#This Row],[Cosecha/Tarea]]/12,Tabla2[[#This Row],[Cosecha/Tarea]])</f>
        <v>3685</v>
      </c>
      <c r="F1279" s="3" t="n">
        <v>31443</v>
      </c>
      <c r="G1279" s="2" t="s">
        <v>18</v>
      </c>
      <c r="H1279" s="2" t="n">
        <f aca="false">F1279/Tabla2[[#This Row],[Cosecha Mensual]]</f>
        <v>8.53270013568521</v>
      </c>
      <c r="I1279" s="2" t="n">
        <f aca="false">H1279*_xlfn.XLOOKUP(Tabla2[[#This Row],[Unidad de producción]],Tabla3[Medida],Tabla3[Equivalencia en Kg],"ELVIS",0)</f>
        <v>387.043278154681</v>
      </c>
      <c r="J1279" s="2" t="n">
        <v>1166.66666666667</v>
      </c>
      <c r="K1279" s="2" t="s">
        <v>18</v>
      </c>
      <c r="L1279" s="2" t="n">
        <f aca="false">J1279/_xlfn.XLOOKUP(Tabla2[[#This Row],[Unidad de precio]],Tabla3[Medida],Tabla3[Equivalencia en Kg],"ELVIS",0)</f>
        <v>25.7201646090536</v>
      </c>
      <c r="M1279" s="2" t="n">
        <v>5602.34206216742</v>
      </c>
      <c r="N1279" s="3" t="n">
        <f aca="false">(Tabla2[[#This Row],[Productividad (kg/TAS)]]*Tabla2[[#This Row],[Precio por kg]]-Tabla2[[#This Row],[Costos (En RD$/Tarea)]])</f>
        <v>4352.47476279869</v>
      </c>
      <c r="O1279" s="9" t="n">
        <f aca="false">IF(Tabla2[[#This Row],[Costos (En RD$/Tarea)]]=0,0,Tabla2[[#This Row],[Beneficio Neto  (En RD$/Tarea)]]/Tabla2[[#This Row],[Costos (En RD$/Tarea)]])</f>
        <v>0.776902715775054</v>
      </c>
      <c r="P1279" s="7" t="n">
        <f aca="false">Tabla2[[#This Row],[Rentabilidad (%)]]/12</f>
        <v>0.0647418929812545</v>
      </c>
    </row>
    <row r="1280" customFormat="false" ht="14.25" hidden="false" customHeight="false" outlineLevel="0" collapsed="false">
      <c r="A1280" s="1" t="n">
        <v>39753</v>
      </c>
      <c r="B1280" s="2" t="s">
        <v>25</v>
      </c>
      <c r="C1280" s="3" t="n">
        <v>18754</v>
      </c>
      <c r="D1280" s="8" t="s">
        <v>17</v>
      </c>
      <c r="E1280" s="3" t="n">
        <f aca="false">IF(Tabla2[[#This Row],[Frecuencia]]="Annual", Tabla2[[#This Row],[Cosecha/Tarea]]/12,Tabla2[[#This Row],[Cosecha/Tarea]])</f>
        <v>18754</v>
      </c>
      <c r="F1280" s="3" t="n">
        <v>207452</v>
      </c>
      <c r="G1280" s="2" t="s">
        <v>18</v>
      </c>
      <c r="H1280" s="2" t="n">
        <f aca="false">F1280/Tabla2[[#This Row],[Cosecha Mensual]]</f>
        <v>11.0617468273435</v>
      </c>
      <c r="I1280" s="2" t="n">
        <f aca="false">H1280*_xlfn.XLOOKUP(Tabla2[[#This Row],[Unidad de producción]],Tabla3[Medida],Tabla3[Equivalencia en Kg],"ELVIS",0)</f>
        <v>501.760836088301</v>
      </c>
      <c r="J1280" s="2" t="n">
        <v>453.2724</v>
      </c>
      <c r="K1280" s="2" t="s">
        <v>18</v>
      </c>
      <c r="L1280" s="2" t="n">
        <f aca="false">J1280/_xlfn.XLOOKUP(Tabla2[[#This Row],[Unidad de precio]],Tabla3[Medida],Tabla3[Equivalencia en Kg],"ELVIS",0)</f>
        <v>9.99277777777778</v>
      </c>
      <c r="M1280" s="2" t="n">
        <v>3201.64901153456</v>
      </c>
      <c r="N1280" s="3" t="n">
        <f aca="false">(Tabla2[[#This Row],[Productividad (kg/TAS)]]*Tabla2[[#This Row],[Precio por kg]]-Tabla2[[#This Row],[Costos (En RD$/Tarea)]])</f>
        <v>1812.33552108781</v>
      </c>
      <c r="O1280" s="9" t="n">
        <f aca="false">IF(Tabla2[[#This Row],[Costos (En RD$/Tarea)]]=0,0,Tabla2[[#This Row],[Beneficio Neto  (En RD$/Tarea)]]/Tabla2[[#This Row],[Costos (En RD$/Tarea)]])</f>
        <v>0.56606314888313</v>
      </c>
      <c r="P1280" s="7" t="n">
        <f aca="false">Tabla2[[#This Row],[Rentabilidad (%)]]/12</f>
        <v>0.0471719290735942</v>
      </c>
    </row>
    <row r="1281" customFormat="false" ht="14.25" hidden="false" customHeight="false" outlineLevel="0" collapsed="false">
      <c r="A1281" s="1" t="n">
        <v>39753</v>
      </c>
      <c r="B1281" s="2" t="s">
        <v>26</v>
      </c>
      <c r="C1281" s="3" t="n">
        <v>10987</v>
      </c>
      <c r="D1281" s="8" t="s">
        <v>17</v>
      </c>
      <c r="E1281" s="3" t="n">
        <f aca="false">IF(Tabla2[[#This Row],[Frecuencia]]="Annual", Tabla2[[#This Row],[Cosecha/Tarea]]/12,Tabla2[[#This Row],[Cosecha/Tarea]])</f>
        <v>10987</v>
      </c>
      <c r="F1281" s="3" t="n">
        <v>67823</v>
      </c>
      <c r="G1281" s="2" t="s">
        <v>18</v>
      </c>
      <c r="H1281" s="2" t="n">
        <f aca="false">F1281/Tabla2[[#This Row],[Cosecha Mensual]]</f>
        <v>6.17302266314736</v>
      </c>
      <c r="I1281" s="2" t="n">
        <f aca="false">H1281*_xlfn.XLOOKUP(Tabla2[[#This Row],[Unidad de producción]],Tabla3[Medida],Tabla3[Equivalencia en Kg],"ELVIS",0)</f>
        <v>280.008308000364</v>
      </c>
      <c r="J1281" s="2" t="n">
        <v>621.634</v>
      </c>
      <c r="K1281" s="2" t="s">
        <v>18</v>
      </c>
      <c r="L1281" s="2" t="n">
        <f aca="false">J1281/_xlfn.XLOOKUP(Tabla2[[#This Row],[Unidad de precio]],Tabla3[Medida],Tabla3[Equivalencia en Kg],"ELVIS",0)</f>
        <v>13.7044532627866</v>
      </c>
      <c r="M1281" s="2" t="n">
        <v>1294.92573769894</v>
      </c>
      <c r="N1281" s="3" t="n">
        <f aca="false">(Tabla2[[#This Row],[Productividad (kg/TAS)]]*Tabla2[[#This Row],[Precio por kg]]-Tabla2[[#This Row],[Costos (En RD$/Tarea)]])</f>
        <v>2542.435032484</v>
      </c>
      <c r="O1281" s="9" t="n">
        <f aca="false">IF(Tabla2[[#This Row],[Costos (En RD$/Tarea)]]=0,0,Tabla2[[#This Row],[Beneficio Neto  (En RD$/Tarea)]]/Tabla2[[#This Row],[Costos (En RD$/Tarea)]])</f>
        <v>1.96338288634363</v>
      </c>
      <c r="P1281" s="7" t="n">
        <f aca="false">Tabla2[[#This Row],[Rentabilidad (%)]]/12</f>
        <v>0.163615240528636</v>
      </c>
    </row>
    <row r="1282" customFormat="false" ht="14.25" hidden="false" customHeight="false" outlineLevel="0" collapsed="false">
      <c r="A1282" s="1" t="n">
        <v>39753</v>
      </c>
      <c r="B1282" s="2" t="s">
        <v>27</v>
      </c>
      <c r="C1282" s="3" t="n">
        <v>4696</v>
      </c>
      <c r="D1282" s="8" t="s">
        <v>17</v>
      </c>
      <c r="E1282" s="3" t="n">
        <f aca="false">IF(Tabla2[[#This Row],[Frecuencia]]="Annual", Tabla2[[#This Row],[Cosecha/Tarea]]/12,Tabla2[[#This Row],[Cosecha/Tarea]])</f>
        <v>4696</v>
      </c>
      <c r="F1282" s="3" t="n">
        <v>31671</v>
      </c>
      <c r="G1282" s="2" t="s">
        <v>18</v>
      </c>
      <c r="H1282" s="2" t="n">
        <f aca="false">F1282/Tabla2[[#This Row],[Cosecha Mensual]]</f>
        <v>6.74425042589438</v>
      </c>
      <c r="I1282" s="2" t="n">
        <f aca="false">H1282*_xlfn.XLOOKUP(Tabla2[[#This Row],[Unidad de producción]],Tabla3[Medida],Tabla3[Equivalencia en Kg],"ELVIS",0)</f>
        <v>305.919199318569</v>
      </c>
      <c r="J1282" s="2" t="n">
        <v>291.666666666667</v>
      </c>
      <c r="K1282" s="2" t="s">
        <v>18</v>
      </c>
      <c r="L1282" s="2" t="n">
        <f aca="false">J1282/_xlfn.XLOOKUP(Tabla2[[#This Row],[Unidad de precio]],Tabla3[Medida],Tabla3[Equivalencia en Kg],"ELVIS",0)</f>
        <v>6.43004115226338</v>
      </c>
      <c r="M1282" s="2" t="n">
        <v>5429.72570566602</v>
      </c>
      <c r="N1282" s="3" t="n">
        <f aca="false">(Tabla2[[#This Row],[Productividad (kg/TAS)]]*Tabla2[[#This Row],[Precio por kg]]-Tabla2[[#This Row],[Costos (En RD$/Tarea)]])</f>
        <v>-3462.65266478016</v>
      </c>
      <c r="O1282" s="9" t="n">
        <f aca="false">IF(Tabla2[[#This Row],[Costos (En RD$/Tarea)]]=0,0,Tabla2[[#This Row],[Beneficio Neto  (En RD$/Tarea)]]/Tabla2[[#This Row],[Costos (En RD$/Tarea)]])</f>
        <v>-0.63772147111719</v>
      </c>
      <c r="P1282" s="7" t="n">
        <f aca="false">Tabla2[[#This Row],[Rentabilidad (%)]]/12</f>
        <v>-0.0531434559264325</v>
      </c>
    </row>
    <row r="1283" customFormat="false" ht="14.25" hidden="false" customHeight="false" outlineLevel="0" collapsed="false">
      <c r="A1283" s="1" t="n">
        <v>39753</v>
      </c>
      <c r="B1283" s="2" t="s">
        <v>28</v>
      </c>
      <c r="C1283" s="3" t="n">
        <v>39444</v>
      </c>
      <c r="D1283" s="8" t="s">
        <v>17</v>
      </c>
      <c r="E1283" s="3" t="n">
        <f aca="false">IF(Tabla2[[#This Row],[Frecuencia]]="Annual", Tabla2[[#This Row],[Cosecha/Tarea]]/12,Tabla2[[#This Row],[Cosecha/Tarea]])</f>
        <v>39444</v>
      </c>
      <c r="F1283" s="3" t="n">
        <v>67707</v>
      </c>
      <c r="G1283" s="2" t="s">
        <v>29</v>
      </c>
      <c r="H1283" s="2" t="n">
        <f aca="false">F1283/Tabla2[[#This Row],[Cosecha Mensual]]</f>
        <v>1.71653483419531</v>
      </c>
      <c r="I1283" s="2" t="n">
        <f aca="false">H1283*_xlfn.XLOOKUP(Tabla2[[#This Row],[Unidad de producción]],Tabla3[Medida],Tabla3[Equivalencia en Kg],"ELVIS",0)</f>
        <v>965.276198661393</v>
      </c>
      <c r="J1283" s="2" t="n">
        <v>4606.25</v>
      </c>
      <c r="K1283" s="2" t="s">
        <v>29</v>
      </c>
      <c r="L1283" s="2" t="n">
        <f aca="false">J1283/_xlfn.XLOOKUP(Tabla2[[#This Row],[Unidad de precio]],Tabla3[Medida],Tabla3[Equivalencia en Kg],"ELVIS",0)</f>
        <v>8.1912188355799</v>
      </c>
      <c r="M1283" s="2" t="n">
        <v>4903.37166571833</v>
      </c>
      <c r="N1283" s="3" t="n">
        <f aca="false">(Tabla2[[#This Row],[Productividad (kg/TAS)]]*Tabla2[[#This Row],[Precio por kg]]-Tabla2[[#This Row],[Costos (En RD$/Tarea)]])</f>
        <v>3003.41691429384</v>
      </c>
      <c r="O1283" s="9" t="n">
        <f aca="false">IF(Tabla2[[#This Row],[Costos (En RD$/Tarea)]]=0,0,Tabla2[[#This Row],[Beneficio Neto  (En RD$/Tarea)]]/Tabla2[[#This Row],[Costos (En RD$/Tarea)]])</f>
        <v>0.612520754910763</v>
      </c>
      <c r="P1283" s="7" t="n">
        <f aca="false">Tabla2[[#This Row],[Rentabilidad (%)]]/12</f>
        <v>0.0510433962425636</v>
      </c>
    </row>
    <row r="1284" customFormat="false" ht="14.25" hidden="false" customHeight="false" outlineLevel="0" collapsed="false">
      <c r="A1284" s="1" t="n">
        <v>39753</v>
      </c>
      <c r="B1284" s="2" t="s">
        <v>30</v>
      </c>
      <c r="C1284" s="3" t="n">
        <v>277991</v>
      </c>
      <c r="D1284" s="3" t="s">
        <v>31</v>
      </c>
      <c r="E1284" s="3" t="n">
        <f aca="false">IF(Tabla2[[#This Row],[Frecuencia]]="Annual", Tabla2[[#This Row],[Cosecha/Tarea]]/12,Tabla2[[#This Row],[Cosecha/Tarea]])</f>
        <v>23165.9166666667</v>
      </c>
      <c r="F1284" s="3" t="n">
        <v>1524535</v>
      </c>
      <c r="G1284" s="2" t="s">
        <v>32</v>
      </c>
      <c r="H1284" s="2" t="n">
        <f aca="false">F1284/Tabla2[[#This Row],[Cosecha Mensual]]</f>
        <v>65.8093967070876</v>
      </c>
      <c r="I1284" s="2" t="n">
        <f aca="false">H1284*_xlfn.XLOOKUP(Tabla2[[#This Row],[Unidad de producción]],Tabla3[Medida],Tabla3[Equivalencia en Kg],"ELVIS",0)</f>
        <v>1790.67368439986</v>
      </c>
      <c r="J1284" s="2" t="n">
        <v>111.884</v>
      </c>
      <c r="K1284" s="2" t="s">
        <v>32</v>
      </c>
      <c r="L1284" s="2" t="n">
        <f aca="false">J1284/_xlfn.XLOOKUP(Tabla2[[#This Row],[Unidad de precio]],Tabla3[Medida],Tabla3[Equivalencia en Kg],"ELVIS",0)</f>
        <v>4.11187063579566</v>
      </c>
      <c r="M1284" s="3" t="n">
        <v>8644.77930505247</v>
      </c>
      <c r="N1284" s="3" t="n">
        <f aca="false">(Tabla2[[#This Row],[Productividad (kg/TAS)]]*Tabla2[[#This Row],[Precio por kg]]-Tabla2[[#This Row],[Costos (En RD$/Tarea)]])</f>
        <v>-1281.76076387668</v>
      </c>
      <c r="O1284" s="9" t="n">
        <f aca="false">IF(Tabla2[[#This Row],[Costos (En RD$/Tarea)]]=0,0,Tabla2[[#This Row],[Beneficio Neto  (En RD$/Tarea)]]/Tabla2[[#This Row],[Costos (En RD$/Tarea)]])</f>
        <v>-0.148269923227253</v>
      </c>
      <c r="P1284" s="7" t="n">
        <f aca="false">Tabla2[[#This Row],[Rentabilidad (%)]]/12</f>
        <v>-0.0123558269356044</v>
      </c>
    </row>
    <row r="1285" customFormat="false" ht="14.25" hidden="false" customHeight="false" outlineLevel="0" collapsed="false">
      <c r="A1285" s="1" t="n">
        <v>39753</v>
      </c>
      <c r="B1285" s="2" t="s">
        <v>33</v>
      </c>
      <c r="C1285" s="3" t="n">
        <v>624064</v>
      </c>
      <c r="D1285" s="3" t="s">
        <v>31</v>
      </c>
      <c r="E1285" s="3" t="n">
        <f aca="false">IF(Tabla2[[#This Row],[Frecuencia]]="Annual", Tabla2[[#This Row],[Cosecha/Tarea]]/12,Tabla2[[#This Row],[Cosecha/Tarea]])</f>
        <v>52005.3333333333</v>
      </c>
      <c r="F1285" s="3" t="n">
        <v>101148</v>
      </c>
      <c r="G1285" s="2" t="s">
        <v>34</v>
      </c>
      <c r="H1285" s="2" t="n">
        <f aca="false">F1285/Tabla2[[#This Row],[Cosecha Mensual]]</f>
        <v>1.94495436365501</v>
      </c>
      <c r="I1285" s="2" t="n">
        <f aca="false">H1285*_xlfn.XLOOKUP(Tabla2[[#This Row],[Unidad de producción]],Tabla3[Medida],Tabla3[Equivalencia en Kg],"ELVIS",0)</f>
        <v>793.833123525792</v>
      </c>
      <c r="J1285" s="2" t="n">
        <v>3782.534</v>
      </c>
      <c r="K1285" s="2" t="s">
        <v>34</v>
      </c>
      <c r="L1285" s="2" t="n">
        <f aca="false">J1285/_xlfn.XLOOKUP(Tabla2[[#This Row],[Unidad de precio]],Tabla3[Medida],Tabla3[Equivalencia en Kg],"ELVIS",0)</f>
        <v>9.26750949405856</v>
      </c>
      <c r="M1285" s="3" t="n">
        <v>8418.12886809492</v>
      </c>
      <c r="N1285" s="3" t="n">
        <f aca="false">(Tabla2[[#This Row],[Productividad (kg/TAS)]]*Tabla2[[#This Row],[Precio por kg]]-Tabla2[[#This Row],[Costos (En RD$/Tarea)]])</f>
        <v>-1061.27285912148</v>
      </c>
      <c r="O1285" s="9" t="n">
        <f aca="false">IF(Tabla2[[#This Row],[Costos (En RD$/Tarea)]]=0,0,Tabla2[[#This Row],[Beneficio Neto  (En RD$/Tarea)]]/Tabla2[[#This Row],[Costos (En RD$/Tarea)]])</f>
        <v>-0.126069923108893</v>
      </c>
      <c r="P1285" s="7" t="n">
        <f aca="false">Tabla2[[#This Row],[Rentabilidad (%)]]/12</f>
        <v>-0.0105058269257411</v>
      </c>
    </row>
    <row r="1286" customFormat="false" ht="14.25" hidden="false" customHeight="false" outlineLevel="0" collapsed="false">
      <c r="A1286" s="1" t="n">
        <v>39783</v>
      </c>
      <c r="B1286" s="2" t="s">
        <v>16</v>
      </c>
      <c r="C1286" s="3" t="n">
        <v>83640</v>
      </c>
      <c r="D1286" s="8" t="s">
        <v>17</v>
      </c>
      <c r="E1286" s="3" t="n">
        <f aca="false">IF(Tabla2[[#This Row],[Frecuencia]]="Annual", Tabla2[[#This Row],[Cosecha/Tarea]]/12,Tabla2[[#This Row],[Cosecha/Tarea]])</f>
        <v>83640</v>
      </c>
      <c r="F1286" s="3" t="n">
        <v>307201</v>
      </c>
      <c r="G1286" s="2" t="s">
        <v>18</v>
      </c>
      <c r="H1286" s="2" t="n">
        <f aca="false">F1286/Tabla2[[#This Row],[Cosecha Mensual]]</f>
        <v>3.67289574366332</v>
      </c>
      <c r="I1286" s="2" t="n">
        <f aca="false">H1286*_xlfn.XLOOKUP(Tabla2[[#This Row],[Unidad de producción]],Tabla3[Medida],Tabla3[Equivalencia en Kg],"ELVIS",0)</f>
        <v>166.602550932568</v>
      </c>
      <c r="J1286" s="2" t="n">
        <v>1350.5</v>
      </c>
      <c r="K1286" s="2" t="s">
        <v>19</v>
      </c>
      <c r="L1286" s="2" t="n">
        <f aca="false">J1286/_xlfn.XLOOKUP(Tabla2[[#This Row],[Unidad de precio]],Tabla3[Medida],Tabla3[Equivalencia en Kg],"ELVIS",0)</f>
        <v>12.2772727272727</v>
      </c>
      <c r="M1286" s="2" t="n">
        <v>6402.1671715266</v>
      </c>
      <c r="N1286" s="3" t="n">
        <f aca="false">(Tabla2[[#This Row],[Productividad (kg/TAS)]]*Tabla2[[#This Row],[Precio por kg]]-Tabla2[[#This Row],[Costos (En RD$/Tarea)]])</f>
        <v>-4356.74221666812</v>
      </c>
      <c r="O1286" s="9" t="n">
        <f aca="false">IF(Tabla2[[#This Row],[Costos (En RD$/Tarea)]]=0,0,Tabla2[[#This Row],[Beneficio Neto  (En RD$/Tarea)]]/Tabla2[[#This Row],[Costos (En RD$/Tarea)]])</f>
        <v>-0.680510536501541</v>
      </c>
      <c r="P1286" s="7" t="n">
        <f aca="false">Tabla2[[#This Row],[Rentabilidad (%)]]/12</f>
        <v>-0.0567092113751284</v>
      </c>
    </row>
    <row r="1287" customFormat="false" ht="14.25" hidden="false" customHeight="false" outlineLevel="0" collapsed="false">
      <c r="A1287" s="1" t="n">
        <v>39783</v>
      </c>
      <c r="B1287" s="2" t="s">
        <v>20</v>
      </c>
      <c r="C1287" s="3" t="n">
        <v>22467</v>
      </c>
      <c r="D1287" s="8" t="s">
        <v>17</v>
      </c>
      <c r="E1287" s="3" t="n">
        <f aca="false">IF(Tabla2[[#This Row],[Frecuencia]]="Annual", Tabla2[[#This Row],[Cosecha/Tarea]]/12,Tabla2[[#This Row],[Cosecha/Tarea]])</f>
        <v>22467</v>
      </c>
      <c r="F1287" s="3" t="n">
        <v>37670</v>
      </c>
      <c r="G1287" s="2" t="s">
        <v>18</v>
      </c>
      <c r="H1287" s="2" t="n">
        <f aca="false">F1287/Tabla2[[#This Row],[Cosecha Mensual]]</f>
        <v>1.67668135487604</v>
      </c>
      <c r="I1287" s="2" t="n">
        <f aca="false">H1287*_xlfn.XLOOKUP(Tabla2[[#This Row],[Unidad de producción]],Tabla3[Medida],Tabla3[Equivalencia en Kg],"ELVIS",0)</f>
        <v>76.0542662571772</v>
      </c>
      <c r="J1287" s="2" t="n">
        <v>575.04</v>
      </c>
      <c r="K1287" s="2" t="s">
        <v>18</v>
      </c>
      <c r="L1287" s="2" t="n">
        <f aca="false">J1287/_xlfn.XLOOKUP(Tabla2[[#This Row],[Unidad de precio]],Tabla3[Medida],Tabla3[Equivalencia en Kg],"ELVIS",0)</f>
        <v>12.6772486772487</v>
      </c>
      <c r="M1287" s="2" t="n">
        <v>1490.90401998252</v>
      </c>
      <c r="N1287" s="3" t="n">
        <f aca="false">(Tabla2[[#This Row],[Productividad (kg/TAS)]]*Tabla2[[#This Row],[Precio por kg]]-Tabla2[[#This Row],[Costos (En RD$/Tarea)]])</f>
        <v>-526.745173674602</v>
      </c>
      <c r="O1287" s="9" t="n">
        <f aca="false">IF(Tabla2[[#This Row],[Costos (En RD$/Tarea)]]=0,0,Tabla2[[#This Row],[Beneficio Neto  (En RD$/Tarea)]]/Tabla2[[#This Row],[Costos (En RD$/Tarea)]])</f>
        <v>-0.353305891334828</v>
      </c>
      <c r="P1287" s="7" t="n">
        <f aca="false">Tabla2[[#This Row],[Rentabilidad (%)]]/12</f>
        <v>-0.0294421576112356</v>
      </c>
    </row>
    <row r="1288" customFormat="false" ht="14.25" hidden="false" customHeight="false" outlineLevel="0" collapsed="false">
      <c r="A1288" s="1" t="n">
        <v>39783</v>
      </c>
      <c r="B1288" s="2" t="s">
        <v>21</v>
      </c>
      <c r="C1288" s="3" t="n">
        <v>8838</v>
      </c>
      <c r="D1288" s="8" t="s">
        <v>17</v>
      </c>
      <c r="E1288" s="3" t="n">
        <f aca="false">IF(Tabla2[[#This Row],[Frecuencia]]="Annual", Tabla2[[#This Row],[Cosecha/Tarea]]/12,Tabla2[[#This Row],[Cosecha/Tarea]])</f>
        <v>8838</v>
      </c>
      <c r="F1288" s="3" t="n">
        <v>100581</v>
      </c>
      <c r="G1288" s="2" t="s">
        <v>18</v>
      </c>
      <c r="H1288" s="2" t="n">
        <f aca="false">F1288/Tabla2[[#This Row],[Cosecha Mensual]]</f>
        <v>11.3805159538357</v>
      </c>
      <c r="I1288" s="2" t="n">
        <f aca="false">H1288*_xlfn.XLOOKUP(Tabla2[[#This Row],[Unidad de producción]],Tabla3[Medida],Tabla3[Equivalencia en Kg],"ELVIS",0)</f>
        <v>516.220203665988</v>
      </c>
      <c r="J1288" s="2" t="n">
        <v>211.786784</v>
      </c>
      <c r="K1288" s="2" t="s">
        <v>18</v>
      </c>
      <c r="L1288" s="2" t="n">
        <f aca="false">J1288/_xlfn.XLOOKUP(Tabla2[[#This Row],[Unidad de precio]],Tabla3[Medida],Tabla3[Equivalencia en Kg],"ELVIS",0)</f>
        <v>4.66902081128748</v>
      </c>
      <c r="M1288" s="2" t="n">
        <v>3935.0401959</v>
      </c>
      <c r="N1288" s="3" t="n">
        <f aca="false">(Tabla2[[#This Row],[Productividad (kg/TAS)]]*Tabla2[[#This Row],[Precio por kg]]-Tabla2[[#This Row],[Costos (En RD$/Tarea)]])</f>
        <v>-1524.79732177644</v>
      </c>
      <c r="O1288" s="9" t="n">
        <f aca="false">IF(Tabla2[[#This Row],[Costos (En RD$/Tarea)]]=0,0,Tabla2[[#This Row],[Beneficio Neto  (En RD$/Tarea)]]/Tabla2[[#This Row],[Costos (En RD$/Tarea)]])</f>
        <v>-0.38749218454367</v>
      </c>
      <c r="P1288" s="7" t="n">
        <f aca="false">Tabla2[[#This Row],[Rentabilidad (%)]]/12</f>
        <v>-0.0322910153786392</v>
      </c>
    </row>
    <row r="1289" customFormat="false" ht="14.25" hidden="false" customHeight="false" outlineLevel="0" collapsed="false">
      <c r="A1289" s="1" t="n">
        <v>39783</v>
      </c>
      <c r="B1289" s="2" t="s">
        <v>22</v>
      </c>
      <c r="C1289" s="3" t="n">
        <v>6623</v>
      </c>
      <c r="D1289" s="8" t="s">
        <v>17</v>
      </c>
      <c r="E1289" s="3" t="n">
        <f aca="false">IF(Tabla2[[#This Row],[Frecuencia]]="Annual", Tabla2[[#This Row],[Cosecha/Tarea]]/12,Tabla2[[#This Row],[Cosecha/Tarea]])</f>
        <v>6623</v>
      </c>
      <c r="F1289" s="3" t="n">
        <v>64088</v>
      </c>
      <c r="G1289" s="2" t="s">
        <v>18</v>
      </c>
      <c r="H1289" s="2" t="n">
        <f aca="false">F1289/Tabla2[[#This Row],[Cosecha Mensual]]</f>
        <v>9.6765816095425</v>
      </c>
      <c r="I1289" s="2" t="n">
        <f aca="false">H1289*_xlfn.XLOOKUP(Tabla2[[#This Row],[Unidad de producción]],Tabla3[Medida],Tabla3[Equivalencia en Kg],"ELVIS",0)</f>
        <v>438.929741808848</v>
      </c>
      <c r="J1289" s="2" t="n">
        <v>1042.6661</v>
      </c>
      <c r="K1289" s="2" t="s">
        <v>18</v>
      </c>
      <c r="L1289" s="2" t="n">
        <f aca="false">J1289/_xlfn.XLOOKUP(Tabla2[[#This Row],[Unidad de precio]],Tabla3[Medida],Tabla3[Equivalencia en Kg],"ELVIS",0)</f>
        <v>22.9864660493827</v>
      </c>
      <c r="M1289" s="2" t="n">
        <v>6901.0735717536</v>
      </c>
      <c r="N1289" s="3" t="n">
        <f aca="false">(Tabla2[[#This Row],[Productividad (kg/TAS)]]*Tabla2[[#This Row],[Precio por kg]]-Tabla2[[#This Row],[Costos (En RD$/Tarea)]])</f>
        <v>3188.3700363998</v>
      </c>
      <c r="O1289" s="9" t="n">
        <f aca="false">IF(Tabla2[[#This Row],[Costos (En RD$/Tarea)]]=0,0,Tabla2[[#This Row],[Beneficio Neto  (En RD$/Tarea)]]/Tabla2[[#This Row],[Costos (En RD$/Tarea)]])</f>
        <v>0.462010729671097</v>
      </c>
      <c r="P1289" s="7" t="n">
        <f aca="false">Tabla2[[#This Row],[Rentabilidad (%)]]/12</f>
        <v>0.0385008941392581</v>
      </c>
    </row>
    <row r="1290" customFormat="false" ht="14.25" hidden="false" customHeight="false" outlineLevel="0" collapsed="false">
      <c r="A1290" s="1" t="n">
        <v>39783</v>
      </c>
      <c r="B1290" s="2" t="s">
        <v>23</v>
      </c>
      <c r="C1290" s="3" t="n">
        <v>795</v>
      </c>
      <c r="D1290" s="8" t="s">
        <v>17</v>
      </c>
      <c r="E1290" s="3" t="n">
        <f aca="false">IF(Tabla2[[#This Row],[Frecuencia]]="Annual", Tabla2[[#This Row],[Cosecha/Tarea]]/12,Tabla2[[#This Row],[Cosecha/Tarea]])</f>
        <v>795</v>
      </c>
      <c r="F1290" s="3" t="n">
        <v>26140</v>
      </c>
      <c r="G1290" s="2" t="s">
        <v>18</v>
      </c>
      <c r="H1290" s="2" t="n">
        <f aca="false">F1290/Tabla2[[#This Row],[Cosecha Mensual]]</f>
        <v>32.8805031446541</v>
      </c>
      <c r="I1290" s="2" t="n">
        <f aca="false">H1290*_xlfn.XLOOKUP(Tabla2[[#This Row],[Unidad de producción]],Tabla3[Medida],Tabla3[Equivalencia en Kg],"ELVIS",0)</f>
        <v>1491.45962264151</v>
      </c>
      <c r="J1290" s="2" t="n">
        <v>800</v>
      </c>
      <c r="K1290" s="2" t="s">
        <v>18</v>
      </c>
      <c r="L1290" s="2" t="n">
        <f aca="false">J1290/_xlfn.XLOOKUP(Tabla2[[#This Row],[Unidad de precio]],Tabla3[Medida],Tabla3[Equivalencia en Kg],"ELVIS",0)</f>
        <v>17.636684303351</v>
      </c>
      <c r="M1290" s="2" t="n">
        <v>17874.25</v>
      </c>
      <c r="N1290" s="3" t="n">
        <f aca="false">(Tabla2[[#This Row],[Productividad (kg/TAS)]]*Tabla2[[#This Row],[Precio por kg]]-Tabla2[[#This Row],[Costos (En RD$/Tarea)]])</f>
        <v>8430.15251572327</v>
      </c>
      <c r="O1290" s="9" t="n">
        <f aca="false">IF(Tabla2[[#This Row],[Costos (En RD$/Tarea)]]=0,0,Tabla2[[#This Row],[Beneficio Neto  (En RD$/Tarea)]]/Tabla2[[#This Row],[Costos (En RD$/Tarea)]])</f>
        <v>0.471636712909536</v>
      </c>
      <c r="P1290" s="7" t="n">
        <f aca="false">Tabla2[[#This Row],[Rentabilidad (%)]]/12</f>
        <v>0.039303059409128</v>
      </c>
    </row>
    <row r="1291" customFormat="false" ht="14.25" hidden="false" customHeight="false" outlineLevel="0" collapsed="false">
      <c r="A1291" s="1" t="n">
        <v>39783</v>
      </c>
      <c r="B1291" s="2" t="s">
        <v>24</v>
      </c>
      <c r="C1291" s="3" t="n">
        <v>7283</v>
      </c>
      <c r="D1291" s="8" t="s">
        <v>17</v>
      </c>
      <c r="E1291" s="3" t="n">
        <f aca="false">IF(Tabla2[[#This Row],[Frecuencia]]="Annual", Tabla2[[#This Row],[Cosecha/Tarea]]/12,Tabla2[[#This Row],[Cosecha/Tarea]])</f>
        <v>7283</v>
      </c>
      <c r="F1291" s="3" t="n">
        <v>62792</v>
      </c>
      <c r="G1291" s="2" t="s">
        <v>18</v>
      </c>
      <c r="H1291" s="2" t="n">
        <f aca="false">F1291/Tabla2[[#This Row],[Cosecha Mensual]]</f>
        <v>8.62172181793217</v>
      </c>
      <c r="I1291" s="2" t="n">
        <f aca="false">H1291*_xlfn.XLOOKUP(Tabla2[[#This Row],[Unidad de producción]],Tabla3[Medida],Tabla3[Equivalencia en Kg],"ELVIS",0)</f>
        <v>391.081301661403</v>
      </c>
      <c r="J1291" s="2" t="n">
        <v>1170</v>
      </c>
      <c r="K1291" s="2" t="s">
        <v>18</v>
      </c>
      <c r="L1291" s="2" t="n">
        <f aca="false">J1291/_xlfn.XLOOKUP(Tabla2[[#This Row],[Unidad de precio]],Tabla3[Medida],Tabla3[Equivalencia en Kg],"ELVIS",0)</f>
        <v>25.7936507936508</v>
      </c>
      <c r="M1291" s="2" t="n">
        <v>5602.34206216742</v>
      </c>
      <c r="N1291" s="3" t="n">
        <f aca="false">(Tabla2[[#This Row],[Productividad (kg/TAS)]]*Tabla2[[#This Row],[Precio por kg]]-Tabla2[[#This Row],[Costos (En RD$/Tarea)]])</f>
        <v>4485.07246481322</v>
      </c>
      <c r="O1291" s="9" t="n">
        <f aca="false">IF(Tabla2[[#This Row],[Costos (En RD$/Tarea)]]=0,0,Tabla2[[#This Row],[Beneficio Neto  (En RD$/Tarea)]]/Tabla2[[#This Row],[Costos (En RD$/Tarea)]])</f>
        <v>0.800570978180873</v>
      </c>
      <c r="P1291" s="7" t="n">
        <f aca="false">Tabla2[[#This Row],[Rentabilidad (%)]]/12</f>
        <v>0.0667142481817394</v>
      </c>
    </row>
    <row r="1292" customFormat="false" ht="14.25" hidden="false" customHeight="false" outlineLevel="0" collapsed="false">
      <c r="A1292" s="1" t="n">
        <v>39783</v>
      </c>
      <c r="B1292" s="2" t="s">
        <v>25</v>
      </c>
      <c r="C1292" s="3" t="n">
        <v>21242</v>
      </c>
      <c r="D1292" s="8" t="s">
        <v>17</v>
      </c>
      <c r="E1292" s="3" t="n">
        <f aca="false">IF(Tabla2[[#This Row],[Frecuencia]]="Annual", Tabla2[[#This Row],[Cosecha/Tarea]]/12,Tabla2[[#This Row],[Cosecha/Tarea]])</f>
        <v>21242</v>
      </c>
      <c r="F1292" s="3" t="n">
        <v>222616</v>
      </c>
      <c r="G1292" s="2" t="s">
        <v>18</v>
      </c>
      <c r="H1292" s="2" t="n">
        <f aca="false">F1292/Tabla2[[#This Row],[Cosecha Mensual]]</f>
        <v>10.4799924677526</v>
      </c>
      <c r="I1292" s="2" t="n">
        <f aca="false">H1292*_xlfn.XLOOKUP(Tabla2[[#This Row],[Unidad de producción]],Tabla3[Medida],Tabla3[Equivalencia en Kg],"ELVIS",0)</f>
        <v>475.372458337256</v>
      </c>
      <c r="J1292" s="2" t="n">
        <v>429.430166666667</v>
      </c>
      <c r="K1292" s="2" t="s">
        <v>18</v>
      </c>
      <c r="L1292" s="2" t="n">
        <f aca="false">J1292/_xlfn.XLOOKUP(Tabla2[[#This Row],[Unidad de precio]],Tabla3[Medida],Tabla3[Equivalencia en Kg],"ELVIS",0)</f>
        <v>9.46715534979425</v>
      </c>
      <c r="M1292" s="2" t="n">
        <v>3201.64901153456</v>
      </c>
      <c r="N1292" s="3" t="n">
        <f aca="false">(Tabla2[[#This Row],[Productividad (kg/TAS)]]*Tabla2[[#This Row],[Precio por kg]]-Tabla2[[#This Row],[Costos (En RD$/Tarea)]])</f>
        <v>1298.77590055784</v>
      </c>
      <c r="O1292" s="9" t="n">
        <f aca="false">IF(Tabla2[[#This Row],[Costos (En RD$/Tarea)]]=0,0,Tabla2[[#This Row],[Beneficio Neto  (En RD$/Tarea)]]/Tabla2[[#This Row],[Costos (En RD$/Tarea)]])</f>
        <v>0.405658426604149</v>
      </c>
      <c r="P1292" s="7" t="n">
        <f aca="false">Tabla2[[#This Row],[Rentabilidad (%)]]/12</f>
        <v>0.0338048688836791</v>
      </c>
    </row>
    <row r="1293" customFormat="false" ht="14.25" hidden="false" customHeight="false" outlineLevel="0" collapsed="false">
      <c r="A1293" s="1" t="n">
        <v>39783</v>
      </c>
      <c r="B1293" s="2" t="s">
        <v>26</v>
      </c>
      <c r="C1293" s="3" t="n">
        <v>14622</v>
      </c>
      <c r="D1293" s="8" t="s">
        <v>17</v>
      </c>
      <c r="E1293" s="3" t="n">
        <f aca="false">IF(Tabla2[[#This Row],[Frecuencia]]="Annual", Tabla2[[#This Row],[Cosecha/Tarea]]/12,Tabla2[[#This Row],[Cosecha/Tarea]])</f>
        <v>14622</v>
      </c>
      <c r="F1293" s="3" t="n">
        <v>83695</v>
      </c>
      <c r="G1293" s="2" t="s">
        <v>18</v>
      </c>
      <c r="H1293" s="2" t="n">
        <f aca="false">F1293/Tabla2[[#This Row],[Cosecha Mensual]]</f>
        <v>5.72390917795103</v>
      </c>
      <c r="I1293" s="2" t="n">
        <f aca="false">H1293*_xlfn.XLOOKUP(Tabla2[[#This Row],[Unidad de producción]],Tabla3[Medida],Tabla3[Equivalencia en Kg],"ELVIS",0)</f>
        <v>259.636520311859</v>
      </c>
      <c r="J1293" s="2" t="n">
        <v>688.513333333333</v>
      </c>
      <c r="K1293" s="2" t="s">
        <v>18</v>
      </c>
      <c r="L1293" s="2" t="n">
        <f aca="false">J1293/_xlfn.XLOOKUP(Tabla2[[#This Row],[Unidad de precio]],Tabla3[Medida],Tabla3[Equivalencia en Kg],"ELVIS",0)</f>
        <v>15.1788653733098</v>
      </c>
      <c r="M1293" s="2" t="n">
        <v>1294.92573769894</v>
      </c>
      <c r="N1293" s="3" t="n">
        <f aca="false">(Tabla2[[#This Row],[Productividad (kg/TAS)]]*Tabla2[[#This Row],[Precio por kg]]-Tabla2[[#This Row],[Costos (En RD$/Tarea)]])</f>
        <v>2646.06205010938</v>
      </c>
      <c r="O1293" s="9" t="n">
        <f aca="false">IF(Tabla2[[#This Row],[Costos (En RD$/Tarea)]]=0,0,Tabla2[[#This Row],[Beneficio Neto  (En RD$/Tarea)]]/Tabla2[[#This Row],[Costos (En RD$/Tarea)]])</f>
        <v>2.04340833846687</v>
      </c>
      <c r="P1293" s="7" t="n">
        <f aca="false">Tabla2[[#This Row],[Rentabilidad (%)]]/12</f>
        <v>0.170284028205573</v>
      </c>
    </row>
    <row r="1294" customFormat="false" ht="14.25" hidden="false" customHeight="false" outlineLevel="0" collapsed="false">
      <c r="A1294" s="1" t="n">
        <v>39783</v>
      </c>
      <c r="B1294" s="2" t="s">
        <v>27</v>
      </c>
      <c r="C1294" s="3" t="n">
        <v>5466</v>
      </c>
      <c r="D1294" s="8" t="s">
        <v>17</v>
      </c>
      <c r="E1294" s="3" t="n">
        <f aca="false">IF(Tabla2[[#This Row],[Frecuencia]]="Annual", Tabla2[[#This Row],[Cosecha/Tarea]]/12,Tabla2[[#This Row],[Cosecha/Tarea]])</f>
        <v>5466</v>
      </c>
      <c r="F1294" s="3" t="n">
        <v>35611</v>
      </c>
      <c r="G1294" s="2" t="s">
        <v>18</v>
      </c>
      <c r="H1294" s="2" t="n">
        <f aca="false">F1294/Tabla2[[#This Row],[Cosecha Mensual]]</f>
        <v>6.5150018294914</v>
      </c>
      <c r="I1294" s="2" t="n">
        <f aca="false">H1294*_xlfn.XLOOKUP(Tabla2[[#This Row],[Unidad de producción]],Tabla3[Medida],Tabla3[Equivalencia en Kg],"ELVIS",0)</f>
        <v>295.52048298573</v>
      </c>
      <c r="J1294" s="2" t="n">
        <v>307.948225</v>
      </c>
      <c r="K1294" s="2" t="s">
        <v>18</v>
      </c>
      <c r="L1294" s="2" t="n">
        <f aca="false">J1294/_xlfn.XLOOKUP(Tabla2[[#This Row],[Unidad de precio]],Tabla3[Medida],Tabla3[Equivalencia en Kg],"ELVIS",0)</f>
        <v>6.78898203262787</v>
      </c>
      <c r="M1294" s="2" t="n">
        <v>5429.72570566602</v>
      </c>
      <c r="N1294" s="3" t="n">
        <f aca="false">(Tabla2[[#This Row],[Productividad (kg/TAS)]]*Tabla2[[#This Row],[Precio por kg]]-Tabla2[[#This Row],[Costos (En RD$/Tarea)]])</f>
        <v>-3423.44245640239</v>
      </c>
      <c r="O1294" s="9" t="n">
        <f aca="false">IF(Tabla2[[#This Row],[Costos (En RD$/Tarea)]]=0,0,Tabla2[[#This Row],[Beneficio Neto  (En RD$/Tarea)]]/Tabla2[[#This Row],[Costos (En RD$/Tarea)]])</f>
        <v>-0.630500073480685</v>
      </c>
      <c r="P1294" s="7" t="n">
        <f aca="false">Tabla2[[#This Row],[Rentabilidad (%)]]/12</f>
        <v>-0.0525416727900571</v>
      </c>
    </row>
    <row r="1295" customFormat="false" ht="14.25" hidden="false" customHeight="false" outlineLevel="0" collapsed="false">
      <c r="A1295" s="1" t="n">
        <v>39783</v>
      </c>
      <c r="B1295" s="2" t="s">
        <v>28</v>
      </c>
      <c r="C1295" s="3" t="n">
        <v>38448</v>
      </c>
      <c r="D1295" s="8" t="s">
        <v>17</v>
      </c>
      <c r="E1295" s="3" t="n">
        <f aca="false">IF(Tabla2[[#This Row],[Frecuencia]]="Annual", Tabla2[[#This Row],[Cosecha/Tarea]]/12,Tabla2[[#This Row],[Cosecha/Tarea]])</f>
        <v>38448</v>
      </c>
      <c r="F1295" s="3" t="n">
        <v>42700</v>
      </c>
      <c r="G1295" s="2" t="s">
        <v>29</v>
      </c>
      <c r="H1295" s="2" t="n">
        <f aca="false">F1295/Tabla2[[#This Row],[Cosecha Mensual]]</f>
        <v>1.11059092800666</v>
      </c>
      <c r="I1295" s="2" t="n">
        <f aca="false">H1295*_xlfn.XLOOKUP(Tabla2[[#This Row],[Unidad de producción]],Tabla3[Medida],Tabla3[Equivalencia en Kg],"ELVIS",0)</f>
        <v>624.529702455264</v>
      </c>
      <c r="J1295" s="2" t="n">
        <v>4674.288</v>
      </c>
      <c r="K1295" s="2" t="s">
        <v>29</v>
      </c>
      <c r="L1295" s="2" t="n">
        <f aca="false">J1295/_xlfn.XLOOKUP(Tabla2[[#This Row],[Unidad de precio]],Tabla3[Medida],Tabla3[Equivalencia en Kg],"ELVIS",0)</f>
        <v>8.31220969520219</v>
      </c>
      <c r="M1295" s="2" t="n">
        <v>4903.37166571833</v>
      </c>
      <c r="N1295" s="3" t="n">
        <f aca="false">(Tabla2[[#This Row],[Productividad (kg/TAS)]]*Tabla2[[#This Row],[Precio por kg]]-Tabla2[[#This Row],[Costos (En RD$/Tarea)]])</f>
        <v>287.850181972057</v>
      </c>
      <c r="O1295" s="9" t="n">
        <f aca="false">IF(Tabla2[[#This Row],[Costos (En RD$/Tarea)]]=0,0,Tabla2[[#This Row],[Beneficio Neto  (En RD$/Tarea)]]/Tabla2[[#This Row],[Costos (En RD$/Tarea)]])</f>
        <v>0.0587045407927256</v>
      </c>
      <c r="P1295" s="7" t="n">
        <f aca="false">Tabla2[[#This Row],[Rentabilidad (%)]]/12</f>
        <v>0.00489204506606047</v>
      </c>
    </row>
    <row r="1296" customFormat="false" ht="14.25" hidden="false" customHeight="false" outlineLevel="0" collapsed="false">
      <c r="A1296" s="1" t="n">
        <v>39783</v>
      </c>
      <c r="B1296" s="2" t="s">
        <v>30</v>
      </c>
      <c r="C1296" s="3" t="n">
        <v>286033</v>
      </c>
      <c r="D1296" s="3" t="s">
        <v>31</v>
      </c>
      <c r="E1296" s="3" t="n">
        <f aca="false">IF(Tabla2[[#This Row],[Frecuencia]]="Annual", Tabla2[[#This Row],[Cosecha/Tarea]]/12,Tabla2[[#This Row],[Cosecha/Tarea]])</f>
        <v>23836.0833333333</v>
      </c>
      <c r="F1296" s="3" t="n">
        <v>1672624</v>
      </c>
      <c r="G1296" s="2" t="s">
        <v>32</v>
      </c>
      <c r="H1296" s="2" t="n">
        <f aca="false">F1296/Tabla2[[#This Row],[Cosecha Mensual]]</f>
        <v>70.1719312107344</v>
      </c>
      <c r="I1296" s="2" t="n">
        <f aca="false">H1296*_xlfn.XLOOKUP(Tabla2[[#This Row],[Unidad de producción]],Tabla3[Medida],Tabla3[Equivalencia en Kg],"ELVIS",0)</f>
        <v>1909.37824824408</v>
      </c>
      <c r="J1296" s="2" t="n">
        <v>119.464285714286</v>
      </c>
      <c r="K1296" s="2" t="s">
        <v>32</v>
      </c>
      <c r="L1296" s="2" t="n">
        <f aca="false">J1296/_xlfn.XLOOKUP(Tabla2[[#This Row],[Unidad de precio]],Tabla3[Medida],Tabla3[Equivalencia en Kg],"ELVIS",0)</f>
        <v>4.39045518979368</v>
      </c>
      <c r="M1296" s="3" t="n">
        <v>8644.77930505247</v>
      </c>
      <c r="N1296" s="3" t="n">
        <f aca="false">(Tabla2[[#This Row],[Productividad (kg/TAS)]]*Tabla2[[#This Row],[Precio por kg]]-Tabla2[[#This Row],[Costos (En RD$/Tarea)]])</f>
        <v>-261.73966577007</v>
      </c>
      <c r="O1296" s="9" t="n">
        <f aca="false">IF(Tabla2[[#This Row],[Costos (En RD$/Tarea)]]=0,0,Tabla2[[#This Row],[Beneficio Neto  (En RD$/Tarea)]]/Tabla2[[#This Row],[Costos (En RD$/Tarea)]])</f>
        <v>-0.0302771946551713</v>
      </c>
      <c r="P1296" s="7" t="n">
        <f aca="false">Tabla2[[#This Row],[Rentabilidad (%)]]/12</f>
        <v>-0.00252309955459761</v>
      </c>
    </row>
    <row r="1297" customFormat="false" ht="14.25" hidden="false" customHeight="false" outlineLevel="0" collapsed="false">
      <c r="A1297" s="1" t="n">
        <v>39783</v>
      </c>
      <c r="B1297" s="2" t="s">
        <v>33</v>
      </c>
      <c r="C1297" s="3" t="n">
        <v>643771</v>
      </c>
      <c r="D1297" s="3" t="s">
        <v>31</v>
      </c>
      <c r="E1297" s="3" t="n">
        <f aca="false">IF(Tabla2[[#This Row],[Frecuencia]]="Annual", Tabla2[[#This Row],[Cosecha/Tarea]]/12,Tabla2[[#This Row],[Cosecha/Tarea]])</f>
        <v>53647.5833333333</v>
      </c>
      <c r="F1297" s="3" t="n">
        <v>93233</v>
      </c>
      <c r="G1297" s="2" t="s">
        <v>34</v>
      </c>
      <c r="H1297" s="2" t="n">
        <f aca="false">F1297/Tabla2[[#This Row],[Cosecha Mensual]]</f>
        <v>1.73787884201059</v>
      </c>
      <c r="I1297" s="2" t="n">
        <f aca="false">H1297*_xlfn.XLOOKUP(Tabla2[[#This Row],[Unidad de producción]],Tabla3[Medida],Tabla3[Equivalencia en Kg],"ELVIS",0)</f>
        <v>709.315249366623</v>
      </c>
      <c r="J1297" s="2" t="n">
        <v>4470.28571428572</v>
      </c>
      <c r="K1297" s="2" t="s">
        <v>34</v>
      </c>
      <c r="L1297" s="2" t="n">
        <f aca="false">J1297/_xlfn.XLOOKUP(Tabla2[[#This Row],[Unidad de precio]],Tabla3[Medida],Tabla3[Equivalencia en Kg],"ELVIS",0)</f>
        <v>10.9525559580687</v>
      </c>
      <c r="M1297" s="3" t="n">
        <v>8418.12886809492</v>
      </c>
      <c r="N1297" s="3" t="n">
        <f aca="false">(Tabla2[[#This Row],[Productividad (kg/TAS)]]*Tabla2[[#This Row],[Precio por kg]]-Tabla2[[#This Row],[Costos (En RD$/Tarea)]])</f>
        <v>-649.313907495567</v>
      </c>
      <c r="O1297" s="9" t="n">
        <f aca="false">IF(Tabla2[[#This Row],[Costos (En RD$/Tarea)]]=0,0,Tabla2[[#This Row],[Beneficio Neto  (En RD$/Tarea)]]/Tabla2[[#This Row],[Costos (En RD$/Tarea)]])</f>
        <v>-0.0771328067875624</v>
      </c>
      <c r="P1297" s="7" t="n">
        <f aca="false">Tabla2[[#This Row],[Rentabilidad (%)]]/12</f>
        <v>-0.00642773389896354</v>
      </c>
    </row>
    <row r="1298" customFormat="false" ht="14.25" hidden="false" customHeight="false" outlineLevel="0" collapsed="false">
      <c r="A1298" s="1" t="n">
        <v>39814</v>
      </c>
      <c r="B1298" s="2" t="s">
        <v>16</v>
      </c>
      <c r="C1298" s="3" t="n">
        <v>41986</v>
      </c>
      <c r="D1298" s="8" t="s">
        <v>17</v>
      </c>
      <c r="E1298" s="3" t="n">
        <f aca="false">IF(Tabla2[[#This Row],[Frecuencia]]="Annual", Tabla2[[#This Row],[Cosecha/Tarea]]/12,Tabla2[[#This Row],[Cosecha/Tarea]])</f>
        <v>41986</v>
      </c>
      <c r="F1298" s="3" t="n">
        <v>129484</v>
      </c>
      <c r="G1298" s="2" t="s">
        <v>18</v>
      </c>
      <c r="H1298" s="2" t="n">
        <f aca="false">F1298/Tabla2[[#This Row],[Cosecha Mensual]]</f>
        <v>3.08398037441052</v>
      </c>
      <c r="I1298" s="2" t="n">
        <f aca="false">H1298*_xlfn.XLOOKUP(Tabla2[[#This Row],[Unidad de producción]],Tabla3[Medida],Tabla3[Equivalencia en Kg],"ELVIS",0)</f>
        <v>139.889349783261</v>
      </c>
      <c r="J1298" s="2" t="n">
        <v>2303.25505250069</v>
      </c>
      <c r="K1298" s="2" t="s">
        <v>19</v>
      </c>
      <c r="L1298" s="2" t="n">
        <f aca="false">J1298/_xlfn.XLOOKUP(Tabla2[[#This Row],[Unidad de precio]],Tabla3[Medida],Tabla3[Equivalencia en Kg],"ELVIS",0)</f>
        <v>20.9386822954608</v>
      </c>
      <c r="M1298" s="2" t="n">
        <v>6526.78</v>
      </c>
      <c r="N1298" s="3" t="n">
        <f aca="false">(Tabla2[[#This Row],[Productividad (kg/TAS)]]*Tabla2[[#This Row],[Precio por kg]]-Tabla2[[#This Row],[Costos (En RD$/Tarea)]])</f>
        <v>-3597.68134836971</v>
      </c>
      <c r="O1298" s="9" t="n">
        <f aca="false">IF(Tabla2[[#This Row],[Costos (En RD$/Tarea)]]=0,0,Tabla2[[#This Row],[Beneficio Neto  (En RD$/Tarea)]]/Tabla2[[#This Row],[Costos (En RD$/Tarea)]])</f>
        <v>-0.551218418327216</v>
      </c>
      <c r="P1298" s="7" t="n">
        <f aca="false">Tabla2[[#This Row],[Rentabilidad (%)]]/12</f>
        <v>-0.0459348681939346</v>
      </c>
    </row>
    <row r="1299" customFormat="false" ht="14.25" hidden="false" customHeight="false" outlineLevel="0" collapsed="false">
      <c r="A1299" s="1" t="n">
        <v>39814</v>
      </c>
      <c r="B1299" s="2" t="s">
        <v>20</v>
      </c>
      <c r="C1299" s="3" t="n">
        <v>48248</v>
      </c>
      <c r="D1299" s="8" t="s">
        <v>17</v>
      </c>
      <c r="E1299" s="3" t="n">
        <f aca="false">IF(Tabla2[[#This Row],[Frecuencia]]="Annual", Tabla2[[#This Row],[Cosecha/Tarea]]/12,Tabla2[[#This Row],[Cosecha/Tarea]])</f>
        <v>48248</v>
      </c>
      <c r="F1299" s="3" t="n">
        <v>79501</v>
      </c>
      <c r="G1299" s="2" t="s">
        <v>18</v>
      </c>
      <c r="H1299" s="2" t="n">
        <f aca="false">F1299/Tabla2[[#This Row],[Cosecha Mensual]]</f>
        <v>1.64775741999668</v>
      </c>
      <c r="I1299" s="2" t="n">
        <f aca="false">H1299*_xlfn.XLOOKUP(Tabla2[[#This Row],[Unidad de producción]],Tabla3[Medida],Tabla3[Equivalencia en Kg],"ELVIS",0)</f>
        <v>74.7422765710496</v>
      </c>
      <c r="J1299" s="2" t="n">
        <v>614.464285714286</v>
      </c>
      <c r="K1299" s="2" t="s">
        <v>18</v>
      </c>
      <c r="L1299" s="2" t="n">
        <f aca="false">J1299/_xlfn.XLOOKUP(Tabla2[[#This Row],[Unidad de precio]],Tabla3[Medida],Tabla3[Equivalencia en Kg],"ELVIS",0)</f>
        <v>13.5463907785336</v>
      </c>
      <c r="M1299" s="2" t="n">
        <v>1590.10324602816</v>
      </c>
      <c r="N1299" s="3" t="n">
        <f aca="false">(Tabla2[[#This Row],[Productividad (kg/TAS)]]*Tabla2[[#This Row],[Precio por kg]]-Tabla2[[#This Row],[Costos (En RD$/Tarea)]])</f>
        <v>-577.615159919483</v>
      </c>
      <c r="O1299" s="9" t="n">
        <f aca="false">IF(Tabla2[[#This Row],[Costos (En RD$/Tarea)]]=0,0,Tabla2[[#This Row],[Beneficio Neto  (En RD$/Tarea)]]/Tabla2[[#This Row],[Costos (En RD$/Tarea)]])</f>
        <v>-0.363256386880713</v>
      </c>
      <c r="P1299" s="7" t="n">
        <f aca="false">Tabla2[[#This Row],[Rentabilidad (%)]]/12</f>
        <v>-0.0302713655733928</v>
      </c>
    </row>
    <row r="1300" customFormat="false" ht="14.25" hidden="false" customHeight="false" outlineLevel="0" collapsed="false">
      <c r="A1300" s="1" t="n">
        <v>39814</v>
      </c>
      <c r="B1300" s="2" t="s">
        <v>21</v>
      </c>
      <c r="C1300" s="3" t="n">
        <v>9843</v>
      </c>
      <c r="D1300" s="8" t="s">
        <v>17</v>
      </c>
      <c r="E1300" s="3" t="n">
        <f aca="false">IF(Tabla2[[#This Row],[Frecuencia]]="Annual", Tabla2[[#This Row],[Cosecha/Tarea]]/12,Tabla2[[#This Row],[Cosecha/Tarea]])</f>
        <v>9843</v>
      </c>
      <c r="F1300" s="3" t="n">
        <v>107050</v>
      </c>
      <c r="G1300" s="2" t="s">
        <v>18</v>
      </c>
      <c r="H1300" s="2" t="n">
        <f aca="false">F1300/Tabla2[[#This Row],[Cosecha Mensual]]</f>
        <v>10.8757492634359</v>
      </c>
      <c r="I1300" s="2" t="n">
        <f aca="false">H1300*_xlfn.XLOOKUP(Tabla2[[#This Row],[Unidad de producción]],Tabla3[Medida],Tabla3[Equivalencia en Kg],"ELVIS",0)</f>
        <v>493.323986589454</v>
      </c>
      <c r="J1300" s="2" t="n">
        <v>209.418785714286</v>
      </c>
      <c r="K1300" s="2" t="s">
        <v>18</v>
      </c>
      <c r="L1300" s="2" t="n">
        <f aca="false">J1300/_xlfn.XLOOKUP(Tabla2[[#This Row],[Unidad de precio]],Tabla3[Medida],Tabla3[Equivalencia en Kg],"ELVIS",0)</f>
        <v>4.61681626354246</v>
      </c>
      <c r="M1300" s="2" t="n">
        <v>4038.1847175</v>
      </c>
      <c r="N1300" s="3" t="n">
        <f aca="false">(Tabla2[[#This Row],[Productividad (kg/TAS)]]*Tabla2[[#This Row],[Precio por kg]]-Tabla2[[#This Row],[Costos (En RD$/Tarea)]])</f>
        <v>-1760.5985130182</v>
      </c>
      <c r="O1300" s="9" t="n">
        <f aca="false">IF(Tabla2[[#This Row],[Costos (En RD$/Tarea)]]=0,0,Tabla2[[#This Row],[Beneficio Neto  (En RD$/Tarea)]]/Tabla2[[#This Row],[Costos (En RD$/Tarea)]])</f>
        <v>-0.435987612302236</v>
      </c>
      <c r="P1300" s="7" t="n">
        <f aca="false">Tabla2[[#This Row],[Rentabilidad (%)]]/12</f>
        <v>-0.0363323010251863</v>
      </c>
    </row>
    <row r="1301" customFormat="false" ht="14.25" hidden="false" customHeight="false" outlineLevel="0" collapsed="false">
      <c r="A1301" s="1" t="n">
        <v>39814</v>
      </c>
      <c r="B1301" s="2" t="s">
        <v>22</v>
      </c>
      <c r="C1301" s="3" t="n">
        <v>8745</v>
      </c>
      <c r="D1301" s="8" t="s">
        <v>17</v>
      </c>
      <c r="E1301" s="3" t="n">
        <f aca="false">IF(Tabla2[[#This Row],[Frecuencia]]="Annual", Tabla2[[#This Row],[Cosecha/Tarea]]/12,Tabla2[[#This Row],[Cosecha/Tarea]])</f>
        <v>8745</v>
      </c>
      <c r="F1301" s="3" t="n">
        <v>84120</v>
      </c>
      <c r="G1301" s="2" t="s">
        <v>18</v>
      </c>
      <c r="H1301" s="2" t="n">
        <f aca="false">F1301/Tabla2[[#This Row],[Cosecha Mensual]]</f>
        <v>9.61921097770154</v>
      </c>
      <c r="I1301" s="2" t="n">
        <f aca="false">H1301*_xlfn.XLOOKUP(Tabla2[[#This Row],[Unidad de producción]],Tabla3[Medida],Tabla3[Equivalencia en Kg],"ELVIS",0)</f>
        <v>436.327409948542</v>
      </c>
      <c r="J1301" s="2" t="n">
        <v>956.928</v>
      </c>
      <c r="K1301" s="2" t="s">
        <v>18</v>
      </c>
      <c r="L1301" s="2" t="n">
        <f aca="false">J1301/_xlfn.XLOOKUP(Tabla2[[#This Row],[Unidad de precio]],Tabla3[Medida],Tabla3[Equivalencia en Kg],"ELVIS",0)</f>
        <v>21.0962962962963</v>
      </c>
      <c r="M1301" s="2" t="n">
        <v>7095.7961172</v>
      </c>
      <c r="N1301" s="3" t="n">
        <f aca="false">(Tabla2[[#This Row],[Productividad (kg/TAS)]]*Tabla2[[#This Row],[Precio por kg]]-Tabla2[[#This Row],[Costos (En RD$/Tarea)]])</f>
        <v>2109.09620526998</v>
      </c>
      <c r="O1301" s="9" t="n">
        <f aca="false">IF(Tabla2[[#This Row],[Costos (En RD$/Tarea)]]=0,0,Tabla2[[#This Row],[Beneficio Neto  (En RD$/Tarea)]]/Tabla2[[#This Row],[Costos (En RD$/Tarea)]])</f>
        <v>0.297231793365313</v>
      </c>
      <c r="P1301" s="7" t="n">
        <f aca="false">Tabla2[[#This Row],[Rentabilidad (%)]]/12</f>
        <v>0.0247693161137761</v>
      </c>
    </row>
    <row r="1302" customFormat="false" ht="14.25" hidden="false" customHeight="false" outlineLevel="0" collapsed="false">
      <c r="A1302" s="1" t="n">
        <v>39814</v>
      </c>
      <c r="B1302" s="2" t="s">
        <v>23</v>
      </c>
      <c r="C1302" s="3" t="n">
        <v>1916</v>
      </c>
      <c r="D1302" s="8" t="s">
        <v>17</v>
      </c>
      <c r="E1302" s="3" t="n">
        <f aca="false">IF(Tabla2[[#This Row],[Frecuencia]]="Annual", Tabla2[[#This Row],[Cosecha/Tarea]]/12,Tabla2[[#This Row],[Cosecha/Tarea]])</f>
        <v>1916</v>
      </c>
      <c r="F1302" s="3" t="n">
        <v>60890</v>
      </c>
      <c r="G1302" s="2" t="s">
        <v>18</v>
      </c>
      <c r="H1302" s="2" t="n">
        <f aca="false">F1302/Tabla2[[#This Row],[Cosecha Mensual]]</f>
        <v>31.7797494780793</v>
      </c>
      <c r="I1302" s="2" t="n">
        <f aca="false">H1302*_xlfn.XLOOKUP(Tabla2[[#This Row],[Unidad de producción]],Tabla3[Medida],Tabla3[Equivalencia en Kg],"ELVIS",0)</f>
        <v>1441.52943632568</v>
      </c>
      <c r="J1302" s="2" t="n">
        <v>786.25</v>
      </c>
      <c r="K1302" s="2" t="s">
        <v>18</v>
      </c>
      <c r="L1302" s="2" t="n">
        <f aca="false">J1302/_xlfn.XLOOKUP(Tabla2[[#This Row],[Unidad de precio]],Tabla3[Medida],Tabla3[Equivalencia en Kg],"ELVIS",0)</f>
        <v>17.3335537918871</v>
      </c>
      <c r="M1302" s="2" t="n">
        <v>17661.8086675086</v>
      </c>
      <c r="N1302" s="3" t="n">
        <f aca="false">(Tabla2[[#This Row],[Productividad (kg/TAS)]]*Tabla2[[#This Row],[Precio por kg]]-Tabla2[[#This Row],[Costos (En RD$/Tarea)]])</f>
        <v>7325.01935963128</v>
      </c>
      <c r="O1302" s="9" t="n">
        <f aca="false">IF(Tabla2[[#This Row],[Costos (En RD$/Tarea)]]=0,0,Tabla2[[#This Row],[Beneficio Neto  (En RD$/Tarea)]]/Tabla2[[#This Row],[Costos (En RD$/Tarea)]])</f>
        <v>0.414737782382768</v>
      </c>
      <c r="P1302" s="7" t="n">
        <f aca="false">Tabla2[[#This Row],[Rentabilidad (%)]]/12</f>
        <v>0.0345614818652307</v>
      </c>
    </row>
    <row r="1303" customFormat="false" ht="14.25" hidden="false" customHeight="false" outlineLevel="0" collapsed="false">
      <c r="A1303" s="1" t="n">
        <v>39814</v>
      </c>
      <c r="B1303" s="2" t="s">
        <v>24</v>
      </c>
      <c r="C1303" s="3" t="n">
        <v>6809</v>
      </c>
      <c r="D1303" s="8" t="s">
        <v>17</v>
      </c>
      <c r="E1303" s="3" t="n">
        <f aca="false">IF(Tabla2[[#This Row],[Frecuencia]]="Annual", Tabla2[[#This Row],[Cosecha/Tarea]]/12,Tabla2[[#This Row],[Cosecha/Tarea]])</f>
        <v>6809</v>
      </c>
      <c r="F1303" s="3" t="n">
        <v>63672</v>
      </c>
      <c r="G1303" s="2" t="s">
        <v>18</v>
      </c>
      <c r="H1303" s="2" t="n">
        <f aca="false">F1303/Tabla2[[#This Row],[Cosecha Mensual]]</f>
        <v>9.35115288588633</v>
      </c>
      <c r="I1303" s="2" t="n">
        <f aca="false">H1303*_xlfn.XLOOKUP(Tabla2[[#This Row],[Unidad de producción]],Tabla3[Medida],Tabla3[Equivalencia en Kg],"ELVIS",0)</f>
        <v>424.168294903804</v>
      </c>
      <c r="J1303" s="2" t="n">
        <v>1266.573</v>
      </c>
      <c r="K1303" s="2" t="s">
        <v>18</v>
      </c>
      <c r="L1303" s="2" t="n">
        <f aca="false">J1303/_xlfn.XLOOKUP(Tabla2[[#This Row],[Unidad de precio]],Tabla3[Medida],Tabla3[Equivalencia en Kg],"ELVIS",0)</f>
        <v>27.9226851851852</v>
      </c>
      <c r="M1303" s="2" t="n">
        <v>5745.6881190336</v>
      </c>
      <c r="N1303" s="3" t="n">
        <f aca="false">(Tabla2[[#This Row],[Productividad (kg/TAS)]]*Tabla2[[#This Row],[Precio por kg]]-Tabla2[[#This Row],[Costos (En RD$/Tarea)]])</f>
        <v>6098.2296451021</v>
      </c>
      <c r="O1303" s="9" t="n">
        <f aca="false">IF(Tabla2[[#This Row],[Costos (En RD$/Tarea)]]=0,0,Tabla2[[#This Row],[Beneficio Neto  (En RD$/Tarea)]]/Tabla2[[#This Row],[Costos (En RD$/Tarea)]])</f>
        <v>1.06135758133141</v>
      </c>
      <c r="P1303" s="7" t="n">
        <f aca="false">Tabla2[[#This Row],[Rentabilidad (%)]]/12</f>
        <v>0.0884464651109506</v>
      </c>
    </row>
    <row r="1304" customFormat="false" ht="14.25" hidden="false" customHeight="false" outlineLevel="0" collapsed="false">
      <c r="A1304" s="1" t="n">
        <v>39814</v>
      </c>
      <c r="B1304" s="2" t="s">
        <v>25</v>
      </c>
      <c r="C1304" s="3" t="n">
        <v>24520</v>
      </c>
      <c r="D1304" s="8" t="s">
        <v>17</v>
      </c>
      <c r="E1304" s="3" t="n">
        <f aca="false">IF(Tabla2[[#This Row],[Frecuencia]]="Annual", Tabla2[[#This Row],[Cosecha/Tarea]]/12,Tabla2[[#This Row],[Cosecha/Tarea]])</f>
        <v>24520</v>
      </c>
      <c r="F1304" s="3" t="n">
        <v>272658</v>
      </c>
      <c r="G1304" s="2" t="s">
        <v>18</v>
      </c>
      <c r="H1304" s="2" t="n">
        <f aca="false">F1304/Tabla2[[#This Row],[Cosecha Mensual]]</f>
        <v>11.1198205546493</v>
      </c>
      <c r="I1304" s="2" t="n">
        <f aca="false">H1304*_xlfn.XLOOKUP(Tabla2[[#This Row],[Unidad de producción]],Tabla3[Medida],Tabla3[Equivalencia en Kg],"ELVIS",0)</f>
        <v>504.395060358891</v>
      </c>
      <c r="J1304" s="2" t="n">
        <v>358.127057142857</v>
      </c>
      <c r="K1304" s="2" t="s">
        <v>18</v>
      </c>
      <c r="L1304" s="2" t="n">
        <f aca="false">J1304/_xlfn.XLOOKUP(Tabla2[[#This Row],[Unidad de precio]],Tabla3[Medida],Tabla3[Equivalencia en Kg],"ELVIS",0)</f>
        <v>7.89521730914588</v>
      </c>
      <c r="M1304" s="2" t="n">
        <v>3380.66818371576</v>
      </c>
      <c r="N1304" s="3" t="n">
        <f aca="false">(Tabla2[[#This Row],[Productividad (kg/TAS)]]*Tabla2[[#This Row],[Precio por kg]]-Tabla2[[#This Row],[Costos (En RD$/Tarea)]])</f>
        <v>601.640427477434</v>
      </c>
      <c r="O1304" s="9" t="n">
        <f aca="false">IF(Tabla2[[#This Row],[Costos (En RD$/Tarea)]]=0,0,Tabla2[[#This Row],[Beneficio Neto  (En RD$/Tarea)]]/Tabla2[[#This Row],[Costos (En RD$/Tarea)]])</f>
        <v>0.177964945029346</v>
      </c>
      <c r="P1304" s="7" t="n">
        <f aca="false">Tabla2[[#This Row],[Rentabilidad (%)]]/12</f>
        <v>0.0148304120857788</v>
      </c>
    </row>
    <row r="1305" customFormat="false" ht="14.25" hidden="false" customHeight="false" outlineLevel="0" collapsed="false">
      <c r="A1305" s="1" t="n">
        <v>39814</v>
      </c>
      <c r="B1305" s="2" t="s">
        <v>26</v>
      </c>
      <c r="C1305" s="3" t="n">
        <v>12823</v>
      </c>
      <c r="D1305" s="8" t="s">
        <v>17</v>
      </c>
      <c r="E1305" s="3" t="n">
        <f aca="false">IF(Tabla2[[#This Row],[Frecuencia]]="Annual", Tabla2[[#This Row],[Cosecha/Tarea]]/12,Tabla2[[#This Row],[Cosecha/Tarea]])</f>
        <v>12823</v>
      </c>
      <c r="F1305" s="3" t="n">
        <v>103056</v>
      </c>
      <c r="G1305" s="2" t="s">
        <v>18</v>
      </c>
      <c r="H1305" s="2" t="n">
        <f aca="false">F1305/Tabla2[[#This Row],[Cosecha Mensual]]</f>
        <v>8.03680885908134</v>
      </c>
      <c r="I1305" s="2" t="n">
        <f aca="false">H1305*_xlfn.XLOOKUP(Tabla2[[#This Row],[Unidad de producción]],Tabla3[Medida],Tabla3[Equivalencia en Kg],"ELVIS",0)</f>
        <v>364.54964984793</v>
      </c>
      <c r="J1305" s="2" t="n">
        <v>722.731428571429</v>
      </c>
      <c r="K1305" s="2" t="s">
        <v>18</v>
      </c>
      <c r="L1305" s="2" t="n">
        <f aca="false">J1305/_xlfn.XLOOKUP(Tabla2[[#This Row],[Unidad de precio]],Tabla3[Medida],Tabla3[Equivalencia en Kg],"ELVIS",0)</f>
        <v>15.9332325522802</v>
      </c>
      <c r="M1305" s="2" t="n">
        <v>1376.3165203125</v>
      </c>
      <c r="N1305" s="3" t="n">
        <f aca="false">(Tabla2[[#This Row],[Productividad (kg/TAS)]]*Tabla2[[#This Row],[Precio por kg]]-Tabla2[[#This Row],[Costos (En RD$/Tarea)]])</f>
        <v>4432.13782756687</v>
      </c>
      <c r="O1305" s="9" t="n">
        <f aca="false">IF(Tabla2[[#This Row],[Costos (En RD$/Tarea)]]=0,0,Tabla2[[#This Row],[Beneficio Neto  (En RD$/Tarea)]]/Tabla2[[#This Row],[Costos (En RD$/Tarea)]])</f>
        <v>3.22028963698011</v>
      </c>
      <c r="P1305" s="7" t="n">
        <f aca="false">Tabla2[[#This Row],[Rentabilidad (%)]]/12</f>
        <v>0.268357469748343</v>
      </c>
    </row>
    <row r="1306" customFormat="false" ht="14.25" hidden="false" customHeight="false" outlineLevel="0" collapsed="false">
      <c r="A1306" s="1" t="n">
        <v>39814</v>
      </c>
      <c r="B1306" s="2" t="s">
        <v>27</v>
      </c>
      <c r="C1306" s="3" t="n">
        <v>5341</v>
      </c>
      <c r="D1306" s="8" t="s">
        <v>17</v>
      </c>
      <c r="E1306" s="3" t="n">
        <f aca="false">IF(Tabla2[[#This Row],[Frecuencia]]="Annual", Tabla2[[#This Row],[Cosecha/Tarea]]/12,Tabla2[[#This Row],[Cosecha/Tarea]])</f>
        <v>5341</v>
      </c>
      <c r="F1306" s="3" t="n">
        <v>39852</v>
      </c>
      <c r="G1306" s="2" t="s">
        <v>18</v>
      </c>
      <c r="H1306" s="2" t="n">
        <f aca="false">F1306/Tabla2[[#This Row],[Cosecha Mensual]]</f>
        <v>7.46152405916495</v>
      </c>
      <c r="I1306" s="2" t="n">
        <f aca="false">H1306*_xlfn.XLOOKUP(Tabla2[[#This Row],[Unidad de producción]],Tabla3[Medida],Tabla3[Equivalencia en Kg],"ELVIS",0)</f>
        <v>338.454731323722</v>
      </c>
      <c r="J1306" s="2" t="n">
        <v>267.6555</v>
      </c>
      <c r="K1306" s="2" t="s">
        <v>18</v>
      </c>
      <c r="L1306" s="2" t="n">
        <f aca="false">J1306/_xlfn.XLOOKUP(Tabla2[[#This Row],[Unidad de precio]],Tabla3[Medida],Tabla3[Equivalencia en Kg],"ELVIS",0)</f>
        <v>5.90069444444445</v>
      </c>
      <c r="M1306" s="2" t="n">
        <v>5690.0383784955</v>
      </c>
      <c r="N1306" s="3" t="n">
        <f aca="false">(Tabla2[[#This Row],[Productividad (kg/TAS)]]*Tabla2[[#This Row],[Precio por kg]]-Tabla2[[#This Row],[Costos (En RD$/Tarea)]])</f>
        <v>-3692.92042567768</v>
      </c>
      <c r="O1306" s="9" t="n">
        <f aca="false">IF(Tabla2[[#This Row],[Costos (En RD$/Tarea)]]=0,0,Tabla2[[#This Row],[Beneficio Neto  (En RD$/Tarea)]]/Tabla2[[#This Row],[Costos (En RD$/Tarea)]])</f>
        <v>-0.649015029430104</v>
      </c>
      <c r="P1306" s="7" t="n">
        <f aca="false">Tabla2[[#This Row],[Rentabilidad (%)]]/12</f>
        <v>-0.054084585785842</v>
      </c>
    </row>
    <row r="1307" customFormat="false" ht="14.25" hidden="false" customHeight="false" outlineLevel="0" collapsed="false">
      <c r="A1307" s="1" t="n">
        <v>39814</v>
      </c>
      <c r="B1307" s="2" t="s">
        <v>28</v>
      </c>
      <c r="C1307" s="3" t="n">
        <v>22114</v>
      </c>
      <c r="D1307" s="8" t="s">
        <v>17</v>
      </c>
      <c r="E1307" s="3" t="n">
        <f aca="false">IF(Tabla2[[#This Row],[Frecuencia]]="Annual", Tabla2[[#This Row],[Cosecha/Tarea]]/12,Tabla2[[#This Row],[Cosecha/Tarea]])</f>
        <v>22114</v>
      </c>
      <c r="F1307" s="3" t="n">
        <v>13590</v>
      </c>
      <c r="G1307" s="2" t="s">
        <v>29</v>
      </c>
      <c r="H1307" s="2" t="n">
        <f aca="false">F1307/Tabla2[[#This Row],[Cosecha Mensual]]</f>
        <v>0.614542823550692</v>
      </c>
      <c r="I1307" s="2" t="n">
        <f aca="false">H1307*_xlfn.XLOOKUP(Tabla2[[#This Row],[Unidad de producción]],Tabla3[Medida],Tabla3[Equivalencia en Kg],"ELVIS",0)</f>
        <v>345.582011395496</v>
      </c>
      <c r="J1307" s="2" t="n">
        <v>5800</v>
      </c>
      <c r="K1307" s="2" t="s">
        <v>29</v>
      </c>
      <c r="L1307" s="2" t="n">
        <f aca="false">J1307/_xlfn.XLOOKUP(Tabla2[[#This Row],[Unidad de precio]],Tabla3[Medida],Tabla3[Equivalencia en Kg],"ELVIS",0)</f>
        <v>10.3140448838781</v>
      </c>
      <c r="M1307" s="2" t="n">
        <v>5157.16231976537</v>
      </c>
      <c r="N1307" s="3" t="n">
        <f aca="false">(Tabla2[[#This Row],[Productividad (kg/TAS)]]*Tabla2[[#This Row],[Precio por kg]]-Tabla2[[#This Row],[Costos (En RD$/Tarea)]])</f>
        <v>-1592.81394317136</v>
      </c>
      <c r="O1307" s="9" t="n">
        <f aca="false">IF(Tabla2[[#This Row],[Costos (En RD$/Tarea)]]=0,0,Tabla2[[#This Row],[Beneficio Neto  (En RD$/Tarea)]]/Tabla2[[#This Row],[Costos (En RD$/Tarea)]])</f>
        <v>-0.308854723665906</v>
      </c>
      <c r="P1307" s="7" t="n">
        <f aca="false">Tabla2[[#This Row],[Rentabilidad (%)]]/12</f>
        <v>-0.0257378936388255</v>
      </c>
    </row>
    <row r="1308" customFormat="false" ht="14.25" hidden="false" customHeight="false" outlineLevel="0" collapsed="false">
      <c r="A1308" s="1" t="n">
        <v>39814</v>
      </c>
      <c r="B1308" s="2" t="s">
        <v>30</v>
      </c>
      <c r="C1308" s="3" t="n">
        <v>287462</v>
      </c>
      <c r="D1308" s="3" t="s">
        <v>31</v>
      </c>
      <c r="E1308" s="3" t="n">
        <f aca="false">IF(Tabla2[[#This Row],[Frecuencia]]="Annual", Tabla2[[#This Row],[Cosecha/Tarea]]/12,Tabla2[[#This Row],[Cosecha/Tarea]])</f>
        <v>23955.1666666667</v>
      </c>
      <c r="F1308" s="3" t="n">
        <v>1619468</v>
      </c>
      <c r="G1308" s="2" t="s">
        <v>32</v>
      </c>
      <c r="H1308" s="2" t="n">
        <f aca="false">F1308/Tabla2[[#This Row],[Cosecha Mensual]]</f>
        <v>67.6041215882447</v>
      </c>
      <c r="I1308" s="2" t="n">
        <f aca="false">H1308*_xlfn.XLOOKUP(Tabla2[[#This Row],[Unidad de producción]],Tabla3[Medida],Tabla3[Equivalencia en Kg],"ELVIS",0)</f>
        <v>1839.50814841614</v>
      </c>
      <c r="J1308" s="2" t="n">
        <v>119.91</v>
      </c>
      <c r="K1308" s="2" t="s">
        <v>32</v>
      </c>
      <c r="L1308" s="2" t="n">
        <f aca="false">J1308/_xlfn.XLOOKUP(Tabla2[[#This Row],[Unidad de precio]],Tabla3[Medida],Tabla3[Equivalencia en Kg],"ELVIS",0)</f>
        <v>4.40683572216097</v>
      </c>
      <c r="M1308" s="3" t="n">
        <v>9253.94477920298</v>
      </c>
      <c r="N1308" s="3" t="n">
        <f aca="false">(Tabla2[[#This Row],[Productividad (kg/TAS)]]*Tabla2[[#This Row],[Precio por kg]]-Tabla2[[#This Row],[Costos (En RD$/Tarea)]])</f>
        <v>-1147.53455955656</v>
      </c>
      <c r="O1308" s="9" t="n">
        <f aca="false">IF(Tabla2[[#This Row],[Costos (En RD$/Tarea)]]=0,0,Tabla2[[#This Row],[Beneficio Neto  (En RD$/Tarea)]]/Tabla2[[#This Row],[Costos (En RD$/Tarea)]])</f>
        <v>-0.124004906765328</v>
      </c>
      <c r="P1308" s="7" t="n">
        <f aca="false">Tabla2[[#This Row],[Rentabilidad (%)]]/12</f>
        <v>-0.010333742230444</v>
      </c>
    </row>
    <row r="1309" customFormat="false" ht="14.25" hidden="false" customHeight="false" outlineLevel="0" collapsed="false">
      <c r="A1309" s="1" t="n">
        <v>39814</v>
      </c>
      <c r="B1309" s="2" t="s">
        <v>33</v>
      </c>
      <c r="C1309" s="3" t="n">
        <v>643190</v>
      </c>
      <c r="D1309" s="3" t="s">
        <v>31</v>
      </c>
      <c r="E1309" s="11" t="n">
        <f aca="false">IF(Tabla2[[#This Row],[Frecuencia]]="Annual", Tabla2[[#This Row],[Cosecha/Tarea]]/12,Tabla2[[#This Row],[Cosecha/Tarea]])</f>
        <v>53599.1666666667</v>
      </c>
      <c r="F1309" s="3" t="n">
        <v>219577</v>
      </c>
      <c r="G1309" s="2" t="s">
        <v>34</v>
      </c>
      <c r="H1309" s="2" t="n">
        <f aca="false">F1309/Tabla2[[#This Row],[Cosecha Mensual]]</f>
        <v>4.09664951258571</v>
      </c>
      <c r="I1309" s="2" t="n">
        <f aca="false">H1309*_xlfn.XLOOKUP(Tabla2[[#This Row],[Unidad de producción]],Tabla3[Medida],Tabla3[Equivalencia en Kg],"ELVIS",0)</f>
        <v>1672.04749856186</v>
      </c>
      <c r="J1309" s="2" t="n">
        <v>4369.09571428571</v>
      </c>
      <c r="K1309" s="2" t="s">
        <v>34</v>
      </c>
      <c r="L1309" s="2" t="n">
        <f aca="false">J1309/_xlfn.XLOOKUP(Tabla2[[#This Row],[Unidad de precio]],Tabla3[Medida],Tabla3[Equivalencia en Kg],"ELVIS",0)</f>
        <v>10.704632400553</v>
      </c>
      <c r="M1309" s="3" t="n">
        <v>8960.6721575976</v>
      </c>
      <c r="N1309" s="3" t="n">
        <f aca="false">(Tabla2[[#This Row],[Productividad (kg/TAS)]]*Tabla2[[#This Row],[Precio por kg]]-Tabla2[[#This Row],[Costos (En RD$/Tarea)]])</f>
        <v>8937.98167077125</v>
      </c>
      <c r="O1309" s="9" t="n">
        <f aca="false">IF(Tabla2[[#This Row],[Costos (En RD$/Tarea)]]=0,0,Tabla2[[#This Row],[Beneficio Neto  (En RD$/Tarea)]]/Tabla2[[#This Row],[Costos (En RD$/Tarea)]])</f>
        <v>0.997467769557096</v>
      </c>
      <c r="P1309" s="7" t="n">
        <f aca="false">Tabla2[[#This Row],[Rentabilidad (%)]]/12</f>
        <v>0.083122314129758</v>
      </c>
    </row>
    <row r="1310" customFormat="false" ht="14.25" hidden="false" customHeight="false" outlineLevel="0" collapsed="false">
      <c r="A1310" s="1" t="n">
        <v>39845</v>
      </c>
      <c r="B1310" s="2" t="s">
        <v>16</v>
      </c>
      <c r="C1310" s="3" t="n">
        <v>2776</v>
      </c>
      <c r="D1310" s="8" t="s">
        <v>17</v>
      </c>
      <c r="E1310" s="3" t="n">
        <f aca="false">IF(Tabla2[[#This Row],[Frecuencia]]="Annual", Tabla2[[#This Row],[Cosecha/Tarea]]/12,Tabla2[[#This Row],[Cosecha/Tarea]])</f>
        <v>2776</v>
      </c>
      <c r="F1310" s="3" t="n">
        <v>6204</v>
      </c>
      <c r="G1310" s="2" t="s">
        <v>18</v>
      </c>
      <c r="H1310" s="2" t="n">
        <f aca="false">F1310/Tabla2[[#This Row],[Cosecha Mensual]]</f>
        <v>2.23487031700288</v>
      </c>
      <c r="I1310" s="2" t="n">
        <f aca="false">H1310*_xlfn.XLOOKUP(Tabla2[[#This Row],[Unidad de producción]],Tabla3[Medida],Tabla3[Equivalencia en Kg],"ELVIS",0)</f>
        <v>101.373717579251</v>
      </c>
      <c r="J1310" s="2" t="n">
        <v>1873.63336299689</v>
      </c>
      <c r="K1310" s="2" t="s">
        <v>19</v>
      </c>
      <c r="L1310" s="2" t="n">
        <f aca="false">J1310/_xlfn.XLOOKUP(Tabla2[[#This Row],[Unidad de precio]],Tabla3[Medida],Tabla3[Equivalencia en Kg],"ELVIS",0)</f>
        <v>17.033030572699</v>
      </c>
      <c r="M1310" s="2" t="n">
        <v>6526.78</v>
      </c>
      <c r="N1310" s="3" t="n">
        <f aca="false">(Tabla2[[#This Row],[Productividad (kg/TAS)]]*Tabla2[[#This Row],[Precio por kg]]-Tabla2[[#This Row],[Costos (En RD$/Tarea)]])</f>
        <v>-4800.07836920447</v>
      </c>
      <c r="O1310" s="9" t="n">
        <f aca="false">IF(Tabla2[[#This Row],[Costos (En RD$/Tarea)]]=0,0,Tabla2[[#This Row],[Beneficio Neto  (En RD$/Tarea)]]/Tabla2[[#This Row],[Costos (En RD$/Tarea)]])</f>
        <v>-0.735443567763042</v>
      </c>
      <c r="P1310" s="7" t="n">
        <f aca="false">Tabla2[[#This Row],[Rentabilidad (%)]]/12</f>
        <v>-0.0612869639802535</v>
      </c>
    </row>
    <row r="1311" customFormat="false" ht="14.25" hidden="false" customHeight="false" outlineLevel="0" collapsed="false">
      <c r="A1311" s="1" t="n">
        <v>39845</v>
      </c>
      <c r="B1311" s="2" t="s">
        <v>20</v>
      </c>
      <c r="C1311" s="3" t="n">
        <v>16684</v>
      </c>
      <c r="D1311" s="8" t="s">
        <v>17</v>
      </c>
      <c r="E1311" s="3" t="n">
        <f aca="false">IF(Tabla2[[#This Row],[Frecuencia]]="Annual", Tabla2[[#This Row],[Cosecha/Tarea]]/12,Tabla2[[#This Row],[Cosecha/Tarea]])</f>
        <v>16684</v>
      </c>
      <c r="F1311" s="3" t="n">
        <v>41407</v>
      </c>
      <c r="G1311" s="2" t="s">
        <v>18</v>
      </c>
      <c r="H1311" s="2" t="n">
        <f aca="false">F1311/Tabla2[[#This Row],[Cosecha Mensual]]</f>
        <v>2.48183888755694</v>
      </c>
      <c r="I1311" s="2" t="n">
        <f aca="false">H1311*_xlfn.XLOOKUP(Tabla2[[#This Row],[Unidad de producción]],Tabla3[Medida],Tabla3[Equivalencia en Kg],"ELVIS",0)</f>
        <v>112.576211939583</v>
      </c>
      <c r="J1311" s="2" t="n">
        <v>620.41125</v>
      </c>
      <c r="K1311" s="2" t="s">
        <v>18</v>
      </c>
      <c r="L1311" s="2" t="n">
        <f aca="false">J1311/_xlfn.XLOOKUP(Tabla2[[#This Row],[Unidad de precio]],Tabla3[Medida],Tabla3[Equivalencia en Kg],"ELVIS",0)</f>
        <v>13.6774966931217</v>
      </c>
      <c r="M1311" s="2" t="n">
        <v>1590.10324602816</v>
      </c>
      <c r="N1311" s="3" t="n">
        <f aca="false">(Tabla2[[#This Row],[Productividad (kg/TAS)]]*Tabla2[[#This Row],[Precio por kg]]-Tabla2[[#This Row],[Costos (En RD$/Tarea)]])</f>
        <v>-50.3424795003491</v>
      </c>
      <c r="O1311" s="9" t="n">
        <f aca="false">IF(Tabla2[[#This Row],[Costos (En RD$/Tarea)]]=0,0,Tabla2[[#This Row],[Beneficio Neto  (En RD$/Tarea)]]/Tabla2[[#This Row],[Costos (En RD$/Tarea)]])</f>
        <v>-0.0316598809706836</v>
      </c>
      <c r="P1311" s="7" t="n">
        <f aca="false">Tabla2[[#This Row],[Rentabilidad (%)]]/12</f>
        <v>-0.00263832341422363</v>
      </c>
    </row>
    <row r="1312" customFormat="false" ht="14.25" hidden="false" customHeight="false" outlineLevel="0" collapsed="false">
      <c r="A1312" s="1" t="n">
        <v>39845</v>
      </c>
      <c r="B1312" s="2" t="s">
        <v>21</v>
      </c>
      <c r="C1312" s="3" t="n">
        <v>8697</v>
      </c>
      <c r="D1312" s="8" t="s">
        <v>17</v>
      </c>
      <c r="E1312" s="3" t="n">
        <f aca="false">IF(Tabla2[[#This Row],[Frecuencia]]="Annual", Tabla2[[#This Row],[Cosecha/Tarea]]/12,Tabla2[[#This Row],[Cosecha/Tarea]])</f>
        <v>8697</v>
      </c>
      <c r="F1312" s="3" t="n">
        <v>91060</v>
      </c>
      <c r="G1312" s="2" t="s">
        <v>18</v>
      </c>
      <c r="H1312" s="2" t="n">
        <f aca="false">F1312/Tabla2[[#This Row],[Cosecha Mensual]]</f>
        <v>10.4702771070484</v>
      </c>
      <c r="I1312" s="2" t="n">
        <f aca="false">H1312*_xlfn.XLOOKUP(Tabla2[[#This Row],[Unidad de producción]],Tabla3[Medida],Tabla3[Equivalencia en Kg],"ELVIS",0)</f>
        <v>474.931769575716</v>
      </c>
      <c r="J1312" s="2" t="n">
        <v>215.338357142857</v>
      </c>
      <c r="K1312" s="2" t="s">
        <v>18</v>
      </c>
      <c r="L1312" s="2" t="n">
        <f aca="false">J1312/_xlfn.XLOOKUP(Tabla2[[#This Row],[Unidad de precio]],Tabla3[Medida],Tabla3[Equivalencia en Kg],"ELVIS",0)</f>
        <v>4.74731827916351</v>
      </c>
      <c r="M1312" s="2" t="n">
        <v>4038.1847175</v>
      </c>
      <c r="N1312" s="3" t="n">
        <f aca="false">(Tabla2[[#This Row],[Productividad (kg/TAS)]]*Tabla2[[#This Row],[Precio por kg]]-Tabla2[[#This Row],[Costos (En RD$/Tarea)]])</f>
        <v>-1783.53244643773</v>
      </c>
      <c r="O1312" s="9" t="n">
        <f aca="false">IF(Tabla2[[#This Row],[Costos (En RD$/Tarea)]]=0,0,Tabla2[[#This Row],[Beneficio Neto  (En RD$/Tarea)]]/Tabla2[[#This Row],[Costos (En RD$/Tarea)]])</f>
        <v>-0.441666880345656</v>
      </c>
      <c r="P1312" s="7" t="n">
        <f aca="false">Tabla2[[#This Row],[Rentabilidad (%)]]/12</f>
        <v>-0.036805573362138</v>
      </c>
    </row>
    <row r="1313" customFormat="false" ht="14.25" hidden="false" customHeight="false" outlineLevel="0" collapsed="false">
      <c r="A1313" s="1" t="n">
        <v>39845</v>
      </c>
      <c r="B1313" s="2" t="s">
        <v>22</v>
      </c>
      <c r="C1313" s="3" t="n">
        <v>10728</v>
      </c>
      <c r="D1313" s="8" t="s">
        <v>17</v>
      </c>
      <c r="E1313" s="3" t="n">
        <f aca="false">IF(Tabla2[[#This Row],[Frecuencia]]="Annual", Tabla2[[#This Row],[Cosecha/Tarea]]/12,Tabla2[[#This Row],[Cosecha/Tarea]])</f>
        <v>10728</v>
      </c>
      <c r="F1313" s="3" t="n">
        <v>102069</v>
      </c>
      <c r="G1313" s="2" t="s">
        <v>18</v>
      </c>
      <c r="H1313" s="2" t="n">
        <f aca="false">F1313/Tabla2[[#This Row],[Cosecha Mensual]]</f>
        <v>9.51426174496644</v>
      </c>
      <c r="I1313" s="2" t="n">
        <f aca="false">H1313*_xlfn.XLOOKUP(Tabla2[[#This Row],[Unidad de producción]],Tabla3[Medida],Tabla3[Equivalencia en Kg],"ELVIS",0)</f>
        <v>431.566912751678</v>
      </c>
      <c r="J1313" s="2" t="n">
        <v>907.575</v>
      </c>
      <c r="K1313" s="2" t="s">
        <v>18</v>
      </c>
      <c r="L1313" s="2" t="n">
        <f aca="false">J1313/_xlfn.XLOOKUP(Tabla2[[#This Row],[Unidad de precio]],Tabla3[Medida],Tabla3[Equivalencia en Kg],"ELVIS",0)</f>
        <v>20.0082671957672</v>
      </c>
      <c r="M1313" s="2" t="n">
        <v>7095.7961172</v>
      </c>
      <c r="N1313" s="3" t="n">
        <f aca="false">(Tabla2[[#This Row],[Productividad (kg/TAS)]]*Tabla2[[#This Row],[Precio por kg]]-Tabla2[[#This Row],[Costos (En RD$/Tarea)]])</f>
        <v>1539.10998598792</v>
      </c>
      <c r="O1313" s="9" t="n">
        <f aca="false">IF(Tabla2[[#This Row],[Costos (En RD$/Tarea)]]=0,0,Tabla2[[#This Row],[Beneficio Neto  (En RD$/Tarea)]]/Tabla2[[#This Row],[Costos (En RD$/Tarea)]])</f>
        <v>0.216904482677731</v>
      </c>
      <c r="P1313" s="7" t="n">
        <f aca="false">Tabla2[[#This Row],[Rentabilidad (%)]]/12</f>
        <v>0.0180753735564776</v>
      </c>
    </row>
    <row r="1314" customFormat="false" ht="14.25" hidden="false" customHeight="false" outlineLevel="0" collapsed="false">
      <c r="A1314" s="1" t="n">
        <v>39845</v>
      </c>
      <c r="B1314" s="2" t="s">
        <v>23</v>
      </c>
      <c r="C1314" s="3" t="n">
        <v>3664</v>
      </c>
      <c r="D1314" s="8" t="s">
        <v>17</v>
      </c>
      <c r="E1314" s="3" t="n">
        <f aca="false">IF(Tabla2[[#This Row],[Frecuencia]]="Annual", Tabla2[[#This Row],[Cosecha/Tarea]]/12,Tabla2[[#This Row],[Cosecha/Tarea]])</f>
        <v>3664</v>
      </c>
      <c r="F1314" s="3" t="n">
        <v>131501</v>
      </c>
      <c r="G1314" s="2" t="s">
        <v>18</v>
      </c>
      <c r="H1314" s="2" t="n">
        <f aca="false">F1314/Tabla2[[#This Row],[Cosecha Mensual]]</f>
        <v>35.8900109170306</v>
      </c>
      <c r="I1314" s="2" t="n">
        <f aca="false">H1314*_xlfn.XLOOKUP(Tabla2[[#This Row],[Unidad de producción]],Tabla3[Medida],Tabla3[Equivalencia en Kg],"ELVIS",0)</f>
        <v>1627.97089519651</v>
      </c>
      <c r="J1314" s="2" t="n">
        <v>685</v>
      </c>
      <c r="K1314" s="2" t="s">
        <v>18</v>
      </c>
      <c r="L1314" s="2" t="n">
        <f aca="false">J1314/_xlfn.XLOOKUP(Tabla2[[#This Row],[Unidad de precio]],Tabla3[Medida],Tabla3[Equivalencia en Kg],"ELVIS",0)</f>
        <v>15.1014109347443</v>
      </c>
      <c r="M1314" s="2" t="n">
        <v>17661.8086675086</v>
      </c>
      <c r="N1314" s="3" t="n">
        <f aca="false">(Tabla2[[#This Row],[Productividad (kg/TAS)]]*Tabla2[[#This Row],[Precio por kg]]-Tabla2[[#This Row],[Costos (En RD$/Tarea)]])</f>
        <v>6922.84881065734</v>
      </c>
      <c r="O1314" s="9" t="n">
        <f aca="false">IF(Tabla2[[#This Row],[Costos (En RD$/Tarea)]]=0,0,Tabla2[[#This Row],[Beneficio Neto  (En RD$/Tarea)]]/Tabla2[[#This Row],[Costos (En RD$/Tarea)]])</f>
        <v>0.391967150192998</v>
      </c>
      <c r="P1314" s="7" t="n">
        <f aca="false">Tabla2[[#This Row],[Rentabilidad (%)]]/12</f>
        <v>0.0326639291827498</v>
      </c>
    </row>
    <row r="1315" customFormat="false" ht="14.25" hidden="false" customHeight="false" outlineLevel="0" collapsed="false">
      <c r="A1315" s="1" t="n">
        <v>39845</v>
      </c>
      <c r="B1315" s="2" t="s">
        <v>24</v>
      </c>
      <c r="C1315" s="3" t="n">
        <v>10023</v>
      </c>
      <c r="D1315" s="8" t="s">
        <v>17</v>
      </c>
      <c r="E1315" s="3" t="n">
        <f aca="false">IF(Tabla2[[#This Row],[Frecuencia]]="Annual", Tabla2[[#This Row],[Cosecha/Tarea]]/12,Tabla2[[#This Row],[Cosecha/Tarea]])</f>
        <v>10023</v>
      </c>
      <c r="F1315" s="3" t="n">
        <v>82961</v>
      </c>
      <c r="G1315" s="2" t="s">
        <v>18</v>
      </c>
      <c r="H1315" s="2" t="n">
        <f aca="false">F1315/Tabla2[[#This Row],[Cosecha Mensual]]</f>
        <v>8.27706275566198</v>
      </c>
      <c r="I1315" s="2" t="n">
        <f aca="false">H1315*_xlfn.XLOOKUP(Tabla2[[#This Row],[Unidad de producción]],Tabla3[Medida],Tabla3[Equivalencia en Kg],"ELVIS",0)</f>
        <v>375.447566596827</v>
      </c>
      <c r="J1315" s="2" t="n">
        <v>1117.8</v>
      </c>
      <c r="K1315" s="2" t="s">
        <v>18</v>
      </c>
      <c r="L1315" s="2" t="n">
        <f aca="false">J1315/_xlfn.XLOOKUP(Tabla2[[#This Row],[Unidad de precio]],Tabla3[Medida],Tabla3[Equivalencia en Kg],"ELVIS",0)</f>
        <v>24.6428571428571</v>
      </c>
      <c r="M1315" s="2" t="n">
        <v>5745.6881190336</v>
      </c>
      <c r="N1315" s="3" t="n">
        <f aca="false">(Tabla2[[#This Row],[Productividad (kg/TAS)]]*Tabla2[[#This Row],[Precio por kg]]-Tabla2[[#This Row],[Costos (En RD$/Tarea)]])</f>
        <v>3506.41262924536</v>
      </c>
      <c r="O1315" s="9" t="n">
        <f aca="false">IF(Tabla2[[#This Row],[Costos (En RD$/Tarea)]]=0,0,Tabla2[[#This Row],[Beneficio Neto  (En RD$/Tarea)]]/Tabla2[[#This Row],[Costos (En RD$/Tarea)]])</f>
        <v>0.610268527738175</v>
      </c>
      <c r="P1315" s="7" t="n">
        <f aca="false">Tabla2[[#This Row],[Rentabilidad (%)]]/12</f>
        <v>0.0508557106448479</v>
      </c>
    </row>
    <row r="1316" customFormat="false" ht="14.25" hidden="false" customHeight="false" outlineLevel="0" collapsed="false">
      <c r="A1316" s="1" t="n">
        <v>39845</v>
      </c>
      <c r="B1316" s="2" t="s">
        <v>25</v>
      </c>
      <c r="C1316" s="3" t="n">
        <v>30263</v>
      </c>
      <c r="D1316" s="8" t="s">
        <v>17</v>
      </c>
      <c r="E1316" s="3" t="n">
        <f aca="false">IF(Tabla2[[#This Row],[Frecuencia]]="Annual", Tabla2[[#This Row],[Cosecha/Tarea]]/12,Tabla2[[#This Row],[Cosecha/Tarea]])</f>
        <v>30263</v>
      </c>
      <c r="F1316" s="3" t="n">
        <v>335190</v>
      </c>
      <c r="G1316" s="2" t="s">
        <v>18</v>
      </c>
      <c r="H1316" s="2" t="n">
        <f aca="false">F1316/Tabla2[[#This Row],[Cosecha Mensual]]</f>
        <v>11.0759012655718</v>
      </c>
      <c r="I1316" s="2" t="n">
        <f aca="false">H1316*_xlfn.XLOOKUP(Tabla2[[#This Row],[Unidad de producción]],Tabla3[Medida],Tabla3[Equivalencia en Kg],"ELVIS",0)</f>
        <v>502.402881406338</v>
      </c>
      <c r="J1316" s="2" t="n">
        <v>352.43745</v>
      </c>
      <c r="K1316" s="2" t="s">
        <v>18</v>
      </c>
      <c r="L1316" s="2" t="n">
        <f aca="false">J1316/_xlfn.XLOOKUP(Tabla2[[#This Row],[Unidad de precio]],Tabla3[Medida],Tabla3[Equivalencia en Kg],"ELVIS",0)</f>
        <v>7.76978505291005</v>
      </c>
      <c r="M1316" s="2" t="n">
        <v>3380.66818371576</v>
      </c>
      <c r="N1316" s="3" t="n">
        <f aca="false">(Tabla2[[#This Row],[Productividad (kg/TAS)]]*Tabla2[[#This Row],[Precio por kg]]-Tabla2[[#This Row],[Costos (En RD$/Tarea)]])</f>
        <v>522.894214774145</v>
      </c>
      <c r="O1316" s="9" t="n">
        <f aca="false">IF(Tabla2[[#This Row],[Costos (En RD$/Tarea)]]=0,0,Tabla2[[#This Row],[Beneficio Neto  (En RD$/Tarea)]]/Tabla2[[#This Row],[Costos (En RD$/Tarea)]])</f>
        <v>0.154671853716037</v>
      </c>
      <c r="P1316" s="7" t="n">
        <f aca="false">Tabla2[[#This Row],[Rentabilidad (%)]]/12</f>
        <v>0.0128893211430031</v>
      </c>
    </row>
    <row r="1317" customFormat="false" ht="14.25" hidden="false" customHeight="false" outlineLevel="0" collapsed="false">
      <c r="A1317" s="1" t="n">
        <v>39845</v>
      </c>
      <c r="B1317" s="2" t="s">
        <v>26</v>
      </c>
      <c r="C1317" s="3" t="n">
        <v>15010</v>
      </c>
      <c r="D1317" s="8" t="s">
        <v>17</v>
      </c>
      <c r="E1317" s="3" t="n">
        <f aca="false">IF(Tabla2[[#This Row],[Frecuencia]]="Annual", Tabla2[[#This Row],[Cosecha/Tarea]]/12,Tabla2[[#This Row],[Cosecha/Tarea]])</f>
        <v>15010</v>
      </c>
      <c r="F1317" s="3" t="n">
        <v>96809</v>
      </c>
      <c r="G1317" s="2" t="s">
        <v>18</v>
      </c>
      <c r="H1317" s="2" t="n">
        <f aca="false">F1317/Tabla2[[#This Row],[Cosecha Mensual]]</f>
        <v>6.44963357761492</v>
      </c>
      <c r="I1317" s="2" t="n">
        <f aca="false">H1317*_xlfn.XLOOKUP(Tabla2[[#This Row],[Unidad de producción]],Tabla3[Medida],Tabla3[Equivalencia en Kg],"ELVIS",0)</f>
        <v>292.555379080613</v>
      </c>
      <c r="J1317" s="2" t="n">
        <v>677.791666666667</v>
      </c>
      <c r="K1317" s="2" t="s">
        <v>18</v>
      </c>
      <c r="L1317" s="2" t="n">
        <f aca="false">J1317/_xlfn.XLOOKUP(Tabla2[[#This Row],[Unidad de precio]],Tabla3[Medida],Tabla3[Equivalencia en Kg],"ELVIS",0)</f>
        <v>14.9424970605526</v>
      </c>
      <c r="M1317" s="2" t="n">
        <v>1376.3165203125</v>
      </c>
      <c r="N1317" s="3" t="n">
        <f aca="false">(Tabla2[[#This Row],[Productividad (kg/TAS)]]*Tabla2[[#This Row],[Precio por kg]]-Tabla2[[#This Row],[Costos (En RD$/Tarea)]])</f>
        <v>2995.19137164842</v>
      </c>
      <c r="O1317" s="9" t="n">
        <f aca="false">IF(Tabla2[[#This Row],[Costos (En RD$/Tarea)]]=0,0,Tabla2[[#This Row],[Beneficio Neto  (En RD$/Tarea)]]/Tabla2[[#This Row],[Costos (En RD$/Tarea)]])</f>
        <v>2.17623731710228</v>
      </c>
      <c r="P1317" s="7" t="n">
        <f aca="false">Tabla2[[#This Row],[Rentabilidad (%)]]/12</f>
        <v>0.181353109758523</v>
      </c>
    </row>
    <row r="1318" customFormat="false" ht="14.25" hidden="false" customHeight="false" outlineLevel="0" collapsed="false">
      <c r="A1318" s="1" t="n">
        <v>39845</v>
      </c>
      <c r="B1318" s="2" t="s">
        <v>27</v>
      </c>
      <c r="C1318" s="3" t="n">
        <v>7834</v>
      </c>
      <c r="D1318" s="8" t="s">
        <v>17</v>
      </c>
      <c r="E1318" s="3" t="n">
        <f aca="false">IF(Tabla2[[#This Row],[Frecuencia]]="Annual", Tabla2[[#This Row],[Cosecha/Tarea]]/12,Tabla2[[#This Row],[Cosecha/Tarea]])</f>
        <v>7834</v>
      </c>
      <c r="F1318" s="3" t="n">
        <v>52862</v>
      </c>
      <c r="G1318" s="2" t="s">
        <v>18</v>
      </c>
      <c r="H1318" s="2" t="n">
        <f aca="false">F1318/Tabla2[[#This Row],[Cosecha Mensual]]</f>
        <v>6.74776614756191</v>
      </c>
      <c r="I1318" s="2" t="n">
        <f aca="false">H1318*_xlfn.XLOOKUP(Tabla2[[#This Row],[Unidad de producción]],Tabla3[Medida],Tabla3[Equivalencia en Kg],"ELVIS",0)</f>
        <v>306.078672453408</v>
      </c>
      <c r="J1318" s="2" t="n">
        <v>298.241666666667</v>
      </c>
      <c r="K1318" s="2" t="s">
        <v>18</v>
      </c>
      <c r="L1318" s="2" t="n">
        <f aca="false">J1318/_xlfn.XLOOKUP(Tabla2[[#This Row],[Unidad de precio]],Tabla3[Medida],Tabla3[Equivalencia en Kg],"ELVIS",0)</f>
        <v>6.57499265138155</v>
      </c>
      <c r="M1318" s="2" t="n">
        <v>5690.0383784955</v>
      </c>
      <c r="N1318" s="3" t="n">
        <f aca="false">(Tabla2[[#This Row],[Productividad (kg/TAS)]]*Tabla2[[#This Row],[Precio por kg]]-Tabla2[[#This Row],[Costos (En RD$/Tarea)]])</f>
        <v>-3677.57335636972</v>
      </c>
      <c r="O1318" s="9" t="n">
        <f aca="false">IF(Tabla2[[#This Row],[Costos (En RD$/Tarea)]]=0,0,Tabla2[[#This Row],[Beneficio Neto  (En RD$/Tarea)]]/Tabla2[[#This Row],[Costos (En RD$/Tarea)]])</f>
        <v>-0.646317847392465</v>
      </c>
      <c r="P1318" s="7" t="n">
        <f aca="false">Tabla2[[#This Row],[Rentabilidad (%)]]/12</f>
        <v>-0.0538598206160387</v>
      </c>
    </row>
    <row r="1319" customFormat="false" ht="14.25" hidden="false" customHeight="false" outlineLevel="0" collapsed="false">
      <c r="A1319" s="1" t="n">
        <v>39845</v>
      </c>
      <c r="B1319" s="2" t="s">
        <v>28</v>
      </c>
      <c r="C1319" s="3" t="n">
        <v>39921</v>
      </c>
      <c r="D1319" s="8" t="s">
        <v>17</v>
      </c>
      <c r="E1319" s="3" t="n">
        <f aca="false">IF(Tabla2[[#This Row],[Frecuencia]]="Annual", Tabla2[[#This Row],[Cosecha/Tarea]]/12,Tabla2[[#This Row],[Cosecha/Tarea]])</f>
        <v>39921</v>
      </c>
      <c r="F1319" s="3" t="n">
        <v>33133</v>
      </c>
      <c r="G1319" s="2" t="s">
        <v>29</v>
      </c>
      <c r="H1319" s="2" t="n">
        <f aca="false">F1319/Tabla2[[#This Row],[Cosecha Mensual]]</f>
        <v>0.829964179254027</v>
      </c>
      <c r="I1319" s="2" t="n">
        <f aca="false">H1319*_xlfn.XLOOKUP(Tabla2[[#This Row],[Unidad de producción]],Tabla3[Medida],Tabla3[Equivalencia en Kg],"ELVIS",0)</f>
        <v>466.722056561709</v>
      </c>
      <c r="J1319" s="2" t="n">
        <v>5630.8</v>
      </c>
      <c r="K1319" s="2" t="s">
        <v>29</v>
      </c>
      <c r="L1319" s="2" t="n">
        <f aca="false">J1319/_xlfn.XLOOKUP(Tabla2[[#This Row],[Unidad de precio]],Tabla3[Medida],Tabla3[Equivalencia en Kg],"ELVIS",0)</f>
        <v>10.0131592986449</v>
      </c>
      <c r="M1319" s="2" t="n">
        <v>5157.16231976537</v>
      </c>
      <c r="N1319" s="3" t="n">
        <f aca="false">(Tabla2[[#This Row],[Productividad (kg/TAS)]]*Tabla2[[#This Row],[Precio por kg]]-Tabla2[[#This Row],[Costos (En RD$/Tarea)]])</f>
        <v>-483.800019221797</v>
      </c>
      <c r="O1319" s="9" t="n">
        <f aca="false">IF(Tabla2[[#This Row],[Costos (En RD$/Tarea)]]=0,0,Tabla2[[#This Row],[Beneficio Neto  (En RD$/Tarea)]]/Tabla2[[#This Row],[Costos (En RD$/Tarea)]])</f>
        <v>-0.0938112840403689</v>
      </c>
      <c r="P1319" s="7" t="n">
        <f aca="false">Tabla2[[#This Row],[Rentabilidad (%)]]/12</f>
        <v>-0.00781760700336408</v>
      </c>
    </row>
    <row r="1320" customFormat="false" ht="14.25" hidden="false" customHeight="false" outlineLevel="0" collapsed="false">
      <c r="A1320" s="1" t="n">
        <v>39845</v>
      </c>
      <c r="B1320" s="2" t="s">
        <v>30</v>
      </c>
      <c r="C1320" s="3" t="n">
        <v>283758</v>
      </c>
      <c r="D1320" s="3" t="s">
        <v>31</v>
      </c>
      <c r="E1320" s="3" t="n">
        <f aca="false">IF(Tabla2[[#This Row],[Frecuencia]]="Annual", Tabla2[[#This Row],[Cosecha/Tarea]]/12,Tabla2[[#This Row],[Cosecha/Tarea]])</f>
        <v>23646.5</v>
      </c>
      <c r="F1320" s="3" t="n">
        <v>1547205</v>
      </c>
      <c r="G1320" s="2" t="s">
        <v>32</v>
      </c>
      <c r="H1320" s="2" t="n">
        <f aca="false">F1320/Tabla2[[#This Row],[Cosecha Mensual]]</f>
        <v>65.4306134100184</v>
      </c>
      <c r="I1320" s="2" t="n">
        <f aca="false">H1320*_xlfn.XLOOKUP(Tabla2[[#This Row],[Unidad de producción]],Tabla3[Medida],Tabla3[Equivalencia en Kg],"ELVIS",0)</f>
        <v>1780.3669908866</v>
      </c>
      <c r="J1320" s="2" t="n">
        <v>106.662857142857</v>
      </c>
      <c r="K1320" s="2" t="s">
        <v>32</v>
      </c>
      <c r="L1320" s="2" t="n">
        <f aca="false">J1320/_xlfn.XLOOKUP(Tabla2[[#This Row],[Unidad de precio]],Tabla3[Medida],Tabla3[Equivalencia en Kg],"ELVIS",0)</f>
        <v>3.91998739959048</v>
      </c>
      <c r="M1320" s="3" t="n">
        <v>9253.94477920298</v>
      </c>
      <c r="N1320" s="3" t="n">
        <f aca="false">(Tabla2[[#This Row],[Productividad (kg/TAS)]]*Tabla2[[#This Row],[Precio por kg]]-Tabla2[[#This Row],[Costos (En RD$/Tarea)]])</f>
        <v>-2274.92860828069</v>
      </c>
      <c r="O1320" s="9" t="n">
        <f aca="false">IF(Tabla2[[#This Row],[Costos (En RD$/Tarea)]]=0,0,Tabla2[[#This Row],[Beneficio Neto  (En RD$/Tarea)]]/Tabla2[[#This Row],[Costos (En RD$/Tarea)]])</f>
        <v>-0.245833389171857</v>
      </c>
      <c r="P1320" s="7" t="n">
        <f aca="false">Tabla2[[#This Row],[Rentabilidad (%)]]/12</f>
        <v>-0.0204861157643215</v>
      </c>
    </row>
    <row r="1321" customFormat="false" ht="14.25" hidden="false" customHeight="false" outlineLevel="0" collapsed="false">
      <c r="A1321" s="1" t="n">
        <v>39845</v>
      </c>
      <c r="B1321" s="2" t="s">
        <v>33</v>
      </c>
      <c r="C1321" s="3" t="n">
        <v>663572</v>
      </c>
      <c r="D1321" s="3" t="s">
        <v>31</v>
      </c>
      <c r="E1321" s="3" t="n">
        <f aca="false">IF(Tabla2[[#This Row],[Frecuencia]]="Annual", Tabla2[[#This Row],[Cosecha/Tarea]]/12,Tabla2[[#This Row],[Cosecha/Tarea]])</f>
        <v>55297.6666666667</v>
      </c>
      <c r="F1321" s="3" t="n">
        <v>104111</v>
      </c>
      <c r="G1321" s="2" t="s">
        <v>34</v>
      </c>
      <c r="H1321" s="2" t="n">
        <f aca="false">F1321/Tabla2[[#This Row],[Cosecha Mensual]]</f>
        <v>1.88273766825604</v>
      </c>
      <c r="I1321" s="2" t="n">
        <f aca="false">H1321*_xlfn.XLOOKUP(Tabla2[[#This Row],[Unidad de producción]],Tabla3[Medida],Tabla3[Equivalencia en Kg],"ELVIS",0)</f>
        <v>768.439379298705</v>
      </c>
      <c r="J1321" s="2" t="n">
        <v>3784.59571428571</v>
      </c>
      <c r="K1321" s="2" t="s">
        <v>34</v>
      </c>
      <c r="L1321" s="2" t="n">
        <f aca="false">J1321/_xlfn.XLOOKUP(Tabla2[[#This Row],[Unidad de precio]],Tabla3[Medida],Tabla3[Equivalencia en Kg],"ELVIS",0)</f>
        <v>9.27256085822788</v>
      </c>
      <c r="M1321" s="3" t="n">
        <v>8960.6721575976</v>
      </c>
      <c r="N1321" s="3" t="n">
        <f aca="false">(Tabla2[[#This Row],[Productividad (kg/TAS)]]*Tabla2[[#This Row],[Precio por kg]]-Tabla2[[#This Row],[Costos (En RD$/Tarea)]])</f>
        <v>-1835.2712471915</v>
      </c>
      <c r="O1321" s="9" t="n">
        <f aca="false">IF(Tabla2[[#This Row],[Costos (En RD$/Tarea)]]=0,0,Tabla2[[#This Row],[Beneficio Neto  (En RD$/Tarea)]]/Tabla2[[#This Row],[Costos (En RD$/Tarea)]])</f>
        <v>-0.204814015613261</v>
      </c>
      <c r="P1321" s="7" t="n">
        <f aca="false">Tabla2[[#This Row],[Rentabilidad (%)]]/12</f>
        <v>-0.0170678346344384</v>
      </c>
    </row>
    <row r="1322" customFormat="false" ht="14.25" hidden="false" customHeight="false" outlineLevel="0" collapsed="false">
      <c r="A1322" s="1" t="n">
        <v>39873</v>
      </c>
      <c r="B1322" s="2" t="s">
        <v>16</v>
      </c>
      <c r="C1322" s="3" t="n">
        <v>37207</v>
      </c>
      <c r="D1322" s="8" t="s">
        <v>17</v>
      </c>
      <c r="E1322" s="3" t="n">
        <f aca="false">IF(Tabla2[[#This Row],[Frecuencia]]="Annual", Tabla2[[#This Row],[Cosecha/Tarea]]/12,Tabla2[[#This Row],[Cosecha/Tarea]])</f>
        <v>37207</v>
      </c>
      <c r="F1322" s="3" t="n">
        <v>150298</v>
      </c>
      <c r="G1322" s="2" t="s">
        <v>18</v>
      </c>
      <c r="H1322" s="2" t="n">
        <f aca="false">F1322/Tabla2[[#This Row],[Cosecha Mensual]]</f>
        <v>4.03950869460048</v>
      </c>
      <c r="I1322" s="2" t="n">
        <f aca="false">H1322*_xlfn.XLOOKUP(Tabla2[[#This Row],[Unidad de producción]],Tabla3[Medida],Tabla3[Equivalencia en Kg],"ELVIS",0)</f>
        <v>183.232114387078</v>
      </c>
      <c r="J1322" s="2" t="n">
        <v>2134.74247994253</v>
      </c>
      <c r="K1322" s="2" t="s">
        <v>19</v>
      </c>
      <c r="L1322" s="2" t="n">
        <f aca="false">J1322/_xlfn.XLOOKUP(Tabla2[[#This Row],[Unidad de precio]],Tabla3[Medida],Tabla3[Equivalencia en Kg],"ELVIS",0)</f>
        <v>19.4067498176594</v>
      </c>
      <c r="M1322" s="2" t="n">
        <v>6526.78</v>
      </c>
      <c r="N1322" s="3" t="n">
        <f aca="false">(Tabla2[[#This Row],[Productividad (kg/TAS)]]*Tabla2[[#This Row],[Precio por kg]]-Tabla2[[#This Row],[Costos (En RD$/Tarea)]])</f>
        <v>-2970.84019752924</v>
      </c>
      <c r="O1322" s="9" t="n">
        <f aca="false">IF(Tabla2[[#This Row],[Costos (En RD$/Tarea)]]=0,0,Tabla2[[#This Row],[Beneficio Neto  (En RD$/Tarea)]]/Tabla2[[#This Row],[Costos (En RD$/Tarea)]])</f>
        <v>-0.455177008805144</v>
      </c>
      <c r="P1322" s="7" t="n">
        <f aca="false">Tabla2[[#This Row],[Rentabilidad (%)]]/12</f>
        <v>-0.0379314174004287</v>
      </c>
    </row>
    <row r="1323" customFormat="false" ht="14.25" hidden="false" customHeight="false" outlineLevel="0" collapsed="false">
      <c r="A1323" s="1" t="n">
        <v>39873</v>
      </c>
      <c r="B1323" s="2" t="s">
        <v>20</v>
      </c>
      <c r="C1323" s="3" t="n">
        <v>12293</v>
      </c>
      <c r="D1323" s="8" t="s">
        <v>17</v>
      </c>
      <c r="E1323" s="3" t="n">
        <f aca="false">IF(Tabla2[[#This Row],[Frecuencia]]="Annual", Tabla2[[#This Row],[Cosecha/Tarea]]/12,Tabla2[[#This Row],[Cosecha/Tarea]])</f>
        <v>12293</v>
      </c>
      <c r="F1323" s="3" t="n">
        <v>31484</v>
      </c>
      <c r="G1323" s="2" t="s">
        <v>18</v>
      </c>
      <c r="H1323" s="2" t="n">
        <f aca="false">F1323/Tabla2[[#This Row],[Cosecha Mensual]]</f>
        <v>2.5611323517449</v>
      </c>
      <c r="I1323" s="2" t="n">
        <f aca="false">H1323*_xlfn.XLOOKUP(Tabla2[[#This Row],[Unidad de producción]],Tabla3[Medida],Tabla3[Equivalencia en Kg],"ELVIS",0)</f>
        <v>116.172963475148</v>
      </c>
      <c r="J1323" s="2" t="n">
        <v>650.16125</v>
      </c>
      <c r="K1323" s="2" t="s">
        <v>18</v>
      </c>
      <c r="L1323" s="2" t="n">
        <f aca="false">J1323/_xlfn.XLOOKUP(Tabla2[[#This Row],[Unidad de precio]],Tabla3[Medida],Tabla3[Equivalencia en Kg],"ELVIS",0)</f>
        <v>14.3333608906526</v>
      </c>
      <c r="M1323" s="2" t="n">
        <v>1590.10324602816</v>
      </c>
      <c r="N1323" s="3" t="n">
        <f aca="false">(Tabla2[[#This Row],[Productividad (kg/TAS)]]*Tabla2[[#This Row],[Precio por kg]]-Tabla2[[#This Row],[Costos (En RD$/Tarea)]])</f>
        <v>75.0457651977411</v>
      </c>
      <c r="O1323" s="9" t="n">
        <f aca="false">IF(Tabla2[[#This Row],[Costos (En RD$/Tarea)]]=0,0,Tabla2[[#This Row],[Beneficio Neto  (En RD$/Tarea)]]/Tabla2[[#This Row],[Costos (En RD$/Tarea)]])</f>
        <v>0.0471955298407158</v>
      </c>
      <c r="P1323" s="7" t="n">
        <f aca="false">Tabla2[[#This Row],[Rentabilidad (%)]]/12</f>
        <v>0.00393296082005965</v>
      </c>
    </row>
    <row r="1324" customFormat="false" ht="14.25" hidden="false" customHeight="false" outlineLevel="0" collapsed="false">
      <c r="A1324" s="1" t="n">
        <v>39873</v>
      </c>
      <c r="B1324" s="2" t="s">
        <v>21</v>
      </c>
      <c r="C1324" s="3" t="n">
        <v>9644</v>
      </c>
      <c r="D1324" s="8" t="s">
        <v>17</v>
      </c>
      <c r="E1324" s="3" t="n">
        <f aca="false">IF(Tabla2[[#This Row],[Frecuencia]]="Annual", Tabla2[[#This Row],[Cosecha/Tarea]]/12,Tabla2[[#This Row],[Cosecha/Tarea]])</f>
        <v>9644</v>
      </c>
      <c r="F1324" s="3" t="n">
        <v>104289</v>
      </c>
      <c r="G1324" s="2" t="s">
        <v>18</v>
      </c>
      <c r="H1324" s="2" t="n">
        <f aca="false">F1324/Tabla2[[#This Row],[Cosecha Mensual]]</f>
        <v>10.8138739112402</v>
      </c>
      <c r="I1324" s="2" t="n">
        <f aca="false">H1324*_xlfn.XLOOKUP(Tabla2[[#This Row],[Unidad de producción]],Tabla3[Medida],Tabla3[Equivalencia en Kg],"ELVIS",0)</f>
        <v>490.517320613853</v>
      </c>
      <c r="J1324" s="2" t="n">
        <v>216.392</v>
      </c>
      <c r="K1324" s="2" t="s">
        <v>18</v>
      </c>
      <c r="L1324" s="2" t="n">
        <f aca="false">J1324/_xlfn.XLOOKUP(Tabla2[[#This Row],[Unidad de precio]],Tabla3[Medida],Tabla3[Equivalencia en Kg],"ELVIS",0)</f>
        <v>4.7705467372134</v>
      </c>
      <c r="M1324" s="2" t="n">
        <v>4038.1847175</v>
      </c>
      <c r="N1324" s="3" t="n">
        <f aca="false">(Tabla2[[#This Row],[Productividad (kg/TAS)]]*Tabla2[[#This Row],[Precio por kg]]-Tabla2[[#This Row],[Costos (En RD$/Tarea)]])</f>
        <v>-1698.14891409892</v>
      </c>
      <c r="O1324" s="9" t="n">
        <f aca="false">IF(Tabla2[[#This Row],[Costos (En RD$/Tarea)]]=0,0,Tabla2[[#This Row],[Beneficio Neto  (En RD$/Tarea)]]/Tabla2[[#This Row],[Costos (En RD$/Tarea)]])</f>
        <v>-0.4205228420433</v>
      </c>
      <c r="P1324" s="7" t="n">
        <f aca="false">Tabla2[[#This Row],[Rentabilidad (%)]]/12</f>
        <v>-0.035043570170275</v>
      </c>
    </row>
    <row r="1325" customFormat="false" ht="14.25" hidden="false" customHeight="false" outlineLevel="0" collapsed="false">
      <c r="A1325" s="1" t="n">
        <v>39873</v>
      </c>
      <c r="B1325" s="2" t="s">
        <v>22</v>
      </c>
      <c r="C1325" s="3" t="n">
        <v>7976</v>
      </c>
      <c r="D1325" s="8" t="s">
        <v>17</v>
      </c>
      <c r="E1325" s="3" t="n">
        <f aca="false">IF(Tabla2[[#This Row],[Frecuencia]]="Annual", Tabla2[[#This Row],[Cosecha/Tarea]]/12,Tabla2[[#This Row],[Cosecha/Tarea]])</f>
        <v>7976</v>
      </c>
      <c r="F1325" s="3" t="n">
        <v>71673</v>
      </c>
      <c r="G1325" s="2" t="s">
        <v>18</v>
      </c>
      <c r="H1325" s="2" t="n">
        <f aca="false">F1325/Tabla2[[#This Row],[Cosecha Mensual]]</f>
        <v>8.98608324974925</v>
      </c>
      <c r="I1325" s="2" t="n">
        <f aca="false">H1325*_xlfn.XLOOKUP(Tabla2[[#This Row],[Unidad de producción]],Tabla3[Medida],Tabla3[Equivalencia en Kg],"ELVIS",0)</f>
        <v>407.608736208626</v>
      </c>
      <c r="J1325" s="2" t="n">
        <v>1005.38</v>
      </c>
      <c r="K1325" s="2" t="s">
        <v>18</v>
      </c>
      <c r="L1325" s="2" t="n">
        <f aca="false">J1325/_xlfn.XLOOKUP(Tabla2[[#This Row],[Unidad de precio]],Tabla3[Medida],Tabla3[Equivalencia en Kg],"ELVIS",0)</f>
        <v>22.1644620811287</v>
      </c>
      <c r="M1325" s="2" t="n">
        <v>7095.7961172</v>
      </c>
      <c r="N1325" s="3" t="n">
        <f aca="false">(Tabla2[[#This Row],[Productividad (kg/TAS)]]*Tabla2[[#This Row],[Precio por kg]]-Tabla2[[#This Row],[Costos (En RD$/Tarea)]])</f>
        <v>1938.6322604329</v>
      </c>
      <c r="O1325" s="9" t="n">
        <f aca="false">IF(Tabla2[[#This Row],[Costos (En RD$/Tarea)]]=0,0,Tabla2[[#This Row],[Beneficio Neto  (En RD$/Tarea)]]/Tabla2[[#This Row],[Costos (En RD$/Tarea)]])</f>
        <v>0.273208562987557</v>
      </c>
      <c r="P1325" s="7" t="n">
        <f aca="false">Tabla2[[#This Row],[Rentabilidad (%)]]/12</f>
        <v>0.0227673802489631</v>
      </c>
    </row>
    <row r="1326" customFormat="false" ht="14.25" hidden="false" customHeight="false" outlineLevel="0" collapsed="false">
      <c r="A1326" s="1" t="n">
        <v>39873</v>
      </c>
      <c r="B1326" s="2" t="s">
        <v>23</v>
      </c>
      <c r="C1326" s="3" t="n">
        <v>2466</v>
      </c>
      <c r="D1326" s="8" t="s">
        <v>17</v>
      </c>
      <c r="E1326" s="3" t="n">
        <f aca="false">IF(Tabla2[[#This Row],[Frecuencia]]="Annual", Tabla2[[#This Row],[Cosecha/Tarea]]/12,Tabla2[[#This Row],[Cosecha/Tarea]])</f>
        <v>2466</v>
      </c>
      <c r="F1326" s="3" t="n">
        <v>74775</v>
      </c>
      <c r="G1326" s="2" t="s">
        <v>18</v>
      </c>
      <c r="H1326" s="2" t="n">
        <f aca="false">F1326/Tabla2[[#This Row],[Cosecha Mensual]]</f>
        <v>30.3223844282238</v>
      </c>
      <c r="I1326" s="2" t="n">
        <f aca="false">H1326*_xlfn.XLOOKUP(Tabla2[[#This Row],[Unidad de producción]],Tabla3[Medida],Tabla3[Equivalencia en Kg],"ELVIS",0)</f>
        <v>1375.42335766423</v>
      </c>
      <c r="J1326" s="2" t="n">
        <v>584.583333333333</v>
      </c>
      <c r="K1326" s="2" t="s">
        <v>18</v>
      </c>
      <c r="L1326" s="2" t="n">
        <f aca="false">J1326/_xlfn.XLOOKUP(Tabla2[[#This Row],[Unidad de precio]],Tabla3[Medida],Tabla3[Equivalencia en Kg],"ELVIS",0)</f>
        <v>12.8876396237507</v>
      </c>
      <c r="M1326" s="2" t="n">
        <v>17661.8086675086</v>
      </c>
      <c r="N1326" s="3" t="n">
        <f aca="false">(Tabla2[[#This Row],[Productividad (kg/TAS)]]*Tabla2[[#This Row],[Precio por kg]]-Tabla2[[#This Row],[Costos (En RD$/Tarea)]])</f>
        <v>64.1518961572438</v>
      </c>
      <c r="O1326" s="9" t="n">
        <f aca="false">IF(Tabla2[[#This Row],[Costos (En RD$/Tarea)]]=0,0,Tabla2[[#This Row],[Beneficio Neto  (En RD$/Tarea)]]/Tabla2[[#This Row],[Costos (En RD$/Tarea)]])</f>
        <v>0.00363223820192664</v>
      </c>
      <c r="P1326" s="7" t="n">
        <f aca="false">Tabla2[[#This Row],[Rentabilidad (%)]]/12</f>
        <v>0.00030268651682722</v>
      </c>
    </row>
    <row r="1327" customFormat="false" ht="14.25" hidden="false" customHeight="false" outlineLevel="0" collapsed="false">
      <c r="A1327" s="1" t="n">
        <v>39873</v>
      </c>
      <c r="B1327" s="2" t="s">
        <v>24</v>
      </c>
      <c r="C1327" s="3" t="n">
        <v>6361</v>
      </c>
      <c r="D1327" s="8" t="s">
        <v>17</v>
      </c>
      <c r="E1327" s="3" t="n">
        <f aca="false">IF(Tabla2[[#This Row],[Frecuencia]]="Annual", Tabla2[[#This Row],[Cosecha/Tarea]]/12,Tabla2[[#This Row],[Cosecha/Tarea]])</f>
        <v>6361</v>
      </c>
      <c r="F1327" s="3" t="n">
        <v>55295</v>
      </c>
      <c r="G1327" s="2" t="s">
        <v>18</v>
      </c>
      <c r="H1327" s="2" t="n">
        <f aca="false">F1327/Tabla2[[#This Row],[Cosecha Mensual]]</f>
        <v>8.69281559503223</v>
      </c>
      <c r="I1327" s="2" t="n">
        <f aca="false">H1327*_xlfn.XLOOKUP(Tabla2[[#This Row],[Unidad de producción]],Tabla3[Medida],Tabla3[Equivalencia en Kg],"ELVIS",0)</f>
        <v>394.306115390662</v>
      </c>
      <c r="J1327" s="2" t="n">
        <v>1249.44685714286</v>
      </c>
      <c r="K1327" s="2" t="s">
        <v>18</v>
      </c>
      <c r="L1327" s="2" t="n">
        <f aca="false">J1327/_xlfn.XLOOKUP(Tabla2[[#This Row],[Unidad de precio]],Tabla3[Medida],Tabla3[Equivalencia en Kg],"ELVIS",0)</f>
        <v>27.5451247165534</v>
      </c>
      <c r="M1327" s="2" t="n">
        <v>5745.6881190336</v>
      </c>
      <c r="N1327" s="3" t="n">
        <f aca="false">(Tabla2[[#This Row],[Productividad (kg/TAS)]]*Tabla2[[#This Row],[Precio por kg]]-Tabla2[[#This Row],[Costos (En RD$/Tarea)]])</f>
        <v>5115.52300590186</v>
      </c>
      <c r="O1327" s="9" t="n">
        <f aca="false">IF(Tabla2[[#This Row],[Costos (En RD$/Tarea)]]=0,0,Tabla2[[#This Row],[Beneficio Neto  (En RD$/Tarea)]]/Tabla2[[#This Row],[Costos (En RD$/Tarea)]])</f>
        <v>0.890323821955423</v>
      </c>
      <c r="P1327" s="7" t="n">
        <f aca="false">Tabla2[[#This Row],[Rentabilidad (%)]]/12</f>
        <v>0.0741936518296185</v>
      </c>
    </row>
    <row r="1328" customFormat="false" ht="14.25" hidden="false" customHeight="false" outlineLevel="0" collapsed="false">
      <c r="A1328" s="1" t="n">
        <v>39873</v>
      </c>
      <c r="B1328" s="2" t="s">
        <v>25</v>
      </c>
      <c r="C1328" s="3" t="n">
        <v>27280</v>
      </c>
      <c r="D1328" s="8" t="s">
        <v>17</v>
      </c>
      <c r="E1328" s="3" t="n">
        <f aca="false">IF(Tabla2[[#This Row],[Frecuencia]]="Annual", Tabla2[[#This Row],[Cosecha/Tarea]]/12,Tabla2[[#This Row],[Cosecha/Tarea]])</f>
        <v>27280</v>
      </c>
      <c r="F1328" s="3" t="n">
        <v>313733</v>
      </c>
      <c r="G1328" s="2" t="s">
        <v>18</v>
      </c>
      <c r="H1328" s="2" t="n">
        <f aca="false">F1328/Tabla2[[#This Row],[Cosecha Mensual]]</f>
        <v>11.5004765395894</v>
      </c>
      <c r="I1328" s="2" t="n">
        <f aca="false">H1328*_xlfn.XLOOKUP(Tabla2[[#This Row],[Unidad de producción]],Tabla3[Medida],Tabla3[Equivalencia en Kg],"ELVIS",0)</f>
        <v>521.661615835777</v>
      </c>
      <c r="J1328" s="2" t="n">
        <v>368.712228571429</v>
      </c>
      <c r="K1328" s="2" t="s">
        <v>18</v>
      </c>
      <c r="L1328" s="2" t="n">
        <f aca="false">J1328/_xlfn.XLOOKUP(Tabla2[[#This Row],[Unidad de precio]],Tabla3[Medida],Tabla3[Equivalencia en Kg],"ELVIS",0)</f>
        <v>8.1285764676241</v>
      </c>
      <c r="M1328" s="2" t="n">
        <v>3380.66818371576</v>
      </c>
      <c r="N1328" s="3" t="n">
        <f aca="false">(Tabla2[[#This Row],[Productividad (kg/TAS)]]*Tabla2[[#This Row],[Precio por kg]]-Tabla2[[#This Row],[Costos (En RD$/Tarea)]])</f>
        <v>859.698150829699</v>
      </c>
      <c r="O1328" s="9" t="n">
        <f aca="false">IF(Tabla2[[#This Row],[Costos (En RD$/Tarea)]]=0,0,Tabla2[[#This Row],[Beneficio Neto  (En RD$/Tarea)]]/Tabla2[[#This Row],[Costos (En RD$/Tarea)]])</f>
        <v>0.254298293742862</v>
      </c>
      <c r="P1328" s="7" t="n">
        <f aca="false">Tabla2[[#This Row],[Rentabilidad (%)]]/12</f>
        <v>0.0211915244785719</v>
      </c>
    </row>
    <row r="1329" customFormat="false" ht="14.25" hidden="false" customHeight="false" outlineLevel="0" collapsed="false">
      <c r="A1329" s="1" t="n">
        <v>39873</v>
      </c>
      <c r="B1329" s="2" t="s">
        <v>26</v>
      </c>
      <c r="C1329" s="3" t="n">
        <v>11676</v>
      </c>
      <c r="D1329" s="8" t="s">
        <v>17</v>
      </c>
      <c r="E1329" s="3" t="n">
        <f aca="false">IF(Tabla2[[#This Row],[Frecuencia]]="Annual", Tabla2[[#This Row],[Cosecha/Tarea]]/12,Tabla2[[#This Row],[Cosecha/Tarea]])</f>
        <v>11676</v>
      </c>
      <c r="F1329" s="3" t="n">
        <v>84806</v>
      </c>
      <c r="G1329" s="2" t="s">
        <v>18</v>
      </c>
      <c r="H1329" s="2" t="n">
        <f aca="false">F1329/Tabla2[[#This Row],[Cosecha Mensual]]</f>
        <v>7.26327509421035</v>
      </c>
      <c r="I1329" s="2" t="n">
        <f aca="false">H1329*_xlfn.XLOOKUP(Tabla2[[#This Row],[Unidad de producción]],Tabla3[Medida],Tabla3[Equivalencia en Kg],"ELVIS",0)</f>
        <v>329.462158273381</v>
      </c>
      <c r="J1329" s="2" t="n">
        <v>678.346666666667</v>
      </c>
      <c r="K1329" s="2" t="s">
        <v>18</v>
      </c>
      <c r="L1329" s="2" t="n">
        <f aca="false">J1329/_xlfn.XLOOKUP(Tabla2[[#This Row],[Unidad de precio]],Tabla3[Medida],Tabla3[Equivalencia en Kg],"ELVIS",0)</f>
        <v>14.9547325102881</v>
      </c>
      <c r="M1329" s="2" t="n">
        <v>1376.3165203125</v>
      </c>
      <c r="N1329" s="3" t="n">
        <f aca="false">(Tabla2[[#This Row],[Productividad (kg/TAS)]]*Tabla2[[#This Row],[Precio por kg]]-Tabla2[[#This Row],[Costos (En RD$/Tarea)]])</f>
        <v>3550.70192892811</v>
      </c>
      <c r="O1329" s="9" t="n">
        <f aca="false">IF(Tabla2[[#This Row],[Costos (En RD$/Tarea)]]=0,0,Tabla2[[#This Row],[Beneficio Neto  (En RD$/Tarea)]]/Tabla2[[#This Row],[Costos (En RD$/Tarea)]])</f>
        <v>2.5798585401866</v>
      </c>
      <c r="P1329" s="7" t="n">
        <f aca="false">Tabla2[[#This Row],[Rentabilidad (%)]]/12</f>
        <v>0.214988211682217</v>
      </c>
    </row>
    <row r="1330" customFormat="false" ht="14.25" hidden="false" customHeight="false" outlineLevel="0" collapsed="false">
      <c r="A1330" s="1" t="n">
        <v>39873</v>
      </c>
      <c r="B1330" s="2" t="s">
        <v>27</v>
      </c>
      <c r="C1330" s="3" t="n">
        <v>4794</v>
      </c>
      <c r="D1330" s="8" t="s">
        <v>17</v>
      </c>
      <c r="E1330" s="3" t="n">
        <f aca="false">IF(Tabla2[[#This Row],[Frecuencia]]="Annual", Tabla2[[#This Row],[Cosecha/Tarea]]/12,Tabla2[[#This Row],[Cosecha/Tarea]])</f>
        <v>4794</v>
      </c>
      <c r="F1330" s="3" t="n">
        <v>33588</v>
      </c>
      <c r="G1330" s="2" t="s">
        <v>18</v>
      </c>
      <c r="H1330" s="2" t="n">
        <f aca="false">F1330/Tabla2[[#This Row],[Cosecha Mensual]]</f>
        <v>7.00625782227785</v>
      </c>
      <c r="I1330" s="2" t="n">
        <f aca="false">H1330*_xlfn.XLOOKUP(Tabla2[[#This Row],[Unidad de producción]],Tabla3[Medida],Tabla3[Equivalencia en Kg],"ELVIS",0)</f>
        <v>317.803854818523</v>
      </c>
      <c r="J1330" s="2" t="n">
        <v>338.604</v>
      </c>
      <c r="K1330" s="2" t="s">
        <v>18</v>
      </c>
      <c r="L1330" s="2" t="n">
        <f aca="false">J1330/_xlfn.XLOOKUP(Tabla2[[#This Row],[Unidad de precio]],Tabla3[Medida],Tabla3[Equivalencia en Kg],"ELVIS",0)</f>
        <v>7.46481481481481</v>
      </c>
      <c r="M1330" s="2" t="n">
        <v>5690.0383784955</v>
      </c>
      <c r="N1330" s="3" t="n">
        <f aca="false">(Tabla2[[#This Row],[Productividad (kg/TAS)]]*Tabla2[[#This Row],[Precio por kg]]-Tabla2[[#This Row],[Costos (En RD$/Tarea)]])</f>
        <v>-3317.69145484093</v>
      </c>
      <c r="O1330" s="9" t="n">
        <f aca="false">IF(Tabla2[[#This Row],[Costos (En RD$/Tarea)]]=0,0,Tabla2[[#This Row],[Beneficio Neto  (En RD$/Tarea)]]/Tabla2[[#This Row],[Costos (En RD$/Tarea)]])</f>
        <v>-0.583070136640829</v>
      </c>
      <c r="P1330" s="7" t="n">
        <f aca="false">Tabla2[[#This Row],[Rentabilidad (%)]]/12</f>
        <v>-0.0485891780534024</v>
      </c>
    </row>
    <row r="1331" customFormat="false" ht="14.25" hidden="false" customHeight="false" outlineLevel="0" collapsed="false">
      <c r="A1331" s="1" t="n">
        <v>39873</v>
      </c>
      <c r="B1331" s="2" t="s">
        <v>28</v>
      </c>
      <c r="C1331" s="3" t="n">
        <v>37911</v>
      </c>
      <c r="D1331" s="8" t="s">
        <v>17</v>
      </c>
      <c r="E1331" s="3" t="n">
        <f aca="false">IF(Tabla2[[#This Row],[Frecuencia]]="Annual", Tabla2[[#This Row],[Cosecha/Tarea]]/12,Tabla2[[#This Row],[Cosecha/Tarea]])</f>
        <v>37911</v>
      </c>
      <c r="F1331" s="3" t="n">
        <v>24729</v>
      </c>
      <c r="G1331" s="2" t="s">
        <v>29</v>
      </c>
      <c r="H1331" s="2" t="n">
        <f aca="false">F1331/Tabla2[[#This Row],[Cosecha Mensual]]</f>
        <v>0.652290891825592</v>
      </c>
      <c r="I1331" s="2" t="n">
        <f aca="false">H1331*_xlfn.XLOOKUP(Tabla2[[#This Row],[Unidad de producción]],Tabla3[Medida],Tabla3[Equivalencia en Kg],"ELVIS",0)</f>
        <v>366.809260109203</v>
      </c>
      <c r="J1331" s="2" t="n">
        <v>6237.33333333333</v>
      </c>
      <c r="K1331" s="2" t="s">
        <v>29</v>
      </c>
      <c r="L1331" s="2" t="n">
        <f aca="false">J1331/_xlfn.XLOOKUP(Tabla2[[#This Row],[Unidad de precio]],Tabla3[Medida],Tabla3[Equivalencia en Kg],"ELVIS",0)</f>
        <v>11.0917475785705</v>
      </c>
      <c r="M1331" s="2" t="n">
        <v>5157.16231976537</v>
      </c>
      <c r="N1331" s="3" t="n">
        <f aca="false">(Tabla2[[#This Row],[Productividad (kg/TAS)]]*Tabla2[[#This Row],[Precio por kg]]-Tabla2[[#This Row],[Costos (En RD$/Tarea)]])</f>
        <v>-1088.60659715188</v>
      </c>
      <c r="O1331" s="9" t="n">
        <f aca="false">IF(Tabla2[[#This Row],[Costos (En RD$/Tarea)]]=0,0,Tabla2[[#This Row],[Beneficio Neto  (En RD$/Tarea)]]/Tabla2[[#This Row],[Costos (En RD$/Tarea)]])</f>
        <v>-0.211086355180189</v>
      </c>
      <c r="P1331" s="7" t="n">
        <f aca="false">Tabla2[[#This Row],[Rentabilidad (%)]]/12</f>
        <v>-0.0175905295983491</v>
      </c>
    </row>
    <row r="1332" customFormat="false" ht="14.25" hidden="false" customHeight="false" outlineLevel="0" collapsed="false">
      <c r="A1332" s="1" t="n">
        <v>39873</v>
      </c>
      <c r="B1332" s="2" t="s">
        <v>30</v>
      </c>
      <c r="C1332" s="3" t="n">
        <v>288167</v>
      </c>
      <c r="D1332" s="3" t="s">
        <v>31</v>
      </c>
      <c r="E1332" s="3" t="n">
        <f aca="false">IF(Tabla2[[#This Row],[Frecuencia]]="Annual", Tabla2[[#This Row],[Cosecha/Tarea]]/12,Tabla2[[#This Row],[Cosecha/Tarea]])</f>
        <v>24013.9166666667</v>
      </c>
      <c r="F1332" s="3" t="n">
        <v>1963104</v>
      </c>
      <c r="G1332" s="2" t="s">
        <v>32</v>
      </c>
      <c r="H1332" s="2" t="n">
        <f aca="false">F1332/Tabla2[[#This Row],[Cosecha Mensual]]</f>
        <v>81.7485971676146</v>
      </c>
      <c r="I1332" s="2" t="n">
        <f aca="false">H1332*_xlfn.XLOOKUP(Tabla2[[#This Row],[Unidad de producción]],Tabla3[Medida],Tabla3[Equivalencia en Kg],"ELVIS",0)</f>
        <v>2224.37932893079</v>
      </c>
      <c r="J1332" s="2" t="n">
        <v>105.59375</v>
      </c>
      <c r="K1332" s="2" t="s">
        <v>32</v>
      </c>
      <c r="L1332" s="2" t="n">
        <f aca="false">J1332/_xlfn.XLOOKUP(Tabla2[[#This Row],[Unidad de precio]],Tabla3[Medida],Tabla3[Equivalencia en Kg],"ELVIS",0)</f>
        <v>3.88069643513414</v>
      </c>
      <c r="M1332" s="3" t="n">
        <v>9253.94477920298</v>
      </c>
      <c r="N1332" s="3" t="n">
        <f aca="false">(Tabla2[[#This Row],[Productividad (kg/TAS)]]*Tabla2[[#This Row],[Precio por kg]]-Tabla2[[#This Row],[Costos (En RD$/Tarea)]])</f>
        <v>-621.803847035175</v>
      </c>
      <c r="O1332" s="9" t="n">
        <f aca="false">IF(Tabla2[[#This Row],[Costos (En RD$/Tarea)]]=0,0,Tabla2[[#This Row],[Beneficio Neto  (En RD$/Tarea)]]/Tabla2[[#This Row],[Costos (En RD$/Tarea)]])</f>
        <v>-0.0671933820517923</v>
      </c>
      <c r="P1332" s="7" t="n">
        <f aca="false">Tabla2[[#This Row],[Rentabilidad (%)]]/12</f>
        <v>-0.00559944850431603</v>
      </c>
    </row>
    <row r="1333" customFormat="false" ht="14.25" hidden="false" customHeight="false" outlineLevel="0" collapsed="false">
      <c r="A1333" s="1" t="n">
        <v>39873</v>
      </c>
      <c r="B1333" s="2" t="s">
        <v>33</v>
      </c>
      <c r="C1333" s="3" t="n">
        <v>667916</v>
      </c>
      <c r="D1333" s="3" t="s">
        <v>31</v>
      </c>
      <c r="E1333" s="3" t="n">
        <f aca="false">IF(Tabla2[[#This Row],[Frecuencia]]="Annual", Tabla2[[#This Row],[Cosecha/Tarea]]/12,Tabla2[[#This Row],[Cosecha/Tarea]])</f>
        <v>55659.6666666667</v>
      </c>
      <c r="F1333" s="3" t="n">
        <v>106154</v>
      </c>
      <c r="G1333" s="2" t="s">
        <v>34</v>
      </c>
      <c r="H1333" s="2" t="n">
        <f aca="false">F1333/Tabla2[[#This Row],[Cosecha Mensual]]</f>
        <v>1.90719791111457</v>
      </c>
      <c r="I1333" s="2" t="n">
        <f aca="false">H1333*_xlfn.XLOOKUP(Tabla2[[#This Row],[Unidad de producción]],Tabla3[Medida],Tabla3[Equivalencia en Kg],"ELVIS",0)</f>
        <v>778.422827421412</v>
      </c>
      <c r="J1333" s="2" t="n">
        <v>3216.72875</v>
      </c>
      <c r="K1333" s="2" t="s">
        <v>34</v>
      </c>
      <c r="L1333" s="2" t="n">
        <f aca="false">J1333/_xlfn.XLOOKUP(Tabla2[[#This Row],[Unidad de precio]],Tabla3[Medida],Tabla3[Equivalencia en Kg],"ELVIS",0)</f>
        <v>7.88124157785128</v>
      </c>
      <c r="M1333" s="3" t="n">
        <v>8960.6721575976</v>
      </c>
      <c r="N1333" s="3" t="n">
        <f aca="false">(Tabla2[[#This Row],[Productividad (kg/TAS)]]*Tabla2[[#This Row],[Precio por kg]]-Tabla2[[#This Row],[Costos (En RD$/Tarea)]])</f>
        <v>-2825.73380497541</v>
      </c>
      <c r="O1333" s="9" t="n">
        <f aca="false">IF(Tabla2[[#This Row],[Costos (En RD$/Tarea)]]=0,0,Tabla2[[#This Row],[Beneficio Neto  (En RD$/Tarea)]]/Tabla2[[#This Row],[Costos (En RD$/Tarea)]])</f>
        <v>-0.315348419769997</v>
      </c>
      <c r="P1333" s="7" t="n">
        <f aca="false">Tabla2[[#This Row],[Rentabilidad (%)]]/12</f>
        <v>-0.0262790349808331</v>
      </c>
    </row>
    <row r="1334" customFormat="false" ht="14.25" hidden="false" customHeight="false" outlineLevel="0" collapsed="false">
      <c r="A1334" s="1" t="n">
        <v>39904</v>
      </c>
      <c r="B1334" s="2" t="s">
        <v>16</v>
      </c>
      <c r="C1334" s="3" t="n">
        <v>438420</v>
      </c>
      <c r="D1334" s="8" t="s">
        <v>17</v>
      </c>
      <c r="E1334" s="3" t="n">
        <f aca="false">IF(Tabla2[[#This Row],[Frecuencia]]="Annual", Tabla2[[#This Row],[Cosecha/Tarea]]/12,Tabla2[[#This Row],[Cosecha/Tarea]])</f>
        <v>438420</v>
      </c>
      <c r="F1334" s="3" t="n">
        <v>2027760</v>
      </c>
      <c r="G1334" s="2" t="s">
        <v>18</v>
      </c>
      <c r="H1334" s="2" t="n">
        <f aca="false">F1334/Tabla2[[#This Row],[Cosecha Mensual]]</f>
        <v>4.62515396195429</v>
      </c>
      <c r="I1334" s="2" t="n">
        <f aca="false">H1334*_xlfn.XLOOKUP(Tabla2[[#This Row],[Unidad de producción]],Tabla3[Medida],Tabla3[Equivalencia en Kg],"ELVIS",0)</f>
        <v>209.796983714247</v>
      </c>
      <c r="J1334" s="2" t="n">
        <v>1976.76861625959</v>
      </c>
      <c r="K1334" s="2" t="s">
        <v>19</v>
      </c>
      <c r="L1334" s="2" t="n">
        <f aca="false">J1334/_xlfn.XLOOKUP(Tabla2[[#This Row],[Unidad de precio]],Tabla3[Medida],Tabla3[Equivalencia en Kg],"ELVIS",0)</f>
        <v>17.9706237841781</v>
      </c>
      <c r="M1334" s="2" t="n">
        <v>6526.78</v>
      </c>
      <c r="N1334" s="3" t="n">
        <f aca="false">(Tabla2[[#This Row],[Productividad (kg/TAS)]]*Tabla2[[#This Row],[Precio por kg]]-Tabla2[[#This Row],[Costos (En RD$/Tarea)]])</f>
        <v>-2756.59733461594</v>
      </c>
      <c r="O1334" s="9" t="n">
        <f aca="false">IF(Tabla2[[#This Row],[Costos (En RD$/Tarea)]]=0,0,Tabla2[[#This Row],[Beneficio Neto  (En RD$/Tarea)]]/Tabla2[[#This Row],[Costos (En RD$/Tarea)]])</f>
        <v>-0.422351808183505</v>
      </c>
      <c r="P1334" s="7" t="n">
        <f aca="false">Tabla2[[#This Row],[Rentabilidad (%)]]/12</f>
        <v>-0.0351959840152921</v>
      </c>
    </row>
    <row r="1335" customFormat="false" ht="14.25" hidden="false" customHeight="false" outlineLevel="0" collapsed="false">
      <c r="A1335" s="1" t="n">
        <v>39904</v>
      </c>
      <c r="B1335" s="2" t="s">
        <v>20</v>
      </c>
      <c r="C1335" s="3" t="n">
        <v>22518</v>
      </c>
      <c r="D1335" s="8" t="s">
        <v>17</v>
      </c>
      <c r="E1335" s="3" t="n">
        <f aca="false">IF(Tabla2[[#This Row],[Frecuencia]]="Annual", Tabla2[[#This Row],[Cosecha/Tarea]]/12,Tabla2[[#This Row],[Cosecha/Tarea]])</f>
        <v>22518</v>
      </c>
      <c r="F1335" s="3" t="n">
        <v>50067</v>
      </c>
      <c r="G1335" s="2" t="s">
        <v>18</v>
      </c>
      <c r="H1335" s="2" t="n">
        <f aca="false">F1335/Tabla2[[#This Row],[Cosecha Mensual]]</f>
        <v>2.22342126298961</v>
      </c>
      <c r="I1335" s="2" t="n">
        <f aca="false">H1335*_xlfn.XLOOKUP(Tabla2[[#This Row],[Unidad de producción]],Tabla3[Medida],Tabla3[Equivalencia en Kg],"ELVIS",0)</f>
        <v>100.854388489209</v>
      </c>
      <c r="J1335" s="2" t="n">
        <v>633.24</v>
      </c>
      <c r="K1335" s="2" t="s">
        <v>18</v>
      </c>
      <c r="L1335" s="2" t="n">
        <f aca="false">J1335/_xlfn.XLOOKUP(Tabla2[[#This Row],[Unidad de precio]],Tabla3[Medida],Tabla3[Equivalencia en Kg],"ELVIS",0)</f>
        <v>13.9603174603175</v>
      </c>
      <c r="M1335" s="2" t="n">
        <v>1590.10324602816</v>
      </c>
      <c r="N1335" s="3" t="n">
        <f aca="false">(Tabla2[[#This Row],[Productividad (kg/TAS)]]*Tabla2[[#This Row],[Precio por kg]]-Tabla2[[#This Row],[Costos (En RD$/Tarea)]])</f>
        <v>-182.14396545262</v>
      </c>
      <c r="O1335" s="9" t="n">
        <f aca="false">IF(Tabla2[[#This Row],[Costos (En RD$/Tarea)]]=0,0,Tabla2[[#This Row],[Beneficio Neto  (En RD$/Tarea)]]/Tabla2[[#This Row],[Costos (En RD$/Tarea)]])</f>
        <v>-0.114548514951836</v>
      </c>
      <c r="P1335" s="7" t="n">
        <f aca="false">Tabla2[[#This Row],[Rentabilidad (%)]]/12</f>
        <v>-0.0095457095793197</v>
      </c>
    </row>
    <row r="1336" customFormat="false" ht="14.25" hidden="false" customHeight="false" outlineLevel="0" collapsed="false">
      <c r="A1336" s="1" t="n">
        <v>39904</v>
      </c>
      <c r="B1336" s="2" t="s">
        <v>21</v>
      </c>
      <c r="C1336" s="3" t="n">
        <v>14407</v>
      </c>
      <c r="D1336" s="8" t="s">
        <v>17</v>
      </c>
      <c r="E1336" s="3" t="n">
        <f aca="false">IF(Tabla2[[#This Row],[Frecuencia]]="Annual", Tabla2[[#This Row],[Cosecha/Tarea]]/12,Tabla2[[#This Row],[Cosecha/Tarea]])</f>
        <v>14407</v>
      </c>
      <c r="F1336" s="3" t="n">
        <v>167341</v>
      </c>
      <c r="G1336" s="2" t="s">
        <v>18</v>
      </c>
      <c r="H1336" s="2" t="n">
        <f aca="false">F1336/Tabla2[[#This Row],[Cosecha Mensual]]</f>
        <v>11.6152564725481</v>
      </c>
      <c r="I1336" s="2" t="n">
        <f aca="false">H1336*_xlfn.XLOOKUP(Tabla2[[#This Row],[Unidad de producción]],Tabla3[Medida],Tabla3[Equivalencia en Kg],"ELVIS",0)</f>
        <v>526.86803359478</v>
      </c>
      <c r="J1336" s="2" t="n">
        <v>233.682428571429</v>
      </c>
      <c r="K1336" s="2" t="s">
        <v>18</v>
      </c>
      <c r="L1336" s="2" t="n">
        <f aca="false">J1336/_xlfn.XLOOKUP(Tabla2[[#This Row],[Unidad de precio]],Tabla3[Medida],Tabla3[Equivalencia en Kg],"ELVIS",0)</f>
        <v>5.15172902494332</v>
      </c>
      <c r="M1336" s="2" t="n">
        <v>4038.1847175</v>
      </c>
      <c r="N1336" s="3" t="n">
        <f aca="false">(Tabla2[[#This Row],[Productividad (kg/TAS)]]*Tabla2[[#This Row],[Precio por kg]]-Tabla2[[#This Row],[Costos (En RD$/Tarea)]])</f>
        <v>-1323.90337651496</v>
      </c>
      <c r="O1336" s="9" t="n">
        <f aca="false">IF(Tabla2[[#This Row],[Costos (En RD$/Tarea)]]=0,0,Tabla2[[#This Row],[Beneficio Neto  (En RD$/Tarea)]]/Tabla2[[#This Row],[Costos (En RD$/Tarea)]])</f>
        <v>-0.327846165822393</v>
      </c>
      <c r="P1336" s="7" t="n">
        <f aca="false">Tabla2[[#This Row],[Rentabilidad (%)]]/12</f>
        <v>-0.0273205138185327</v>
      </c>
    </row>
    <row r="1337" customFormat="false" ht="14.25" hidden="false" customHeight="false" outlineLevel="0" collapsed="false">
      <c r="A1337" s="1" t="n">
        <v>39904</v>
      </c>
      <c r="B1337" s="2" t="s">
        <v>22</v>
      </c>
      <c r="C1337" s="3" t="n">
        <v>4383</v>
      </c>
      <c r="D1337" s="8" t="s">
        <v>17</v>
      </c>
      <c r="E1337" s="3" t="n">
        <f aca="false">IF(Tabla2[[#This Row],[Frecuencia]]="Annual", Tabla2[[#This Row],[Cosecha/Tarea]]/12,Tabla2[[#This Row],[Cosecha/Tarea]])</f>
        <v>4383</v>
      </c>
      <c r="F1337" s="3" t="n">
        <v>44097</v>
      </c>
      <c r="G1337" s="2" t="s">
        <v>18</v>
      </c>
      <c r="H1337" s="2" t="n">
        <f aca="false">F1337/Tabla2[[#This Row],[Cosecha Mensual]]</f>
        <v>10.0609171800137</v>
      </c>
      <c r="I1337" s="2" t="n">
        <f aca="false">H1337*_xlfn.XLOOKUP(Tabla2[[#This Row],[Unidad de producción]],Tabla3[Medida],Tabla3[Equivalencia en Kg],"ELVIS",0)</f>
        <v>456.363203285421</v>
      </c>
      <c r="J1337" s="2" t="n">
        <v>1050</v>
      </c>
      <c r="K1337" s="2" t="s">
        <v>18</v>
      </c>
      <c r="L1337" s="2" t="n">
        <f aca="false">J1337/_xlfn.XLOOKUP(Tabla2[[#This Row],[Unidad de precio]],Tabla3[Medida],Tabla3[Equivalencia en Kg],"ELVIS",0)</f>
        <v>23.1481481481482</v>
      </c>
      <c r="M1337" s="2" t="n">
        <v>7095.7961172</v>
      </c>
      <c r="N1337" s="3" t="n">
        <f aca="false">(Tabla2[[#This Row],[Productividad (kg/TAS)]]*Tabla2[[#This Row],[Precio por kg]]-Tabla2[[#This Row],[Costos (En RD$/Tarea)]])</f>
        <v>3468.16692181437</v>
      </c>
      <c r="O1337" s="9" t="n">
        <f aca="false">IF(Tabla2[[#This Row],[Costos (En RD$/Tarea)]]=0,0,Tabla2[[#This Row],[Beneficio Neto  (En RD$/Tarea)]]/Tabla2[[#This Row],[Costos (En RD$/Tarea)]])</f>
        <v>0.488763609400732</v>
      </c>
      <c r="P1337" s="7" t="n">
        <f aca="false">Tabla2[[#This Row],[Rentabilidad (%)]]/12</f>
        <v>0.0407303007833944</v>
      </c>
    </row>
    <row r="1338" customFormat="false" ht="14.25" hidden="false" customHeight="false" outlineLevel="0" collapsed="false">
      <c r="A1338" s="1" t="n">
        <v>39904</v>
      </c>
      <c r="B1338" s="2" t="s">
        <v>23</v>
      </c>
      <c r="C1338" s="3" t="n">
        <v>5188</v>
      </c>
      <c r="D1338" s="8" t="s">
        <v>17</v>
      </c>
      <c r="E1338" s="3" t="n">
        <f aca="false">IF(Tabla2[[#This Row],[Frecuencia]]="Annual", Tabla2[[#This Row],[Cosecha/Tarea]]/12,Tabla2[[#This Row],[Cosecha/Tarea]])</f>
        <v>5188</v>
      </c>
      <c r="F1338" s="3" t="n">
        <v>117447</v>
      </c>
      <c r="G1338" s="2" t="s">
        <v>18</v>
      </c>
      <c r="H1338" s="2" t="n">
        <f aca="false">F1338/Tabla2[[#This Row],[Cosecha Mensual]]</f>
        <v>22.6382035466461</v>
      </c>
      <c r="I1338" s="2" t="n">
        <f aca="false">H1338*_xlfn.XLOOKUP(Tabla2[[#This Row],[Unidad de producción]],Tabla3[Medida],Tabla3[Equivalencia en Kg],"ELVIS",0)</f>
        <v>1026.86891287587</v>
      </c>
      <c r="J1338" s="2" t="n">
        <v>484.605</v>
      </c>
      <c r="K1338" s="2" t="s">
        <v>18</v>
      </c>
      <c r="L1338" s="2" t="n">
        <f aca="false">J1338/_xlfn.XLOOKUP(Tabla2[[#This Row],[Unidad de precio]],Tabla3[Medida],Tabla3[Equivalencia en Kg],"ELVIS",0)</f>
        <v>10.6835317460317</v>
      </c>
      <c r="M1338" s="2" t="n">
        <v>17661.8086675086</v>
      </c>
      <c r="N1338" s="3" t="n">
        <f aca="false">(Tabla2[[#This Row],[Productividad (kg/TAS)]]*Tabla2[[#This Row],[Precio por kg]]-Tabla2[[#This Row],[Costos (En RD$/Tarea)]])</f>
        <v>-6691.22203778616</v>
      </c>
      <c r="O1338" s="9" t="n">
        <f aca="false">IF(Tabla2[[#This Row],[Costos (En RD$/Tarea)]]=0,0,Tabla2[[#This Row],[Beneficio Neto  (En RD$/Tarea)]]/Tabla2[[#This Row],[Costos (En RD$/Tarea)]])</f>
        <v>-0.378852594530458</v>
      </c>
      <c r="P1338" s="7" t="n">
        <f aca="false">Tabla2[[#This Row],[Rentabilidad (%)]]/12</f>
        <v>-0.0315710495442048</v>
      </c>
    </row>
    <row r="1339" customFormat="false" ht="14.25" hidden="false" customHeight="false" outlineLevel="0" collapsed="false">
      <c r="A1339" s="1" t="n">
        <v>39904</v>
      </c>
      <c r="B1339" s="2" t="s">
        <v>24</v>
      </c>
      <c r="C1339" s="3" t="n">
        <v>5901</v>
      </c>
      <c r="D1339" s="8" t="s">
        <v>17</v>
      </c>
      <c r="E1339" s="3" t="n">
        <f aca="false">IF(Tabla2[[#This Row],[Frecuencia]]="Annual", Tabla2[[#This Row],[Cosecha/Tarea]]/12,Tabla2[[#This Row],[Cosecha/Tarea]])</f>
        <v>5901</v>
      </c>
      <c r="F1339" s="3" t="n">
        <v>61498</v>
      </c>
      <c r="G1339" s="2" t="s">
        <v>18</v>
      </c>
      <c r="H1339" s="2" t="n">
        <f aca="false">F1339/Tabla2[[#This Row],[Cosecha Mensual]]</f>
        <v>10.4216234536519</v>
      </c>
      <c r="I1339" s="2" t="n">
        <f aca="false">H1339*_xlfn.XLOOKUP(Tabla2[[#This Row],[Unidad de producción]],Tabla3[Medida],Tabla3[Equivalencia en Kg],"ELVIS",0)</f>
        <v>472.724839857651</v>
      </c>
      <c r="J1339" s="2" t="n">
        <v>1235.66666666667</v>
      </c>
      <c r="K1339" s="2" t="s">
        <v>18</v>
      </c>
      <c r="L1339" s="2" t="n">
        <f aca="false">J1339/_xlfn.XLOOKUP(Tabla2[[#This Row],[Unidad de precio]],Tabla3[Medida],Tabla3[Equivalencia en Kg],"ELVIS",0)</f>
        <v>27.2413286302176</v>
      </c>
      <c r="M1339" s="2" t="n">
        <v>5745.6881190336</v>
      </c>
      <c r="N1339" s="3" t="n">
        <f aca="false">(Tabla2[[#This Row],[Productividad (kg/TAS)]]*Tabla2[[#This Row],[Precio por kg]]-Tabla2[[#This Row],[Costos (En RD$/Tarea)]])</f>
        <v>7131.96459519566</v>
      </c>
      <c r="O1339" s="9" t="n">
        <f aca="false">IF(Tabla2[[#This Row],[Costos (En RD$/Tarea)]]=0,0,Tabla2[[#This Row],[Beneficio Neto  (En RD$/Tarea)]]/Tabla2[[#This Row],[Costos (En RD$/Tarea)]])</f>
        <v>1.24127248946384</v>
      </c>
      <c r="P1339" s="7" t="n">
        <f aca="false">Tabla2[[#This Row],[Rentabilidad (%)]]/12</f>
        <v>0.103439374121987</v>
      </c>
    </row>
    <row r="1340" customFormat="false" ht="14.25" hidden="false" customHeight="false" outlineLevel="0" collapsed="false">
      <c r="A1340" s="1" t="n">
        <v>39904</v>
      </c>
      <c r="B1340" s="2" t="s">
        <v>25</v>
      </c>
      <c r="C1340" s="3" t="n">
        <v>28869</v>
      </c>
      <c r="D1340" s="8" t="s">
        <v>17</v>
      </c>
      <c r="E1340" s="3" t="n">
        <f aca="false">IF(Tabla2[[#This Row],[Frecuencia]]="Annual", Tabla2[[#This Row],[Cosecha/Tarea]]/12,Tabla2[[#This Row],[Cosecha/Tarea]])</f>
        <v>28869</v>
      </c>
      <c r="F1340" s="3" t="n">
        <v>303118</v>
      </c>
      <c r="G1340" s="2" t="s">
        <v>18</v>
      </c>
      <c r="H1340" s="2" t="n">
        <f aca="false">F1340/Tabla2[[#This Row],[Cosecha Mensual]]</f>
        <v>10.4997748449894</v>
      </c>
      <c r="I1340" s="2" t="n">
        <f aca="false">H1340*_xlfn.XLOOKUP(Tabla2[[#This Row],[Unidad de producción]],Tabla3[Medida],Tabla3[Equivalencia en Kg],"ELVIS",0)</f>
        <v>476.269786968721</v>
      </c>
      <c r="J1340" s="2" t="n">
        <v>463.3321875</v>
      </c>
      <c r="K1340" s="2" t="s">
        <v>18</v>
      </c>
      <c r="L1340" s="2" t="n">
        <f aca="false">J1340/_xlfn.XLOOKUP(Tabla2[[#This Row],[Unidad de precio]],Tabla3[Medida],Tabla3[Equivalencia en Kg],"ELVIS",0)</f>
        <v>10.2145543981481</v>
      </c>
      <c r="M1340" s="2" t="n">
        <v>3380.66818371576</v>
      </c>
      <c r="N1340" s="3" t="n">
        <f aca="false">(Tabla2[[#This Row],[Productividad (kg/TAS)]]*Tabla2[[#This Row],[Precio por kg]]-Tabla2[[#This Row],[Costos (En RD$/Tarea)]])</f>
        <v>1484.21546347067</v>
      </c>
      <c r="O1340" s="9" t="n">
        <f aca="false">IF(Tabla2[[#This Row],[Costos (En RD$/Tarea)]]=0,0,Tabla2[[#This Row],[Beneficio Neto  (En RD$/Tarea)]]/Tabla2[[#This Row],[Costos (En RD$/Tarea)]])</f>
        <v>0.439030210246584</v>
      </c>
      <c r="P1340" s="7" t="n">
        <f aca="false">Tabla2[[#This Row],[Rentabilidad (%)]]/12</f>
        <v>0.036585850853882</v>
      </c>
    </row>
    <row r="1341" customFormat="false" ht="14.25" hidden="false" customHeight="false" outlineLevel="0" collapsed="false">
      <c r="A1341" s="1" t="n">
        <v>39904</v>
      </c>
      <c r="B1341" s="2" t="s">
        <v>26</v>
      </c>
      <c r="C1341" s="3" t="n">
        <v>16416</v>
      </c>
      <c r="D1341" s="8" t="s">
        <v>17</v>
      </c>
      <c r="E1341" s="3" t="n">
        <f aca="false">IF(Tabla2[[#This Row],[Frecuencia]]="Annual", Tabla2[[#This Row],[Cosecha/Tarea]]/12,Tabla2[[#This Row],[Cosecha/Tarea]])</f>
        <v>16416</v>
      </c>
      <c r="F1341" s="3" t="n">
        <v>141342</v>
      </c>
      <c r="G1341" s="2" t="s">
        <v>18</v>
      </c>
      <c r="H1341" s="2" t="n">
        <f aca="false">F1341/Tabla2[[#This Row],[Cosecha Mensual]]</f>
        <v>8.61001461988304</v>
      </c>
      <c r="I1341" s="2" t="n">
        <f aca="false">H1341*_xlfn.XLOOKUP(Tabla2[[#This Row],[Unidad de producción]],Tabla3[Medida],Tabla3[Equivalencia en Kg],"ELVIS",0)</f>
        <v>390.550263157895</v>
      </c>
      <c r="J1341" s="2" t="n">
        <v>605.178571428571</v>
      </c>
      <c r="K1341" s="2" t="s">
        <v>18</v>
      </c>
      <c r="L1341" s="2" t="n">
        <f aca="false">J1341/_xlfn.XLOOKUP(Tabla2[[#This Row],[Unidad de precio]],Tabla3[Medida],Tabla3[Equivalencia en Kg],"ELVIS",0)</f>
        <v>13.3416792642983</v>
      </c>
      <c r="M1341" s="2" t="n">
        <v>1376.3165203125</v>
      </c>
      <c r="N1341" s="3" t="n">
        <f aca="false">(Tabla2[[#This Row],[Productividad (kg/TAS)]]*Tabla2[[#This Row],[Precio por kg]]-Tabla2[[#This Row],[Costos (En RD$/Tarea)]])</f>
        <v>3834.27982732743</v>
      </c>
      <c r="O1341" s="9" t="n">
        <f aca="false">IF(Tabla2[[#This Row],[Costos (En RD$/Tarea)]]=0,0,Tabla2[[#This Row],[Beneficio Neto  (En RD$/Tarea)]]/Tabla2[[#This Row],[Costos (En RD$/Tarea)]])</f>
        <v>2.78589973362874</v>
      </c>
      <c r="P1341" s="7" t="n">
        <f aca="false">Tabla2[[#This Row],[Rentabilidad (%)]]/12</f>
        <v>0.232158311135728</v>
      </c>
    </row>
    <row r="1342" customFormat="false" ht="14.25" hidden="false" customHeight="false" outlineLevel="0" collapsed="false">
      <c r="A1342" s="1" t="n">
        <v>39904</v>
      </c>
      <c r="B1342" s="2" t="s">
        <v>27</v>
      </c>
      <c r="C1342" s="3" t="n">
        <v>6905</v>
      </c>
      <c r="D1342" s="8" t="s">
        <v>17</v>
      </c>
      <c r="E1342" s="3" t="n">
        <f aca="false">IF(Tabla2[[#This Row],[Frecuencia]]="Annual", Tabla2[[#This Row],[Cosecha/Tarea]]/12,Tabla2[[#This Row],[Cosecha/Tarea]])</f>
        <v>6905</v>
      </c>
      <c r="F1342" s="3" t="n">
        <v>75962</v>
      </c>
      <c r="G1342" s="2" t="s">
        <v>18</v>
      </c>
      <c r="H1342" s="2" t="n">
        <f aca="false">F1342/Tabla2[[#This Row],[Cosecha Mensual]]</f>
        <v>11.0010137581463</v>
      </c>
      <c r="I1342" s="2" t="n">
        <f aca="false">H1342*_xlfn.XLOOKUP(Tabla2[[#This Row],[Unidad de producción]],Tabla3[Medida],Tabla3[Equivalencia en Kg],"ELVIS",0)</f>
        <v>499.005984069515</v>
      </c>
      <c r="J1342" s="2" t="n">
        <v>236.25</v>
      </c>
      <c r="K1342" s="2" t="s">
        <v>18</v>
      </c>
      <c r="L1342" s="2" t="n">
        <f aca="false">J1342/_xlfn.XLOOKUP(Tabla2[[#This Row],[Unidad de precio]],Tabla3[Medida],Tabla3[Equivalencia en Kg],"ELVIS",0)</f>
        <v>5.20833333333333</v>
      </c>
      <c r="M1342" s="2" t="n">
        <v>5690.0383784955</v>
      </c>
      <c r="N1342" s="3" t="n">
        <f aca="false">(Tabla2[[#This Row],[Productividad (kg/TAS)]]*Tabla2[[#This Row],[Precio por kg]]-Tabla2[[#This Row],[Costos (En RD$/Tarea)]])</f>
        <v>-3091.04887813344</v>
      </c>
      <c r="O1342" s="9" t="n">
        <f aca="false">IF(Tabla2[[#This Row],[Costos (En RD$/Tarea)]]=0,0,Tabla2[[#This Row],[Beneficio Neto  (En RD$/Tarea)]]/Tabla2[[#This Row],[Costos (En RD$/Tarea)]])</f>
        <v>-0.543238669499229</v>
      </c>
      <c r="P1342" s="7" t="n">
        <f aca="false">Tabla2[[#This Row],[Rentabilidad (%)]]/12</f>
        <v>-0.0452698891249357</v>
      </c>
    </row>
    <row r="1343" customFormat="false" ht="14.25" hidden="false" customHeight="false" outlineLevel="0" collapsed="false">
      <c r="A1343" s="1" t="n">
        <v>39904</v>
      </c>
      <c r="B1343" s="2" t="s">
        <v>28</v>
      </c>
      <c r="C1343" s="3" t="n">
        <v>566</v>
      </c>
      <c r="D1343" s="8" t="s">
        <v>17</v>
      </c>
      <c r="E1343" s="3" t="n">
        <f aca="false">IF(Tabla2[[#This Row],[Frecuencia]]="Annual", Tabla2[[#This Row],[Cosecha/Tarea]]/12,Tabla2[[#This Row],[Cosecha/Tarea]])</f>
        <v>566</v>
      </c>
      <c r="F1343" s="3" t="n">
        <v>346</v>
      </c>
      <c r="G1343" s="2" t="s">
        <v>29</v>
      </c>
      <c r="H1343" s="2" t="n">
        <f aca="false">F1343/Tabla2[[#This Row],[Cosecha Mensual]]</f>
        <v>0.6113074204947</v>
      </c>
      <c r="I1343" s="2" t="n">
        <f aca="false">H1343*_xlfn.XLOOKUP(Tabla2[[#This Row],[Unidad de producción]],Tabla3[Medida],Tabla3[Equivalencia en Kg],"ELVIS",0)</f>
        <v>343.762614840989</v>
      </c>
      <c r="J1343" s="2" t="n">
        <v>5781</v>
      </c>
      <c r="K1343" s="2" t="s">
        <v>29</v>
      </c>
      <c r="L1343" s="2" t="n">
        <f aca="false">J1343/_xlfn.XLOOKUP(Tabla2[[#This Row],[Unidad de precio]],Tabla3[Medida],Tabla3[Equivalencia en Kg],"ELVIS",0)</f>
        <v>10.2802574954654</v>
      </c>
      <c r="M1343" s="2" t="n">
        <v>5157.16231976537</v>
      </c>
      <c r="N1343" s="3" t="n">
        <f aca="false">(Tabla2[[#This Row],[Productividad (kg/TAS)]]*Tabla2[[#This Row],[Precio por kg]]-Tabla2[[#This Row],[Costos (En RD$/Tarea)]])</f>
        <v>-1623.19412188551</v>
      </c>
      <c r="O1343" s="9" t="n">
        <f aca="false">IF(Tabla2[[#This Row],[Costos (En RD$/Tarea)]]=0,0,Tabla2[[#This Row],[Beneficio Neto  (En RD$/Tarea)]]/Tabla2[[#This Row],[Costos (En RD$/Tarea)]])</f>
        <v>-0.314745594813731</v>
      </c>
      <c r="P1343" s="7" t="n">
        <f aca="false">Tabla2[[#This Row],[Rentabilidad (%)]]/12</f>
        <v>-0.0262287995678109</v>
      </c>
    </row>
    <row r="1344" customFormat="false" ht="14.25" hidden="false" customHeight="false" outlineLevel="0" collapsed="false">
      <c r="A1344" s="1" t="n">
        <v>39904</v>
      </c>
      <c r="B1344" s="2" t="s">
        <v>30</v>
      </c>
      <c r="C1344" s="3" t="n">
        <v>236235</v>
      </c>
      <c r="D1344" s="3" t="s">
        <v>31</v>
      </c>
      <c r="E1344" s="3" t="n">
        <f aca="false">IF(Tabla2[[#This Row],[Frecuencia]]="Annual", Tabla2[[#This Row],[Cosecha/Tarea]]/12,Tabla2[[#This Row],[Cosecha/Tarea]])</f>
        <v>19686.25</v>
      </c>
      <c r="F1344" s="3" t="n">
        <v>1869245</v>
      </c>
      <c r="G1344" s="2" t="s">
        <v>32</v>
      </c>
      <c r="H1344" s="2" t="n">
        <f aca="false">F1344/Tabla2[[#This Row],[Cosecha Mensual]]</f>
        <v>94.9518064639025</v>
      </c>
      <c r="I1344" s="2" t="n">
        <f aca="false">H1344*_xlfn.XLOOKUP(Tabla2[[#This Row],[Unidad de producción]],Tabla3[Medida],Tabla3[Equivalencia en Kg],"ELVIS",0)</f>
        <v>2583.63865388279</v>
      </c>
      <c r="J1344" s="2" t="n">
        <v>100.986428571429</v>
      </c>
      <c r="K1344" s="2" t="s">
        <v>32</v>
      </c>
      <c r="L1344" s="2" t="n">
        <f aca="false">J1344/_xlfn.XLOOKUP(Tabla2[[#This Row],[Unidad de precio]],Tabla3[Medida],Tabla3[Equivalencia en Kg],"ELVIS",0)</f>
        <v>3.71137186958578</v>
      </c>
      <c r="M1344" s="3" t="n">
        <v>9253.94477920298</v>
      </c>
      <c r="N1344" s="3" t="n">
        <f aca="false">(Tabla2[[#This Row],[Productividad (kg/TAS)]]*Tabla2[[#This Row],[Precio por kg]]-Tabla2[[#This Row],[Costos (En RD$/Tarea)]])</f>
        <v>334.899041992057</v>
      </c>
      <c r="O1344" s="9" t="n">
        <f aca="false">IF(Tabla2[[#This Row],[Costos (En RD$/Tarea)]]=0,0,Tabla2[[#This Row],[Beneficio Neto  (En RD$/Tarea)]]/Tabla2[[#This Row],[Costos (En RD$/Tarea)]])</f>
        <v>0.0361898682110897</v>
      </c>
      <c r="P1344" s="7" t="n">
        <f aca="false">Tabla2[[#This Row],[Rentabilidad (%)]]/12</f>
        <v>0.00301582235092414</v>
      </c>
    </row>
    <row r="1345" customFormat="false" ht="14.25" hidden="false" customHeight="false" outlineLevel="0" collapsed="false">
      <c r="A1345" s="1" t="n">
        <v>39904</v>
      </c>
      <c r="B1345" s="2" t="s">
        <v>33</v>
      </c>
      <c r="C1345" s="3" t="n">
        <v>673675</v>
      </c>
      <c r="D1345" s="3" t="s">
        <v>31</v>
      </c>
      <c r="E1345" s="3" t="n">
        <f aca="false">IF(Tabla2[[#This Row],[Frecuencia]]="Annual", Tabla2[[#This Row],[Cosecha/Tarea]]/12,Tabla2[[#This Row],[Cosecha/Tarea]])</f>
        <v>56139.5833333333</v>
      </c>
      <c r="F1345" s="3" t="n">
        <v>111498</v>
      </c>
      <c r="G1345" s="2" t="s">
        <v>34</v>
      </c>
      <c r="H1345" s="2" t="n">
        <f aca="false">F1345/Tabla2[[#This Row],[Cosecha Mensual]]</f>
        <v>1.98608527850967</v>
      </c>
      <c r="I1345" s="2" t="n">
        <f aca="false">H1345*_xlfn.XLOOKUP(Tabla2[[#This Row],[Unidad de producción]],Tabla3[Medida],Tabla3[Equivalencia en Kg],"ELVIS",0)</f>
        <v>810.620706423721</v>
      </c>
      <c r="J1345" s="2" t="n">
        <v>3245.34375</v>
      </c>
      <c r="K1345" s="2" t="s">
        <v>34</v>
      </c>
      <c r="L1345" s="2" t="n">
        <f aca="false">J1345/_xlfn.XLOOKUP(Tabla2[[#This Row],[Unidad de precio]],Tabla3[Medida],Tabla3[Equivalencia en Kg],"ELVIS",0)</f>
        <v>7.95135060639471</v>
      </c>
      <c r="M1345" s="3" t="n">
        <v>8960.6721575976</v>
      </c>
      <c r="N1345" s="3" t="n">
        <f aca="false">(Tabla2[[#This Row],[Productividad (kg/TAS)]]*Tabla2[[#This Row],[Precio por kg]]-Tabla2[[#This Row],[Costos (En RD$/Tarea)]])</f>
        <v>-2515.14271201924</v>
      </c>
      <c r="O1345" s="9" t="n">
        <f aca="false">IF(Tabla2[[#This Row],[Costos (En RD$/Tarea)]]=0,0,Tabla2[[#This Row],[Beneficio Neto  (En RD$/Tarea)]]/Tabla2[[#This Row],[Costos (En RD$/Tarea)]])</f>
        <v>-0.280686835516764</v>
      </c>
      <c r="P1345" s="7" t="n">
        <f aca="false">Tabla2[[#This Row],[Rentabilidad (%)]]/12</f>
        <v>-0.023390569626397</v>
      </c>
    </row>
    <row r="1346" customFormat="false" ht="14.25" hidden="false" customHeight="false" outlineLevel="0" collapsed="false">
      <c r="A1346" s="1" t="n">
        <v>39934</v>
      </c>
      <c r="B1346" s="2" t="s">
        <v>16</v>
      </c>
      <c r="C1346" s="3" t="n">
        <v>386807</v>
      </c>
      <c r="D1346" s="8" t="s">
        <v>17</v>
      </c>
      <c r="E1346" s="3" t="n">
        <f aca="false">IF(Tabla2[[#This Row],[Frecuencia]]="Annual", Tabla2[[#This Row],[Cosecha/Tarea]]/12,Tabla2[[#This Row],[Cosecha/Tarea]])</f>
        <v>386807</v>
      </c>
      <c r="F1346" s="3" t="n">
        <v>1837484</v>
      </c>
      <c r="G1346" s="2" t="s">
        <v>18</v>
      </c>
      <c r="H1346" s="2" t="n">
        <f aca="false">F1346/Tabla2[[#This Row],[Cosecha Mensual]]</f>
        <v>4.75038972924482</v>
      </c>
      <c r="I1346" s="2" t="n">
        <f aca="false">H1346*_xlfn.XLOOKUP(Tabla2[[#This Row],[Unidad de producción]],Tabla3[Medida],Tabla3[Equivalencia en Kg],"ELVIS",0)</f>
        <v>215.477678118545</v>
      </c>
      <c r="J1346" s="2" t="n">
        <v>2013.99128223175</v>
      </c>
      <c r="K1346" s="2" t="s">
        <v>19</v>
      </c>
      <c r="L1346" s="2" t="n">
        <f aca="false">J1346/_xlfn.XLOOKUP(Tabla2[[#This Row],[Unidad de precio]],Tabla3[Medida],Tabla3[Equivalencia en Kg],"ELVIS",0)</f>
        <v>18.3090116566523</v>
      </c>
      <c r="M1346" s="2" t="n">
        <v>6526.78</v>
      </c>
      <c r="N1346" s="3" t="n">
        <f aca="false">(Tabla2[[#This Row],[Productividad (kg/TAS)]]*Tabla2[[#This Row],[Precio por kg]]-Tabla2[[#This Row],[Costos (En RD$/Tarea)]])</f>
        <v>-2581.59667957919</v>
      </c>
      <c r="O1346" s="9" t="n">
        <f aca="false">IF(Tabla2[[#This Row],[Costos (En RD$/Tarea)]]=0,0,Tabla2[[#This Row],[Beneficio Neto  (En RD$/Tarea)]]/Tabla2[[#This Row],[Costos (En RD$/Tarea)]])</f>
        <v>-0.395539098848007</v>
      </c>
      <c r="P1346" s="7" t="n">
        <f aca="false">Tabla2[[#This Row],[Rentabilidad (%)]]/12</f>
        <v>-0.0329615915706672</v>
      </c>
    </row>
    <row r="1347" customFormat="false" ht="14.25" hidden="false" customHeight="false" outlineLevel="0" collapsed="false">
      <c r="A1347" s="1" t="n">
        <v>39934</v>
      </c>
      <c r="B1347" s="2" t="s">
        <v>20</v>
      </c>
      <c r="C1347" s="3" t="n">
        <v>23415</v>
      </c>
      <c r="D1347" s="8" t="s">
        <v>17</v>
      </c>
      <c r="E1347" s="3" t="n">
        <f aca="false">IF(Tabla2[[#This Row],[Frecuencia]]="Annual", Tabla2[[#This Row],[Cosecha/Tarea]]/12,Tabla2[[#This Row],[Cosecha/Tarea]])</f>
        <v>23415</v>
      </c>
      <c r="F1347" s="3" t="n">
        <v>68966</v>
      </c>
      <c r="G1347" s="2" t="s">
        <v>18</v>
      </c>
      <c r="H1347" s="2" t="n">
        <f aca="false">F1347/Tabla2[[#This Row],[Cosecha Mensual]]</f>
        <v>2.94537689515268</v>
      </c>
      <c r="I1347" s="2" t="n">
        <f aca="false">H1347*_xlfn.XLOOKUP(Tabla2[[#This Row],[Unidad de producción]],Tabla3[Medida],Tabla3[Equivalencia en Kg],"ELVIS",0)</f>
        <v>133.602295964126</v>
      </c>
      <c r="J1347" s="2" t="n">
        <v>659.74</v>
      </c>
      <c r="K1347" s="2" t="s">
        <v>18</v>
      </c>
      <c r="L1347" s="2" t="n">
        <f aca="false">J1347/_xlfn.XLOOKUP(Tabla2[[#This Row],[Unidad de precio]],Tabla3[Medida],Tabla3[Equivalencia en Kg],"ELVIS",0)</f>
        <v>14.544532627866</v>
      </c>
      <c r="M1347" s="2" t="n">
        <v>1590.10324602816</v>
      </c>
      <c r="N1347" s="3" t="n">
        <f aca="false">(Tabla2[[#This Row],[Productividad (kg/TAS)]]*Tabla2[[#This Row],[Precio por kg]]-Tabla2[[#This Row],[Costos (En RD$/Tarea)]])</f>
        <v>353.079706779869</v>
      </c>
      <c r="O1347" s="9" t="n">
        <f aca="false">IF(Tabla2[[#This Row],[Costos (En RD$/Tarea)]]=0,0,Tabla2[[#This Row],[Beneficio Neto  (En RD$/Tarea)]]/Tabla2[[#This Row],[Costos (En RD$/Tarea)]])</f>
        <v>0.222048290047712</v>
      </c>
      <c r="P1347" s="7" t="n">
        <f aca="false">Tabla2[[#This Row],[Rentabilidad (%)]]/12</f>
        <v>0.0185040241706427</v>
      </c>
    </row>
    <row r="1348" customFormat="false" ht="14.25" hidden="false" customHeight="false" outlineLevel="0" collapsed="false">
      <c r="A1348" s="1" t="n">
        <v>39934</v>
      </c>
      <c r="B1348" s="2" t="s">
        <v>21</v>
      </c>
      <c r="C1348" s="3" t="n">
        <v>7303</v>
      </c>
      <c r="D1348" s="8" t="s">
        <v>17</v>
      </c>
      <c r="E1348" s="3" t="n">
        <f aca="false">IF(Tabla2[[#This Row],[Frecuencia]]="Annual", Tabla2[[#This Row],[Cosecha/Tarea]]/12,Tabla2[[#This Row],[Cosecha/Tarea]])</f>
        <v>7303</v>
      </c>
      <c r="F1348" s="3" t="n">
        <v>84401</v>
      </c>
      <c r="G1348" s="2" t="s">
        <v>18</v>
      </c>
      <c r="H1348" s="2" t="n">
        <f aca="false">F1348/Tabla2[[#This Row],[Cosecha Mensual]]</f>
        <v>11.5570313569766</v>
      </c>
      <c r="I1348" s="2" t="n">
        <f aca="false">H1348*_xlfn.XLOOKUP(Tabla2[[#This Row],[Unidad de producción]],Tabla3[Medida],Tabla3[Equivalencia en Kg],"ELVIS",0)</f>
        <v>524.226942352458</v>
      </c>
      <c r="J1348" s="2" t="n">
        <v>251.744071428571</v>
      </c>
      <c r="K1348" s="2" t="s">
        <v>18</v>
      </c>
      <c r="L1348" s="2" t="n">
        <f aca="false">J1348/_xlfn.XLOOKUP(Tabla2[[#This Row],[Unidad de precio]],Tabla3[Medida],Tabla3[Equivalencia en Kg],"ELVIS",0)</f>
        <v>5.54991339128243</v>
      </c>
      <c r="M1348" s="2" t="n">
        <v>4038.1847175</v>
      </c>
      <c r="N1348" s="3" t="n">
        <f aca="false">(Tabla2[[#This Row],[Productividad (kg/TAS)]]*Tabla2[[#This Row],[Precio por kg]]-Tabla2[[#This Row],[Costos (En RD$/Tarea)]])</f>
        <v>-1128.77059006705</v>
      </c>
      <c r="O1348" s="9" t="n">
        <f aca="false">IF(Tabla2[[#This Row],[Costos (En RD$/Tarea)]]=0,0,Tabla2[[#This Row],[Beneficio Neto  (En RD$/Tarea)]]/Tabla2[[#This Row],[Costos (En RD$/Tarea)]])</f>
        <v>-0.27952425880257</v>
      </c>
      <c r="P1348" s="7" t="n">
        <f aca="false">Tabla2[[#This Row],[Rentabilidad (%)]]/12</f>
        <v>-0.0232936882335475</v>
      </c>
    </row>
    <row r="1349" customFormat="false" ht="14.25" hidden="false" customHeight="false" outlineLevel="0" collapsed="false">
      <c r="A1349" s="1" t="n">
        <v>39934</v>
      </c>
      <c r="B1349" s="2" t="s">
        <v>22</v>
      </c>
      <c r="C1349" s="3" t="n">
        <v>6270</v>
      </c>
      <c r="D1349" s="8" t="s">
        <v>17</v>
      </c>
      <c r="E1349" s="3" t="n">
        <f aca="false">IF(Tabla2[[#This Row],[Frecuencia]]="Annual", Tabla2[[#This Row],[Cosecha/Tarea]]/12,Tabla2[[#This Row],[Cosecha/Tarea]])</f>
        <v>6270</v>
      </c>
      <c r="F1349" s="3" t="n">
        <v>59132</v>
      </c>
      <c r="G1349" s="2" t="s">
        <v>18</v>
      </c>
      <c r="H1349" s="2" t="n">
        <f aca="false">F1349/Tabla2[[#This Row],[Cosecha Mensual]]</f>
        <v>9.43094098883573</v>
      </c>
      <c r="I1349" s="2" t="n">
        <f aca="false">H1349*_xlfn.XLOOKUP(Tabla2[[#This Row],[Unidad de producción]],Tabla3[Medida],Tabla3[Equivalencia en Kg],"ELVIS",0)</f>
        <v>427.787483253589</v>
      </c>
      <c r="J1349" s="2" t="n">
        <v>1041.33333333333</v>
      </c>
      <c r="K1349" s="2" t="s">
        <v>18</v>
      </c>
      <c r="L1349" s="2" t="n">
        <f aca="false">J1349/_xlfn.XLOOKUP(Tabla2[[#This Row],[Unidad de precio]],Tabla3[Medida],Tabla3[Equivalencia en Kg],"ELVIS",0)</f>
        <v>22.9570840681951</v>
      </c>
      <c r="M1349" s="2" t="n">
        <v>7095.7961172</v>
      </c>
      <c r="N1349" s="3" t="n">
        <f aca="false">(Tabla2[[#This Row],[Productividad (kg/TAS)]]*Tabla2[[#This Row],[Precio por kg]]-Tabla2[[#This Row],[Costos (En RD$/Tarea)]])</f>
        <v>2724.95709917424</v>
      </c>
      <c r="O1349" s="9" t="n">
        <f aca="false">IF(Tabla2[[#This Row],[Costos (En RD$/Tarea)]]=0,0,Tabla2[[#This Row],[Beneficio Neto  (En RD$/Tarea)]]/Tabla2[[#This Row],[Costos (En RD$/Tarea)]])</f>
        <v>0.384024153761834</v>
      </c>
      <c r="P1349" s="7" t="n">
        <f aca="false">Tabla2[[#This Row],[Rentabilidad (%)]]/12</f>
        <v>0.0320020128134862</v>
      </c>
    </row>
    <row r="1350" customFormat="false" ht="14.25" hidden="false" customHeight="false" outlineLevel="0" collapsed="false">
      <c r="A1350" s="1" t="n">
        <v>39934</v>
      </c>
      <c r="B1350" s="2" t="s">
        <v>23</v>
      </c>
      <c r="C1350" s="3" t="n">
        <v>2713</v>
      </c>
      <c r="D1350" s="8" t="s">
        <v>17</v>
      </c>
      <c r="E1350" s="3" t="n">
        <f aca="false">IF(Tabla2[[#This Row],[Frecuencia]]="Annual", Tabla2[[#This Row],[Cosecha/Tarea]]/12,Tabla2[[#This Row],[Cosecha/Tarea]])</f>
        <v>2713</v>
      </c>
      <c r="F1350" s="3" t="n">
        <v>71367</v>
      </c>
      <c r="G1350" s="2" t="s">
        <v>18</v>
      </c>
      <c r="H1350" s="2" t="n">
        <f aca="false">F1350/Tabla2[[#This Row],[Cosecha Mensual]]</f>
        <v>26.3055657943236</v>
      </c>
      <c r="I1350" s="2" t="n">
        <f aca="false">H1350*_xlfn.XLOOKUP(Tabla2[[#This Row],[Unidad de producción]],Tabla3[Medida],Tabla3[Equivalencia en Kg],"ELVIS",0)</f>
        <v>1193.22046443052</v>
      </c>
      <c r="J1350" s="2" t="n">
        <v>496.666666666667</v>
      </c>
      <c r="K1350" s="2" t="s">
        <v>18</v>
      </c>
      <c r="L1350" s="2" t="n">
        <f aca="false">J1350/_xlfn.XLOOKUP(Tabla2[[#This Row],[Unidad de precio]],Tabla3[Medida],Tabla3[Equivalencia en Kg],"ELVIS",0)</f>
        <v>10.9494415049971</v>
      </c>
      <c r="M1350" s="2" t="n">
        <v>17661.8086675086</v>
      </c>
      <c r="N1350" s="3" t="n">
        <f aca="false">(Tabla2[[#This Row],[Productividad (kg/TAS)]]*Tabla2[[#This Row],[Precio por kg]]-Tabla2[[#This Row],[Costos (En RD$/Tarea)]])</f>
        <v>-4596.71098966119</v>
      </c>
      <c r="O1350" s="9" t="n">
        <f aca="false">IF(Tabla2[[#This Row],[Costos (En RD$/Tarea)]]=0,0,Tabla2[[#This Row],[Beneficio Neto  (En RD$/Tarea)]]/Tabla2[[#This Row],[Costos (En RD$/Tarea)]])</f>
        <v>-0.260262755428751</v>
      </c>
      <c r="P1350" s="7" t="n">
        <f aca="false">Tabla2[[#This Row],[Rentabilidad (%)]]/12</f>
        <v>-0.0216885629523959</v>
      </c>
    </row>
    <row r="1351" customFormat="false" ht="14.25" hidden="false" customHeight="false" outlineLevel="0" collapsed="false">
      <c r="A1351" s="1" t="n">
        <v>39934</v>
      </c>
      <c r="B1351" s="2" t="s">
        <v>24</v>
      </c>
      <c r="C1351" s="3" t="n">
        <v>5738</v>
      </c>
      <c r="D1351" s="8" t="s">
        <v>17</v>
      </c>
      <c r="E1351" s="3" t="n">
        <f aca="false">IF(Tabla2[[#This Row],[Frecuencia]]="Annual", Tabla2[[#This Row],[Cosecha/Tarea]]/12,Tabla2[[#This Row],[Cosecha/Tarea]])</f>
        <v>5738</v>
      </c>
      <c r="F1351" s="3" t="n">
        <v>48197</v>
      </c>
      <c r="G1351" s="2" t="s">
        <v>18</v>
      </c>
      <c r="H1351" s="2" t="n">
        <f aca="false">F1351/Tabla2[[#This Row],[Cosecha Mensual]]</f>
        <v>8.39961659114674</v>
      </c>
      <c r="I1351" s="2" t="n">
        <f aca="false">H1351*_xlfn.XLOOKUP(Tabla2[[#This Row],[Unidad de producción]],Tabla3[Medida],Tabla3[Equivalencia en Kg],"ELVIS",0)</f>
        <v>381.006608574416</v>
      </c>
      <c r="J1351" s="2" t="n">
        <v>1268.33333333333</v>
      </c>
      <c r="K1351" s="2" t="s">
        <v>18</v>
      </c>
      <c r="L1351" s="2" t="n">
        <f aca="false">J1351/_xlfn.XLOOKUP(Tabla2[[#This Row],[Unidad de precio]],Tabla3[Medida],Tabla3[Equivalencia en Kg],"ELVIS",0)</f>
        <v>27.9614932392709</v>
      </c>
      <c r="M1351" s="2" t="n">
        <v>5745.6881190336</v>
      </c>
      <c r="N1351" s="3" t="n">
        <f aca="false">(Tabla2[[#This Row],[Productividad (kg/TAS)]]*Tabla2[[#This Row],[Precio por kg]]-Tabla2[[#This Row],[Costos (En RD$/Tarea)]])</f>
        <v>4907.82559073749</v>
      </c>
      <c r="O1351" s="9" t="n">
        <f aca="false">IF(Tabla2[[#This Row],[Costos (En RD$/Tarea)]]=0,0,Tabla2[[#This Row],[Beneficio Neto  (En RD$/Tarea)]]/Tabla2[[#This Row],[Costos (En RD$/Tarea)]])</f>
        <v>0.854175424955534</v>
      </c>
      <c r="P1351" s="7" t="n">
        <f aca="false">Tabla2[[#This Row],[Rentabilidad (%)]]/12</f>
        <v>0.0711812854129612</v>
      </c>
    </row>
    <row r="1352" customFormat="false" ht="14.25" hidden="false" customHeight="false" outlineLevel="0" collapsed="false">
      <c r="A1352" s="1" t="n">
        <v>39934</v>
      </c>
      <c r="B1352" s="2" t="s">
        <v>25</v>
      </c>
      <c r="C1352" s="3" t="n">
        <v>24780</v>
      </c>
      <c r="D1352" s="8" t="s">
        <v>17</v>
      </c>
      <c r="E1352" s="3" t="n">
        <f aca="false">IF(Tabla2[[#This Row],[Frecuencia]]="Annual", Tabla2[[#This Row],[Cosecha/Tarea]]/12,Tabla2[[#This Row],[Cosecha/Tarea]])</f>
        <v>24780</v>
      </c>
      <c r="F1352" s="3" t="n">
        <v>272589</v>
      </c>
      <c r="G1352" s="2" t="s">
        <v>18</v>
      </c>
      <c r="H1352" s="2" t="n">
        <f aca="false">F1352/Tabla2[[#This Row],[Cosecha Mensual]]</f>
        <v>11.0003631961259</v>
      </c>
      <c r="I1352" s="2" t="n">
        <f aca="false">H1352*_xlfn.XLOOKUP(Tabla2[[#This Row],[Unidad de producción]],Tabla3[Medida],Tabla3[Equivalencia en Kg],"ELVIS",0)</f>
        <v>498.976474576271</v>
      </c>
      <c r="J1352" s="2" t="n">
        <v>633.25625</v>
      </c>
      <c r="K1352" s="2" t="s">
        <v>18</v>
      </c>
      <c r="L1352" s="2" t="n">
        <f aca="false">J1352/_xlfn.XLOOKUP(Tabla2[[#This Row],[Unidad de precio]],Tabla3[Medida],Tabla3[Equivalencia en Kg],"ELVIS",0)</f>
        <v>13.9606757054674</v>
      </c>
      <c r="M1352" s="2" t="n">
        <v>3380.66818371576</v>
      </c>
      <c r="N1352" s="3" t="n">
        <f aca="false">(Tabla2[[#This Row],[Productividad (kg/TAS)]]*Tabla2[[#This Row],[Precio por kg]]-Tabla2[[#This Row],[Costos (En RD$/Tarea)]])</f>
        <v>3585.38056250095</v>
      </c>
      <c r="O1352" s="9" t="n">
        <f aca="false">IF(Tabla2[[#This Row],[Costos (En RD$/Tarea)]]=0,0,Tabla2[[#This Row],[Beneficio Neto  (En RD$/Tarea)]]/Tabla2[[#This Row],[Costos (En RD$/Tarea)]])</f>
        <v>1.06055382180696</v>
      </c>
      <c r="P1352" s="7" t="n">
        <f aca="false">Tabla2[[#This Row],[Rentabilidad (%)]]/12</f>
        <v>0.0883794851505801</v>
      </c>
    </row>
    <row r="1353" customFormat="false" ht="14.25" hidden="false" customHeight="false" outlineLevel="0" collapsed="false">
      <c r="A1353" s="1" t="n">
        <v>39934</v>
      </c>
      <c r="B1353" s="2" t="s">
        <v>26</v>
      </c>
      <c r="C1353" s="3" t="n">
        <v>13167</v>
      </c>
      <c r="D1353" s="8" t="s">
        <v>17</v>
      </c>
      <c r="E1353" s="3" t="n">
        <f aca="false">IF(Tabla2[[#This Row],[Frecuencia]]="Annual", Tabla2[[#This Row],[Cosecha/Tarea]]/12,Tabla2[[#This Row],[Cosecha/Tarea]])</f>
        <v>13167</v>
      </c>
      <c r="F1353" s="3" t="n">
        <v>81659</v>
      </c>
      <c r="G1353" s="2" t="s">
        <v>18</v>
      </c>
      <c r="H1353" s="2" t="n">
        <f aca="false">F1353/Tabla2[[#This Row],[Cosecha Mensual]]</f>
        <v>6.2017923596871</v>
      </c>
      <c r="I1353" s="2" t="n">
        <f aca="false">H1353*_xlfn.XLOOKUP(Tabla2[[#This Row],[Unidad de producción]],Tabla3[Medida],Tabla3[Equivalencia en Kg],"ELVIS",0)</f>
        <v>281.313301435407</v>
      </c>
      <c r="J1353" s="2" t="n">
        <v>673.202857142857</v>
      </c>
      <c r="K1353" s="2" t="s">
        <v>18</v>
      </c>
      <c r="L1353" s="2" t="n">
        <f aca="false">J1353/_xlfn.XLOOKUP(Tabla2[[#This Row],[Unidad de precio]],Tabla3[Medida],Tabla3[Equivalencia en Kg],"ELVIS",0)</f>
        <v>14.8413328294281</v>
      </c>
      <c r="M1353" s="2" t="n">
        <v>1376.3165203125</v>
      </c>
      <c r="N1353" s="3" t="n">
        <f aca="false">(Tabla2[[#This Row],[Productividad (kg/TAS)]]*Tabla2[[#This Row],[Precio por kg]]-Tabla2[[#This Row],[Costos (En RD$/Tarea)]])</f>
        <v>2798.74781563559</v>
      </c>
      <c r="O1353" s="9" t="n">
        <f aca="false">IF(Tabla2[[#This Row],[Costos (En RD$/Tarea)]]=0,0,Tabla2[[#This Row],[Beneficio Neto  (En RD$/Tarea)]]/Tabla2[[#This Row],[Costos (En RD$/Tarea)]])</f>
        <v>2.0335059372826</v>
      </c>
      <c r="P1353" s="7" t="n">
        <f aca="false">Tabla2[[#This Row],[Rentabilidad (%)]]/12</f>
        <v>0.169458828106883</v>
      </c>
    </row>
    <row r="1354" customFormat="false" ht="14.25" hidden="false" customHeight="false" outlineLevel="0" collapsed="false">
      <c r="A1354" s="1" t="n">
        <v>39934</v>
      </c>
      <c r="B1354" s="2" t="s">
        <v>27</v>
      </c>
      <c r="C1354" s="3" t="n">
        <v>6845</v>
      </c>
      <c r="D1354" s="8" t="s">
        <v>17</v>
      </c>
      <c r="E1354" s="3" t="n">
        <f aca="false">IF(Tabla2[[#This Row],[Frecuencia]]="Annual", Tabla2[[#This Row],[Cosecha/Tarea]]/12,Tabla2[[#This Row],[Cosecha/Tarea]])</f>
        <v>6845</v>
      </c>
      <c r="F1354" s="3" t="n">
        <v>53396</v>
      </c>
      <c r="G1354" s="2" t="s">
        <v>18</v>
      </c>
      <c r="H1354" s="2" t="n">
        <f aca="false">F1354/Tabla2[[#This Row],[Cosecha Mensual]]</f>
        <v>7.80073046018992</v>
      </c>
      <c r="I1354" s="2" t="n">
        <f aca="false">H1354*_xlfn.XLOOKUP(Tabla2[[#This Row],[Unidad de producción]],Tabla3[Medida],Tabla3[Equivalencia en Kg],"ELVIS",0)</f>
        <v>353.841133674215</v>
      </c>
      <c r="J1354" s="2" t="n">
        <v>239.25</v>
      </c>
      <c r="K1354" s="2" t="s">
        <v>18</v>
      </c>
      <c r="L1354" s="2" t="n">
        <f aca="false">J1354/_xlfn.XLOOKUP(Tabla2[[#This Row],[Unidad de precio]],Tabla3[Medida],Tabla3[Equivalencia en Kg],"ELVIS",0)</f>
        <v>5.2744708994709</v>
      </c>
      <c r="M1354" s="2" t="n">
        <v>5690.0383784955</v>
      </c>
      <c r="N1354" s="3" t="n">
        <f aca="false">(Tabla2[[#This Row],[Productividad (kg/TAS)]]*Tabla2[[#This Row],[Precio por kg]]-Tabla2[[#This Row],[Costos (En RD$/Tarea)]])</f>
        <v>-3823.71361589506</v>
      </c>
      <c r="O1354" s="9" t="n">
        <f aca="false">IF(Tabla2[[#This Row],[Costos (En RD$/Tarea)]]=0,0,Tabla2[[#This Row],[Beneficio Neto  (En RD$/Tarea)]]/Tabla2[[#This Row],[Costos (En RD$/Tarea)]])</f>
        <v>-0.67200137530638</v>
      </c>
      <c r="P1354" s="7" t="n">
        <f aca="false">Tabla2[[#This Row],[Rentabilidad (%)]]/12</f>
        <v>-0.056000114608865</v>
      </c>
    </row>
    <row r="1355" customFormat="false" ht="14.25" hidden="false" customHeight="false" outlineLevel="0" collapsed="false">
      <c r="A1355" s="1" t="n">
        <v>39934</v>
      </c>
      <c r="B1355" s="2" t="s">
        <v>28</v>
      </c>
      <c r="C1355" s="3" t="n">
        <v>365</v>
      </c>
      <c r="D1355" s="8" t="s">
        <v>17</v>
      </c>
      <c r="E1355" s="3" t="n">
        <f aca="false">IF(Tabla2[[#This Row],[Frecuencia]]="Annual", Tabla2[[#This Row],[Cosecha/Tarea]]/12,Tabla2[[#This Row],[Cosecha/Tarea]])</f>
        <v>365</v>
      </c>
      <c r="F1355" s="3" t="n">
        <v>1595</v>
      </c>
      <c r="G1355" s="2" t="s">
        <v>29</v>
      </c>
      <c r="H1355" s="2" t="n">
        <f aca="false">F1355/Tabla2[[#This Row],[Cosecha Mensual]]</f>
        <v>4.36986301369863</v>
      </c>
      <c r="I1355" s="2" t="n">
        <f aca="false">H1355*_xlfn.XLOOKUP(Tabla2[[#This Row],[Unidad de producción]],Tabla3[Medida],Tabla3[Equivalencia en Kg],"ELVIS",0)</f>
        <v>2457.34876712329</v>
      </c>
      <c r="J1355" s="2" t="n">
        <v>6500</v>
      </c>
      <c r="K1355" s="2" t="s">
        <v>29</v>
      </c>
      <c r="L1355" s="2" t="n">
        <f aca="false">J1355/_xlfn.XLOOKUP(Tabla2[[#This Row],[Unidad de precio]],Tabla3[Medida],Tabla3[Equivalencia en Kg],"ELVIS",0)</f>
        <v>11.5588434043461</v>
      </c>
      <c r="M1355" s="2" t="n">
        <v>5157.16231976537</v>
      </c>
      <c r="N1355" s="3" t="n">
        <f aca="false">(Tabla2[[#This Row],[Productividad (kg/TAS)]]*Tabla2[[#This Row],[Precio por kg]]-Tabla2[[#This Row],[Costos (En RD$/Tarea)]])</f>
        <v>23246.9472692757</v>
      </c>
      <c r="O1355" s="9" t="n">
        <f aca="false">IF(Tabla2[[#This Row],[Costos (En RD$/Tarea)]]=0,0,Tabla2[[#This Row],[Beneficio Neto  (En RD$/Tarea)]]/Tabla2[[#This Row],[Costos (En RD$/Tarea)]])</f>
        <v>4.50770129537698</v>
      </c>
      <c r="P1355" s="7" t="n">
        <f aca="false">Tabla2[[#This Row],[Rentabilidad (%)]]/12</f>
        <v>0.375641774614749</v>
      </c>
    </row>
    <row r="1356" customFormat="false" ht="14.25" hidden="false" customHeight="false" outlineLevel="0" collapsed="false">
      <c r="A1356" s="1" t="n">
        <v>39934</v>
      </c>
      <c r="B1356" s="2" t="s">
        <v>30</v>
      </c>
      <c r="C1356" s="3" t="n">
        <v>287757</v>
      </c>
      <c r="D1356" s="3" t="s">
        <v>31</v>
      </c>
      <c r="E1356" s="3" t="n">
        <f aca="false">IF(Tabla2[[#This Row],[Frecuencia]]="Annual", Tabla2[[#This Row],[Cosecha/Tarea]]/12,Tabla2[[#This Row],[Cosecha/Tarea]])</f>
        <v>23979.75</v>
      </c>
      <c r="F1356" s="3" t="n">
        <v>1944520</v>
      </c>
      <c r="G1356" s="2" t="s">
        <v>32</v>
      </c>
      <c r="H1356" s="2" t="n">
        <f aca="false">F1356/Tabla2[[#This Row],[Cosecha Mensual]]</f>
        <v>81.0900864270895</v>
      </c>
      <c r="I1356" s="2" t="n">
        <f aca="false">H1356*_xlfn.XLOOKUP(Tabla2[[#This Row],[Unidad de producción]],Tabla3[Medida],Tabla3[Equivalencia en Kg],"ELVIS",0)</f>
        <v>2206.46125168111</v>
      </c>
      <c r="J1356" s="2" t="n">
        <v>105.454375</v>
      </c>
      <c r="K1356" s="2" t="s">
        <v>32</v>
      </c>
      <c r="L1356" s="2" t="n">
        <f aca="false">J1356/_xlfn.XLOOKUP(Tabla2[[#This Row],[Unidad de precio]],Tabla3[Medida],Tabla3[Equivalencia en Kg],"ELVIS",0)</f>
        <v>3.87557423741272</v>
      </c>
      <c r="M1356" s="3" t="n">
        <v>9253.94477920298</v>
      </c>
      <c r="N1356" s="3" t="n">
        <f aca="false">(Tabla2[[#This Row],[Productividad (kg/TAS)]]*Tabla2[[#This Row],[Precio por kg]]-Tabla2[[#This Row],[Costos (En RD$/Tarea)]])</f>
        <v>-702.640396338273</v>
      </c>
      <c r="O1356" s="9" t="n">
        <f aca="false">IF(Tabla2[[#This Row],[Costos (En RD$/Tarea)]]=0,0,Tabla2[[#This Row],[Beneficio Neto  (En RD$/Tarea)]]/Tabla2[[#This Row],[Costos (En RD$/Tarea)]])</f>
        <v>-0.0759287431579843</v>
      </c>
      <c r="P1356" s="7" t="n">
        <f aca="false">Tabla2[[#This Row],[Rentabilidad (%)]]/12</f>
        <v>-0.00632739526316536</v>
      </c>
    </row>
    <row r="1357" customFormat="false" ht="14.25" hidden="false" customHeight="false" outlineLevel="0" collapsed="false">
      <c r="A1357" s="1" t="n">
        <v>39934</v>
      </c>
      <c r="B1357" s="2" t="s">
        <v>33</v>
      </c>
      <c r="C1357" s="3" t="n">
        <v>674830</v>
      </c>
      <c r="D1357" s="3" t="s">
        <v>31</v>
      </c>
      <c r="E1357" s="3" t="n">
        <f aca="false">IF(Tabla2[[#This Row],[Frecuencia]]="Annual", Tabla2[[#This Row],[Cosecha/Tarea]]/12,Tabla2[[#This Row],[Cosecha/Tarea]])</f>
        <v>56235.8333333333</v>
      </c>
      <c r="F1357" s="3" t="n">
        <v>132473</v>
      </c>
      <c r="G1357" s="2" t="s">
        <v>34</v>
      </c>
      <c r="H1357" s="2" t="n">
        <f aca="false">F1357/Tabla2[[#This Row],[Cosecha Mensual]]</f>
        <v>2.35566883511403</v>
      </c>
      <c r="I1357" s="2" t="n">
        <f aca="false">H1357*_xlfn.XLOOKUP(Tabla2[[#This Row],[Unidad de producción]],Tabla3[Medida],Tabla3[Equivalencia en Kg],"ELVIS",0)</f>
        <v>961.466235051791</v>
      </c>
      <c r="J1357" s="2" t="n">
        <v>2617.58375</v>
      </c>
      <c r="K1357" s="2" t="s">
        <v>34</v>
      </c>
      <c r="L1357" s="2" t="n">
        <f aca="false">J1357/_xlfn.XLOOKUP(Tabla2[[#This Row],[Unidad de precio]],Tabla3[Medida],Tabla3[Equivalencia en Kg],"ELVIS",0)</f>
        <v>6.41328861938013</v>
      </c>
      <c r="M1357" s="3" t="n">
        <v>8960.6721575976</v>
      </c>
      <c r="N1357" s="3" t="n">
        <f aca="false">(Tabla2[[#This Row],[Productividad (kg/TAS)]]*Tabla2[[#This Row],[Precio por kg]]-Tabla2[[#This Row],[Costos (En RD$/Tarea)]])</f>
        <v>-2794.51169442169</v>
      </c>
      <c r="O1357" s="9" t="n">
        <f aca="false">IF(Tabla2[[#This Row],[Costos (En RD$/Tarea)]]=0,0,Tabla2[[#This Row],[Beneficio Neto  (En RD$/Tarea)]]/Tabla2[[#This Row],[Costos (En RD$/Tarea)]])</f>
        <v>-0.3118640706046</v>
      </c>
      <c r="P1357" s="7" t="n">
        <f aca="false">Tabla2[[#This Row],[Rentabilidad (%)]]/12</f>
        <v>-0.0259886725503833</v>
      </c>
    </row>
    <row r="1358" customFormat="false" ht="14.25" hidden="false" customHeight="false" outlineLevel="0" collapsed="false">
      <c r="A1358" s="1" t="n">
        <v>39965</v>
      </c>
      <c r="B1358" s="2" t="s">
        <v>16</v>
      </c>
      <c r="C1358" s="3" t="n">
        <v>252985</v>
      </c>
      <c r="D1358" s="8" t="s">
        <v>17</v>
      </c>
      <c r="E1358" s="3" t="n">
        <f aca="false">IF(Tabla2[[#This Row],[Frecuencia]]="Annual", Tabla2[[#This Row],[Cosecha/Tarea]]/12,Tabla2[[#This Row],[Cosecha/Tarea]])</f>
        <v>252985</v>
      </c>
      <c r="F1358" s="3" t="n">
        <v>1280856</v>
      </c>
      <c r="G1358" s="2" t="s">
        <v>18</v>
      </c>
      <c r="H1358" s="2" t="n">
        <f aca="false">F1358/Tabla2[[#This Row],[Cosecha Mensual]]</f>
        <v>5.06297211297113</v>
      </c>
      <c r="I1358" s="2" t="n">
        <f aca="false">H1358*_xlfn.XLOOKUP(Tabla2[[#This Row],[Unidad de producción]],Tabla3[Medida],Tabla3[Equivalencia en Kg],"ELVIS",0)</f>
        <v>229.65641504437</v>
      </c>
      <c r="J1358" s="2" t="n">
        <v>1883.22459883817</v>
      </c>
      <c r="K1358" s="2" t="s">
        <v>19</v>
      </c>
      <c r="L1358" s="2" t="n">
        <f aca="false">J1358/_xlfn.XLOOKUP(Tabla2[[#This Row],[Unidad de precio]],Tabla3[Medida],Tabla3[Equivalencia en Kg],"ELVIS",0)</f>
        <v>17.1202236258015</v>
      </c>
      <c r="M1358" s="2" t="n">
        <v>6526.78</v>
      </c>
      <c r="N1358" s="3" t="n">
        <f aca="false">(Tabla2[[#This Row],[Productividad (kg/TAS)]]*Tabla2[[#This Row],[Precio por kg]]-Tabla2[[#This Row],[Costos (En RD$/Tarea)]])</f>
        <v>-2595.01081734049</v>
      </c>
      <c r="O1358" s="9" t="n">
        <f aca="false">IF(Tabla2[[#This Row],[Costos (En RD$/Tarea)]]=0,0,Tabla2[[#This Row],[Beneficio Neto  (En RD$/Tarea)]]/Tabla2[[#This Row],[Costos (En RD$/Tarea)]])</f>
        <v>-0.397594344736683</v>
      </c>
      <c r="P1358" s="7" t="n">
        <f aca="false">Tabla2[[#This Row],[Rentabilidad (%)]]/12</f>
        <v>-0.0331328620613902</v>
      </c>
    </row>
    <row r="1359" customFormat="false" ht="14.25" hidden="false" customHeight="false" outlineLevel="0" collapsed="false">
      <c r="A1359" s="1" t="n">
        <v>39965</v>
      </c>
      <c r="B1359" s="2" t="s">
        <v>20</v>
      </c>
      <c r="C1359" s="3" t="n">
        <v>24304</v>
      </c>
      <c r="D1359" s="8" t="s">
        <v>17</v>
      </c>
      <c r="E1359" s="3" t="n">
        <f aca="false">IF(Tabla2[[#This Row],[Frecuencia]]="Annual", Tabla2[[#This Row],[Cosecha/Tarea]]/12,Tabla2[[#This Row],[Cosecha/Tarea]])</f>
        <v>24304</v>
      </c>
      <c r="F1359" s="3" t="n">
        <v>78534</v>
      </c>
      <c r="G1359" s="2" t="s">
        <v>18</v>
      </c>
      <c r="H1359" s="2" t="n">
        <f aca="false">F1359/Tabla2[[#This Row],[Cosecha Mensual]]</f>
        <v>3.23131994733377</v>
      </c>
      <c r="I1359" s="2" t="n">
        <f aca="false">H1359*_xlfn.XLOOKUP(Tabla2[[#This Row],[Unidad de producción]],Tabla3[Medida],Tabla3[Equivalencia en Kg],"ELVIS",0)</f>
        <v>146.57267281106</v>
      </c>
      <c r="J1359" s="2" t="n">
        <v>636.9375</v>
      </c>
      <c r="K1359" s="2" t="s">
        <v>18</v>
      </c>
      <c r="L1359" s="2" t="n">
        <f aca="false">J1359/_xlfn.XLOOKUP(Tabla2[[#This Row],[Unidad de precio]],Tabla3[Medida],Tabla3[Equivalencia en Kg],"ELVIS",0)</f>
        <v>14.041832010582</v>
      </c>
      <c r="M1359" s="2" t="n">
        <v>1590.10324602816</v>
      </c>
      <c r="N1359" s="3" t="n">
        <f aca="false">(Tabla2[[#This Row],[Productividad (kg/TAS)]]*Tabla2[[#This Row],[Precio por kg]]-Tabla2[[#This Row],[Costos (En RD$/Tarea)]])</f>
        <v>468.045602926745</v>
      </c>
      <c r="O1359" s="9" t="n">
        <f aca="false">IF(Tabla2[[#This Row],[Costos (En RD$/Tarea)]]=0,0,Tabla2[[#This Row],[Beneficio Neto  (En RD$/Tarea)]]/Tabla2[[#This Row],[Costos (En RD$/Tarea)]])</f>
        <v>0.29434919027796</v>
      </c>
      <c r="P1359" s="7" t="n">
        <f aca="false">Tabla2[[#This Row],[Rentabilidad (%)]]/12</f>
        <v>0.02452909918983</v>
      </c>
    </row>
    <row r="1360" customFormat="false" ht="14.25" hidden="false" customHeight="false" outlineLevel="0" collapsed="false">
      <c r="A1360" s="1" t="n">
        <v>39965</v>
      </c>
      <c r="B1360" s="2" t="s">
        <v>21</v>
      </c>
      <c r="C1360" s="3" t="n">
        <v>14634</v>
      </c>
      <c r="D1360" s="8" t="s">
        <v>17</v>
      </c>
      <c r="E1360" s="3" t="n">
        <f aca="false">IF(Tabla2[[#This Row],[Frecuencia]]="Annual", Tabla2[[#This Row],[Cosecha/Tarea]]/12,Tabla2[[#This Row],[Cosecha/Tarea]])</f>
        <v>14634</v>
      </c>
      <c r="F1360" s="3" t="n">
        <v>150288</v>
      </c>
      <c r="G1360" s="2" t="s">
        <v>18</v>
      </c>
      <c r="H1360" s="2" t="n">
        <f aca="false">F1360/Tabla2[[#This Row],[Cosecha Mensual]]</f>
        <v>10.269782697827</v>
      </c>
      <c r="I1360" s="2" t="n">
        <f aca="false">H1360*_xlfn.XLOOKUP(Tabla2[[#This Row],[Unidad de producción]],Tabla3[Medida],Tabla3[Equivalencia en Kg],"ELVIS",0)</f>
        <v>465.837343173432</v>
      </c>
      <c r="J1360" s="2" t="n">
        <v>269.130642857143</v>
      </c>
      <c r="K1360" s="2" t="s">
        <v>18</v>
      </c>
      <c r="L1360" s="2" t="n">
        <f aca="false">J1360/_xlfn.XLOOKUP(Tabla2[[#This Row],[Unidad de precio]],Tabla3[Medida],Tabla3[Equivalencia en Kg],"ELVIS",0)</f>
        <v>5.93321523053666</v>
      </c>
      <c r="M1360" s="2" t="n">
        <v>4038.1847175</v>
      </c>
      <c r="N1360" s="3" t="n">
        <f aca="false">(Tabla2[[#This Row],[Productividad (kg/TAS)]]*Tabla2[[#This Row],[Precio por kg]]-Tabla2[[#This Row],[Costos (En RD$/Tarea)]])</f>
        <v>-1274.27149803066</v>
      </c>
      <c r="O1360" s="9" t="n">
        <f aca="false">IF(Tabla2[[#This Row],[Costos (En RD$/Tarea)]]=0,0,Tabla2[[#This Row],[Beneficio Neto  (En RD$/Tarea)]]/Tabla2[[#This Row],[Costos (En RD$/Tarea)]])</f>
        <v>-0.315555524864536</v>
      </c>
      <c r="P1360" s="7" t="n">
        <f aca="false">Tabla2[[#This Row],[Rentabilidad (%)]]/12</f>
        <v>-0.0262962937387113</v>
      </c>
    </row>
    <row r="1361" customFormat="false" ht="14.25" hidden="false" customHeight="false" outlineLevel="0" collapsed="false">
      <c r="A1361" s="1" t="n">
        <v>39965</v>
      </c>
      <c r="B1361" s="2" t="s">
        <v>22</v>
      </c>
      <c r="C1361" s="3" t="n">
        <v>4452</v>
      </c>
      <c r="D1361" s="8" t="s">
        <v>17</v>
      </c>
      <c r="E1361" s="3" t="n">
        <f aca="false">IF(Tabla2[[#This Row],[Frecuencia]]="Annual", Tabla2[[#This Row],[Cosecha/Tarea]]/12,Tabla2[[#This Row],[Cosecha/Tarea]])</f>
        <v>4452</v>
      </c>
      <c r="F1361" s="3" t="n">
        <v>45614</v>
      </c>
      <c r="G1361" s="2" t="s">
        <v>18</v>
      </c>
      <c r="H1361" s="2" t="n">
        <f aca="false">F1361/Tabla2[[#This Row],[Cosecha Mensual]]</f>
        <v>10.2457322551662</v>
      </c>
      <c r="I1361" s="2" t="n">
        <f aca="false">H1361*_xlfn.XLOOKUP(Tabla2[[#This Row],[Unidad de producción]],Tabla3[Medida],Tabla3[Equivalencia en Kg],"ELVIS",0)</f>
        <v>464.74641509434</v>
      </c>
      <c r="J1361" s="2" t="n">
        <v>1122.73857142857</v>
      </c>
      <c r="K1361" s="2" t="s">
        <v>18</v>
      </c>
      <c r="L1361" s="2" t="n">
        <f aca="false">J1361/_xlfn.XLOOKUP(Tabla2[[#This Row],[Unidad de precio]],Tabla3[Medida],Tabla3[Equivalencia en Kg],"ELVIS",0)</f>
        <v>24.7517321743512</v>
      </c>
      <c r="M1361" s="2" t="n">
        <v>7095.7961172</v>
      </c>
      <c r="N1361" s="3" t="n">
        <f aca="false">(Tabla2[[#This Row],[Productividad (kg/TAS)]]*Tabla2[[#This Row],[Precio por kg]]-Tabla2[[#This Row],[Costos (En RD$/Tarea)]])</f>
        <v>4407.48267820494</v>
      </c>
      <c r="O1361" s="9" t="n">
        <f aca="false">IF(Tabla2[[#This Row],[Costos (En RD$/Tarea)]]=0,0,Tabla2[[#This Row],[Beneficio Neto  (En RD$/Tarea)]]/Tabla2[[#This Row],[Costos (En RD$/Tarea)]])</f>
        <v>0.621139982802118</v>
      </c>
      <c r="P1361" s="7" t="n">
        <f aca="false">Tabla2[[#This Row],[Rentabilidad (%)]]/12</f>
        <v>0.0517616652335098</v>
      </c>
    </row>
    <row r="1362" customFormat="false" ht="14.25" hidden="false" customHeight="false" outlineLevel="0" collapsed="false">
      <c r="A1362" s="1" t="n">
        <v>39965</v>
      </c>
      <c r="B1362" s="2" t="s">
        <v>23</v>
      </c>
      <c r="C1362" s="3" t="n">
        <v>2638</v>
      </c>
      <c r="D1362" s="8" t="s">
        <v>17</v>
      </c>
      <c r="E1362" s="3" t="n">
        <f aca="false">IF(Tabla2[[#This Row],[Frecuencia]]="Annual", Tabla2[[#This Row],[Cosecha/Tarea]]/12,Tabla2[[#This Row],[Cosecha/Tarea]])</f>
        <v>2638</v>
      </c>
      <c r="F1362" s="3" t="n">
        <v>96980</v>
      </c>
      <c r="G1362" s="2" t="s">
        <v>18</v>
      </c>
      <c r="H1362" s="2" t="n">
        <f aca="false">F1362/Tabla2[[#This Row],[Cosecha Mensual]]</f>
        <v>36.7626990144049</v>
      </c>
      <c r="I1362" s="2" t="n">
        <f aca="false">H1362*_xlfn.XLOOKUP(Tabla2[[#This Row],[Unidad de producción]],Tabla3[Medida],Tabla3[Equivalencia en Kg],"ELVIS",0)</f>
        <v>1667.5560272934</v>
      </c>
      <c r="J1362" s="2" t="n">
        <v>494.816</v>
      </c>
      <c r="K1362" s="2" t="s">
        <v>18</v>
      </c>
      <c r="L1362" s="2" t="n">
        <f aca="false">J1362/_xlfn.XLOOKUP(Tabla2[[#This Row],[Unidad de precio]],Tabla3[Medida],Tabla3[Equivalencia en Kg],"ELVIS",0)</f>
        <v>10.9086419753086</v>
      </c>
      <c r="M1362" s="2" t="n">
        <v>17661.8086675086</v>
      </c>
      <c r="N1362" s="3" t="n">
        <f aca="false">(Tabla2[[#This Row],[Productividad (kg/TAS)]]*Tabla2[[#This Row],[Precio por kg]]-Tabla2[[#This Row],[Costos (En RD$/Tarea)]])</f>
        <v>528.963008003149</v>
      </c>
      <c r="O1362" s="9" t="n">
        <f aca="false">IF(Tabla2[[#This Row],[Costos (En RD$/Tarea)]]=0,0,Tabla2[[#This Row],[Beneficio Neto  (En RD$/Tarea)]]/Tabla2[[#This Row],[Costos (En RD$/Tarea)]])</f>
        <v>0.0299495378962094</v>
      </c>
      <c r="P1362" s="7" t="n">
        <f aca="false">Tabla2[[#This Row],[Rentabilidad (%)]]/12</f>
        <v>0.00249579482468412</v>
      </c>
    </row>
    <row r="1363" customFormat="false" ht="14.25" hidden="false" customHeight="false" outlineLevel="0" collapsed="false">
      <c r="A1363" s="1" t="n">
        <v>39965</v>
      </c>
      <c r="B1363" s="2" t="s">
        <v>24</v>
      </c>
      <c r="C1363" s="3" t="n">
        <v>5246</v>
      </c>
      <c r="D1363" s="8" t="s">
        <v>17</v>
      </c>
      <c r="E1363" s="3" t="n">
        <f aca="false">IF(Tabla2[[#This Row],[Frecuencia]]="Annual", Tabla2[[#This Row],[Cosecha/Tarea]]/12,Tabla2[[#This Row],[Cosecha/Tarea]])</f>
        <v>5246</v>
      </c>
      <c r="F1363" s="3" t="n">
        <v>49185</v>
      </c>
      <c r="G1363" s="2" t="s">
        <v>18</v>
      </c>
      <c r="H1363" s="2" t="n">
        <f aca="false">F1363/Tabla2[[#This Row],[Cosecha Mensual]]</f>
        <v>9.37571483034693</v>
      </c>
      <c r="I1363" s="2" t="n">
        <f aca="false">H1363*_xlfn.XLOOKUP(Tabla2[[#This Row],[Unidad de producción]],Tabla3[Medida],Tabla3[Equivalencia en Kg],"ELVIS",0)</f>
        <v>425.282424704537</v>
      </c>
      <c r="J1363" s="2" t="n">
        <v>1163.09571428571</v>
      </c>
      <c r="K1363" s="2" t="s">
        <v>18</v>
      </c>
      <c r="L1363" s="2" t="n">
        <f aca="false">J1363/_xlfn.XLOOKUP(Tabla2[[#This Row],[Unidad de precio]],Tabla3[Medida],Tabla3[Equivalencia en Kg],"ELVIS",0)</f>
        <v>25.641439909297</v>
      </c>
      <c r="M1363" s="2" t="n">
        <v>5745.6881190336</v>
      </c>
      <c r="N1363" s="3" t="n">
        <f aca="false">(Tabla2[[#This Row],[Productividad (kg/TAS)]]*Tabla2[[#This Row],[Precio por kg]]-Tabla2[[#This Row],[Costos (En RD$/Tarea)]])</f>
        <v>5159.16561850789</v>
      </c>
      <c r="O1363" s="9" t="n">
        <f aca="false">IF(Tabla2[[#This Row],[Costos (En RD$/Tarea)]]=0,0,Tabla2[[#This Row],[Beneficio Neto  (En RD$/Tarea)]]/Tabla2[[#This Row],[Costos (En RD$/Tarea)]])</f>
        <v>0.897919537508005</v>
      </c>
      <c r="P1363" s="7" t="n">
        <f aca="false">Tabla2[[#This Row],[Rentabilidad (%)]]/12</f>
        <v>0.0748266281256671</v>
      </c>
    </row>
    <row r="1364" customFormat="false" ht="14.25" hidden="false" customHeight="false" outlineLevel="0" collapsed="false">
      <c r="A1364" s="1" t="n">
        <v>39965</v>
      </c>
      <c r="B1364" s="2" t="s">
        <v>25</v>
      </c>
      <c r="C1364" s="3" t="n">
        <v>28578</v>
      </c>
      <c r="D1364" s="8" t="s">
        <v>17</v>
      </c>
      <c r="E1364" s="3" t="n">
        <f aca="false">IF(Tabla2[[#This Row],[Frecuencia]]="Annual", Tabla2[[#This Row],[Cosecha/Tarea]]/12,Tabla2[[#This Row],[Cosecha/Tarea]])</f>
        <v>28578</v>
      </c>
      <c r="F1364" s="3" t="n">
        <v>270617</v>
      </c>
      <c r="G1364" s="2" t="s">
        <v>18</v>
      </c>
      <c r="H1364" s="2" t="n">
        <f aca="false">F1364/Tabla2[[#This Row],[Cosecha Mensual]]</f>
        <v>9.46941703408216</v>
      </c>
      <c r="I1364" s="2" t="n">
        <f aca="false">H1364*_xlfn.XLOOKUP(Tabla2[[#This Row],[Unidad de producción]],Tabla3[Medida],Tabla3[Equivalencia en Kg],"ELVIS",0)</f>
        <v>429.532756665967</v>
      </c>
      <c r="J1364" s="2" t="n">
        <v>647.52125</v>
      </c>
      <c r="K1364" s="2" t="s">
        <v>18</v>
      </c>
      <c r="L1364" s="2" t="n">
        <f aca="false">J1364/_xlfn.XLOOKUP(Tabla2[[#This Row],[Unidad de precio]],Tabla3[Medida],Tabla3[Equivalencia en Kg],"ELVIS",0)</f>
        <v>14.2751598324515</v>
      </c>
      <c r="M1364" s="2" t="n">
        <v>3380.66818371576</v>
      </c>
      <c r="N1364" s="3" t="n">
        <f aca="false">(Tabla2[[#This Row],[Productividad (kg/TAS)]]*Tabla2[[#This Row],[Precio por kg]]-Tabla2[[#This Row],[Costos (En RD$/Tarea)]])</f>
        <v>2750.98057096441</v>
      </c>
      <c r="O1364" s="9" t="n">
        <f aca="false">IF(Tabla2[[#This Row],[Costos (En RD$/Tarea)]]=0,0,Tabla2[[#This Row],[Beneficio Neto  (En RD$/Tarea)]]/Tabla2[[#This Row],[Costos (En RD$/Tarea)]])</f>
        <v>0.813738711245171</v>
      </c>
      <c r="P1364" s="7" t="n">
        <f aca="false">Tabla2[[#This Row],[Rentabilidad (%)]]/12</f>
        <v>0.0678115592704309</v>
      </c>
    </row>
    <row r="1365" customFormat="false" ht="14.25" hidden="false" customHeight="false" outlineLevel="0" collapsed="false">
      <c r="A1365" s="1" t="n">
        <v>39965</v>
      </c>
      <c r="B1365" s="2" t="s">
        <v>26</v>
      </c>
      <c r="C1365" s="3" t="n">
        <v>10778</v>
      </c>
      <c r="D1365" s="8" t="s">
        <v>17</v>
      </c>
      <c r="E1365" s="3" t="n">
        <f aca="false">IF(Tabla2[[#This Row],[Frecuencia]]="Annual", Tabla2[[#This Row],[Cosecha/Tarea]]/12,Tabla2[[#This Row],[Cosecha/Tarea]])</f>
        <v>10778</v>
      </c>
      <c r="F1365" s="3" t="n">
        <v>57098</v>
      </c>
      <c r="G1365" s="2" t="s">
        <v>18</v>
      </c>
      <c r="H1365" s="2" t="n">
        <f aca="false">F1365/Tabla2[[#This Row],[Cosecha Mensual]]</f>
        <v>5.29764334755984</v>
      </c>
      <c r="I1365" s="2" t="n">
        <f aca="false">H1365*_xlfn.XLOOKUP(Tabla2[[#This Row],[Unidad de producción]],Tabla3[Medida],Tabla3[Equivalencia en Kg],"ELVIS",0)</f>
        <v>240.301102245315</v>
      </c>
      <c r="J1365" s="2" t="n">
        <v>547.7</v>
      </c>
      <c r="K1365" s="2" t="s">
        <v>18</v>
      </c>
      <c r="L1365" s="2" t="n">
        <f aca="false">J1365/_xlfn.XLOOKUP(Tabla2[[#This Row],[Unidad de precio]],Tabla3[Medida],Tabla3[Equivalencia en Kg],"ELVIS",0)</f>
        <v>12.0745149911817</v>
      </c>
      <c r="M1365" s="2" t="n">
        <v>1376.3165203125</v>
      </c>
      <c r="N1365" s="3" t="n">
        <f aca="false">(Tabla2[[#This Row],[Productividad (kg/TAS)]]*Tabla2[[#This Row],[Precio por kg]]-Tabla2[[#This Row],[Costos (En RD$/Tarea)]])</f>
        <v>1525.20274114603</v>
      </c>
      <c r="O1365" s="9" t="n">
        <f aca="false">IF(Tabla2[[#This Row],[Costos (En RD$/Tarea)]]=0,0,Tabla2[[#This Row],[Beneficio Neto  (En RD$/Tarea)]]/Tabla2[[#This Row],[Costos (En RD$/Tarea)]])</f>
        <v>1.10817731142232</v>
      </c>
      <c r="P1365" s="7" t="n">
        <f aca="false">Tabla2[[#This Row],[Rentabilidad (%)]]/12</f>
        <v>0.0923481092851932</v>
      </c>
    </row>
    <row r="1366" customFormat="false" ht="14.25" hidden="false" customHeight="false" outlineLevel="0" collapsed="false">
      <c r="A1366" s="1" t="n">
        <v>39965</v>
      </c>
      <c r="B1366" s="2" t="s">
        <v>27</v>
      </c>
      <c r="C1366" s="3" t="n">
        <v>7686</v>
      </c>
      <c r="D1366" s="8" t="s">
        <v>17</v>
      </c>
      <c r="E1366" s="3" t="n">
        <f aca="false">IF(Tabla2[[#This Row],[Frecuencia]]="Annual", Tabla2[[#This Row],[Cosecha/Tarea]]/12,Tabla2[[#This Row],[Cosecha/Tarea]])</f>
        <v>7686</v>
      </c>
      <c r="F1366" s="3" t="n">
        <v>57463</v>
      </c>
      <c r="G1366" s="2" t="s">
        <v>18</v>
      </c>
      <c r="H1366" s="2" t="n">
        <f aca="false">F1366/Tabla2[[#This Row],[Cosecha Mensual]]</f>
        <v>7.47632058287796</v>
      </c>
      <c r="I1366" s="2" t="n">
        <f aca="false">H1366*_xlfn.XLOOKUP(Tabla2[[#This Row],[Unidad de producción]],Tabla3[Medida],Tabla3[Equivalencia en Kg],"ELVIS",0)</f>
        <v>339.125901639344</v>
      </c>
      <c r="J1366" s="2" t="n">
        <v>229.29062</v>
      </c>
      <c r="K1366" s="2" t="s">
        <v>18</v>
      </c>
      <c r="L1366" s="2" t="n">
        <f aca="false">J1366/_xlfn.XLOOKUP(Tabla2[[#This Row],[Unidad de precio]],Tabla3[Medida],Tabla3[Equivalencia en Kg],"ELVIS",0)</f>
        <v>5.05490784832452</v>
      </c>
      <c r="M1366" s="2" t="n">
        <v>5690.0383784955</v>
      </c>
      <c r="N1366" s="3" t="n">
        <f aca="false">(Tabla2[[#This Row],[Productividad (kg/TAS)]]*Tabla2[[#This Row],[Precio por kg]]-Tabla2[[#This Row],[Costos (En RD$/Tarea)]])</f>
        <v>-3975.78819672865</v>
      </c>
      <c r="O1366" s="9" t="n">
        <f aca="false">IF(Tabla2[[#This Row],[Costos (En RD$/Tarea)]]=0,0,Tabla2[[#This Row],[Beneficio Neto  (En RD$/Tarea)]]/Tabla2[[#This Row],[Costos (En RD$/Tarea)]])</f>
        <v>-0.69872783490432</v>
      </c>
      <c r="P1366" s="7" t="n">
        <f aca="false">Tabla2[[#This Row],[Rentabilidad (%)]]/12</f>
        <v>-0.05822731957536</v>
      </c>
    </row>
    <row r="1367" customFormat="false" ht="14.25" hidden="false" customHeight="false" outlineLevel="0" collapsed="false">
      <c r="A1367" s="1" t="n">
        <v>39965</v>
      </c>
      <c r="B1367" s="2" t="s">
        <v>28</v>
      </c>
      <c r="C1367" s="3" t="n">
        <v>453</v>
      </c>
      <c r="D1367" s="8" t="s">
        <v>17</v>
      </c>
      <c r="E1367" s="3" t="n">
        <f aca="false">IF(Tabla2[[#This Row],[Frecuencia]]="Annual", Tabla2[[#This Row],[Cosecha/Tarea]]/12,Tabla2[[#This Row],[Cosecha/Tarea]])</f>
        <v>453</v>
      </c>
      <c r="F1367" s="3" t="n">
        <v>457</v>
      </c>
      <c r="G1367" s="2" t="s">
        <v>29</v>
      </c>
      <c r="H1367" s="2" t="n">
        <f aca="false">F1367/Tabla2[[#This Row],[Cosecha Mensual]]</f>
        <v>1.00883002207506</v>
      </c>
      <c r="I1367" s="2" t="n">
        <f aca="false">H1367*_xlfn.XLOOKUP(Tabla2[[#This Row],[Unidad de producción]],Tabla3[Medida],Tabla3[Equivalencia en Kg],"ELVIS",0)</f>
        <v>567.305474613687</v>
      </c>
      <c r="J1367" s="2" t="n">
        <v>6351.5</v>
      </c>
      <c r="K1367" s="2" t="s">
        <v>29</v>
      </c>
      <c r="L1367" s="2" t="n">
        <f aca="false">J1367/_xlfn.XLOOKUP(Tabla2[[#This Row],[Unidad de precio]],Tabla3[Medida],Tabla3[Equivalencia en Kg],"ELVIS",0)</f>
        <v>11.2947682896468</v>
      </c>
      <c r="M1367" s="2" t="n">
        <v>5157.16231976537</v>
      </c>
      <c r="N1367" s="3" t="n">
        <f aca="false">(Tabla2[[#This Row],[Productividad (kg/TAS)]]*Tabla2[[#This Row],[Precio por kg]]-Tabla2[[#This Row],[Costos (En RD$/Tarea)]])</f>
        <v>1250.42156544434</v>
      </c>
      <c r="O1367" s="9" t="n">
        <f aca="false">IF(Tabla2[[#This Row],[Costos (En RD$/Tarea)]]=0,0,Tabla2[[#This Row],[Beneficio Neto  (En RD$/Tarea)]]/Tabla2[[#This Row],[Costos (En RD$/Tarea)]])</f>
        <v>0.242463100424815</v>
      </c>
      <c r="P1367" s="7" t="n">
        <f aca="false">Tabla2[[#This Row],[Rentabilidad (%)]]/12</f>
        <v>0.0202052583687346</v>
      </c>
    </row>
    <row r="1368" customFormat="false" ht="14.25" hidden="false" customHeight="false" outlineLevel="0" collapsed="false">
      <c r="A1368" s="1" t="n">
        <v>39965</v>
      </c>
      <c r="B1368" s="2" t="s">
        <v>30</v>
      </c>
      <c r="C1368" s="3" t="n">
        <v>291474</v>
      </c>
      <c r="D1368" s="3" t="s">
        <v>31</v>
      </c>
      <c r="E1368" s="3" t="n">
        <f aca="false">IF(Tabla2[[#This Row],[Frecuencia]]="Annual", Tabla2[[#This Row],[Cosecha/Tarea]]/12,Tabla2[[#This Row],[Cosecha/Tarea]])</f>
        <v>24289.5</v>
      </c>
      <c r="F1368" s="3" t="n">
        <v>2161633</v>
      </c>
      <c r="G1368" s="2" t="s">
        <v>32</v>
      </c>
      <c r="H1368" s="2" t="n">
        <f aca="false">F1368/Tabla2[[#This Row],[Cosecha Mensual]]</f>
        <v>88.9945449679903</v>
      </c>
      <c r="I1368" s="2" t="n">
        <f aca="false">H1368*_xlfn.XLOOKUP(Tabla2[[#This Row],[Unidad de producción]],Tabla3[Medida],Tabla3[Equivalencia en Kg],"ELVIS",0)</f>
        <v>2421.54156857902</v>
      </c>
      <c r="J1368" s="2" t="n">
        <v>105.06875</v>
      </c>
      <c r="K1368" s="2" t="s">
        <v>32</v>
      </c>
      <c r="L1368" s="2" t="n">
        <f aca="false">J1368/_xlfn.XLOOKUP(Tabla2[[#This Row],[Unidad de precio]],Tabla3[Medida],Tabla3[Equivalencia en Kg],"ELVIS",0)</f>
        <v>3.86140205806689</v>
      </c>
      <c r="M1368" s="3" t="n">
        <v>9253.94477920298</v>
      </c>
      <c r="N1368" s="3" t="n">
        <f aca="false">(Tabla2[[#This Row],[Productividad (kg/TAS)]]*Tabla2[[#This Row],[Precio por kg]]-Tabla2[[#This Row],[Costos (En RD$/Tarea)]])</f>
        <v>96.6008174025483</v>
      </c>
      <c r="O1368" s="9" t="n">
        <f aca="false">IF(Tabla2[[#This Row],[Costos (En RD$/Tarea)]]=0,0,Tabla2[[#This Row],[Beneficio Neto  (En RD$/Tarea)]]/Tabla2[[#This Row],[Costos (En RD$/Tarea)]])</f>
        <v>0.0104388798190849</v>
      </c>
      <c r="P1368" s="7" t="n">
        <f aca="false">Tabla2[[#This Row],[Rentabilidad (%)]]/12</f>
        <v>0.00086990665159041</v>
      </c>
    </row>
    <row r="1369" customFormat="false" ht="14.25" hidden="false" customHeight="false" outlineLevel="0" collapsed="false">
      <c r="A1369" s="1" t="n">
        <v>39965</v>
      </c>
      <c r="B1369" s="2" t="s">
        <v>33</v>
      </c>
      <c r="C1369" s="3" t="n">
        <v>680230</v>
      </c>
      <c r="D1369" s="3" t="s">
        <v>31</v>
      </c>
      <c r="E1369" s="3" t="n">
        <f aca="false">IF(Tabla2[[#This Row],[Frecuencia]]="Annual", Tabla2[[#This Row],[Cosecha/Tarea]]/12,Tabla2[[#This Row],[Cosecha/Tarea]])</f>
        <v>56685.8333333333</v>
      </c>
      <c r="F1369" s="3" t="n">
        <v>133308</v>
      </c>
      <c r="G1369" s="2" t="s">
        <v>34</v>
      </c>
      <c r="H1369" s="2" t="n">
        <f aca="false">F1369/Tabla2[[#This Row],[Cosecha Mensual]]</f>
        <v>2.35169869014892</v>
      </c>
      <c r="I1369" s="2" t="n">
        <f aca="false">H1369*_xlfn.XLOOKUP(Tabla2[[#This Row],[Unidad de producción]],Tabla3[Medida],Tabla3[Equivalencia en Kg],"ELVIS",0)</f>
        <v>959.845820384282</v>
      </c>
      <c r="J1369" s="2" t="n">
        <v>2506.99</v>
      </c>
      <c r="K1369" s="2" t="s">
        <v>34</v>
      </c>
      <c r="L1369" s="2" t="n">
        <f aca="false">J1369/_xlfn.XLOOKUP(Tabla2[[#This Row],[Unidad de precio]],Tabla3[Medida],Tabla3[Equivalencia en Kg],"ELVIS",0)</f>
        <v>6.14232512556658</v>
      </c>
      <c r="M1369" s="3" t="n">
        <v>8960.6721575976</v>
      </c>
      <c r="N1369" s="3" t="n">
        <f aca="false">(Tabla2[[#This Row],[Productividad (kg/TAS)]]*Tabla2[[#This Row],[Precio por kg]]-Tabla2[[#This Row],[Costos (En RD$/Tarea)]])</f>
        <v>-3064.98705838116</v>
      </c>
      <c r="O1369" s="9" t="n">
        <f aca="false">IF(Tabla2[[#This Row],[Costos (En RD$/Tarea)]]=0,0,Tabla2[[#This Row],[Beneficio Neto  (En RD$/Tarea)]]/Tabla2[[#This Row],[Costos (En RD$/Tarea)]])</f>
        <v>-0.342048788804578</v>
      </c>
      <c r="P1369" s="7" t="n">
        <f aca="false">Tabla2[[#This Row],[Rentabilidad (%)]]/12</f>
        <v>-0.0285040657337148</v>
      </c>
    </row>
    <row r="1370" customFormat="false" ht="14.25" hidden="false" customHeight="false" outlineLevel="0" collapsed="false">
      <c r="A1370" s="1" t="n">
        <v>39995</v>
      </c>
      <c r="B1370" s="2" t="s">
        <v>16</v>
      </c>
      <c r="C1370" s="3" t="n">
        <v>170092</v>
      </c>
      <c r="D1370" s="8" t="s">
        <v>17</v>
      </c>
      <c r="E1370" s="3" t="n">
        <f aca="false">IF(Tabla2[[#This Row],[Frecuencia]]="Annual", Tabla2[[#This Row],[Cosecha/Tarea]]/12,Tabla2[[#This Row],[Cosecha/Tarea]])</f>
        <v>170092</v>
      </c>
      <c r="F1370" s="3" t="n">
        <v>859035</v>
      </c>
      <c r="G1370" s="2" t="s">
        <v>18</v>
      </c>
      <c r="H1370" s="2" t="n">
        <f aca="false">F1370/Tabla2[[#This Row],[Cosecha Mensual]]</f>
        <v>5.05041389365755</v>
      </c>
      <c r="I1370" s="2" t="n">
        <f aca="false">H1370*_xlfn.XLOOKUP(Tabla2[[#This Row],[Unidad de producción]],Tabla3[Medida],Tabla3[Equivalencia en Kg],"ELVIS",0)</f>
        <v>229.086774216306</v>
      </c>
      <c r="J1370" s="2" t="n">
        <v>2041.59760597542</v>
      </c>
      <c r="K1370" s="2" t="s">
        <v>19</v>
      </c>
      <c r="L1370" s="2" t="n">
        <f aca="false">J1370/_xlfn.XLOOKUP(Tabla2[[#This Row],[Unidad de precio]],Tabla3[Medida],Tabla3[Equivalencia en Kg],"ELVIS",0)</f>
        <v>18.5599782361402</v>
      </c>
      <c r="M1370" s="2" t="n">
        <v>6526.78</v>
      </c>
      <c r="N1370" s="3" t="n">
        <f aca="false">(Tabla2[[#This Row],[Productividad (kg/TAS)]]*Tabla2[[#This Row],[Precio por kg]]-Tabla2[[#This Row],[Costos (En RD$/Tarea)]])</f>
        <v>-2274.93445635779</v>
      </c>
      <c r="O1370" s="9" t="n">
        <f aca="false">IF(Tabla2[[#This Row],[Costos (En RD$/Tarea)]]=0,0,Tabla2[[#This Row],[Beneficio Neto  (En RD$/Tarea)]]/Tabla2[[#This Row],[Costos (En RD$/Tarea)]])</f>
        <v>-0.348553874400208</v>
      </c>
      <c r="P1370" s="7" t="n">
        <f aca="false">Tabla2[[#This Row],[Rentabilidad (%)]]/12</f>
        <v>-0.0290461562000174</v>
      </c>
    </row>
    <row r="1371" customFormat="false" ht="14.25" hidden="false" customHeight="false" outlineLevel="0" collapsed="false">
      <c r="A1371" s="1" t="n">
        <v>39995</v>
      </c>
      <c r="B1371" s="2" t="s">
        <v>20</v>
      </c>
      <c r="C1371" s="3" t="n">
        <v>47551</v>
      </c>
      <c r="D1371" s="8" t="s">
        <v>17</v>
      </c>
      <c r="E1371" s="3" t="n">
        <f aca="false">IF(Tabla2[[#This Row],[Frecuencia]]="Annual", Tabla2[[#This Row],[Cosecha/Tarea]]/12,Tabla2[[#This Row],[Cosecha/Tarea]])</f>
        <v>47551</v>
      </c>
      <c r="F1371" s="3" t="n">
        <v>114033</v>
      </c>
      <c r="G1371" s="2" t="s">
        <v>18</v>
      </c>
      <c r="H1371" s="2" t="n">
        <f aca="false">F1371/Tabla2[[#This Row],[Cosecha Mensual]]</f>
        <v>2.39811991335619</v>
      </c>
      <c r="I1371" s="2" t="n">
        <f aca="false">H1371*_xlfn.XLOOKUP(Tabla2[[#This Row],[Unidad de producción]],Tabla3[Medida],Tabla3[Equivalencia en Kg],"ELVIS",0)</f>
        <v>108.778719269837</v>
      </c>
      <c r="J1371" s="2" t="n">
        <v>621.34875</v>
      </c>
      <c r="K1371" s="2" t="s">
        <v>18</v>
      </c>
      <c r="L1371" s="2" t="n">
        <f aca="false">J1371/_xlfn.XLOOKUP(Tabla2[[#This Row],[Unidad de precio]],Tabla3[Medida],Tabla3[Equivalencia en Kg],"ELVIS",0)</f>
        <v>13.6981646825397</v>
      </c>
      <c r="M1371" s="2" t="n">
        <v>1590.10324602816</v>
      </c>
      <c r="N1371" s="3" t="n">
        <f aca="false">(Tabla2[[#This Row],[Productividad (kg/TAS)]]*Tabla2[[#This Row],[Precio por kg]]-Tabla2[[#This Row],[Costos (En RD$/Tarea)]])</f>
        <v>-100.034435514185</v>
      </c>
      <c r="O1371" s="9" t="n">
        <f aca="false">IF(Tabla2[[#This Row],[Costos (En RD$/Tarea)]]=0,0,Tabla2[[#This Row],[Beneficio Neto  (En RD$/Tarea)]]/Tabla2[[#This Row],[Costos (En RD$/Tarea)]])</f>
        <v>-0.0629106542383688</v>
      </c>
      <c r="P1371" s="7" t="n">
        <f aca="false">Tabla2[[#This Row],[Rentabilidad (%)]]/12</f>
        <v>-0.00524255451986406</v>
      </c>
    </row>
    <row r="1372" customFormat="false" ht="14.25" hidden="false" customHeight="false" outlineLevel="0" collapsed="false">
      <c r="A1372" s="1" t="n">
        <v>39995</v>
      </c>
      <c r="B1372" s="2" t="s">
        <v>21</v>
      </c>
      <c r="C1372" s="3" t="n">
        <v>5761</v>
      </c>
      <c r="D1372" s="8" t="s">
        <v>17</v>
      </c>
      <c r="E1372" s="3" t="n">
        <f aca="false">IF(Tabla2[[#This Row],[Frecuencia]]="Annual", Tabla2[[#This Row],[Cosecha/Tarea]]/12,Tabla2[[#This Row],[Cosecha/Tarea]])</f>
        <v>5761</v>
      </c>
      <c r="F1372" s="3" t="n">
        <v>58763</v>
      </c>
      <c r="G1372" s="2" t="s">
        <v>18</v>
      </c>
      <c r="H1372" s="2" t="n">
        <f aca="false">F1372/Tabla2[[#This Row],[Cosecha Mensual]]</f>
        <v>10.2001388647804</v>
      </c>
      <c r="I1372" s="2" t="n">
        <f aca="false">H1372*_xlfn.XLOOKUP(Tabla2[[#This Row],[Unidad de producción]],Tabla3[Medida],Tabla3[Equivalencia en Kg],"ELVIS",0)</f>
        <v>462.67829890644</v>
      </c>
      <c r="J1372" s="2" t="n">
        <v>384.989285714286</v>
      </c>
      <c r="K1372" s="2" t="s">
        <v>18</v>
      </c>
      <c r="L1372" s="2" t="n">
        <f aca="false">J1372/_xlfn.XLOOKUP(Tabla2[[#This Row],[Unidad de precio]],Tabla3[Medida],Tabla3[Equivalencia en Kg],"ELVIS",0)</f>
        <v>8.48741811539431</v>
      </c>
      <c r="M1372" s="2" t="n">
        <v>4038.1847175</v>
      </c>
      <c r="N1372" s="3" t="n">
        <f aca="false">(Tabla2[[#This Row],[Productividad (kg/TAS)]]*Tabla2[[#This Row],[Precio por kg]]-Tabla2[[#This Row],[Costos (En RD$/Tarea)]])</f>
        <v>-111.240541761657</v>
      </c>
      <c r="O1372" s="9" t="n">
        <f aca="false">IF(Tabla2[[#This Row],[Costos (En RD$/Tarea)]]=0,0,Tabla2[[#This Row],[Beneficio Neto  (En RD$/Tarea)]]/Tabla2[[#This Row],[Costos (En RD$/Tarea)]])</f>
        <v>-0.0275471652595737</v>
      </c>
      <c r="P1372" s="7" t="n">
        <f aca="false">Tabla2[[#This Row],[Rentabilidad (%)]]/12</f>
        <v>-0.00229559710496447</v>
      </c>
    </row>
    <row r="1373" customFormat="false" ht="14.25" hidden="false" customHeight="false" outlineLevel="0" collapsed="false">
      <c r="A1373" s="1" t="n">
        <v>39995</v>
      </c>
      <c r="B1373" s="2" t="s">
        <v>22</v>
      </c>
      <c r="C1373" s="3" t="n">
        <v>3716</v>
      </c>
      <c r="D1373" s="8" t="s">
        <v>17</v>
      </c>
      <c r="E1373" s="3" t="n">
        <f aca="false">IF(Tabla2[[#This Row],[Frecuencia]]="Annual", Tabla2[[#This Row],[Cosecha/Tarea]]/12,Tabla2[[#This Row],[Cosecha/Tarea]])</f>
        <v>3716</v>
      </c>
      <c r="F1373" s="3" t="n">
        <v>35586</v>
      </c>
      <c r="G1373" s="2" t="s">
        <v>18</v>
      </c>
      <c r="H1373" s="2" t="n">
        <f aca="false">F1373/Tabla2[[#This Row],[Cosecha Mensual]]</f>
        <v>9.57642626480086</v>
      </c>
      <c r="I1373" s="2" t="n">
        <f aca="false">H1373*_xlfn.XLOOKUP(Tabla2[[#This Row],[Unidad de producción]],Tabla3[Medida],Tabla3[Equivalencia en Kg],"ELVIS",0)</f>
        <v>434.386695371367</v>
      </c>
      <c r="J1373" s="2" t="n">
        <v>1103</v>
      </c>
      <c r="K1373" s="2" t="s">
        <v>18</v>
      </c>
      <c r="L1373" s="2" t="n">
        <f aca="false">J1373/_xlfn.XLOOKUP(Tabla2[[#This Row],[Unidad de precio]],Tabla3[Medida],Tabla3[Equivalencia en Kg],"ELVIS",0)</f>
        <v>24.3165784832452</v>
      </c>
      <c r="M1373" s="2" t="n">
        <v>7095.7961172</v>
      </c>
      <c r="N1373" s="3" t="n">
        <f aca="false">(Tabla2[[#This Row],[Productividad (kg/TAS)]]*Tabla2[[#This Row],[Precio por kg]]-Tabla2[[#This Row],[Costos (En RD$/Tarea)]])</f>
        <v>3467.00205287535</v>
      </c>
      <c r="O1373" s="9" t="n">
        <f aca="false">IF(Tabla2[[#This Row],[Costos (En RD$/Tarea)]]=0,0,Tabla2[[#This Row],[Beneficio Neto  (En RD$/Tarea)]]/Tabla2[[#This Row],[Costos (En RD$/Tarea)]])</f>
        <v>0.488599446152552</v>
      </c>
      <c r="P1373" s="7" t="n">
        <f aca="false">Tabla2[[#This Row],[Rentabilidad (%)]]/12</f>
        <v>0.0407166205127127</v>
      </c>
    </row>
    <row r="1374" customFormat="false" ht="14.25" hidden="false" customHeight="false" outlineLevel="0" collapsed="false">
      <c r="A1374" s="1" t="n">
        <v>39995</v>
      </c>
      <c r="B1374" s="2" t="s">
        <v>23</v>
      </c>
      <c r="C1374" s="3" t="n">
        <v>1507</v>
      </c>
      <c r="D1374" s="8" t="s">
        <v>17</v>
      </c>
      <c r="E1374" s="3" t="n">
        <f aca="false">IF(Tabla2[[#This Row],[Frecuencia]]="Annual", Tabla2[[#This Row],[Cosecha/Tarea]]/12,Tabla2[[#This Row],[Cosecha/Tarea]])</f>
        <v>1507</v>
      </c>
      <c r="F1374" s="3" t="n">
        <v>15730</v>
      </c>
      <c r="G1374" s="2" t="s">
        <v>18</v>
      </c>
      <c r="H1374" s="2" t="n">
        <f aca="false">F1374/Tabla2[[#This Row],[Cosecha Mensual]]</f>
        <v>10.4379562043796</v>
      </c>
      <c r="I1374" s="2" t="n">
        <f aca="false">H1374*_xlfn.XLOOKUP(Tabla2[[#This Row],[Unidad de producción]],Tabla3[Medida],Tabla3[Equivalencia en Kg],"ELVIS",0)</f>
        <v>473.465693430657</v>
      </c>
      <c r="J1374" s="2" t="n">
        <v>584.375</v>
      </c>
      <c r="K1374" s="2" t="s">
        <v>18</v>
      </c>
      <c r="L1374" s="2" t="n">
        <f aca="false">J1374/_xlfn.XLOOKUP(Tabla2[[#This Row],[Unidad de precio]],Tabla3[Medida],Tabla3[Equivalencia en Kg],"ELVIS",0)</f>
        <v>12.8830467372134</v>
      </c>
      <c r="M1374" s="2" t="n">
        <v>17661.8086675086</v>
      </c>
      <c r="N1374" s="3" t="n">
        <f aca="false">(Tabla2[[#This Row],[Productividad (kg/TAS)]]*Tabla2[[#This Row],[Precio por kg]]-Tabla2[[#This Row],[Costos (En RD$/Tarea)]])</f>
        <v>-11562.1280105743</v>
      </c>
      <c r="O1374" s="9" t="n">
        <f aca="false">IF(Tabla2[[#This Row],[Costos (En RD$/Tarea)]]=0,0,Tabla2[[#This Row],[Beneficio Neto  (En RD$/Tarea)]]/Tabla2[[#This Row],[Costos (En RD$/Tarea)]])</f>
        <v>-0.654640089712016</v>
      </c>
      <c r="P1374" s="7" t="n">
        <f aca="false">Tabla2[[#This Row],[Rentabilidad (%)]]/12</f>
        <v>-0.0545533408093347</v>
      </c>
    </row>
    <row r="1375" customFormat="false" ht="14.25" hidden="false" customHeight="false" outlineLevel="0" collapsed="false">
      <c r="A1375" s="1" t="n">
        <v>39995</v>
      </c>
      <c r="B1375" s="2" t="s">
        <v>24</v>
      </c>
      <c r="C1375" s="3" t="n">
        <v>3846</v>
      </c>
      <c r="D1375" s="8" t="s">
        <v>17</v>
      </c>
      <c r="E1375" s="3" t="n">
        <f aca="false">IF(Tabla2[[#This Row],[Frecuencia]]="Annual", Tabla2[[#This Row],[Cosecha/Tarea]]/12,Tabla2[[#This Row],[Cosecha/Tarea]])</f>
        <v>3846</v>
      </c>
      <c r="F1375" s="3" t="n">
        <v>36674</v>
      </c>
      <c r="G1375" s="2" t="s">
        <v>18</v>
      </c>
      <c r="H1375" s="2" t="n">
        <f aca="false">F1375/Tabla2[[#This Row],[Cosecha Mensual]]</f>
        <v>9.535621424857</v>
      </c>
      <c r="I1375" s="2" t="n">
        <f aca="false">H1375*_xlfn.XLOOKUP(Tabla2[[#This Row],[Unidad de producción]],Tabla3[Medida],Tabla3[Equivalencia en Kg],"ELVIS",0)</f>
        <v>432.535787831513</v>
      </c>
      <c r="J1375" s="2" t="n">
        <v>1170.20875</v>
      </c>
      <c r="K1375" s="2" t="s">
        <v>18</v>
      </c>
      <c r="L1375" s="2" t="n">
        <f aca="false">J1375/_xlfn.XLOOKUP(Tabla2[[#This Row],[Unidad de precio]],Tabla3[Medida],Tabla3[Equivalencia en Kg],"ELVIS",0)</f>
        <v>25.7982528659612</v>
      </c>
      <c r="M1375" s="2" t="n">
        <v>5745.6881190336</v>
      </c>
      <c r="N1375" s="3" t="n">
        <f aca="false">(Tabla2[[#This Row],[Productividad (kg/TAS)]]*Tabla2[[#This Row],[Precio por kg]]-Tabla2[[#This Row],[Costos (En RD$/Tarea)]])</f>
        <v>5412.97950902152</v>
      </c>
      <c r="O1375" s="9" t="n">
        <f aca="false">IF(Tabla2[[#This Row],[Costos (En RD$/Tarea)]]=0,0,Tabla2[[#This Row],[Beneficio Neto  (En RD$/Tarea)]]/Tabla2[[#This Row],[Costos (En RD$/Tarea)]])</f>
        <v>0.94209420993285</v>
      </c>
      <c r="P1375" s="7" t="n">
        <f aca="false">Tabla2[[#This Row],[Rentabilidad (%)]]/12</f>
        <v>0.0785078508277375</v>
      </c>
    </row>
    <row r="1376" customFormat="false" ht="14.25" hidden="false" customHeight="false" outlineLevel="0" collapsed="false">
      <c r="A1376" s="1" t="n">
        <v>39995</v>
      </c>
      <c r="B1376" s="2" t="s">
        <v>25</v>
      </c>
      <c r="C1376" s="3" t="n">
        <v>21806</v>
      </c>
      <c r="D1376" s="8" t="s">
        <v>17</v>
      </c>
      <c r="E1376" s="3" t="n">
        <f aca="false">IF(Tabla2[[#This Row],[Frecuencia]]="Annual", Tabla2[[#This Row],[Cosecha/Tarea]]/12,Tabla2[[#This Row],[Cosecha/Tarea]])</f>
        <v>21806</v>
      </c>
      <c r="F1376" s="3" t="n">
        <v>230961</v>
      </c>
      <c r="G1376" s="2" t="s">
        <v>18</v>
      </c>
      <c r="H1376" s="2" t="n">
        <f aca="false">F1376/Tabla2[[#This Row],[Cosecha Mensual]]</f>
        <v>10.5916261579382</v>
      </c>
      <c r="I1376" s="2" t="n">
        <f aca="false">H1376*_xlfn.XLOOKUP(Tabla2[[#This Row],[Unidad de producción]],Tabla3[Medida],Tabla3[Equivalencia en Kg],"ELVIS",0)</f>
        <v>480.436162524076</v>
      </c>
      <c r="J1376" s="2" t="n">
        <v>452.660625</v>
      </c>
      <c r="K1376" s="2" t="s">
        <v>18</v>
      </c>
      <c r="L1376" s="2" t="n">
        <f aca="false">J1376/_xlfn.XLOOKUP(Tabla2[[#This Row],[Unidad de precio]],Tabla3[Medida],Tabla3[Equivalencia en Kg],"ELVIS",0)</f>
        <v>9.97929067460317</v>
      </c>
      <c r="M1376" s="2" t="n">
        <v>3380.66818371576</v>
      </c>
      <c r="N1376" s="3" t="n">
        <f aca="false">(Tabla2[[#This Row],[Productividad (kg/TAS)]]*Tabla2[[#This Row],[Precio por kg]]-Tabla2[[#This Row],[Costos (En RD$/Tarea)]])</f>
        <v>1413.74393270289</v>
      </c>
      <c r="O1376" s="9" t="n">
        <f aca="false">IF(Tabla2[[#This Row],[Costos (En RD$/Tarea)]]=0,0,Tabla2[[#This Row],[Beneficio Neto  (En RD$/Tarea)]]/Tabla2[[#This Row],[Costos (En RD$/Tarea)]])</f>
        <v>0.418184765814257</v>
      </c>
      <c r="P1376" s="7" t="n">
        <f aca="false">Tabla2[[#This Row],[Rentabilidad (%)]]/12</f>
        <v>0.0348487304845214</v>
      </c>
    </row>
    <row r="1377" customFormat="false" ht="14.25" hidden="false" customHeight="false" outlineLevel="0" collapsed="false">
      <c r="A1377" s="1" t="n">
        <v>39995</v>
      </c>
      <c r="B1377" s="2" t="s">
        <v>26</v>
      </c>
      <c r="C1377" s="3" t="n">
        <v>9703</v>
      </c>
      <c r="D1377" s="8" t="s">
        <v>17</v>
      </c>
      <c r="E1377" s="3" t="n">
        <f aca="false">IF(Tabla2[[#This Row],[Frecuencia]]="Annual", Tabla2[[#This Row],[Cosecha/Tarea]]/12,Tabla2[[#This Row],[Cosecha/Tarea]])</f>
        <v>9703</v>
      </c>
      <c r="F1377" s="3" t="n">
        <v>55018</v>
      </c>
      <c r="G1377" s="2" t="s">
        <v>18</v>
      </c>
      <c r="H1377" s="2" t="n">
        <f aca="false">F1377/Tabla2[[#This Row],[Cosecha Mensual]]</f>
        <v>5.67020509120891</v>
      </c>
      <c r="I1377" s="2" t="n">
        <f aca="false">H1377*_xlfn.XLOOKUP(Tabla2[[#This Row],[Unidad de producción]],Tabla3[Medida],Tabla3[Equivalencia en Kg],"ELVIS",0)</f>
        <v>257.200502937236</v>
      </c>
      <c r="J1377" s="2" t="n">
        <v>539.5</v>
      </c>
      <c r="K1377" s="2" t="s">
        <v>18</v>
      </c>
      <c r="L1377" s="2" t="n">
        <f aca="false">J1377/_xlfn.XLOOKUP(Tabla2[[#This Row],[Unidad de precio]],Tabla3[Medida],Tabla3[Equivalencia en Kg],"ELVIS",0)</f>
        <v>11.8937389770723</v>
      </c>
      <c r="M1377" s="2" t="n">
        <v>1376.3165203125</v>
      </c>
      <c r="N1377" s="3" t="n">
        <f aca="false">(Tabla2[[#This Row],[Productividad (kg/TAS)]]*Tabla2[[#This Row],[Precio por kg]]-Tabla2[[#This Row],[Costos (En RD$/Tarea)]])</f>
        <v>1682.7591263947</v>
      </c>
      <c r="O1377" s="9" t="n">
        <f aca="false">IF(Tabla2[[#This Row],[Costos (En RD$/Tarea)]]=0,0,Tabla2[[#This Row],[Beneficio Neto  (En RD$/Tarea)]]/Tabla2[[#This Row],[Costos (En RD$/Tarea)]])</f>
        <v>1.22265416534608</v>
      </c>
      <c r="P1377" s="7" t="n">
        <f aca="false">Tabla2[[#This Row],[Rentabilidad (%)]]/12</f>
        <v>0.101887847112174</v>
      </c>
    </row>
    <row r="1378" customFormat="false" ht="14.25" hidden="false" customHeight="false" outlineLevel="0" collapsed="false">
      <c r="A1378" s="1" t="n">
        <v>39995</v>
      </c>
      <c r="B1378" s="2" t="s">
        <v>27</v>
      </c>
      <c r="C1378" s="3" t="n">
        <v>7586</v>
      </c>
      <c r="D1378" s="8" t="s">
        <v>17</v>
      </c>
      <c r="E1378" s="3" t="n">
        <f aca="false">IF(Tabla2[[#This Row],[Frecuencia]]="Annual", Tabla2[[#This Row],[Cosecha/Tarea]]/12,Tabla2[[#This Row],[Cosecha/Tarea]])</f>
        <v>7586</v>
      </c>
      <c r="F1378" s="3" t="n">
        <v>54396</v>
      </c>
      <c r="G1378" s="2" t="s">
        <v>18</v>
      </c>
      <c r="H1378" s="2" t="n">
        <f aca="false">F1378/Tabla2[[#This Row],[Cosecha Mensual]]</f>
        <v>7.17057737938307</v>
      </c>
      <c r="I1378" s="2" t="n">
        <f aca="false">H1378*_xlfn.XLOOKUP(Tabla2[[#This Row],[Unidad de producción]],Tabla3[Medida],Tabla3[Equivalencia en Kg],"ELVIS",0)</f>
        <v>325.257389928816</v>
      </c>
      <c r="J1378" s="2" t="n">
        <v>256.594285714286</v>
      </c>
      <c r="K1378" s="2" t="s">
        <v>18</v>
      </c>
      <c r="L1378" s="2" t="n">
        <f aca="false">J1378/_xlfn.XLOOKUP(Tabla2[[#This Row],[Unidad de precio]],Tabla3[Medida],Tabla3[Equivalencia en Kg],"ELVIS",0)</f>
        <v>5.65684051398338</v>
      </c>
      <c r="M1378" s="2" t="n">
        <v>5690.0383784955</v>
      </c>
      <c r="N1378" s="3" t="n">
        <f aca="false">(Tabla2[[#This Row],[Productividad (kg/TAS)]]*Tabla2[[#This Row],[Precio por kg]]-Tabla2[[#This Row],[Costos (En RD$/Tarea)]])</f>
        <v>-3850.10919767368</v>
      </c>
      <c r="O1378" s="9" t="n">
        <f aca="false">IF(Tabla2[[#This Row],[Costos (En RD$/Tarea)]]=0,0,Tabla2[[#This Row],[Beneficio Neto  (En RD$/Tarea)]]/Tabla2[[#This Row],[Costos (En RD$/Tarea)]])</f>
        <v>-0.67664028633348</v>
      </c>
      <c r="P1378" s="7" t="n">
        <f aca="false">Tabla2[[#This Row],[Rentabilidad (%)]]/12</f>
        <v>-0.05638669052779</v>
      </c>
    </row>
    <row r="1379" customFormat="false" ht="14.25" hidden="false" customHeight="false" outlineLevel="0" collapsed="false">
      <c r="A1379" s="1" t="n">
        <v>39995</v>
      </c>
      <c r="B1379" s="2" t="s">
        <v>28</v>
      </c>
      <c r="C1379" s="3" t="n">
        <v>2980</v>
      </c>
      <c r="D1379" s="8" t="s">
        <v>17</v>
      </c>
      <c r="E1379" s="3" t="n">
        <f aca="false">IF(Tabla2[[#This Row],[Frecuencia]]="Annual", Tabla2[[#This Row],[Cosecha/Tarea]]/12,Tabla2[[#This Row],[Cosecha/Tarea]])</f>
        <v>2980</v>
      </c>
      <c r="F1379" s="3" t="n">
        <v>3064</v>
      </c>
      <c r="G1379" s="2" t="s">
        <v>29</v>
      </c>
      <c r="H1379" s="2" t="n">
        <f aca="false">F1379/Tabla2[[#This Row],[Cosecha Mensual]]</f>
        <v>1.02818791946309</v>
      </c>
      <c r="I1379" s="2" t="n">
        <f aca="false">H1379*_xlfn.XLOOKUP(Tabla2[[#This Row],[Unidad de producción]],Tabla3[Medida],Tabla3[Equivalencia en Kg],"ELVIS",0)</f>
        <v>578.191194630873</v>
      </c>
      <c r="J1379" s="2" t="n">
        <v>5302.5</v>
      </c>
      <c r="K1379" s="2" t="s">
        <v>29</v>
      </c>
      <c r="L1379" s="2" t="n">
        <f aca="false">J1379/_xlfn.XLOOKUP(Tabla2[[#This Row],[Unidad de precio]],Tabla3[Medida],Tabla3[Equivalencia en Kg],"ELVIS",0)</f>
        <v>9.42934879254544</v>
      </c>
      <c r="M1379" s="2" t="n">
        <v>5157.16231976537</v>
      </c>
      <c r="N1379" s="3" t="n">
        <f aca="false">(Tabla2[[#This Row],[Productividad (kg/TAS)]]*Tabla2[[#This Row],[Precio por kg]]-Tabla2[[#This Row],[Costos (En RD$/Tarea)]])</f>
        <v>294.80412318765</v>
      </c>
      <c r="O1379" s="9" t="n">
        <f aca="false">IF(Tabla2[[#This Row],[Costos (En RD$/Tarea)]]=0,0,Tabla2[[#This Row],[Beneficio Neto  (En RD$/Tarea)]]/Tabla2[[#This Row],[Costos (En RD$/Tarea)]])</f>
        <v>0.0571640186809288</v>
      </c>
      <c r="P1379" s="7" t="n">
        <f aca="false">Tabla2[[#This Row],[Rentabilidad (%)]]/12</f>
        <v>0.00476366822341073</v>
      </c>
    </row>
    <row r="1380" customFormat="false" ht="14.25" hidden="false" customHeight="false" outlineLevel="0" collapsed="false">
      <c r="A1380" s="1" t="n">
        <v>39995</v>
      </c>
      <c r="B1380" s="2" t="s">
        <v>30</v>
      </c>
      <c r="C1380" s="3" t="n">
        <v>293301</v>
      </c>
      <c r="D1380" s="3" t="s">
        <v>31</v>
      </c>
      <c r="E1380" s="3" t="n">
        <f aca="false">IF(Tabla2[[#This Row],[Frecuencia]]="Annual", Tabla2[[#This Row],[Cosecha/Tarea]]/12,Tabla2[[#This Row],[Cosecha/Tarea]])</f>
        <v>24441.75</v>
      </c>
      <c r="F1380" s="3" t="n">
        <v>2239597</v>
      </c>
      <c r="G1380" s="2" t="s">
        <v>32</v>
      </c>
      <c r="H1380" s="2" t="n">
        <f aca="false">F1380/Tabla2[[#This Row],[Cosecha Mensual]]</f>
        <v>91.6299773952356</v>
      </c>
      <c r="I1380" s="2" t="n">
        <f aca="false">H1380*_xlfn.XLOOKUP(Tabla2[[#This Row],[Unidad de producción]],Tabla3[Medida],Tabla3[Equivalencia en Kg],"ELVIS",0)</f>
        <v>2493.25168492436</v>
      </c>
      <c r="J1380" s="2" t="n">
        <v>102.80375</v>
      </c>
      <c r="K1380" s="2" t="s">
        <v>32</v>
      </c>
      <c r="L1380" s="2" t="n">
        <f aca="false">J1380/_xlfn.XLOOKUP(Tabla2[[#This Row],[Unidad de precio]],Tabla3[Medida],Tabla3[Equivalencia en Kg],"ELVIS",0)</f>
        <v>3.77816060271959</v>
      </c>
      <c r="M1380" s="3" t="n">
        <v>9253.94477920298</v>
      </c>
      <c r="N1380" s="3" t="n">
        <f aca="false">(Tabla2[[#This Row],[Productividad (kg/TAS)]]*Tabla2[[#This Row],[Precio por kg]]-Tabla2[[#This Row],[Costos (En RD$/Tarea)]])</f>
        <v>165.960509442473</v>
      </c>
      <c r="O1380" s="9" t="n">
        <f aca="false">IF(Tabla2[[#This Row],[Costos (En RD$/Tarea)]]=0,0,Tabla2[[#This Row],[Beneficio Neto  (En RD$/Tarea)]]/Tabla2[[#This Row],[Costos (En RD$/Tarea)]])</f>
        <v>0.0179340285037628</v>
      </c>
      <c r="P1380" s="7" t="n">
        <f aca="false">Tabla2[[#This Row],[Rentabilidad (%)]]/12</f>
        <v>0.00149450237531357</v>
      </c>
    </row>
    <row r="1381" customFormat="false" ht="14.25" hidden="false" customHeight="false" outlineLevel="0" collapsed="false">
      <c r="A1381" s="1" t="n">
        <v>39995</v>
      </c>
      <c r="B1381" s="2" t="s">
        <v>33</v>
      </c>
      <c r="C1381" s="3" t="n">
        <v>662191</v>
      </c>
      <c r="D1381" s="3" t="s">
        <v>31</v>
      </c>
      <c r="E1381" s="11" t="n">
        <f aca="false">IF(Tabla2[[#This Row],[Frecuencia]]="Annual", Tabla2[[#This Row],[Cosecha/Tarea]]/12,Tabla2[[#This Row],[Cosecha/Tarea]])</f>
        <v>55182.5833333333</v>
      </c>
      <c r="F1381" s="3" t="n">
        <v>287180</v>
      </c>
      <c r="G1381" s="2" t="s">
        <v>34</v>
      </c>
      <c r="H1381" s="2" t="n">
        <f aca="false">F1381/Tabla2[[#This Row],[Cosecha Mensual]]</f>
        <v>5.20417825068598</v>
      </c>
      <c r="I1381" s="2" t="n">
        <f aca="false">H1381*_xlfn.XLOOKUP(Tabla2[[#This Row],[Unidad de producción]],Tabla3[Medida],Tabla3[Equivalencia en Kg],"ELVIS",0)</f>
        <v>2124.08535301748</v>
      </c>
      <c r="J1381" s="2" t="n">
        <v>2167.91625</v>
      </c>
      <c r="K1381" s="2" t="s">
        <v>34</v>
      </c>
      <c r="L1381" s="2" t="n">
        <f aca="false">J1381/_xlfn.XLOOKUP(Tabla2[[#This Row],[Unidad de precio]],Tabla3[Medida],Tabla3[Equivalencia en Kg],"ELVIS",0)</f>
        <v>5.31156743844175</v>
      </c>
      <c r="M1381" s="3" t="n">
        <v>8960.6721575976</v>
      </c>
      <c r="N1381" s="3" t="n">
        <f aca="false">(Tabla2[[#This Row],[Productividad (kg/TAS)]]*Tabla2[[#This Row],[Precio por kg]]-Tabla2[[#This Row],[Costos (En RD$/Tarea)]])</f>
        <v>2321.55043996111</v>
      </c>
      <c r="O1381" s="9" t="n">
        <f aca="false">IF(Tabla2[[#This Row],[Costos (En RD$/Tarea)]]=0,0,Tabla2[[#This Row],[Beneficio Neto  (En RD$/Tarea)]]/Tabla2[[#This Row],[Costos (En RD$/Tarea)]])</f>
        <v>0.25908217588261</v>
      </c>
      <c r="P1381" s="7" t="n">
        <f aca="false">Tabla2[[#This Row],[Rentabilidad (%)]]/12</f>
        <v>0.0215901813235509</v>
      </c>
    </row>
    <row r="1382" customFormat="false" ht="14.25" hidden="false" customHeight="false" outlineLevel="0" collapsed="false">
      <c r="A1382" s="1" t="n">
        <v>40026</v>
      </c>
      <c r="B1382" s="2" t="s">
        <v>16</v>
      </c>
      <c r="C1382" s="3" t="n">
        <v>111150</v>
      </c>
      <c r="D1382" s="8" t="s">
        <v>17</v>
      </c>
      <c r="E1382" s="3" t="n">
        <f aca="false">IF(Tabla2[[#This Row],[Frecuencia]]="Annual", Tabla2[[#This Row],[Cosecha/Tarea]]/12,Tabla2[[#This Row],[Cosecha/Tarea]])</f>
        <v>111150</v>
      </c>
      <c r="F1382" s="3" t="n">
        <v>462261</v>
      </c>
      <c r="G1382" s="2" t="s">
        <v>18</v>
      </c>
      <c r="H1382" s="2" t="n">
        <f aca="false">F1382/Tabla2[[#This Row],[Cosecha Mensual]]</f>
        <v>4.15889338731444</v>
      </c>
      <c r="I1382" s="2" t="n">
        <f aca="false">H1382*_xlfn.XLOOKUP(Tabla2[[#This Row],[Unidad de producción]],Tabla3[Medida],Tabla3[Equivalencia en Kg],"ELVIS",0)</f>
        <v>188.647404048583</v>
      </c>
      <c r="J1382" s="2" t="n">
        <v>2108.48874655222</v>
      </c>
      <c r="K1382" s="2" t="s">
        <v>19</v>
      </c>
      <c r="L1382" s="2" t="n">
        <f aca="false">J1382/_xlfn.XLOOKUP(Tabla2[[#This Row],[Unidad de precio]],Tabla3[Medida],Tabla3[Equivalencia en Kg],"ELVIS",0)</f>
        <v>19.1680795141111</v>
      </c>
      <c r="M1382" s="2" t="n">
        <v>6526.78</v>
      </c>
      <c r="N1382" s="3" t="n">
        <f aca="false">(Tabla2[[#This Row],[Productividad (kg/TAS)]]*Tabla2[[#This Row],[Precio por kg]]-Tabla2[[#This Row],[Costos (En RD$/Tarea)]])</f>
        <v>-2910.77155906612</v>
      </c>
      <c r="O1382" s="9" t="n">
        <f aca="false">IF(Tabla2[[#This Row],[Costos (En RD$/Tarea)]]=0,0,Tabla2[[#This Row],[Beneficio Neto  (En RD$/Tarea)]]/Tabla2[[#This Row],[Costos (En RD$/Tarea)]])</f>
        <v>-0.445973597863896</v>
      </c>
      <c r="P1382" s="7" t="n">
        <f aca="false">Tabla2[[#This Row],[Rentabilidad (%)]]/12</f>
        <v>-0.037164466488658</v>
      </c>
    </row>
    <row r="1383" customFormat="false" ht="14.25" hidden="false" customHeight="false" outlineLevel="0" collapsed="false">
      <c r="A1383" s="1" t="n">
        <v>40026</v>
      </c>
      <c r="B1383" s="2" t="s">
        <v>20</v>
      </c>
      <c r="C1383" s="3" t="n">
        <v>57006</v>
      </c>
      <c r="D1383" s="8" t="s">
        <v>17</v>
      </c>
      <c r="E1383" s="3" t="n">
        <f aca="false">IF(Tabla2[[#This Row],[Frecuencia]]="Annual", Tabla2[[#This Row],[Cosecha/Tarea]]/12,Tabla2[[#This Row],[Cosecha/Tarea]])</f>
        <v>57006</v>
      </c>
      <c r="F1383" s="3" t="n">
        <v>80610</v>
      </c>
      <c r="G1383" s="2" t="s">
        <v>18</v>
      </c>
      <c r="H1383" s="2" t="n">
        <f aca="false">F1383/Tabla2[[#This Row],[Cosecha Mensual]]</f>
        <v>1.41406167771814</v>
      </c>
      <c r="I1383" s="2" t="n">
        <f aca="false">H1383*_xlfn.XLOOKUP(Tabla2[[#This Row],[Unidad de producción]],Tabla3[Medida],Tabla3[Equivalencia en Kg],"ELVIS",0)</f>
        <v>64.1418377012946</v>
      </c>
      <c r="J1383" s="2" t="n">
        <v>587.475714285714</v>
      </c>
      <c r="K1383" s="2" t="s">
        <v>18</v>
      </c>
      <c r="L1383" s="2" t="n">
        <f aca="false">J1383/_xlfn.XLOOKUP(Tabla2[[#This Row],[Unidad de precio]],Tabla3[Medida],Tabla3[Equivalencia en Kg],"ELVIS",0)</f>
        <v>12.9514046359284</v>
      </c>
      <c r="M1383" s="2" t="n">
        <v>1590.10324602816</v>
      </c>
      <c r="N1383" s="3" t="n">
        <f aca="false">(Tabla2[[#This Row],[Productividad (kg/TAS)]]*Tabla2[[#This Row],[Precio por kg]]-Tabla2[[#This Row],[Costos (En RD$/Tarea)]])</f>
        <v>-759.376351866643</v>
      </c>
      <c r="O1383" s="9" t="n">
        <f aca="false">IF(Tabla2[[#This Row],[Costos (En RD$/Tarea)]]=0,0,Tabla2[[#This Row],[Beneficio Neto  (En RD$/Tarea)]]/Tabla2[[#This Row],[Costos (En RD$/Tarea)]])</f>
        <v>-0.477564179410017</v>
      </c>
      <c r="P1383" s="7" t="n">
        <f aca="false">Tabla2[[#This Row],[Rentabilidad (%)]]/12</f>
        <v>-0.0397970149508348</v>
      </c>
    </row>
    <row r="1384" customFormat="false" ht="14.25" hidden="false" customHeight="false" outlineLevel="0" collapsed="false">
      <c r="A1384" s="1" t="n">
        <v>40026</v>
      </c>
      <c r="B1384" s="2" t="s">
        <v>21</v>
      </c>
      <c r="C1384" s="3" t="n">
        <v>4620</v>
      </c>
      <c r="D1384" s="8" t="s">
        <v>17</v>
      </c>
      <c r="E1384" s="3" t="n">
        <f aca="false">IF(Tabla2[[#This Row],[Frecuencia]]="Annual", Tabla2[[#This Row],[Cosecha/Tarea]]/12,Tabla2[[#This Row],[Cosecha/Tarea]])</f>
        <v>4620</v>
      </c>
      <c r="F1384" s="3" t="n">
        <v>45702</v>
      </c>
      <c r="G1384" s="2" t="s">
        <v>18</v>
      </c>
      <c r="H1384" s="2" t="n">
        <f aca="false">F1384/Tabla2[[#This Row],[Cosecha Mensual]]</f>
        <v>9.89220779220779</v>
      </c>
      <c r="I1384" s="2" t="n">
        <f aca="false">H1384*_xlfn.XLOOKUP(Tabla2[[#This Row],[Unidad de producción]],Tabla3[Medida],Tabla3[Equivalencia en Kg],"ELVIS",0)</f>
        <v>448.710545454545</v>
      </c>
      <c r="J1384" s="2" t="n">
        <v>412.0511</v>
      </c>
      <c r="K1384" s="2" t="s">
        <v>18</v>
      </c>
      <c r="L1384" s="2" t="n">
        <f aca="false">J1384/_xlfn.XLOOKUP(Tabla2[[#This Row],[Unidad de precio]],Tabla3[Medida],Tabla3[Equivalencia en Kg],"ELVIS",0)</f>
        <v>9.08401895943563</v>
      </c>
      <c r="M1384" s="2" t="n">
        <v>4038.1847175</v>
      </c>
      <c r="N1384" s="3" t="n">
        <f aca="false">(Tabla2[[#This Row],[Productividad (kg/TAS)]]*Tabla2[[#This Row],[Precio por kg]]-Tabla2[[#This Row],[Costos (En RD$/Tarea)]])</f>
        <v>37.9103847077922</v>
      </c>
      <c r="O1384" s="9" t="n">
        <f aca="false">IF(Tabla2[[#This Row],[Costos (En RD$/Tarea)]]=0,0,Tabla2[[#This Row],[Beneficio Neto  (En RD$/Tarea)]]/Tabla2[[#This Row],[Costos (En RD$/Tarea)]])</f>
        <v>0.0093879768658186</v>
      </c>
      <c r="P1384" s="7" t="n">
        <f aca="false">Tabla2[[#This Row],[Rentabilidad (%)]]/12</f>
        <v>0.000782331405484883</v>
      </c>
    </row>
    <row r="1385" customFormat="false" ht="14.25" hidden="false" customHeight="false" outlineLevel="0" collapsed="false">
      <c r="A1385" s="1" t="n">
        <v>40026</v>
      </c>
      <c r="B1385" s="2" t="s">
        <v>22</v>
      </c>
      <c r="C1385" s="3" t="n">
        <v>2344</v>
      </c>
      <c r="D1385" s="8" t="s">
        <v>17</v>
      </c>
      <c r="E1385" s="3" t="n">
        <f aca="false">IF(Tabla2[[#This Row],[Frecuencia]]="Annual", Tabla2[[#This Row],[Cosecha/Tarea]]/12,Tabla2[[#This Row],[Cosecha/Tarea]])</f>
        <v>2344</v>
      </c>
      <c r="F1385" s="3" t="n">
        <v>22699</v>
      </c>
      <c r="G1385" s="2" t="s">
        <v>18</v>
      </c>
      <c r="H1385" s="2" t="n">
        <f aca="false">F1385/Tabla2[[#This Row],[Cosecha Mensual]]</f>
        <v>9.68387372013652</v>
      </c>
      <c r="I1385" s="2" t="n">
        <f aca="false">H1385*_xlfn.XLOOKUP(Tabla2[[#This Row],[Unidad de producción]],Tabla3[Medida],Tabla3[Equivalencia en Kg],"ELVIS",0)</f>
        <v>439.260511945393</v>
      </c>
      <c r="J1385" s="2" t="n">
        <v>1163.38142857143</v>
      </c>
      <c r="K1385" s="2" t="s">
        <v>18</v>
      </c>
      <c r="L1385" s="2" t="n">
        <f aca="false">J1385/_xlfn.XLOOKUP(Tabla2[[#This Row],[Unidad de precio]],Tabla3[Medida],Tabla3[Equivalencia en Kg],"ELVIS",0)</f>
        <v>25.6477387251197</v>
      </c>
      <c r="M1385" s="2" t="n">
        <v>7095.7961172</v>
      </c>
      <c r="N1385" s="3" t="n">
        <f aca="false">(Tabla2[[#This Row],[Productividad (kg/TAS)]]*Tabla2[[#This Row],[Precio por kg]]-Tabla2[[#This Row],[Costos (En RD$/Tarea)]])</f>
        <v>4170.24272543775</v>
      </c>
      <c r="O1385" s="9" t="n">
        <f aca="false">IF(Tabla2[[#This Row],[Costos (En RD$/Tarea)]]=0,0,Tabla2[[#This Row],[Beneficio Neto  (En RD$/Tarea)]]/Tabla2[[#This Row],[Costos (En RD$/Tarea)]])</f>
        <v>0.587706108878919</v>
      </c>
      <c r="P1385" s="7" t="n">
        <f aca="false">Tabla2[[#This Row],[Rentabilidad (%)]]/12</f>
        <v>0.0489755090732432</v>
      </c>
    </row>
    <row r="1386" customFormat="false" ht="14.25" hidden="false" customHeight="false" outlineLevel="0" collapsed="false">
      <c r="A1386" s="1" t="n">
        <v>40026</v>
      </c>
      <c r="B1386" s="2" t="s">
        <v>23</v>
      </c>
      <c r="C1386" s="3" t="n">
        <v>1415</v>
      </c>
      <c r="D1386" s="8" t="s">
        <v>17</v>
      </c>
      <c r="E1386" s="3" t="n">
        <f aca="false">IF(Tabla2[[#This Row],[Frecuencia]]="Annual", Tabla2[[#This Row],[Cosecha/Tarea]]/12,Tabla2[[#This Row],[Cosecha/Tarea]])</f>
        <v>1415</v>
      </c>
      <c r="F1386" s="3" t="n">
        <v>53225</v>
      </c>
      <c r="G1386" s="2" t="s">
        <v>18</v>
      </c>
      <c r="H1386" s="2" t="n">
        <f aca="false">F1386/Tabla2[[#This Row],[Cosecha Mensual]]</f>
        <v>37.6148409893993</v>
      </c>
      <c r="I1386" s="2" t="n">
        <f aca="false">H1386*_xlfn.XLOOKUP(Tabla2[[#This Row],[Unidad de producción]],Tabla3[Medida],Tabla3[Equivalencia en Kg],"ELVIS",0)</f>
        <v>1706.20918727915</v>
      </c>
      <c r="J1386" s="2" t="n">
        <v>768.75</v>
      </c>
      <c r="K1386" s="2" t="s">
        <v>18</v>
      </c>
      <c r="L1386" s="2" t="n">
        <f aca="false">J1386/_xlfn.XLOOKUP(Tabla2[[#This Row],[Unidad de precio]],Tabla3[Medida],Tabla3[Equivalencia en Kg],"ELVIS",0)</f>
        <v>16.9477513227513</v>
      </c>
      <c r="M1386" s="2" t="n">
        <v>17661.8086675086</v>
      </c>
      <c r="N1386" s="3" t="n">
        <f aca="false">(Tabla2[[#This Row],[Productividad (kg/TAS)]]*Tabla2[[#This Row],[Precio por kg]]-Tabla2[[#This Row],[Costos (En RD$/Tarea)]])</f>
        <v>11254.6003430921</v>
      </c>
      <c r="O1386" s="9" t="n">
        <f aca="false">IF(Tabla2[[#This Row],[Costos (En RD$/Tarea)]]=0,0,Tabla2[[#This Row],[Beneficio Neto  (En RD$/Tarea)]]/Tabla2[[#This Row],[Costos (En RD$/Tarea)]])</f>
        <v>0.637228075276149</v>
      </c>
      <c r="P1386" s="7" t="n">
        <f aca="false">Tabla2[[#This Row],[Rentabilidad (%)]]/12</f>
        <v>0.0531023396063457</v>
      </c>
    </row>
    <row r="1387" customFormat="false" ht="14.25" hidden="false" customHeight="false" outlineLevel="0" collapsed="false">
      <c r="A1387" s="1" t="n">
        <v>40026</v>
      </c>
      <c r="B1387" s="2" t="s">
        <v>24</v>
      </c>
      <c r="C1387" s="3" t="n">
        <v>3810</v>
      </c>
      <c r="D1387" s="8" t="s">
        <v>17</v>
      </c>
      <c r="E1387" s="3" t="n">
        <f aca="false">IF(Tabla2[[#This Row],[Frecuencia]]="Annual", Tabla2[[#This Row],[Cosecha/Tarea]]/12,Tabla2[[#This Row],[Cosecha/Tarea]])</f>
        <v>3810</v>
      </c>
      <c r="F1387" s="3" t="n">
        <v>29892</v>
      </c>
      <c r="G1387" s="2" t="s">
        <v>18</v>
      </c>
      <c r="H1387" s="2" t="n">
        <f aca="false">F1387/Tabla2[[#This Row],[Cosecha Mensual]]</f>
        <v>7.84566929133858</v>
      </c>
      <c r="I1387" s="2" t="n">
        <f aca="false">H1387*_xlfn.XLOOKUP(Tabla2[[#This Row],[Unidad de producción]],Tabla3[Medida],Tabla3[Equivalencia en Kg],"ELVIS",0)</f>
        <v>355.879559055118</v>
      </c>
      <c r="J1387" s="2" t="n">
        <v>1189.35714285714</v>
      </c>
      <c r="K1387" s="2" t="s">
        <v>18</v>
      </c>
      <c r="L1387" s="2" t="n">
        <f aca="false">J1387/_xlfn.XLOOKUP(Tabla2[[#This Row],[Unidad de precio]],Tabla3[Medida],Tabla3[Equivalencia en Kg],"ELVIS",0)</f>
        <v>26.2203955656336</v>
      </c>
      <c r="M1387" s="2" t="n">
        <v>5745.6881190336</v>
      </c>
      <c r="N1387" s="3" t="n">
        <f aca="false">(Tabla2[[#This Row],[Productividad (kg/TAS)]]*Tabla2[[#This Row],[Precio por kg]]-Tabla2[[#This Row],[Costos (En RD$/Tarea)]])</f>
        <v>3585.61469311486</v>
      </c>
      <c r="O1387" s="9" t="n">
        <f aca="false">IF(Tabla2[[#This Row],[Costos (En RD$/Tarea)]]=0,0,Tabla2[[#This Row],[Beneficio Neto  (En RD$/Tarea)]]/Tabla2[[#This Row],[Costos (En RD$/Tarea)]])</f>
        <v>0.624053136688168</v>
      </c>
      <c r="P1387" s="7" t="n">
        <f aca="false">Tabla2[[#This Row],[Rentabilidad (%)]]/12</f>
        <v>0.0520044280573473</v>
      </c>
    </row>
    <row r="1388" customFormat="false" ht="14.25" hidden="false" customHeight="false" outlineLevel="0" collapsed="false">
      <c r="A1388" s="1" t="n">
        <v>40026</v>
      </c>
      <c r="B1388" s="2" t="s">
        <v>25</v>
      </c>
      <c r="C1388" s="3" t="n">
        <v>19936</v>
      </c>
      <c r="D1388" s="8" t="s">
        <v>17</v>
      </c>
      <c r="E1388" s="3" t="n">
        <f aca="false">IF(Tabla2[[#This Row],[Frecuencia]]="Annual", Tabla2[[#This Row],[Cosecha/Tarea]]/12,Tabla2[[#This Row],[Cosecha/Tarea]])</f>
        <v>19936</v>
      </c>
      <c r="F1388" s="3" t="n">
        <v>212885</v>
      </c>
      <c r="G1388" s="2" t="s">
        <v>18</v>
      </c>
      <c r="H1388" s="2" t="n">
        <f aca="false">F1388/Tabla2[[#This Row],[Cosecha Mensual]]</f>
        <v>10.6784209470305</v>
      </c>
      <c r="I1388" s="2" t="n">
        <f aca="false">H1388*_xlfn.XLOOKUP(Tabla2[[#This Row],[Unidad de producción]],Tabla3[Medida],Tabla3[Equivalencia en Kg],"ELVIS",0)</f>
        <v>484.373174157303</v>
      </c>
      <c r="J1388" s="2" t="n">
        <v>560.471666666667</v>
      </c>
      <c r="K1388" s="2" t="s">
        <v>18</v>
      </c>
      <c r="L1388" s="2" t="n">
        <f aca="false">J1388/_xlfn.XLOOKUP(Tabla2[[#This Row],[Unidad de precio]],Tabla3[Medida],Tabla3[Equivalencia en Kg],"ELVIS",0)</f>
        <v>12.3560773074662</v>
      </c>
      <c r="M1388" s="2" t="n">
        <v>3380.66818371576</v>
      </c>
      <c r="N1388" s="3" t="n">
        <f aca="false">(Tabla2[[#This Row],[Productividad (kg/TAS)]]*Tabla2[[#This Row],[Precio por kg]]-Tabla2[[#This Row],[Costos (En RD$/Tarea)]])</f>
        <v>2604.28420183467</v>
      </c>
      <c r="O1388" s="9" t="n">
        <f aca="false">IF(Tabla2[[#This Row],[Costos (En RD$/Tarea)]]=0,0,Tabla2[[#This Row],[Beneficio Neto  (En RD$/Tarea)]]/Tabla2[[#This Row],[Costos (En RD$/Tarea)]])</f>
        <v>0.770345996800033</v>
      </c>
      <c r="P1388" s="7" t="n">
        <f aca="false">Tabla2[[#This Row],[Rentabilidad (%)]]/12</f>
        <v>0.064195499733336</v>
      </c>
    </row>
    <row r="1389" customFormat="false" ht="14.25" hidden="false" customHeight="false" outlineLevel="0" collapsed="false">
      <c r="A1389" s="1" t="n">
        <v>40026</v>
      </c>
      <c r="B1389" s="2" t="s">
        <v>26</v>
      </c>
      <c r="C1389" s="3" t="n">
        <v>12104</v>
      </c>
      <c r="D1389" s="8" t="s">
        <v>17</v>
      </c>
      <c r="E1389" s="3" t="n">
        <f aca="false">IF(Tabla2[[#This Row],[Frecuencia]]="Annual", Tabla2[[#This Row],[Cosecha/Tarea]]/12,Tabla2[[#This Row],[Cosecha/Tarea]])</f>
        <v>12104</v>
      </c>
      <c r="F1389" s="3" t="n">
        <v>59960</v>
      </c>
      <c r="G1389" s="2" t="s">
        <v>18</v>
      </c>
      <c r="H1389" s="2" t="n">
        <f aca="false">F1389/Tabla2[[#This Row],[Cosecha Mensual]]</f>
        <v>4.95373430270985</v>
      </c>
      <c r="I1389" s="2" t="n">
        <f aca="false">H1389*_xlfn.XLOOKUP(Tabla2[[#This Row],[Unidad de producción]],Tabla3[Medida],Tabla3[Equivalencia en Kg],"ELVIS",0)</f>
        <v>224.701387970919</v>
      </c>
      <c r="J1389" s="2" t="n">
        <v>611.68</v>
      </c>
      <c r="K1389" s="2" t="s">
        <v>18</v>
      </c>
      <c r="L1389" s="2" t="n">
        <f aca="false">J1389/_xlfn.XLOOKUP(Tabla2[[#This Row],[Unidad de precio]],Tabla3[Medida],Tabla3[Equivalencia en Kg],"ELVIS",0)</f>
        <v>13.4850088183422</v>
      </c>
      <c r="M1389" s="2" t="n">
        <v>1376.3165203125</v>
      </c>
      <c r="N1389" s="3" t="n">
        <f aca="false">(Tabla2[[#This Row],[Productividad (kg/TAS)]]*Tabla2[[#This Row],[Precio por kg]]-Tabla2[[#This Row],[Costos (En RD$/Tarea)]])</f>
        <v>1653.78367796906</v>
      </c>
      <c r="O1389" s="9" t="n">
        <f aca="false">IF(Tabla2[[#This Row],[Costos (En RD$/Tarea)]]=0,0,Tabla2[[#This Row],[Beneficio Neto  (En RD$/Tarea)]]/Tabla2[[#This Row],[Costos (En RD$/Tarea)]])</f>
        <v>1.2016012694475</v>
      </c>
      <c r="P1389" s="7" t="n">
        <f aca="false">Tabla2[[#This Row],[Rentabilidad (%)]]/12</f>
        <v>0.100133439120625</v>
      </c>
    </row>
    <row r="1390" customFormat="false" ht="14.25" hidden="false" customHeight="false" outlineLevel="0" collapsed="false">
      <c r="A1390" s="1" t="n">
        <v>40026</v>
      </c>
      <c r="B1390" s="2" t="s">
        <v>27</v>
      </c>
      <c r="C1390" s="3" t="n">
        <v>7036</v>
      </c>
      <c r="D1390" s="8" t="s">
        <v>17</v>
      </c>
      <c r="E1390" s="3" t="n">
        <f aca="false">IF(Tabla2[[#This Row],[Frecuencia]]="Annual", Tabla2[[#This Row],[Cosecha/Tarea]]/12,Tabla2[[#This Row],[Cosecha/Tarea]])</f>
        <v>7036</v>
      </c>
      <c r="F1390" s="3" t="n">
        <v>59318</v>
      </c>
      <c r="G1390" s="2" t="s">
        <v>18</v>
      </c>
      <c r="H1390" s="2" t="n">
        <f aca="false">F1390/Tabla2[[#This Row],[Cosecha Mensual]]</f>
        <v>8.43064241046049</v>
      </c>
      <c r="I1390" s="2" t="n">
        <f aca="false">H1390*_xlfn.XLOOKUP(Tabla2[[#This Row],[Unidad de producción]],Tabla3[Medida],Tabla3[Equivalencia en Kg],"ELVIS",0)</f>
        <v>382.413939738488</v>
      </c>
      <c r="J1390" s="2" t="n">
        <v>357.12</v>
      </c>
      <c r="K1390" s="2" t="s">
        <v>18</v>
      </c>
      <c r="L1390" s="2" t="n">
        <f aca="false">J1390/_xlfn.XLOOKUP(Tabla2[[#This Row],[Unidad de precio]],Tabla3[Medida],Tabla3[Equivalencia en Kg],"ELVIS",0)</f>
        <v>7.87301587301587</v>
      </c>
      <c r="M1390" s="2" t="n">
        <v>5690.0383784955</v>
      </c>
      <c r="N1390" s="3" t="n">
        <f aca="false">(Tabla2[[#This Row],[Productividad (kg/TAS)]]*Tabla2[[#This Row],[Precio por kg]]-Tabla2[[#This Row],[Costos (En RD$/Tarea)]])</f>
        <v>-2679.28736087185</v>
      </c>
      <c r="O1390" s="9" t="n">
        <f aca="false">IF(Tabla2[[#This Row],[Costos (En RD$/Tarea)]]=0,0,Tabla2[[#This Row],[Beneficio Neto  (En RD$/Tarea)]]/Tabla2[[#This Row],[Costos (En RD$/Tarea)]])</f>
        <v>-0.470873337339471</v>
      </c>
      <c r="P1390" s="7" t="n">
        <f aca="false">Tabla2[[#This Row],[Rentabilidad (%)]]/12</f>
        <v>-0.0392394447782893</v>
      </c>
    </row>
    <row r="1391" customFormat="false" ht="14.25" hidden="false" customHeight="false" outlineLevel="0" collapsed="false">
      <c r="A1391" s="1" t="n">
        <v>40026</v>
      </c>
      <c r="B1391" s="2" t="s">
        <v>28</v>
      </c>
      <c r="C1391" s="3" t="n">
        <v>25942</v>
      </c>
      <c r="D1391" s="8" t="s">
        <v>17</v>
      </c>
      <c r="E1391" s="3" t="n">
        <f aca="false">IF(Tabla2[[#This Row],[Frecuencia]]="Annual", Tabla2[[#This Row],[Cosecha/Tarea]]/12,Tabla2[[#This Row],[Cosecha/Tarea]])</f>
        <v>25942</v>
      </c>
      <c r="F1391" s="3" t="n">
        <v>34303</v>
      </c>
      <c r="G1391" s="2" t="s">
        <v>29</v>
      </c>
      <c r="H1391" s="2" t="n">
        <f aca="false">F1391/Tabla2[[#This Row],[Cosecha Mensual]]</f>
        <v>1.3222958908334</v>
      </c>
      <c r="I1391" s="2" t="n">
        <f aca="false">H1391*_xlfn.XLOOKUP(Tabla2[[#This Row],[Unidad de producción]],Tabla3[Medida],Tabla3[Equivalencia en Kg],"ELVIS",0)</f>
        <v>743.579871251253</v>
      </c>
      <c r="J1391" s="2" t="n">
        <v>3806.4375</v>
      </c>
      <c r="K1391" s="2" t="s">
        <v>29</v>
      </c>
      <c r="L1391" s="2" t="n">
        <f aca="false">J1391/_xlfn.XLOOKUP(Tabla2[[#This Row],[Unidad de precio]],Tabla3[Medida],Tabla3[Equivalencia en Kg],"ELVIS",0)</f>
        <v>6.76892538322012</v>
      </c>
      <c r="M1391" s="2" t="n">
        <v>5157.16231976537</v>
      </c>
      <c r="N1391" s="3" t="n">
        <f aca="false">(Tabla2[[#This Row],[Productividad (kg/TAS)]]*Tabla2[[#This Row],[Precio por kg]]-Tabla2[[#This Row],[Costos (En RD$/Tarea)]])</f>
        <v>-123.925654801219</v>
      </c>
      <c r="O1391" s="9" t="n">
        <f aca="false">IF(Tabla2[[#This Row],[Costos (En RD$/Tarea)]]=0,0,Tabla2[[#This Row],[Beneficio Neto  (En RD$/Tarea)]]/Tabla2[[#This Row],[Costos (En RD$/Tarea)]])</f>
        <v>-0.0240298146766218</v>
      </c>
      <c r="P1391" s="7" t="n">
        <f aca="false">Tabla2[[#This Row],[Rentabilidad (%)]]/12</f>
        <v>-0.00200248455638515</v>
      </c>
    </row>
    <row r="1392" customFormat="false" ht="14.25" hidden="false" customHeight="false" outlineLevel="0" collapsed="false">
      <c r="A1392" s="1" t="n">
        <v>40026</v>
      </c>
      <c r="B1392" s="2" t="s">
        <v>30</v>
      </c>
      <c r="C1392" s="3" t="n">
        <v>295821</v>
      </c>
      <c r="D1392" s="3" t="s">
        <v>31</v>
      </c>
      <c r="E1392" s="3" t="n">
        <f aca="false">IF(Tabla2[[#This Row],[Frecuencia]]="Annual", Tabla2[[#This Row],[Cosecha/Tarea]]/12,Tabla2[[#This Row],[Cosecha/Tarea]])</f>
        <v>24651.75</v>
      </c>
      <c r="F1392" s="3" t="n">
        <v>2302074</v>
      </c>
      <c r="G1392" s="2" t="s">
        <v>32</v>
      </c>
      <c r="H1392" s="2" t="n">
        <f aca="false">F1392/Tabla2[[#This Row],[Cosecha Mensual]]</f>
        <v>93.3837962822112</v>
      </c>
      <c r="I1392" s="2" t="n">
        <f aca="false">H1392*_xlfn.XLOOKUP(Tabla2[[#This Row],[Unidad de producción]],Tabla3[Medida],Tabla3[Equivalencia en Kg],"ELVIS",0)</f>
        <v>2540.97309683897</v>
      </c>
      <c r="J1392" s="2" t="n">
        <v>101.071428571429</v>
      </c>
      <c r="K1392" s="2" t="s">
        <v>32</v>
      </c>
      <c r="L1392" s="2" t="n">
        <f aca="false">J1392/_xlfn.XLOOKUP(Tabla2[[#This Row],[Unidad de precio]],Tabla3[Medida],Tabla3[Equivalencia en Kg],"ELVIS",0)</f>
        <v>3.71449572111095</v>
      </c>
      <c r="M1392" s="3" t="n">
        <v>9253.94477920298</v>
      </c>
      <c r="N1392" s="3" t="n">
        <f aca="false">(Tabla2[[#This Row],[Productividad (kg/TAS)]]*Tabla2[[#This Row],[Precio por kg]]-Tabla2[[#This Row],[Costos (En RD$/Tarea)]])</f>
        <v>184.488916463408</v>
      </c>
      <c r="O1392" s="9" t="n">
        <f aca="false">IF(Tabla2[[#This Row],[Costos (En RD$/Tarea)]]=0,0,Tabla2[[#This Row],[Beneficio Neto  (En RD$/Tarea)]]/Tabla2[[#This Row],[Costos (En RD$/Tarea)]])</f>
        <v>0.0199362456622847</v>
      </c>
      <c r="P1392" s="7" t="n">
        <f aca="false">Tabla2[[#This Row],[Rentabilidad (%)]]/12</f>
        <v>0.00166135380519039</v>
      </c>
    </row>
    <row r="1393" customFormat="false" ht="14.25" hidden="false" customHeight="false" outlineLevel="0" collapsed="false">
      <c r="A1393" s="1" t="n">
        <v>40026</v>
      </c>
      <c r="B1393" s="2" t="s">
        <v>33</v>
      </c>
      <c r="C1393" s="3" t="n">
        <v>660544</v>
      </c>
      <c r="D1393" s="3" t="s">
        <v>31</v>
      </c>
      <c r="E1393" s="3" t="n">
        <f aca="false">IF(Tabla2[[#This Row],[Frecuencia]]="Annual", Tabla2[[#This Row],[Cosecha/Tarea]]/12,Tabla2[[#This Row],[Cosecha/Tarea]])</f>
        <v>55045.3333333333</v>
      </c>
      <c r="F1393" s="3" t="n">
        <v>196376</v>
      </c>
      <c r="G1393" s="2" t="s">
        <v>34</v>
      </c>
      <c r="H1393" s="2" t="n">
        <f aca="false">F1393/Tabla2[[#This Row],[Cosecha Mensual]]</f>
        <v>3.56753221587056</v>
      </c>
      <c r="I1393" s="2" t="n">
        <f aca="false">H1393*_xlfn.XLOOKUP(Tabla2[[#This Row],[Unidad de producción]],Tabla3[Medida],Tabla3[Equivalencia en Kg],"ELVIS",0)</f>
        <v>1456.08827390757</v>
      </c>
      <c r="J1393" s="2" t="n">
        <v>2036.14285714286</v>
      </c>
      <c r="K1393" s="2" t="s">
        <v>34</v>
      </c>
      <c r="L1393" s="2" t="n">
        <f aca="false">J1393/_xlfn.XLOOKUP(Tabla2[[#This Row],[Unidad de precio]],Tabla3[Medida],Tabla3[Equivalencia en Kg],"ELVIS",0)</f>
        <v>4.98871213314433</v>
      </c>
      <c r="M1393" s="3" t="n">
        <v>8960.6721575976</v>
      </c>
      <c r="N1393" s="3" t="n">
        <f aca="false">(Tabla2[[#This Row],[Productividad (kg/TAS)]]*Tabla2[[#This Row],[Precio por kg]]-Tabla2[[#This Row],[Costos (En RD$/Tarea)]])</f>
        <v>-1696.66691862573</v>
      </c>
      <c r="O1393" s="9" t="n">
        <f aca="false">IF(Tabla2[[#This Row],[Costos (En RD$/Tarea)]]=0,0,Tabla2[[#This Row],[Beneficio Neto  (En RD$/Tarea)]]/Tabla2[[#This Row],[Costos (En RD$/Tarea)]])</f>
        <v>-0.189345942891924</v>
      </c>
      <c r="P1393" s="7" t="n">
        <f aca="false">Tabla2[[#This Row],[Rentabilidad (%)]]/12</f>
        <v>-0.015778828574327</v>
      </c>
    </row>
    <row r="1394" customFormat="false" ht="14.25" hidden="false" customHeight="false" outlineLevel="0" collapsed="false">
      <c r="A1394" s="1" t="n">
        <v>40057</v>
      </c>
      <c r="B1394" s="2" t="s">
        <v>16</v>
      </c>
      <c r="C1394" s="3" t="n">
        <v>163386</v>
      </c>
      <c r="D1394" s="8" t="s">
        <v>17</v>
      </c>
      <c r="E1394" s="3" t="n">
        <f aca="false">IF(Tabla2[[#This Row],[Frecuencia]]="Annual", Tabla2[[#This Row],[Cosecha/Tarea]]/12,Tabla2[[#This Row],[Cosecha/Tarea]])</f>
        <v>163386</v>
      </c>
      <c r="F1394" s="3" t="n">
        <v>689885</v>
      </c>
      <c r="G1394" s="2" t="s">
        <v>18</v>
      </c>
      <c r="H1394" s="2" t="n">
        <f aca="false">F1394/Tabla2[[#This Row],[Cosecha Mensual]]</f>
        <v>4.22242419791169</v>
      </c>
      <c r="I1394" s="2" t="n">
        <f aca="false">H1394*_xlfn.XLOOKUP(Tabla2[[#This Row],[Unidad de producción]],Tabla3[Medida],Tabla3[Equivalencia en Kg],"ELVIS",0)</f>
        <v>191.529161617274</v>
      </c>
      <c r="J1394" s="2" t="n">
        <v>2058.13996206084</v>
      </c>
      <c r="K1394" s="2" t="s">
        <v>19</v>
      </c>
      <c r="L1394" s="2" t="n">
        <f aca="false">J1394/_xlfn.XLOOKUP(Tabla2[[#This Row],[Unidad de precio]],Tabla3[Medida],Tabla3[Equivalencia en Kg],"ELVIS",0)</f>
        <v>18.7103632914622</v>
      </c>
      <c r="M1394" s="2" t="n">
        <v>6526.78</v>
      </c>
      <c r="N1394" s="3" t="n">
        <f aca="false">(Tabla2[[#This Row],[Productividad (kg/TAS)]]*Tabla2[[#This Row],[Precio por kg]]-Tabla2[[#This Row],[Costos (En RD$/Tarea)]])</f>
        <v>-2943.19980523162</v>
      </c>
      <c r="O1394" s="9" t="n">
        <f aca="false">IF(Tabla2[[#This Row],[Costos (En RD$/Tarea)]]=0,0,Tabla2[[#This Row],[Beneficio Neto  (En RD$/Tarea)]]/Tabla2[[#This Row],[Costos (En RD$/Tarea)]])</f>
        <v>-0.450942088630477</v>
      </c>
      <c r="P1394" s="7" t="n">
        <f aca="false">Tabla2[[#This Row],[Rentabilidad (%)]]/12</f>
        <v>-0.037578507385873</v>
      </c>
    </row>
    <row r="1395" customFormat="false" ht="14.25" hidden="false" customHeight="false" outlineLevel="0" collapsed="false">
      <c r="A1395" s="1" t="n">
        <v>40057</v>
      </c>
      <c r="B1395" s="2" t="s">
        <v>20</v>
      </c>
      <c r="C1395" s="3" t="n">
        <v>49961</v>
      </c>
      <c r="D1395" s="8" t="s">
        <v>17</v>
      </c>
      <c r="E1395" s="3" t="n">
        <f aca="false">IF(Tabla2[[#This Row],[Frecuencia]]="Annual", Tabla2[[#This Row],[Cosecha/Tarea]]/12,Tabla2[[#This Row],[Cosecha/Tarea]])</f>
        <v>49961</v>
      </c>
      <c r="F1395" s="3" t="n">
        <v>83347</v>
      </c>
      <c r="G1395" s="2" t="s">
        <v>18</v>
      </c>
      <c r="H1395" s="2" t="n">
        <f aca="false">F1395/Tabla2[[#This Row],[Cosecha Mensual]]</f>
        <v>1.66824122815796</v>
      </c>
      <c r="I1395" s="2" t="n">
        <f aca="false">H1395*_xlfn.XLOOKUP(Tabla2[[#This Row],[Unidad de producción]],Tabla3[Medida],Tabla3[Equivalencia en Kg],"ELVIS",0)</f>
        <v>75.6714221092452</v>
      </c>
      <c r="J1395" s="2" t="n">
        <v>562.64875</v>
      </c>
      <c r="K1395" s="2" t="s">
        <v>18</v>
      </c>
      <c r="L1395" s="2" t="n">
        <f aca="false">J1395/_xlfn.XLOOKUP(Tabla2[[#This Row],[Unidad de precio]],Tabla3[Medida],Tabla3[Equivalencia en Kg],"ELVIS",0)</f>
        <v>12.4040729717813</v>
      </c>
      <c r="M1395" s="2" t="n">
        <v>1590.10324602816</v>
      </c>
      <c r="N1395" s="3" t="n">
        <f aca="false">(Tabla2[[#This Row],[Productividad (kg/TAS)]]*Tabla2[[#This Row],[Precio por kg]]-Tabla2[[#This Row],[Costos (En RD$/Tarea)]])</f>
        <v>-651.469404306617</v>
      </c>
      <c r="O1395" s="9" t="n">
        <f aca="false">IF(Tabla2[[#This Row],[Costos (En RD$/Tarea)]]=0,0,Tabla2[[#This Row],[Beneficio Neto  (En RD$/Tarea)]]/Tabla2[[#This Row],[Costos (En RD$/Tarea)]])</f>
        <v>-0.409702581221622</v>
      </c>
      <c r="P1395" s="7" t="n">
        <f aca="false">Tabla2[[#This Row],[Rentabilidad (%)]]/12</f>
        <v>-0.0341418817684685</v>
      </c>
    </row>
    <row r="1396" customFormat="false" ht="14.25" hidden="false" customHeight="false" outlineLevel="0" collapsed="false">
      <c r="A1396" s="1" t="n">
        <v>40057</v>
      </c>
      <c r="B1396" s="2" t="s">
        <v>21</v>
      </c>
      <c r="C1396" s="3" t="n">
        <v>3695</v>
      </c>
      <c r="D1396" s="8" t="s">
        <v>17</v>
      </c>
      <c r="E1396" s="3" t="n">
        <f aca="false">IF(Tabla2[[#This Row],[Frecuencia]]="Annual", Tabla2[[#This Row],[Cosecha/Tarea]]/12,Tabla2[[#This Row],[Cosecha/Tarea]])</f>
        <v>3695</v>
      </c>
      <c r="F1396" s="3" t="n">
        <v>39015</v>
      </c>
      <c r="G1396" s="2" t="s">
        <v>18</v>
      </c>
      <c r="H1396" s="2" t="n">
        <f aca="false">F1396/Tabla2[[#This Row],[Cosecha Mensual]]</f>
        <v>10.5588633288227</v>
      </c>
      <c r="I1396" s="2" t="n">
        <f aca="false">H1396*_xlfn.XLOOKUP(Tabla2[[#This Row],[Unidad de producción]],Tabla3[Medida],Tabla3[Equivalencia en Kg],"ELVIS",0)</f>
        <v>478.950040595399</v>
      </c>
      <c r="J1396" s="2" t="n">
        <v>424.21125</v>
      </c>
      <c r="K1396" s="2" t="s">
        <v>18</v>
      </c>
      <c r="L1396" s="2" t="n">
        <f aca="false">J1396/_xlfn.XLOOKUP(Tabla2[[#This Row],[Unidad de precio]],Tabla3[Medida],Tabla3[Equivalencia en Kg],"ELVIS",0)</f>
        <v>9.35209986772487</v>
      </c>
      <c r="M1396" s="2" t="n">
        <v>4038.1847175</v>
      </c>
      <c r="N1396" s="3" t="n">
        <f aca="false">(Tabla2[[#This Row],[Productividad (kg/TAS)]]*Tabla2[[#This Row],[Precio por kg]]-Tabla2[[#This Row],[Costos (En RD$/Tarea)]])</f>
        <v>441.003893799053</v>
      </c>
      <c r="O1396" s="9" t="n">
        <f aca="false">IF(Tabla2[[#This Row],[Costos (En RD$/Tarea)]]=0,0,Tabla2[[#This Row],[Beneficio Neto  (En RD$/Tarea)]]/Tabla2[[#This Row],[Costos (En RD$/Tarea)]])</f>
        <v>0.109208449996828</v>
      </c>
      <c r="P1396" s="7" t="n">
        <f aca="false">Tabla2[[#This Row],[Rentabilidad (%)]]/12</f>
        <v>0.00910070416640233</v>
      </c>
    </row>
    <row r="1397" customFormat="false" ht="14.25" hidden="false" customHeight="false" outlineLevel="0" collapsed="false">
      <c r="A1397" s="1" t="n">
        <v>40057</v>
      </c>
      <c r="B1397" s="2" t="s">
        <v>22</v>
      </c>
      <c r="C1397" s="3" t="n">
        <v>2739</v>
      </c>
      <c r="D1397" s="8" t="s">
        <v>17</v>
      </c>
      <c r="E1397" s="3" t="n">
        <f aca="false">IF(Tabla2[[#This Row],[Frecuencia]]="Annual", Tabla2[[#This Row],[Cosecha/Tarea]]/12,Tabla2[[#This Row],[Cosecha/Tarea]])</f>
        <v>2739</v>
      </c>
      <c r="F1397" s="3" t="n">
        <v>26890</v>
      </c>
      <c r="G1397" s="2" t="s">
        <v>18</v>
      </c>
      <c r="H1397" s="2" t="n">
        <f aca="false">F1397/Tabla2[[#This Row],[Cosecha Mensual]]</f>
        <v>9.81745162468054</v>
      </c>
      <c r="I1397" s="2" t="n">
        <f aca="false">H1397*_xlfn.XLOOKUP(Tabla2[[#This Row],[Unidad de producción]],Tabla3[Medida],Tabla3[Equivalencia en Kg],"ELVIS",0)</f>
        <v>445.319605695509</v>
      </c>
      <c r="J1397" s="2" t="n">
        <v>1168.7</v>
      </c>
      <c r="K1397" s="2" t="s">
        <v>18</v>
      </c>
      <c r="L1397" s="2" t="n">
        <f aca="false">J1397/_xlfn.XLOOKUP(Tabla2[[#This Row],[Unidad de precio]],Tabla3[Medida],Tabla3[Equivalencia en Kg],"ELVIS",0)</f>
        <v>25.7649911816578</v>
      </c>
      <c r="M1397" s="2" t="n">
        <v>7095.7961172</v>
      </c>
      <c r="N1397" s="3" t="n">
        <f aca="false">(Tabla2[[#This Row],[Productividad (kg/TAS)]]*Tabla2[[#This Row],[Precio por kg]]-Tabla2[[#This Row],[Costos (En RD$/Tarea)]])</f>
        <v>4377.85959656415</v>
      </c>
      <c r="O1397" s="9" t="n">
        <f aca="false">IF(Tabla2[[#This Row],[Costos (En RD$/Tarea)]]=0,0,Tabla2[[#This Row],[Beneficio Neto  (En RD$/Tarea)]]/Tabla2[[#This Row],[Costos (En RD$/Tarea)]])</f>
        <v>0.616965245936583</v>
      </c>
      <c r="P1397" s="7" t="n">
        <f aca="false">Tabla2[[#This Row],[Rentabilidad (%)]]/12</f>
        <v>0.0514137704947153</v>
      </c>
    </row>
    <row r="1398" customFormat="false" ht="14.25" hidden="false" customHeight="false" outlineLevel="0" collapsed="false">
      <c r="A1398" s="1" t="n">
        <v>40057</v>
      </c>
      <c r="B1398" s="2" t="s">
        <v>23</v>
      </c>
      <c r="C1398" s="3" t="n">
        <v>3757</v>
      </c>
      <c r="D1398" s="8" t="s">
        <v>17</v>
      </c>
      <c r="E1398" s="3" t="n">
        <f aca="false">IF(Tabla2[[#This Row],[Frecuencia]]="Annual", Tabla2[[#This Row],[Cosecha/Tarea]]/12,Tabla2[[#This Row],[Cosecha/Tarea]])</f>
        <v>3757</v>
      </c>
      <c r="F1398" s="3" t="n">
        <v>135820</v>
      </c>
      <c r="G1398" s="2" t="s">
        <v>18</v>
      </c>
      <c r="H1398" s="2" t="n">
        <f aca="false">F1398/Tabla2[[#This Row],[Cosecha Mensual]]</f>
        <v>36.1511844556827</v>
      </c>
      <c r="I1398" s="2" t="n">
        <f aca="false">H1398*_xlfn.XLOOKUP(Tabla2[[#This Row],[Unidad de producción]],Tabla3[Medida],Tabla3[Equivalencia en Kg],"ELVIS",0)</f>
        <v>1639.81772690977</v>
      </c>
      <c r="J1398" s="2" t="n">
        <v>756.25</v>
      </c>
      <c r="K1398" s="2" t="s">
        <v>18</v>
      </c>
      <c r="L1398" s="2" t="n">
        <f aca="false">J1398/_xlfn.XLOOKUP(Tabla2[[#This Row],[Unidad de precio]],Tabla3[Medida],Tabla3[Equivalencia en Kg],"ELVIS",0)</f>
        <v>16.6721781305115</v>
      </c>
      <c r="M1398" s="2" t="n">
        <v>17661.8086675086</v>
      </c>
      <c r="N1398" s="3" t="n">
        <f aca="false">(Tabla2[[#This Row],[Productividad (kg/TAS)]]*Tabla2[[#This Row],[Precio por kg]]-Tabla2[[#This Row],[Costos (En RD$/Tarea)]])</f>
        <v>9677.52457710146</v>
      </c>
      <c r="O1398" s="9" t="n">
        <f aca="false">IF(Tabla2[[#This Row],[Costos (En RD$/Tarea)]]=0,0,Tabla2[[#This Row],[Beneficio Neto  (En RD$/Tarea)]]/Tabla2[[#This Row],[Costos (En RD$/Tarea)]])</f>
        <v>0.547935081807598</v>
      </c>
      <c r="P1398" s="7" t="n">
        <f aca="false">Tabla2[[#This Row],[Rentabilidad (%)]]/12</f>
        <v>0.0456612568172998</v>
      </c>
    </row>
    <row r="1399" customFormat="false" ht="14.25" hidden="false" customHeight="false" outlineLevel="0" collapsed="false">
      <c r="A1399" s="1" t="n">
        <v>40057</v>
      </c>
      <c r="B1399" s="2" t="s">
        <v>24</v>
      </c>
      <c r="C1399" s="3" t="n">
        <v>4211</v>
      </c>
      <c r="D1399" s="8" t="s">
        <v>17</v>
      </c>
      <c r="E1399" s="3" t="n">
        <f aca="false">IF(Tabla2[[#This Row],[Frecuencia]]="Annual", Tabla2[[#This Row],[Cosecha/Tarea]]/12,Tabla2[[#This Row],[Cosecha/Tarea]])</f>
        <v>4211</v>
      </c>
      <c r="F1399" s="3" t="n">
        <v>39763</v>
      </c>
      <c r="G1399" s="2" t="s">
        <v>18</v>
      </c>
      <c r="H1399" s="2" t="n">
        <f aca="false">F1399/Tabla2[[#This Row],[Cosecha Mensual]]</f>
        <v>9.44265020185229</v>
      </c>
      <c r="I1399" s="2" t="n">
        <f aca="false">H1399*_xlfn.XLOOKUP(Tabla2[[#This Row],[Unidad de producción]],Tabla3[Medida],Tabla3[Equivalencia en Kg],"ELVIS",0)</f>
        <v>428.31861315602</v>
      </c>
      <c r="J1399" s="2" t="n">
        <v>1256.0625</v>
      </c>
      <c r="K1399" s="2" t="s">
        <v>18</v>
      </c>
      <c r="L1399" s="2" t="n">
        <f aca="false">J1399/_xlfn.XLOOKUP(Tabla2[[#This Row],[Unidad de precio]],Tabla3[Medida],Tabla3[Equivalencia en Kg],"ELVIS",0)</f>
        <v>27.6909722222222</v>
      </c>
      <c r="M1399" s="2" t="n">
        <v>5745.6881190336</v>
      </c>
      <c r="N1399" s="3" t="n">
        <f aca="false">(Tabla2[[#This Row],[Productividad (kg/TAS)]]*Tabla2[[#This Row],[Precio por kg]]-Tabla2[[#This Row],[Costos (En RD$/Tarea)]])</f>
        <v>6114.87070013049</v>
      </c>
      <c r="O1399" s="9" t="n">
        <f aca="false">IF(Tabla2[[#This Row],[Costos (En RD$/Tarea)]]=0,0,Tabla2[[#This Row],[Beneficio Neto  (En RD$/Tarea)]]/Tabla2[[#This Row],[Costos (En RD$/Tarea)]])</f>
        <v>1.06425384974759</v>
      </c>
      <c r="P1399" s="7" t="n">
        <f aca="false">Tabla2[[#This Row],[Rentabilidad (%)]]/12</f>
        <v>0.0886878208122991</v>
      </c>
    </row>
    <row r="1400" customFormat="false" ht="14.25" hidden="false" customHeight="false" outlineLevel="0" collapsed="false">
      <c r="A1400" s="1" t="n">
        <v>40057</v>
      </c>
      <c r="B1400" s="2" t="s">
        <v>25</v>
      </c>
      <c r="C1400" s="3" t="n">
        <v>24390</v>
      </c>
      <c r="D1400" s="8" t="s">
        <v>17</v>
      </c>
      <c r="E1400" s="3" t="n">
        <f aca="false">IF(Tabla2[[#This Row],[Frecuencia]]="Annual", Tabla2[[#This Row],[Cosecha/Tarea]]/12,Tabla2[[#This Row],[Cosecha/Tarea]])</f>
        <v>24390</v>
      </c>
      <c r="F1400" s="3" t="n">
        <v>270058</v>
      </c>
      <c r="G1400" s="2" t="s">
        <v>18</v>
      </c>
      <c r="H1400" s="2" t="n">
        <f aca="false">F1400/Tabla2[[#This Row],[Cosecha Mensual]]</f>
        <v>11.0724887248872</v>
      </c>
      <c r="I1400" s="2" t="n">
        <f aca="false">H1400*_xlfn.XLOOKUP(Tabla2[[#This Row],[Unidad de producción]],Tabla3[Medida],Tabla3[Equivalencia en Kg],"ELVIS",0)</f>
        <v>502.248088560886</v>
      </c>
      <c r="J1400" s="2" t="n">
        <v>259.896</v>
      </c>
      <c r="K1400" s="2" t="s">
        <v>18</v>
      </c>
      <c r="L1400" s="2" t="n">
        <f aca="false">J1400/_xlfn.XLOOKUP(Tabla2[[#This Row],[Unidad de precio]],Tabla3[Medida],Tabla3[Equivalencia en Kg],"ELVIS",0)</f>
        <v>5.72962962962963</v>
      </c>
      <c r="M1400" s="2" t="n">
        <v>3380.66818371576</v>
      </c>
      <c r="N1400" s="3" t="n">
        <f aca="false">(Tabla2[[#This Row],[Productividad (kg/TAS)]]*Tabla2[[#This Row],[Precio por kg]]-Tabla2[[#This Row],[Costos (En RD$/Tarea)]])</f>
        <v>-502.972654072463</v>
      </c>
      <c r="O1400" s="9" t="n">
        <f aca="false">IF(Tabla2[[#This Row],[Costos (En RD$/Tarea)]]=0,0,Tabla2[[#This Row],[Beneficio Neto  (En RD$/Tarea)]]/Tabla2[[#This Row],[Costos (En RD$/Tarea)]])</f>
        <v>-0.148779065776173</v>
      </c>
      <c r="P1400" s="7" t="n">
        <f aca="false">Tabla2[[#This Row],[Rentabilidad (%)]]/12</f>
        <v>-0.0123982554813478</v>
      </c>
    </row>
    <row r="1401" customFormat="false" ht="14.25" hidden="false" customHeight="false" outlineLevel="0" collapsed="false">
      <c r="A1401" s="1" t="n">
        <v>40057</v>
      </c>
      <c r="B1401" s="2" t="s">
        <v>26</v>
      </c>
      <c r="C1401" s="3" t="n">
        <v>12275</v>
      </c>
      <c r="D1401" s="8" t="s">
        <v>17</v>
      </c>
      <c r="E1401" s="3" t="n">
        <f aca="false">IF(Tabla2[[#This Row],[Frecuencia]]="Annual", Tabla2[[#This Row],[Cosecha/Tarea]]/12,Tabla2[[#This Row],[Cosecha/Tarea]])</f>
        <v>12275</v>
      </c>
      <c r="F1401" s="3" t="n">
        <v>55987</v>
      </c>
      <c r="G1401" s="2" t="s">
        <v>18</v>
      </c>
      <c r="H1401" s="2" t="n">
        <f aca="false">F1401/Tabla2[[#This Row],[Cosecha Mensual]]</f>
        <v>4.56105906313646</v>
      </c>
      <c r="I1401" s="2" t="n">
        <f aca="false">H1401*_xlfn.XLOOKUP(Tabla2[[#This Row],[Unidad de producción]],Tabla3[Medida],Tabla3[Equivalencia en Kg],"ELVIS",0)</f>
        <v>206.88963910387</v>
      </c>
      <c r="J1401" s="2" t="n">
        <v>637.732857142857</v>
      </c>
      <c r="K1401" s="2" t="s">
        <v>18</v>
      </c>
      <c r="L1401" s="2" t="n">
        <f aca="false">J1401/_xlfn.XLOOKUP(Tabla2[[#This Row],[Unidad de precio]],Tabla3[Medida],Tabla3[Equivalencia en Kg],"ELVIS",0)</f>
        <v>14.0593663391282</v>
      </c>
      <c r="M1401" s="2" t="n">
        <v>1376.3165203125</v>
      </c>
      <c r="N1401" s="3" t="n">
        <f aca="false">(Tabla2[[#This Row],[Productividad (kg/TAS)]]*Tabla2[[#This Row],[Precio por kg]]-Tabla2[[#This Row],[Costos (En RD$/Tarea)]])</f>
        <v>1532.42070761884</v>
      </c>
      <c r="O1401" s="9" t="n">
        <f aca="false">IF(Tabla2[[#This Row],[Costos (En RD$/Tarea)]]=0,0,Tabla2[[#This Row],[Beneficio Neto  (En RD$/Tarea)]]/Tabla2[[#This Row],[Costos (En RD$/Tarea)]])</f>
        <v>1.11342172022384</v>
      </c>
      <c r="P1401" s="7" t="n">
        <f aca="false">Tabla2[[#This Row],[Rentabilidad (%)]]/12</f>
        <v>0.0927851433519868</v>
      </c>
    </row>
    <row r="1402" customFormat="false" ht="14.25" hidden="false" customHeight="false" outlineLevel="0" collapsed="false">
      <c r="A1402" s="1" t="n">
        <v>40057</v>
      </c>
      <c r="B1402" s="2" t="s">
        <v>27</v>
      </c>
      <c r="C1402" s="3" t="n">
        <v>7399</v>
      </c>
      <c r="D1402" s="8" t="s">
        <v>17</v>
      </c>
      <c r="E1402" s="3" t="n">
        <f aca="false">IF(Tabla2[[#This Row],[Frecuencia]]="Annual", Tabla2[[#This Row],[Cosecha/Tarea]]/12,Tabla2[[#This Row],[Cosecha/Tarea]])</f>
        <v>7399</v>
      </c>
      <c r="F1402" s="3" t="n">
        <v>49777</v>
      </c>
      <c r="G1402" s="2" t="s">
        <v>18</v>
      </c>
      <c r="H1402" s="2" t="n">
        <f aca="false">F1402/Tabla2[[#This Row],[Cosecha Mensual]]</f>
        <v>6.7275307473983</v>
      </c>
      <c r="I1402" s="2" t="n">
        <f aca="false">H1402*_xlfn.XLOOKUP(Tabla2[[#This Row],[Unidad de producción]],Tabla3[Medida],Tabla3[Equivalencia en Kg],"ELVIS",0)</f>
        <v>305.160794701987</v>
      </c>
      <c r="J1402" s="2" t="n">
        <v>321.829</v>
      </c>
      <c r="K1402" s="2" t="s">
        <v>18</v>
      </c>
      <c r="L1402" s="2" t="n">
        <f aca="false">J1402/_xlfn.XLOOKUP(Tabla2[[#This Row],[Unidad de precio]],Tabla3[Medida],Tabla3[Equivalencia en Kg],"ELVIS",0)</f>
        <v>7.09499559082892</v>
      </c>
      <c r="M1402" s="2" t="n">
        <v>5690.0383784955</v>
      </c>
      <c r="N1402" s="3" t="n">
        <f aca="false">(Tabla2[[#This Row],[Productividad (kg/TAS)]]*Tabla2[[#This Row],[Precio por kg]]-Tabla2[[#This Row],[Costos (En RD$/Tarea)]])</f>
        <v>-3524.92388559105</v>
      </c>
      <c r="O1402" s="9" t="n">
        <f aca="false">IF(Tabla2[[#This Row],[Costos (En RD$/Tarea)]]=0,0,Tabla2[[#This Row],[Beneficio Neto  (En RD$/Tarea)]]/Tabla2[[#This Row],[Costos (En RD$/Tarea)]])</f>
        <v>-0.61949035333626</v>
      </c>
      <c r="P1402" s="7" t="n">
        <f aca="false">Tabla2[[#This Row],[Rentabilidad (%)]]/12</f>
        <v>-0.051624196111355</v>
      </c>
    </row>
    <row r="1403" customFormat="false" ht="14.25" hidden="false" customHeight="false" outlineLevel="0" collapsed="false">
      <c r="A1403" s="1" t="n">
        <v>40057</v>
      </c>
      <c r="B1403" s="2" t="s">
        <v>28</v>
      </c>
      <c r="C1403" s="3" t="n">
        <v>63018</v>
      </c>
      <c r="D1403" s="8" t="s">
        <v>17</v>
      </c>
      <c r="E1403" s="3" t="n">
        <f aca="false">IF(Tabla2[[#This Row],[Frecuencia]]="Annual", Tabla2[[#This Row],[Cosecha/Tarea]]/12,Tabla2[[#This Row],[Cosecha/Tarea]])</f>
        <v>63018</v>
      </c>
      <c r="F1403" s="3" t="n">
        <v>134990</v>
      </c>
      <c r="G1403" s="2" t="s">
        <v>29</v>
      </c>
      <c r="H1403" s="2" t="n">
        <f aca="false">F1403/Tabla2[[#This Row],[Cosecha Mensual]]</f>
        <v>2.14208638801612</v>
      </c>
      <c r="I1403" s="2" t="n">
        <f aca="false">H1403*_xlfn.XLOOKUP(Tabla2[[#This Row],[Unidad de producción]],Tabla3[Medida],Tabla3[Equivalencia en Kg],"ELVIS",0)</f>
        <v>1204.58085943699</v>
      </c>
      <c r="J1403" s="2" t="n">
        <v>3511.75</v>
      </c>
      <c r="K1403" s="2" t="s">
        <v>29</v>
      </c>
      <c r="L1403" s="2" t="n">
        <f aca="false">J1403/_xlfn.XLOOKUP(Tabla2[[#This Row],[Unidad de precio]],Tabla3[Medida],Tabla3[Equivalencia en Kg],"ELVIS",0)</f>
        <v>6.24488743464808</v>
      </c>
      <c r="M1403" s="2" t="n">
        <v>5157.16231976537</v>
      </c>
      <c r="N1403" s="3" t="n">
        <f aca="false">(Tabla2[[#This Row],[Productividad (kg/TAS)]]*Tabla2[[#This Row],[Precio por kg]]-Tabla2[[#This Row],[Costos (En RD$/Tarea)]])</f>
        <v>2365.30955335025</v>
      </c>
      <c r="O1403" s="9" t="n">
        <f aca="false">IF(Tabla2[[#This Row],[Costos (En RD$/Tarea)]]=0,0,Tabla2[[#This Row],[Beneficio Neto  (En RD$/Tarea)]]/Tabla2[[#This Row],[Costos (En RD$/Tarea)]])</f>
        <v>0.458645550923411</v>
      </c>
      <c r="P1403" s="7" t="n">
        <f aca="false">Tabla2[[#This Row],[Rentabilidad (%)]]/12</f>
        <v>0.038220462576951</v>
      </c>
    </row>
    <row r="1404" customFormat="false" ht="14.25" hidden="false" customHeight="false" outlineLevel="0" collapsed="false">
      <c r="A1404" s="1" t="n">
        <v>40057</v>
      </c>
      <c r="B1404" s="2" t="s">
        <v>30</v>
      </c>
      <c r="C1404" s="3" t="n">
        <v>297169</v>
      </c>
      <c r="D1404" s="3" t="s">
        <v>31</v>
      </c>
      <c r="E1404" s="3" t="n">
        <f aca="false">IF(Tabla2[[#This Row],[Frecuencia]]="Annual", Tabla2[[#This Row],[Cosecha/Tarea]]/12,Tabla2[[#This Row],[Cosecha/Tarea]])</f>
        <v>24764.0833333333</v>
      </c>
      <c r="F1404" s="3" t="n">
        <v>1976277</v>
      </c>
      <c r="G1404" s="2" t="s">
        <v>32</v>
      </c>
      <c r="H1404" s="2" t="n">
        <f aca="false">F1404/Tabla2[[#This Row],[Cosecha Mensual]]</f>
        <v>79.8041653066101</v>
      </c>
      <c r="I1404" s="2" t="n">
        <f aca="false">H1404*_xlfn.XLOOKUP(Tabla2[[#This Row],[Unidad de producción]],Tabla3[Medida],Tabla3[Equivalencia en Kg],"ELVIS",0)</f>
        <v>2171.47133799286</v>
      </c>
      <c r="J1404" s="2" t="n">
        <v>93.72875</v>
      </c>
      <c r="K1404" s="2" t="s">
        <v>32</v>
      </c>
      <c r="L1404" s="2" t="n">
        <f aca="false">J1404/_xlfn.XLOOKUP(Tabla2[[#This Row],[Unidad de precio]],Tabla3[Medida],Tabla3[Equivalencia en Kg],"ELVIS",0)</f>
        <v>3.44464351341419</v>
      </c>
      <c r="M1404" s="3" t="n">
        <v>9253.94477920298</v>
      </c>
      <c r="N1404" s="3" t="n">
        <f aca="false">(Tabla2[[#This Row],[Productividad (kg/TAS)]]*Tabla2[[#This Row],[Precio por kg]]-Tabla2[[#This Row],[Costos (En RD$/Tarea)]])</f>
        <v>-1774.00012022105</v>
      </c>
      <c r="O1404" s="9" t="n">
        <f aca="false">IF(Tabla2[[#This Row],[Costos (En RD$/Tarea)]]=0,0,Tabla2[[#This Row],[Beneficio Neto  (En RD$/Tarea)]]/Tabla2[[#This Row],[Costos (En RD$/Tarea)]])</f>
        <v>-0.19170204302579</v>
      </c>
      <c r="P1404" s="7" t="n">
        <f aca="false">Tabla2[[#This Row],[Rentabilidad (%)]]/12</f>
        <v>-0.0159751702521492</v>
      </c>
    </row>
    <row r="1405" customFormat="false" ht="14.25" hidden="false" customHeight="false" outlineLevel="0" collapsed="false">
      <c r="A1405" s="1" t="n">
        <v>40057</v>
      </c>
      <c r="B1405" s="2" t="s">
        <v>33</v>
      </c>
      <c r="C1405" s="3" t="n">
        <v>673919</v>
      </c>
      <c r="D1405" s="3" t="s">
        <v>31</v>
      </c>
      <c r="E1405" s="3" t="n">
        <f aca="false">IF(Tabla2[[#This Row],[Frecuencia]]="Annual", Tabla2[[#This Row],[Cosecha/Tarea]]/12,Tabla2[[#This Row],[Cosecha/Tarea]])</f>
        <v>56159.9166666667</v>
      </c>
      <c r="F1405" s="3" t="n">
        <v>150840</v>
      </c>
      <c r="G1405" s="2" t="s">
        <v>34</v>
      </c>
      <c r="H1405" s="2" t="n">
        <f aca="false">F1405/Tabla2[[#This Row],[Cosecha Mensual]]</f>
        <v>2.68590142138744</v>
      </c>
      <c r="I1405" s="2" t="n">
        <f aca="false">H1405*_xlfn.XLOOKUP(Tabla2[[#This Row],[Unidad de producción]],Tabla3[Medida],Tabla3[Equivalencia en Kg],"ELVIS",0)</f>
        <v>1096.25066513928</v>
      </c>
      <c r="J1405" s="2" t="n">
        <v>2246.47875</v>
      </c>
      <c r="K1405" s="2" t="s">
        <v>34</v>
      </c>
      <c r="L1405" s="2" t="n">
        <f aca="false">J1405/_xlfn.XLOOKUP(Tabla2[[#This Row],[Unidad de precio]],Tabla3[Medida],Tabla3[Equivalencia en Kg],"ELVIS",0)</f>
        <v>5.50405181918413</v>
      </c>
      <c r="M1405" s="3" t="n">
        <v>8960.6721575976</v>
      </c>
      <c r="N1405" s="3" t="n">
        <f aca="false">(Tabla2[[#This Row],[Productividad (kg/TAS)]]*Tabla2[[#This Row],[Precio por kg]]-Tabla2[[#This Row],[Costos (En RD$/Tarea)]])</f>
        <v>-2926.85168985593</v>
      </c>
      <c r="O1405" s="9" t="n">
        <f aca="false">IF(Tabla2[[#This Row],[Costos (En RD$/Tarea)]]=0,0,Tabla2[[#This Row],[Beneficio Neto  (En RD$/Tarea)]]/Tabla2[[#This Row],[Costos (En RD$/Tarea)]])</f>
        <v>-0.326633051447407</v>
      </c>
      <c r="P1405" s="7" t="n">
        <f aca="false">Tabla2[[#This Row],[Rentabilidad (%)]]/12</f>
        <v>-0.0272194209539506</v>
      </c>
    </row>
    <row r="1406" customFormat="false" ht="14.25" hidden="false" customHeight="false" outlineLevel="0" collapsed="false">
      <c r="A1406" s="1" t="n">
        <v>40087</v>
      </c>
      <c r="B1406" s="2" t="s">
        <v>16</v>
      </c>
      <c r="C1406" s="3" t="n">
        <v>663623</v>
      </c>
      <c r="D1406" s="8" t="s">
        <v>17</v>
      </c>
      <c r="E1406" s="3" t="n">
        <f aca="false">IF(Tabla2[[#This Row],[Frecuencia]]="Annual", Tabla2[[#This Row],[Cosecha/Tarea]]/12,Tabla2[[#This Row],[Cosecha/Tarea]])</f>
        <v>663623</v>
      </c>
      <c r="F1406" s="3" t="n">
        <v>2602703</v>
      </c>
      <c r="G1406" s="2" t="s">
        <v>18</v>
      </c>
      <c r="H1406" s="2" t="n">
        <f aca="false">F1406/Tabla2[[#This Row],[Cosecha Mensual]]</f>
        <v>3.92196020933572</v>
      </c>
      <c r="I1406" s="2" t="n">
        <f aca="false">H1406*_xlfn.XLOOKUP(Tabla2[[#This Row],[Unidad de producción]],Tabla3[Medida],Tabla3[Equivalencia en Kg],"ELVIS",0)</f>
        <v>177.900115095468</v>
      </c>
      <c r="J1406" s="2" t="n">
        <v>1859.21169425239</v>
      </c>
      <c r="K1406" s="2" t="s">
        <v>19</v>
      </c>
      <c r="L1406" s="2" t="n">
        <f aca="false">J1406/_xlfn.XLOOKUP(Tabla2[[#This Row],[Unidad de precio]],Tabla3[Medida],Tabla3[Equivalencia en Kg],"ELVIS",0)</f>
        <v>16.9019244932035</v>
      </c>
      <c r="M1406" s="2" t="n">
        <v>6526.78</v>
      </c>
      <c r="N1406" s="3" t="n">
        <f aca="false">(Tabla2[[#This Row],[Productividad (kg/TAS)]]*Tabla2[[#This Row],[Precio por kg]]-Tabla2[[#This Row],[Costos (En RD$/Tarea)]])</f>
        <v>-3519.92568732417</v>
      </c>
      <c r="O1406" s="9" t="n">
        <f aca="false">IF(Tabla2[[#This Row],[Costos (En RD$/Tarea)]]=0,0,Tabla2[[#This Row],[Beneficio Neto  (En RD$/Tarea)]]/Tabla2[[#This Row],[Costos (En RD$/Tarea)]])</f>
        <v>-0.53930509184072</v>
      </c>
      <c r="P1406" s="7" t="n">
        <f aca="false">Tabla2[[#This Row],[Rentabilidad (%)]]/12</f>
        <v>-0.0449420909867266</v>
      </c>
    </row>
    <row r="1407" customFormat="false" ht="14.25" hidden="false" customHeight="false" outlineLevel="0" collapsed="false">
      <c r="A1407" s="1" t="n">
        <v>40087</v>
      </c>
      <c r="B1407" s="2" t="s">
        <v>20</v>
      </c>
      <c r="C1407" s="3" t="n">
        <v>33591</v>
      </c>
      <c r="D1407" s="8" t="s">
        <v>17</v>
      </c>
      <c r="E1407" s="3" t="n">
        <f aca="false">IF(Tabla2[[#This Row],[Frecuencia]]="Annual", Tabla2[[#This Row],[Cosecha/Tarea]]/12,Tabla2[[#This Row],[Cosecha/Tarea]])</f>
        <v>33591</v>
      </c>
      <c r="F1407" s="3" t="n">
        <v>62455</v>
      </c>
      <c r="G1407" s="2" t="s">
        <v>18</v>
      </c>
      <c r="H1407" s="2" t="n">
        <f aca="false">F1407/Tabla2[[#This Row],[Cosecha Mensual]]</f>
        <v>1.85927778273942</v>
      </c>
      <c r="I1407" s="2" t="n">
        <f aca="false">H1407*_xlfn.XLOOKUP(Tabla2[[#This Row],[Unidad de producción]],Tabla3[Medida],Tabla3[Equivalencia en Kg],"ELVIS",0)</f>
        <v>84.3368402250603</v>
      </c>
      <c r="J1407" s="2" t="n">
        <v>566.214285714286</v>
      </c>
      <c r="K1407" s="2" t="s">
        <v>18</v>
      </c>
      <c r="L1407" s="2" t="n">
        <f aca="false">J1407/_xlfn.XLOOKUP(Tabla2[[#This Row],[Unidad de precio]],Tabla3[Medida],Tabla3[Equivalencia en Kg],"ELVIS",0)</f>
        <v>12.4826782564878</v>
      </c>
      <c r="M1407" s="2" t="n">
        <v>1590.10324602816</v>
      </c>
      <c r="N1407" s="3" t="n">
        <f aca="false">(Tabla2[[#This Row],[Productividad (kg/TAS)]]*Tabla2[[#This Row],[Precio por kg]]-Tabla2[[#This Row],[Costos (En RD$/Tarea)]])</f>
        <v>-537.353604329915</v>
      </c>
      <c r="O1407" s="9" t="n">
        <f aca="false">IF(Tabla2[[#This Row],[Costos (En RD$/Tarea)]]=0,0,Tabla2[[#This Row],[Beneficio Neto  (En RD$/Tarea)]]/Tabla2[[#This Row],[Costos (En RD$/Tarea)]])</f>
        <v>-0.337936297955585</v>
      </c>
      <c r="P1407" s="7" t="n">
        <f aca="false">Tabla2[[#This Row],[Rentabilidad (%)]]/12</f>
        <v>-0.0281613581629654</v>
      </c>
    </row>
    <row r="1408" customFormat="false" ht="14.25" hidden="false" customHeight="false" outlineLevel="0" collapsed="false">
      <c r="A1408" s="1" t="n">
        <v>40087</v>
      </c>
      <c r="B1408" s="2" t="s">
        <v>21</v>
      </c>
      <c r="C1408" s="3" t="n">
        <v>4574</v>
      </c>
      <c r="D1408" s="8" t="s">
        <v>17</v>
      </c>
      <c r="E1408" s="3" t="n">
        <f aca="false">IF(Tabla2[[#This Row],[Frecuencia]]="Annual", Tabla2[[#This Row],[Cosecha/Tarea]]/12,Tabla2[[#This Row],[Cosecha/Tarea]])</f>
        <v>4574</v>
      </c>
      <c r="F1408" s="3" t="n">
        <v>50828</v>
      </c>
      <c r="G1408" s="2" t="s">
        <v>18</v>
      </c>
      <c r="H1408" s="2" t="n">
        <f aca="false">F1408/Tabla2[[#This Row],[Cosecha Mensual]]</f>
        <v>11.1123742894622</v>
      </c>
      <c r="I1408" s="2" t="n">
        <f aca="false">H1408*_xlfn.XLOOKUP(Tabla2[[#This Row],[Unidad de producción]],Tabla3[Medida],Tabla3[Equivalencia en Kg],"ELVIS",0)</f>
        <v>504.057297770004</v>
      </c>
      <c r="J1408" s="2" t="n">
        <v>479.333333333333</v>
      </c>
      <c r="K1408" s="2" t="s">
        <v>18</v>
      </c>
      <c r="L1408" s="2" t="n">
        <f aca="false">J1408/_xlfn.XLOOKUP(Tabla2[[#This Row],[Unidad de precio]],Tabla3[Medida],Tabla3[Equivalencia en Kg],"ELVIS",0)</f>
        <v>10.5673133450911</v>
      </c>
      <c r="M1408" s="2" t="n">
        <v>4038.1847175</v>
      </c>
      <c r="N1408" s="3" t="n">
        <f aca="false">(Tabla2[[#This Row],[Productividad (kg/TAS)]]*Tabla2[[#This Row],[Precio por kg]]-Tabla2[[#This Row],[Costos (En RD$/Tarea)]])</f>
        <v>1288.34669191553</v>
      </c>
      <c r="O1408" s="9" t="n">
        <f aca="false">IF(Tabla2[[#This Row],[Costos (En RD$/Tarea)]]=0,0,Tabla2[[#This Row],[Beneficio Neto  (En RD$/Tarea)]]/Tabla2[[#This Row],[Costos (En RD$/Tarea)]])</f>
        <v>0.319041049888658</v>
      </c>
      <c r="P1408" s="7" t="n">
        <f aca="false">Tabla2[[#This Row],[Rentabilidad (%)]]/12</f>
        <v>0.0265867541573882</v>
      </c>
    </row>
    <row r="1409" customFormat="false" ht="14.25" hidden="false" customHeight="false" outlineLevel="0" collapsed="false">
      <c r="A1409" s="1" t="n">
        <v>40087</v>
      </c>
      <c r="B1409" s="2" t="s">
        <v>22</v>
      </c>
      <c r="C1409" s="3" t="n">
        <v>4307</v>
      </c>
      <c r="D1409" s="8" t="s">
        <v>17</v>
      </c>
      <c r="E1409" s="3" t="n">
        <f aca="false">IF(Tabla2[[#This Row],[Frecuencia]]="Annual", Tabla2[[#This Row],[Cosecha/Tarea]]/12,Tabla2[[#This Row],[Cosecha/Tarea]])</f>
        <v>4307</v>
      </c>
      <c r="F1409" s="3" t="n">
        <v>43162</v>
      </c>
      <c r="G1409" s="2" t="s">
        <v>18</v>
      </c>
      <c r="H1409" s="2" t="n">
        <f aca="false">F1409/Tabla2[[#This Row],[Cosecha Mensual]]</f>
        <v>10.0213605758068</v>
      </c>
      <c r="I1409" s="2" t="n">
        <f aca="false">H1409*_xlfn.XLOOKUP(Tabla2[[#This Row],[Unidad de producción]],Tabla3[Medida],Tabla3[Equivalencia en Kg],"ELVIS",0)</f>
        <v>454.568915718598</v>
      </c>
      <c r="J1409" s="2" t="n">
        <v>1224.66666666667</v>
      </c>
      <c r="K1409" s="2" t="s">
        <v>18</v>
      </c>
      <c r="L1409" s="2" t="n">
        <f aca="false">J1409/_xlfn.XLOOKUP(Tabla2[[#This Row],[Unidad de precio]],Tabla3[Medida],Tabla3[Equivalencia en Kg],"ELVIS",0)</f>
        <v>26.9988242210465</v>
      </c>
      <c r="M1409" s="2" t="n">
        <v>7095.7961172</v>
      </c>
      <c r="N1409" s="3" t="n">
        <f aca="false">(Tabla2[[#This Row],[Productividad (kg/TAS)]]*Tabla2[[#This Row],[Precio por kg]]-Tabla2[[#This Row],[Costos (En RD$/Tarea)]])</f>
        <v>5177.03013463813</v>
      </c>
      <c r="O1409" s="9" t="n">
        <f aca="false">IF(Tabla2[[#This Row],[Costos (En RD$/Tarea)]]=0,0,Tabla2[[#This Row],[Beneficio Neto  (En RD$/Tarea)]]/Tabla2[[#This Row],[Costos (En RD$/Tarea)]])</f>
        <v>0.729591162024675</v>
      </c>
      <c r="P1409" s="7" t="n">
        <f aca="false">Tabla2[[#This Row],[Rentabilidad (%)]]/12</f>
        <v>0.0607992635020563</v>
      </c>
    </row>
    <row r="1410" customFormat="false" ht="14.25" hidden="false" customHeight="false" outlineLevel="0" collapsed="false">
      <c r="A1410" s="1" t="n">
        <v>40087</v>
      </c>
      <c r="B1410" s="2" t="s">
        <v>23</v>
      </c>
      <c r="C1410" s="3" t="n">
        <v>2154</v>
      </c>
      <c r="D1410" s="8" t="s">
        <v>17</v>
      </c>
      <c r="E1410" s="3" t="n">
        <f aca="false">IF(Tabla2[[#This Row],[Frecuencia]]="Annual", Tabla2[[#This Row],[Cosecha/Tarea]]/12,Tabla2[[#This Row],[Cosecha/Tarea]])</f>
        <v>2154</v>
      </c>
      <c r="F1410" s="3" t="n">
        <v>74680</v>
      </c>
      <c r="G1410" s="2" t="s">
        <v>18</v>
      </c>
      <c r="H1410" s="2" t="n">
        <f aca="false">F1410/Tabla2[[#This Row],[Cosecha Mensual]]</f>
        <v>34.6703806870938</v>
      </c>
      <c r="I1410" s="2" t="n">
        <f aca="false">H1410*_xlfn.XLOOKUP(Tabla2[[#This Row],[Unidad de producción]],Tabla3[Medida],Tabla3[Equivalencia en Kg],"ELVIS",0)</f>
        <v>1572.64846796657</v>
      </c>
      <c r="J1410" s="2" t="n">
        <v>775</v>
      </c>
      <c r="K1410" s="2" t="s">
        <v>18</v>
      </c>
      <c r="L1410" s="2" t="n">
        <f aca="false">J1410/_xlfn.XLOOKUP(Tabla2[[#This Row],[Unidad de precio]],Tabla3[Medida],Tabla3[Equivalencia en Kg],"ELVIS",0)</f>
        <v>17.0855379188713</v>
      </c>
      <c r="M1410" s="2" t="n">
        <v>17661.8086675086</v>
      </c>
      <c r="N1410" s="3" t="n">
        <f aca="false">(Tabla2[[#This Row],[Productividad (kg/TAS)]]*Tabla2[[#This Row],[Precio por kg]]-Tabla2[[#This Row],[Costos (En RD$/Tarea)]])</f>
        <v>9207.73636498908</v>
      </c>
      <c r="O1410" s="9" t="n">
        <f aca="false">IF(Tabla2[[#This Row],[Costos (En RD$/Tarea)]]=0,0,Tabla2[[#This Row],[Beneficio Neto  (En RD$/Tarea)]]/Tabla2[[#This Row],[Costos (En RD$/Tarea)]])</f>
        <v>0.521335981967012</v>
      </c>
      <c r="P1410" s="7" t="n">
        <f aca="false">Tabla2[[#This Row],[Rentabilidad (%)]]/12</f>
        <v>0.0434446651639177</v>
      </c>
    </row>
    <row r="1411" customFormat="false" ht="14.25" hidden="false" customHeight="false" outlineLevel="0" collapsed="false">
      <c r="A1411" s="1" t="n">
        <v>40087</v>
      </c>
      <c r="B1411" s="2" t="s">
        <v>24</v>
      </c>
      <c r="C1411" s="3" t="n">
        <v>4606</v>
      </c>
      <c r="D1411" s="8" t="s">
        <v>17</v>
      </c>
      <c r="E1411" s="3" t="n">
        <f aca="false">IF(Tabla2[[#This Row],[Frecuencia]]="Annual", Tabla2[[#This Row],[Cosecha/Tarea]]/12,Tabla2[[#This Row],[Cosecha/Tarea]])</f>
        <v>4606</v>
      </c>
      <c r="F1411" s="3" t="n">
        <v>54149</v>
      </c>
      <c r="G1411" s="2" t="s">
        <v>18</v>
      </c>
      <c r="H1411" s="2" t="n">
        <f aca="false">F1411/Tabla2[[#This Row],[Cosecha Mensual]]</f>
        <v>11.7561875814155</v>
      </c>
      <c r="I1411" s="2" t="n">
        <f aca="false">H1411*_xlfn.XLOOKUP(Tabla2[[#This Row],[Unidad de producción]],Tabla3[Medida],Tabla3[Equivalencia en Kg],"ELVIS",0)</f>
        <v>533.260668693009</v>
      </c>
      <c r="J1411" s="2" t="n">
        <v>1276</v>
      </c>
      <c r="K1411" s="2" t="s">
        <v>18</v>
      </c>
      <c r="L1411" s="2" t="n">
        <f aca="false">J1411/_xlfn.XLOOKUP(Tabla2[[#This Row],[Unidad de precio]],Tabla3[Medida],Tabla3[Equivalencia en Kg],"ELVIS",0)</f>
        <v>28.1305114638448</v>
      </c>
      <c r="M1411" s="2" t="n">
        <v>5745.6881190336</v>
      </c>
      <c r="N1411" s="3" t="n">
        <f aca="false">(Tabla2[[#This Row],[Productividad (kg/TAS)]]*Tabla2[[#This Row],[Precio por kg]]-Tabla2[[#This Row],[Costos (En RD$/Tarea)]])</f>
        <v>9255.20723485264</v>
      </c>
      <c r="O1411" s="9" t="n">
        <f aca="false">IF(Tabla2[[#This Row],[Costos (En RD$/Tarea)]]=0,0,Tabla2[[#This Row],[Beneficio Neto  (En RD$/Tarea)]]/Tabla2[[#This Row],[Costos (En RD$/Tarea)]])</f>
        <v>1.6108091917125</v>
      </c>
      <c r="P1411" s="7" t="n">
        <f aca="false">Tabla2[[#This Row],[Rentabilidad (%)]]/12</f>
        <v>0.134234099309375</v>
      </c>
    </row>
    <row r="1412" customFormat="false" ht="14.25" hidden="false" customHeight="false" outlineLevel="0" collapsed="false">
      <c r="A1412" s="1" t="n">
        <v>40087</v>
      </c>
      <c r="B1412" s="2" t="s">
        <v>25</v>
      </c>
      <c r="C1412" s="3" t="n">
        <v>24458</v>
      </c>
      <c r="D1412" s="8" t="s">
        <v>17</v>
      </c>
      <c r="E1412" s="3" t="n">
        <f aca="false">IF(Tabla2[[#This Row],[Frecuencia]]="Annual", Tabla2[[#This Row],[Cosecha/Tarea]]/12,Tabla2[[#This Row],[Cosecha/Tarea]])</f>
        <v>24458</v>
      </c>
      <c r="F1412" s="3" t="n">
        <v>274877</v>
      </c>
      <c r="G1412" s="2" t="s">
        <v>18</v>
      </c>
      <c r="H1412" s="2" t="n">
        <f aca="false">F1412/Tabla2[[#This Row],[Cosecha Mensual]]</f>
        <v>11.2387357919699</v>
      </c>
      <c r="I1412" s="2" t="n">
        <f aca="false">H1412*_xlfn.XLOOKUP(Tabla2[[#This Row],[Unidad de producción]],Tabla3[Medida],Tabla3[Equivalencia en Kg],"ELVIS",0)</f>
        <v>509.789055523755</v>
      </c>
      <c r="J1412" s="2" t="n">
        <v>297.360607142857</v>
      </c>
      <c r="K1412" s="2" t="s">
        <v>18</v>
      </c>
      <c r="L1412" s="2" t="n">
        <f aca="false">J1412/_xlfn.XLOOKUP(Tabla2[[#This Row],[Unidad de precio]],Tabla3[Medida],Tabla3[Equivalencia en Kg],"ELVIS",0)</f>
        <v>6.55556894053918</v>
      </c>
      <c r="M1412" s="2" t="n">
        <v>3380.66818371576</v>
      </c>
      <c r="N1412" s="3" t="n">
        <f aca="false">(Tabla2[[#This Row],[Productividad (kg/TAS)]]*Tabla2[[#This Row],[Precio por kg]]-Tabla2[[#This Row],[Costos (En RD$/Tarea)]])</f>
        <v>-38.7108850974296</v>
      </c>
      <c r="O1412" s="9" t="n">
        <f aca="false">IF(Tabla2[[#This Row],[Costos (En RD$/Tarea)]]=0,0,Tabla2[[#This Row],[Beneficio Neto  (En RD$/Tarea)]]/Tabla2[[#This Row],[Costos (En RD$/Tarea)]])</f>
        <v>-0.0114506609326212</v>
      </c>
      <c r="P1412" s="7" t="n">
        <f aca="false">Tabla2[[#This Row],[Rentabilidad (%)]]/12</f>
        <v>-0.000954221744385102</v>
      </c>
    </row>
    <row r="1413" customFormat="false" ht="14.25" hidden="false" customHeight="false" outlineLevel="0" collapsed="false">
      <c r="A1413" s="1" t="n">
        <v>40087</v>
      </c>
      <c r="B1413" s="2" t="s">
        <v>26</v>
      </c>
      <c r="C1413" s="3" t="n">
        <v>13845</v>
      </c>
      <c r="D1413" s="8" t="s">
        <v>17</v>
      </c>
      <c r="E1413" s="3" t="n">
        <f aca="false">IF(Tabla2[[#This Row],[Frecuencia]]="Annual", Tabla2[[#This Row],[Cosecha/Tarea]]/12,Tabla2[[#This Row],[Cosecha/Tarea]])</f>
        <v>13845</v>
      </c>
      <c r="F1413" s="3" t="n">
        <v>70340</v>
      </c>
      <c r="G1413" s="2" t="s">
        <v>18</v>
      </c>
      <c r="H1413" s="2" t="n">
        <f aca="false">F1413/Tabla2[[#This Row],[Cosecha Mensual]]</f>
        <v>5.08053448898519</v>
      </c>
      <c r="I1413" s="2" t="n">
        <f aca="false">H1413*_xlfn.XLOOKUP(Tabla2[[#This Row],[Unidad de producción]],Tabla3[Medida],Tabla3[Equivalencia en Kg],"ELVIS",0)</f>
        <v>230.453044420368</v>
      </c>
      <c r="J1413" s="2" t="n">
        <v>616.666666666667</v>
      </c>
      <c r="K1413" s="2" t="s">
        <v>18</v>
      </c>
      <c r="L1413" s="2" t="n">
        <f aca="false">J1413/_xlfn.XLOOKUP(Tabla2[[#This Row],[Unidad de precio]],Tabla3[Medida],Tabla3[Equivalencia en Kg],"ELVIS",0)</f>
        <v>13.5949441504997</v>
      </c>
      <c r="M1413" s="2" t="n">
        <v>1376.3165203125</v>
      </c>
      <c r="N1413" s="3" t="n">
        <f aca="false">(Tabla2[[#This Row],[Productividad (kg/TAS)]]*Tabla2[[#This Row],[Precio por kg]]-Tabla2[[#This Row],[Costos (En RD$/Tarea)]])</f>
        <v>1756.67974789504</v>
      </c>
      <c r="O1413" s="9" t="n">
        <f aca="false">IF(Tabla2[[#This Row],[Costos (En RD$/Tarea)]]=0,0,Tabla2[[#This Row],[Beneficio Neto  (En RD$/Tarea)]]/Tabla2[[#This Row],[Costos (En RD$/Tarea)]])</f>
        <v>1.27636319260062</v>
      </c>
      <c r="P1413" s="7" t="n">
        <f aca="false">Tabla2[[#This Row],[Rentabilidad (%)]]/12</f>
        <v>0.106363599383385</v>
      </c>
    </row>
    <row r="1414" customFormat="false" ht="14.25" hidden="false" customHeight="false" outlineLevel="0" collapsed="false">
      <c r="A1414" s="1" t="n">
        <v>40087</v>
      </c>
      <c r="B1414" s="2" t="s">
        <v>27</v>
      </c>
      <c r="C1414" s="3" t="n">
        <v>7475</v>
      </c>
      <c r="D1414" s="8" t="s">
        <v>17</v>
      </c>
      <c r="E1414" s="3" t="n">
        <f aca="false">IF(Tabla2[[#This Row],[Frecuencia]]="Annual", Tabla2[[#This Row],[Cosecha/Tarea]]/12,Tabla2[[#This Row],[Cosecha/Tarea]])</f>
        <v>7475</v>
      </c>
      <c r="F1414" s="3" t="n">
        <v>44091</v>
      </c>
      <c r="G1414" s="2" t="s">
        <v>18</v>
      </c>
      <c r="H1414" s="2" t="n">
        <f aca="false">F1414/Tabla2[[#This Row],[Cosecha Mensual]]</f>
        <v>5.89846153846154</v>
      </c>
      <c r="I1414" s="2" t="n">
        <f aca="false">H1414*_xlfn.XLOOKUP(Tabla2[[#This Row],[Unidad de producción]],Tabla3[Medida],Tabla3[Equivalencia en Kg],"ELVIS",0)</f>
        <v>267.554215384615</v>
      </c>
      <c r="J1414" s="2" t="n">
        <v>294.142857142857</v>
      </c>
      <c r="K1414" s="2" t="s">
        <v>18</v>
      </c>
      <c r="L1414" s="2" t="n">
        <f aca="false">J1414/_xlfn.XLOOKUP(Tabla2[[#This Row],[Unidad de precio]],Tabla3[Medida],Tabla3[Equivalencia en Kg],"ELVIS",0)</f>
        <v>6.48463088939279</v>
      </c>
      <c r="M1414" s="2" t="n">
        <v>5690.0383784955</v>
      </c>
      <c r="N1414" s="3" t="n">
        <f aca="false">(Tabla2[[#This Row],[Productividad (kg/TAS)]]*Tabla2[[#This Row],[Precio por kg]]-Tabla2[[#This Row],[Costos (En RD$/Tarea)]])</f>
        <v>-3955.04804882517</v>
      </c>
      <c r="O1414" s="9" t="n">
        <f aca="false">IF(Tabla2[[#This Row],[Costos (En RD$/Tarea)]]=0,0,Tabla2[[#This Row],[Beneficio Neto  (En RD$/Tarea)]]/Tabla2[[#This Row],[Costos (En RD$/Tarea)]])</f>
        <v>-0.695082842283205</v>
      </c>
      <c r="P1414" s="7" t="n">
        <f aca="false">Tabla2[[#This Row],[Rentabilidad (%)]]/12</f>
        <v>-0.0579235701902671</v>
      </c>
    </row>
    <row r="1415" customFormat="false" ht="14.25" hidden="false" customHeight="false" outlineLevel="0" collapsed="false">
      <c r="A1415" s="1" t="n">
        <v>40087</v>
      </c>
      <c r="B1415" s="2" t="s">
        <v>28</v>
      </c>
      <c r="C1415" s="3" t="n">
        <v>66708</v>
      </c>
      <c r="D1415" s="8" t="s">
        <v>17</v>
      </c>
      <c r="E1415" s="3" t="n">
        <f aca="false">IF(Tabla2[[#This Row],[Frecuencia]]="Annual", Tabla2[[#This Row],[Cosecha/Tarea]]/12,Tabla2[[#This Row],[Cosecha/Tarea]])</f>
        <v>66708</v>
      </c>
      <c r="F1415" s="3" t="n">
        <v>83045</v>
      </c>
      <c r="G1415" s="2" t="s">
        <v>29</v>
      </c>
      <c r="H1415" s="2" t="n">
        <f aca="false">F1415/Tabla2[[#This Row],[Cosecha Mensual]]</f>
        <v>1.24490316004077</v>
      </c>
      <c r="I1415" s="2" t="n">
        <f aca="false">H1415*_xlfn.XLOOKUP(Tabla2[[#This Row],[Unidad de producción]],Tabla3[Medida],Tabla3[Equivalencia en Kg],"ELVIS",0)</f>
        <v>700.058843017329</v>
      </c>
      <c r="J1415" s="2" t="n">
        <v>3150.75</v>
      </c>
      <c r="K1415" s="2" t="s">
        <v>29</v>
      </c>
      <c r="L1415" s="2" t="n">
        <f aca="false">J1415/_xlfn.XLOOKUP(Tabla2[[#This Row],[Unidad de precio]],Tabla3[Medida],Tabla3[Equivalencia en Kg],"ELVIS",0)</f>
        <v>5.6029270548067</v>
      </c>
      <c r="M1415" s="2" t="n">
        <v>5157.16231976537</v>
      </c>
      <c r="N1415" s="3" t="n">
        <f aca="false">(Tabla2[[#This Row],[Productividad (kg/TAS)]]*Tabla2[[#This Row],[Precio por kg]]-Tabla2[[#This Row],[Costos (En RD$/Tarea)]])</f>
        <v>-1234.7836882669</v>
      </c>
      <c r="O1415" s="9" t="n">
        <f aca="false">IF(Tabla2[[#This Row],[Costos (En RD$/Tarea)]]=0,0,Tabla2[[#This Row],[Beneficio Neto  (En RD$/Tarea)]]/Tabla2[[#This Row],[Costos (En RD$/Tarea)]])</f>
        <v>-0.239430836515357</v>
      </c>
      <c r="P1415" s="7" t="n">
        <f aca="false">Tabla2[[#This Row],[Rentabilidad (%)]]/12</f>
        <v>-0.019952569709613</v>
      </c>
    </row>
    <row r="1416" customFormat="false" ht="14.25" hidden="false" customHeight="false" outlineLevel="0" collapsed="false">
      <c r="A1416" s="1" t="n">
        <v>40087</v>
      </c>
      <c r="B1416" s="2" t="s">
        <v>30</v>
      </c>
      <c r="C1416" s="3" t="n">
        <v>294781</v>
      </c>
      <c r="D1416" s="3" t="s">
        <v>31</v>
      </c>
      <c r="E1416" s="3" t="n">
        <f aca="false">IF(Tabla2[[#This Row],[Frecuencia]]="Annual", Tabla2[[#This Row],[Cosecha/Tarea]]/12,Tabla2[[#This Row],[Cosecha/Tarea]])</f>
        <v>24565.0833333333</v>
      </c>
      <c r="F1416" s="3" t="n">
        <v>1868240</v>
      </c>
      <c r="G1416" s="2" t="s">
        <v>32</v>
      </c>
      <c r="H1416" s="2" t="n">
        <f aca="false">F1416/Tabla2[[#This Row],[Cosecha Mensual]]</f>
        <v>76.0526628242662</v>
      </c>
      <c r="I1416" s="2" t="n">
        <f aca="false">H1416*_xlfn.XLOOKUP(Tabla2[[#This Row],[Unidad de producción]],Tabla3[Medida],Tabla3[Equivalencia en Kg],"ELVIS",0)</f>
        <v>2069.39295544828</v>
      </c>
      <c r="J1416" s="2" t="n">
        <v>111.532857142857</v>
      </c>
      <c r="K1416" s="2" t="s">
        <v>32</v>
      </c>
      <c r="L1416" s="2" t="n">
        <f aca="false">J1416/_xlfn.XLOOKUP(Tabla2[[#This Row],[Unidad de precio]],Tabla3[Medida],Tabla3[Equivalencia en Kg],"ELVIS",0)</f>
        <v>4.09896571638578</v>
      </c>
      <c r="M1416" s="3" t="n">
        <v>9253.94477920298</v>
      </c>
      <c r="N1416" s="3" t="n">
        <f aca="false">(Tabla2[[#This Row],[Productividad (kg/TAS)]]*Tabla2[[#This Row],[Precio por kg]]-Tabla2[[#This Row],[Costos (En RD$/Tarea)]])</f>
        <v>-771.574001090232</v>
      </c>
      <c r="O1416" s="9" t="n">
        <f aca="false">IF(Tabla2[[#This Row],[Costos (En RD$/Tarea)]]=0,0,Tabla2[[#This Row],[Beneficio Neto  (En RD$/Tarea)]]/Tabla2[[#This Row],[Costos (En RD$/Tarea)]])</f>
        <v>-0.083377847988054</v>
      </c>
      <c r="P1416" s="7" t="n">
        <f aca="false">Tabla2[[#This Row],[Rentabilidad (%)]]/12</f>
        <v>-0.0069481539990045</v>
      </c>
    </row>
    <row r="1417" customFormat="false" ht="14.25" hidden="false" customHeight="false" outlineLevel="0" collapsed="false">
      <c r="A1417" s="1" t="n">
        <v>40087</v>
      </c>
      <c r="B1417" s="2" t="s">
        <v>33</v>
      </c>
      <c r="C1417" s="3" t="n">
        <v>676821</v>
      </c>
      <c r="D1417" s="3" t="s">
        <v>31</v>
      </c>
      <c r="E1417" s="3" t="n">
        <f aca="false">IF(Tabla2[[#This Row],[Frecuencia]]="Annual", Tabla2[[#This Row],[Cosecha/Tarea]]/12,Tabla2[[#This Row],[Cosecha/Tarea]])</f>
        <v>56401.75</v>
      </c>
      <c r="F1417" s="3" t="n">
        <v>149717</v>
      </c>
      <c r="G1417" s="2" t="s">
        <v>34</v>
      </c>
      <c r="H1417" s="2" t="n">
        <f aca="false">F1417/Tabla2[[#This Row],[Cosecha Mensual]]</f>
        <v>2.65447437357883</v>
      </c>
      <c r="I1417" s="2" t="n">
        <f aca="false">H1417*_xlfn.XLOOKUP(Tabla2[[#This Row],[Unidad de producción]],Tabla3[Medida],Tabla3[Equivalencia en Kg],"ELVIS",0)</f>
        <v>1083.4237155762</v>
      </c>
      <c r="J1417" s="2" t="n">
        <v>2914.45833333333</v>
      </c>
      <c r="K1417" s="2" t="s">
        <v>34</v>
      </c>
      <c r="L1417" s="2" t="n">
        <f aca="false">J1417/_xlfn.XLOOKUP(Tabla2[[#This Row],[Unidad de precio]],Tabla3[Medida],Tabla3[Equivalencia en Kg],"ELVIS",0)</f>
        <v>7.14065498795377</v>
      </c>
      <c r="M1417" s="3" t="n">
        <v>8960.6721575976</v>
      </c>
      <c r="N1417" s="3" t="n">
        <f aca="false">(Tabla2[[#This Row],[Productividad (kg/TAS)]]*Tabla2[[#This Row],[Precio por kg]]-Tabla2[[#This Row],[Costos (En RD$/Tarea)]])</f>
        <v>-1224.317198901</v>
      </c>
      <c r="O1417" s="9" t="n">
        <f aca="false">IF(Tabla2[[#This Row],[Costos (En RD$/Tarea)]]=0,0,Tabla2[[#This Row],[Beneficio Neto  (En RD$/Tarea)]]/Tabla2[[#This Row],[Costos (En RD$/Tarea)]])</f>
        <v>-0.13663229469487</v>
      </c>
      <c r="P1417" s="7" t="n">
        <f aca="false">Tabla2[[#This Row],[Rentabilidad (%)]]/12</f>
        <v>-0.0113860245579059</v>
      </c>
    </row>
    <row r="1418" customFormat="false" ht="14.25" hidden="false" customHeight="false" outlineLevel="0" collapsed="false">
      <c r="A1418" s="1" t="n">
        <v>40118</v>
      </c>
      <c r="B1418" s="2" t="s">
        <v>16</v>
      </c>
      <c r="C1418" s="3" t="n">
        <v>490251</v>
      </c>
      <c r="D1418" s="8" t="s">
        <v>17</v>
      </c>
      <c r="E1418" s="3" t="n">
        <f aca="false">IF(Tabla2[[#This Row],[Frecuencia]]="Annual", Tabla2[[#This Row],[Cosecha/Tarea]]/12,Tabla2[[#This Row],[Cosecha/Tarea]])</f>
        <v>490251</v>
      </c>
      <c r="F1418" s="3" t="n">
        <v>1675313</v>
      </c>
      <c r="G1418" s="2" t="s">
        <v>18</v>
      </c>
      <c r="H1418" s="2" t="n">
        <f aca="false">F1418/Tabla2[[#This Row],[Cosecha Mensual]]</f>
        <v>3.4172556506769</v>
      </c>
      <c r="I1418" s="2" t="n">
        <f aca="false">H1418*_xlfn.XLOOKUP(Tabla2[[#This Row],[Unidad de producción]],Tabla3[Medida],Tabla3[Equivalencia en Kg],"ELVIS",0)</f>
        <v>155.006716314704</v>
      </c>
      <c r="J1418" s="2" t="n">
        <v>1779.74881292677</v>
      </c>
      <c r="K1418" s="2" t="s">
        <v>19</v>
      </c>
      <c r="L1418" s="2" t="n">
        <f aca="false">J1418/_xlfn.XLOOKUP(Tabla2[[#This Row],[Unidad de precio]],Tabla3[Medida],Tabla3[Equivalencia en Kg],"ELVIS",0)</f>
        <v>16.1795346629706</v>
      </c>
      <c r="M1418" s="2" t="n">
        <v>6526.78</v>
      </c>
      <c r="N1418" s="3" t="n">
        <f aca="false">(Tabla2[[#This Row],[Productividad (kg/TAS)]]*Tabla2[[#This Row],[Precio por kg]]-Tabla2[[#This Row],[Costos (En RD$/Tarea)]])</f>
        <v>-4018.84346039299</v>
      </c>
      <c r="O1418" s="9" t="n">
        <f aca="false">IF(Tabla2[[#This Row],[Costos (En RD$/Tarea)]]=0,0,Tabla2[[#This Row],[Beneficio Neto  (En RD$/Tarea)]]/Tabla2[[#This Row],[Costos (En RD$/Tarea)]])</f>
        <v>-0.61574673275229</v>
      </c>
      <c r="P1418" s="7" t="n">
        <f aca="false">Tabla2[[#This Row],[Rentabilidad (%)]]/12</f>
        <v>-0.0513122277293575</v>
      </c>
    </row>
    <row r="1419" customFormat="false" ht="14.25" hidden="false" customHeight="false" outlineLevel="0" collapsed="false">
      <c r="A1419" s="1" t="n">
        <v>40118</v>
      </c>
      <c r="B1419" s="2" t="s">
        <v>20</v>
      </c>
      <c r="C1419" s="3" t="n">
        <v>19659</v>
      </c>
      <c r="D1419" s="8" t="s">
        <v>17</v>
      </c>
      <c r="E1419" s="3" t="n">
        <f aca="false">IF(Tabla2[[#This Row],[Frecuencia]]="Annual", Tabla2[[#This Row],[Cosecha/Tarea]]/12,Tabla2[[#This Row],[Cosecha/Tarea]])</f>
        <v>19659</v>
      </c>
      <c r="F1419" s="3" t="n">
        <v>36857</v>
      </c>
      <c r="G1419" s="2" t="s">
        <v>18</v>
      </c>
      <c r="H1419" s="2" t="n">
        <f aca="false">F1419/Tabla2[[#This Row],[Cosecha Mensual]]</f>
        <v>1.87481560608373</v>
      </c>
      <c r="I1419" s="2" t="n">
        <f aca="false">H1419*_xlfn.XLOOKUP(Tabla2[[#This Row],[Unidad de producción]],Tabla3[Medida],Tabla3[Equivalencia en Kg],"ELVIS",0)</f>
        <v>85.0416358919579</v>
      </c>
      <c r="J1419" s="2" t="n">
        <v>497.817071428571</v>
      </c>
      <c r="K1419" s="2" t="s">
        <v>18</v>
      </c>
      <c r="L1419" s="2" t="n">
        <f aca="false">J1419/_xlfn.XLOOKUP(Tabla2[[#This Row],[Unidad de precio]],Tabla3[Medida],Tabla3[Equivalencia en Kg],"ELVIS",0)</f>
        <v>10.9748031620055</v>
      </c>
      <c r="M1419" s="2" t="n">
        <v>1590.10324602816</v>
      </c>
      <c r="N1419" s="3" t="n">
        <f aca="false">(Tabla2[[#This Row],[Productividad (kg/TAS)]]*Tabla2[[#This Row],[Precio por kg]]-Tabla2[[#This Row],[Costos (En RD$/Tarea)]])</f>
        <v>-656.788031538977</v>
      </c>
      <c r="O1419" s="9" t="n">
        <f aca="false">IF(Tabla2[[#This Row],[Costos (En RD$/Tarea)]]=0,0,Tabla2[[#This Row],[Beneficio Neto  (En RD$/Tarea)]]/Tabla2[[#This Row],[Costos (En RD$/Tarea)]])</f>
        <v>-0.413047412600116</v>
      </c>
      <c r="P1419" s="7" t="n">
        <f aca="false">Tabla2[[#This Row],[Rentabilidad (%)]]/12</f>
        <v>-0.0344206177166763</v>
      </c>
    </row>
    <row r="1420" customFormat="false" ht="14.25" hidden="false" customHeight="false" outlineLevel="0" collapsed="false">
      <c r="A1420" s="1" t="n">
        <v>40118</v>
      </c>
      <c r="B1420" s="2" t="s">
        <v>21</v>
      </c>
      <c r="C1420" s="3" t="n">
        <v>7200</v>
      </c>
      <c r="D1420" s="8" t="s">
        <v>17</v>
      </c>
      <c r="E1420" s="3" t="n">
        <f aca="false">IF(Tabla2[[#This Row],[Frecuencia]]="Annual", Tabla2[[#This Row],[Cosecha/Tarea]]/12,Tabla2[[#This Row],[Cosecha/Tarea]])</f>
        <v>7200</v>
      </c>
      <c r="F1420" s="3" t="n">
        <v>72319</v>
      </c>
      <c r="G1420" s="2" t="s">
        <v>18</v>
      </c>
      <c r="H1420" s="2" t="n">
        <f aca="false">F1420/Tabla2[[#This Row],[Cosecha Mensual]]</f>
        <v>10.0443055555556</v>
      </c>
      <c r="I1420" s="2" t="n">
        <f aca="false">H1420*_xlfn.XLOOKUP(Tabla2[[#This Row],[Unidad de producción]],Tabla3[Medida],Tabla3[Equivalencia en Kg],"ELVIS",0)</f>
        <v>455.6097</v>
      </c>
      <c r="J1420" s="2" t="n">
        <v>477.874444444444</v>
      </c>
      <c r="K1420" s="2" t="s">
        <v>18</v>
      </c>
      <c r="L1420" s="2" t="n">
        <f aca="false">J1420/_xlfn.XLOOKUP(Tabla2[[#This Row],[Unidad de precio]],Tabla3[Medida],Tabla3[Equivalencia en Kg],"ELVIS",0)</f>
        <v>10.5351508916324</v>
      </c>
      <c r="M1420" s="2" t="n">
        <v>4038.1847175</v>
      </c>
      <c r="N1420" s="3" t="n">
        <f aca="false">(Tabla2[[#This Row],[Productividad (kg/TAS)]]*Tabla2[[#This Row],[Precio por kg]]-Tabla2[[#This Row],[Costos (En RD$/Tarea)]])</f>
        <v>761.732219691354</v>
      </c>
      <c r="O1420" s="9" t="n">
        <f aca="false">IF(Tabla2[[#This Row],[Costos (En RD$/Tarea)]]=0,0,Tabla2[[#This Row],[Beneficio Neto  (En RD$/Tarea)]]/Tabla2[[#This Row],[Costos (En RD$/Tarea)]])</f>
        <v>0.188632336799822</v>
      </c>
      <c r="P1420" s="7" t="n">
        <f aca="false">Tabla2[[#This Row],[Rentabilidad (%)]]/12</f>
        <v>0.0157193613999852</v>
      </c>
    </row>
    <row r="1421" customFormat="false" ht="14.25" hidden="false" customHeight="false" outlineLevel="0" collapsed="false">
      <c r="A1421" s="1" t="n">
        <v>40118</v>
      </c>
      <c r="B1421" s="2" t="s">
        <v>22</v>
      </c>
      <c r="C1421" s="3" t="n">
        <v>2251</v>
      </c>
      <c r="D1421" s="8" t="s">
        <v>17</v>
      </c>
      <c r="E1421" s="3" t="n">
        <f aca="false">IF(Tabla2[[#This Row],[Frecuencia]]="Annual", Tabla2[[#This Row],[Cosecha/Tarea]]/12,Tabla2[[#This Row],[Cosecha/Tarea]])</f>
        <v>2251</v>
      </c>
      <c r="F1421" s="3" t="n">
        <v>26177</v>
      </c>
      <c r="G1421" s="2" t="s">
        <v>18</v>
      </c>
      <c r="H1421" s="2" t="n">
        <f aca="false">F1421/Tabla2[[#This Row],[Cosecha Mensual]]</f>
        <v>11.6290537538872</v>
      </c>
      <c r="I1421" s="2" t="n">
        <f aca="false">H1421*_xlfn.XLOOKUP(Tabla2[[#This Row],[Unidad de producción]],Tabla3[Medida],Tabla3[Equivalencia en Kg],"ELVIS",0)</f>
        <v>527.493878276322</v>
      </c>
      <c r="J1421" s="2" t="n">
        <v>991.178571428571</v>
      </c>
      <c r="K1421" s="2" t="s">
        <v>18</v>
      </c>
      <c r="L1421" s="2" t="n">
        <f aca="false">J1421/_xlfn.XLOOKUP(Tabla2[[#This Row],[Unidad de precio]],Tabla3[Medida],Tabla3[Equivalencia en Kg],"ELVIS",0)</f>
        <v>21.8513794406651</v>
      </c>
      <c r="M1421" s="2" t="n">
        <v>7095.7961172</v>
      </c>
      <c r="N1421" s="3" t="n">
        <f aca="false">(Tabla2[[#This Row],[Productividad (kg/TAS)]]*Tabla2[[#This Row],[Precio por kg]]-Tabla2[[#This Row],[Costos (En RD$/Tarea)]])</f>
        <v>4430.67276964394</v>
      </c>
      <c r="O1421" s="9" t="n">
        <f aca="false">IF(Tabla2[[#This Row],[Costos (En RD$/Tarea)]]=0,0,Tabla2[[#This Row],[Beneficio Neto  (En RD$/Tarea)]]/Tabla2[[#This Row],[Costos (En RD$/Tarea)]])</f>
        <v>0.624408127920152</v>
      </c>
      <c r="P1421" s="7" t="n">
        <f aca="false">Tabla2[[#This Row],[Rentabilidad (%)]]/12</f>
        <v>0.0520340106600127</v>
      </c>
    </row>
    <row r="1422" customFormat="false" ht="14.25" hidden="false" customHeight="false" outlineLevel="0" collapsed="false">
      <c r="A1422" s="1" t="n">
        <v>40118</v>
      </c>
      <c r="B1422" s="2" t="s">
        <v>23</v>
      </c>
      <c r="C1422" s="3" t="n">
        <v>1812</v>
      </c>
      <c r="D1422" s="8" t="s">
        <v>17</v>
      </c>
      <c r="E1422" s="3" t="n">
        <f aca="false">IF(Tabla2[[#This Row],[Frecuencia]]="Annual", Tabla2[[#This Row],[Cosecha/Tarea]]/12,Tabla2[[#This Row],[Cosecha/Tarea]])</f>
        <v>1812</v>
      </c>
      <c r="F1422" s="3" t="n">
        <v>68265</v>
      </c>
      <c r="G1422" s="2" t="s">
        <v>18</v>
      </c>
      <c r="H1422" s="2" t="n">
        <f aca="false">F1422/Tabla2[[#This Row],[Cosecha Mensual]]</f>
        <v>37.6738410596027</v>
      </c>
      <c r="I1422" s="2" t="n">
        <f aca="false">H1422*_xlfn.XLOOKUP(Tabla2[[#This Row],[Unidad de producción]],Tabla3[Medida],Tabla3[Equivalencia en Kg],"ELVIS",0)</f>
        <v>1708.88543046358</v>
      </c>
      <c r="J1422" s="2" t="n">
        <v>534.375</v>
      </c>
      <c r="K1422" s="2" t="s">
        <v>18</v>
      </c>
      <c r="L1422" s="2" t="n">
        <f aca="false">J1422/_xlfn.XLOOKUP(Tabla2[[#This Row],[Unidad de precio]],Tabla3[Medida],Tabla3[Equivalencia en Kg],"ELVIS",0)</f>
        <v>11.780753968254</v>
      </c>
      <c r="M1422" s="2" t="n">
        <v>17661.8086675086</v>
      </c>
      <c r="N1422" s="3" t="n">
        <f aca="false">(Tabla2[[#This Row],[Productividad (kg/TAS)]]*Tabla2[[#This Row],[Precio por kg]]-Tabla2[[#This Row],[Costos (En RD$/Tarea)]])</f>
        <v>2470.15014871657</v>
      </c>
      <c r="O1422" s="9" t="n">
        <f aca="false">IF(Tabla2[[#This Row],[Costos (En RD$/Tarea)]]=0,0,Tabla2[[#This Row],[Beneficio Neto  (En RD$/Tarea)]]/Tabla2[[#This Row],[Costos (En RD$/Tarea)]])</f>
        <v>0.139858278119656</v>
      </c>
      <c r="P1422" s="7" t="n">
        <f aca="false">Tabla2[[#This Row],[Rentabilidad (%)]]/12</f>
        <v>0.0116548565099713</v>
      </c>
    </row>
    <row r="1423" customFormat="false" ht="14.25" hidden="false" customHeight="false" outlineLevel="0" collapsed="false">
      <c r="A1423" s="1" t="n">
        <v>40118</v>
      </c>
      <c r="B1423" s="2" t="s">
        <v>24</v>
      </c>
      <c r="C1423" s="3" t="n">
        <v>4649</v>
      </c>
      <c r="D1423" s="8" t="s">
        <v>17</v>
      </c>
      <c r="E1423" s="3" t="n">
        <f aca="false">IF(Tabla2[[#This Row],[Frecuencia]]="Annual", Tabla2[[#This Row],[Cosecha/Tarea]]/12,Tabla2[[#This Row],[Cosecha/Tarea]])</f>
        <v>4649</v>
      </c>
      <c r="F1423" s="3" t="n">
        <v>39411</v>
      </c>
      <c r="G1423" s="2" t="s">
        <v>18</v>
      </c>
      <c r="H1423" s="2" t="n">
        <f aca="false">F1423/Tabla2[[#This Row],[Cosecha Mensual]]</f>
        <v>8.47730694773069</v>
      </c>
      <c r="I1423" s="2" t="n">
        <f aca="false">H1423*_xlfn.XLOOKUP(Tabla2[[#This Row],[Unidad de producción]],Tabla3[Medida],Tabla3[Equivalencia en Kg],"ELVIS",0)</f>
        <v>384.530643149064</v>
      </c>
      <c r="J1423" s="2" t="n">
        <v>1265.58163265306</v>
      </c>
      <c r="K1423" s="2" t="s">
        <v>18</v>
      </c>
      <c r="L1423" s="2" t="n">
        <f aca="false">J1423/_xlfn.XLOOKUP(Tabla2[[#This Row],[Unidad de precio]],Tabla3[Medida],Tabla3[Equivalencia en Kg],"ELVIS",0)</f>
        <v>27.9008296440269</v>
      </c>
      <c r="M1423" s="2" t="n">
        <v>5745.6881190336</v>
      </c>
      <c r="N1423" s="3" t="n">
        <f aca="false">(Tabla2[[#This Row],[Productividad (kg/TAS)]]*Tabla2[[#This Row],[Precio por kg]]-Tabla2[[#This Row],[Costos (En RD$/Tarea)]])</f>
        <v>4983.03584837654</v>
      </c>
      <c r="O1423" s="9" t="n">
        <f aca="false">IF(Tabla2[[#This Row],[Costos (En RD$/Tarea)]]=0,0,Tabla2[[#This Row],[Beneficio Neto  (En RD$/Tarea)]]/Tabla2[[#This Row],[Costos (En RD$/Tarea)]])</f>
        <v>0.867265285748692</v>
      </c>
      <c r="P1423" s="7" t="n">
        <f aca="false">Tabla2[[#This Row],[Rentabilidad (%)]]/12</f>
        <v>0.0722721071457244</v>
      </c>
    </row>
    <row r="1424" customFormat="false" ht="14.25" hidden="false" customHeight="false" outlineLevel="0" collapsed="false">
      <c r="A1424" s="1" t="n">
        <v>40118</v>
      </c>
      <c r="B1424" s="2" t="s">
        <v>25</v>
      </c>
      <c r="C1424" s="3" t="n">
        <v>41924</v>
      </c>
      <c r="D1424" s="8" t="s">
        <v>17</v>
      </c>
      <c r="E1424" s="3" t="n">
        <f aca="false">IF(Tabla2[[#This Row],[Frecuencia]]="Annual", Tabla2[[#This Row],[Cosecha/Tarea]]/12,Tabla2[[#This Row],[Cosecha/Tarea]])</f>
        <v>41924</v>
      </c>
      <c r="F1424" s="3" t="n">
        <v>364344</v>
      </c>
      <c r="G1424" s="2" t="s">
        <v>18</v>
      </c>
      <c r="H1424" s="2" t="n">
        <f aca="false">F1424/Tabla2[[#This Row],[Cosecha Mensual]]</f>
        <v>8.69058295964126</v>
      </c>
      <c r="I1424" s="2" t="n">
        <f aca="false">H1424*_xlfn.XLOOKUP(Tabla2[[#This Row],[Unidad de producción]],Tabla3[Medida],Tabla3[Equivalencia en Kg],"ELVIS",0)</f>
        <v>394.204843049327</v>
      </c>
      <c r="J1424" s="2" t="n">
        <v>281.554</v>
      </c>
      <c r="K1424" s="2" t="s">
        <v>18</v>
      </c>
      <c r="L1424" s="2" t="n">
        <f aca="false">J1424/_xlfn.XLOOKUP(Tabla2[[#This Row],[Unidad de precio]],Tabla3[Medida],Tabla3[Equivalencia en Kg],"ELVIS",0)</f>
        <v>6.2070987654321</v>
      </c>
      <c r="M1424" s="2" t="n">
        <v>3380.66818371576</v>
      </c>
      <c r="N1424" s="3" t="n">
        <f aca="false">(Tabla2[[#This Row],[Productividad (kg/TAS)]]*Tabla2[[#This Row],[Precio por kg]]-Tabla2[[#This Row],[Costos (En RD$/Tarea)]])</f>
        <v>-933.799789096926</v>
      </c>
      <c r="O1424" s="9" t="n">
        <f aca="false">IF(Tabla2[[#This Row],[Costos (En RD$/Tarea)]]=0,0,Tabla2[[#This Row],[Beneficio Neto  (En RD$/Tarea)]]/Tabla2[[#This Row],[Costos (En RD$/Tarea)]])</f>
        <v>-0.276217522203131</v>
      </c>
      <c r="P1424" s="7" t="n">
        <f aca="false">Tabla2[[#This Row],[Rentabilidad (%)]]/12</f>
        <v>-0.0230181268502609</v>
      </c>
    </row>
    <row r="1425" customFormat="false" ht="14.25" hidden="false" customHeight="false" outlineLevel="0" collapsed="false">
      <c r="A1425" s="1" t="n">
        <v>40118</v>
      </c>
      <c r="B1425" s="2" t="s">
        <v>26</v>
      </c>
      <c r="C1425" s="3" t="n">
        <v>11295</v>
      </c>
      <c r="D1425" s="8" t="s">
        <v>17</v>
      </c>
      <c r="E1425" s="3" t="n">
        <f aca="false">IF(Tabla2[[#This Row],[Frecuencia]]="Annual", Tabla2[[#This Row],[Cosecha/Tarea]]/12,Tabla2[[#This Row],[Cosecha/Tarea]])</f>
        <v>11295</v>
      </c>
      <c r="F1425" s="3" t="n">
        <v>57928</v>
      </c>
      <c r="G1425" s="2" t="s">
        <v>18</v>
      </c>
      <c r="H1425" s="2" t="n">
        <f aca="false">F1425/Tabla2[[#This Row],[Cosecha Mensual]]</f>
        <v>5.1286409915892</v>
      </c>
      <c r="I1425" s="2" t="n">
        <f aca="false">H1425*_xlfn.XLOOKUP(Tabla2[[#This Row],[Unidad de producción]],Tabla3[Medida],Tabla3[Equivalencia en Kg],"ELVIS",0)</f>
        <v>232.635155378486</v>
      </c>
      <c r="J1425" s="2" t="n">
        <v>580.9925</v>
      </c>
      <c r="K1425" s="2" t="s">
        <v>18</v>
      </c>
      <c r="L1425" s="2" t="n">
        <f aca="false">J1425/_xlfn.XLOOKUP(Tabla2[[#This Row],[Unidad de precio]],Tabla3[Medida],Tabla3[Equivalencia en Kg],"ELVIS",0)</f>
        <v>12.8084766313933</v>
      </c>
      <c r="M1425" s="2" t="n">
        <v>1376.3165203125</v>
      </c>
      <c r="N1425" s="3" t="n">
        <f aca="false">(Tabla2[[#This Row],[Productividad (kg/TAS)]]*Tabla2[[#This Row],[Precio por kg]]-Tabla2[[#This Row],[Costos (En RD$/Tarea)]])</f>
        <v>1603.38543099339</v>
      </c>
      <c r="O1425" s="9" t="n">
        <f aca="false">IF(Tabla2[[#This Row],[Costos (En RD$/Tarea)]]=0,0,Tabla2[[#This Row],[Beneficio Neto  (En RD$/Tarea)]]/Tabla2[[#This Row],[Costos (En RD$/Tarea)]])</f>
        <v>1.16498305973202</v>
      </c>
      <c r="P1425" s="7" t="n">
        <f aca="false">Tabla2[[#This Row],[Rentabilidad (%)]]/12</f>
        <v>0.0970819216443353</v>
      </c>
    </row>
    <row r="1426" customFormat="false" ht="14.25" hidden="false" customHeight="false" outlineLevel="0" collapsed="false">
      <c r="A1426" s="1" t="n">
        <v>40118</v>
      </c>
      <c r="B1426" s="2" t="s">
        <v>27</v>
      </c>
      <c r="C1426" s="3" t="n">
        <v>7111</v>
      </c>
      <c r="D1426" s="8" t="s">
        <v>17</v>
      </c>
      <c r="E1426" s="3" t="n">
        <f aca="false">IF(Tabla2[[#This Row],[Frecuencia]]="Annual", Tabla2[[#This Row],[Cosecha/Tarea]]/12,Tabla2[[#This Row],[Cosecha/Tarea]])</f>
        <v>7111</v>
      </c>
      <c r="F1426" s="3" t="n">
        <v>41953</v>
      </c>
      <c r="G1426" s="2" t="s">
        <v>18</v>
      </c>
      <c r="H1426" s="2" t="n">
        <f aca="false">F1426/Tabla2[[#This Row],[Cosecha Mensual]]</f>
        <v>5.89973280832513</v>
      </c>
      <c r="I1426" s="2" t="n">
        <f aca="false">H1426*_xlfn.XLOOKUP(Tabla2[[#This Row],[Unidad de producción]],Tabla3[Medida],Tabla3[Equivalencia en Kg],"ELVIS",0)</f>
        <v>267.611880185628</v>
      </c>
      <c r="J1426" s="2" t="n">
        <v>230.403214285714</v>
      </c>
      <c r="K1426" s="2" t="s">
        <v>18</v>
      </c>
      <c r="L1426" s="2" t="n">
        <f aca="false">J1426/_xlfn.XLOOKUP(Tabla2[[#This Row],[Unidad de precio]],Tabla3[Medida],Tabla3[Equivalencia en Kg],"ELVIS",0)</f>
        <v>5.07943594104308</v>
      </c>
      <c r="M1426" s="2" t="n">
        <v>5690.0383784955</v>
      </c>
      <c r="N1426" s="3" t="n">
        <f aca="false">(Tabla2[[#This Row],[Productividad (kg/TAS)]]*Tabla2[[#This Row],[Precio por kg]]-Tabla2[[#This Row],[Costos (En RD$/Tarea)]])</f>
        <v>-4330.72097603051</v>
      </c>
      <c r="O1426" s="9" t="n">
        <f aca="false">IF(Tabla2[[#This Row],[Costos (En RD$/Tarea)]]=0,0,Tabla2[[#This Row],[Beneficio Neto  (En RD$/Tarea)]]/Tabla2[[#This Row],[Costos (En RD$/Tarea)]])</f>
        <v>-0.76110575851258</v>
      </c>
      <c r="P1426" s="7" t="n">
        <f aca="false">Tabla2[[#This Row],[Rentabilidad (%)]]/12</f>
        <v>-0.0634254798760483</v>
      </c>
    </row>
    <row r="1427" customFormat="false" ht="14.25" hidden="false" customHeight="false" outlineLevel="0" collapsed="false">
      <c r="A1427" s="1" t="n">
        <v>40118</v>
      </c>
      <c r="B1427" s="2" t="s">
        <v>28</v>
      </c>
      <c r="C1427" s="3" t="n">
        <v>28585</v>
      </c>
      <c r="D1427" s="8" t="s">
        <v>17</v>
      </c>
      <c r="E1427" s="3" t="n">
        <f aca="false">IF(Tabla2[[#This Row],[Frecuencia]]="Annual", Tabla2[[#This Row],[Cosecha/Tarea]]/12,Tabla2[[#This Row],[Cosecha/Tarea]])</f>
        <v>28585</v>
      </c>
      <c r="F1427" s="3" t="n">
        <v>28796</v>
      </c>
      <c r="G1427" s="2" t="s">
        <v>29</v>
      </c>
      <c r="H1427" s="2" t="n">
        <f aca="false">F1427/Tabla2[[#This Row],[Cosecha Mensual]]</f>
        <v>1.00738149379045</v>
      </c>
      <c r="I1427" s="2" t="n">
        <f aca="false">H1427*_xlfn.XLOOKUP(Tabla2[[#This Row],[Unidad de producción]],Tabla3[Medida],Tabla3[Equivalencia en Kg],"ELVIS",0)</f>
        <v>566.490909218121</v>
      </c>
      <c r="J1427" s="2" t="n">
        <v>6011.11111111111</v>
      </c>
      <c r="K1427" s="2" t="s">
        <v>29</v>
      </c>
      <c r="L1427" s="2" t="n">
        <f aca="false">J1427/_xlfn.XLOOKUP(Tabla2[[#This Row],[Unidad de precio]],Tabla3[Medida],Tabla3[Equivalencia en Kg],"ELVIS",0)</f>
        <v>10.6894603106859</v>
      </c>
      <c r="M1427" s="2" t="n">
        <v>5157.16231976537</v>
      </c>
      <c r="N1427" s="3" t="n">
        <f aca="false">(Tabla2[[#This Row],[Productividad (kg/TAS)]]*Tabla2[[#This Row],[Precio por kg]]-Tabla2[[#This Row],[Costos (En RD$/Tarea)]])</f>
        <v>898.319770686109</v>
      </c>
      <c r="O1427" s="9" t="n">
        <f aca="false">IF(Tabla2[[#This Row],[Costos (En RD$/Tarea)]]=0,0,Tabla2[[#This Row],[Beneficio Neto  (En RD$/Tarea)]]/Tabla2[[#This Row],[Costos (En RD$/Tarea)]])</f>
        <v>0.174188771845168</v>
      </c>
      <c r="P1427" s="7" t="n">
        <f aca="false">Tabla2[[#This Row],[Rentabilidad (%)]]/12</f>
        <v>0.0145157309870974</v>
      </c>
    </row>
    <row r="1428" customFormat="false" ht="14.25" hidden="false" customHeight="false" outlineLevel="0" collapsed="false">
      <c r="A1428" s="1" t="n">
        <v>40118</v>
      </c>
      <c r="B1428" s="2" t="s">
        <v>30</v>
      </c>
      <c r="C1428" s="3" t="n">
        <v>293720</v>
      </c>
      <c r="D1428" s="3" t="s">
        <v>31</v>
      </c>
      <c r="E1428" s="3" t="n">
        <f aca="false">IF(Tabla2[[#This Row],[Frecuencia]]="Annual", Tabla2[[#This Row],[Cosecha/Tarea]]/12,Tabla2[[#This Row],[Cosecha/Tarea]])</f>
        <v>24476.6666666667</v>
      </c>
      <c r="F1428" s="3" t="n">
        <v>2382976</v>
      </c>
      <c r="G1428" s="2" t="s">
        <v>32</v>
      </c>
      <c r="H1428" s="2" t="n">
        <f aca="false">F1428/Tabla2[[#This Row],[Cosecha Mensual]]</f>
        <v>97.3570475282582</v>
      </c>
      <c r="I1428" s="2" t="n">
        <f aca="false">H1428*_xlfn.XLOOKUP(Tabla2[[#This Row],[Unidad de producción]],Tabla3[Medida],Tabla3[Equivalencia en Kg],"ELVIS",0)</f>
        <v>2649.08526324391</v>
      </c>
      <c r="J1428" s="2" t="n">
        <v>102.285714285714</v>
      </c>
      <c r="K1428" s="2" t="s">
        <v>32</v>
      </c>
      <c r="L1428" s="2" t="n">
        <f aca="false">J1428/_xlfn.XLOOKUP(Tabla2[[#This Row],[Unidad de precio]],Tabla3[Medida],Tabla3[Equivalencia en Kg],"ELVIS",0)</f>
        <v>3.75912217147056</v>
      </c>
      <c r="M1428" s="3" t="n">
        <v>9253.94477920298</v>
      </c>
      <c r="N1428" s="3" t="n">
        <f aca="false">(Tabla2[[#This Row],[Productividad (kg/TAS)]]*Tabla2[[#This Row],[Precio por kg]]-Tabla2[[#This Row],[Costos (En RD$/Tarea)]])</f>
        <v>704.290367973115</v>
      </c>
      <c r="O1428" s="9" t="n">
        <f aca="false">IF(Tabla2[[#This Row],[Costos (En RD$/Tarea)]]=0,0,Tabla2[[#This Row],[Beneficio Neto  (En RD$/Tarea)]]/Tabla2[[#This Row],[Costos (En RD$/Tarea)]])</f>
        <v>0.0761070424318843</v>
      </c>
      <c r="P1428" s="7" t="n">
        <f aca="false">Tabla2[[#This Row],[Rentabilidad (%)]]/12</f>
        <v>0.00634225353599036</v>
      </c>
    </row>
    <row r="1429" customFormat="false" ht="14.25" hidden="false" customHeight="false" outlineLevel="0" collapsed="false">
      <c r="A1429" s="1" t="n">
        <v>40118</v>
      </c>
      <c r="B1429" s="2" t="s">
        <v>33</v>
      </c>
      <c r="C1429" s="3" t="n">
        <v>670676</v>
      </c>
      <c r="D1429" s="3" t="s">
        <v>31</v>
      </c>
      <c r="E1429" s="3" t="n">
        <f aca="false">IF(Tabla2[[#This Row],[Frecuencia]]="Annual", Tabla2[[#This Row],[Cosecha/Tarea]]/12,Tabla2[[#This Row],[Cosecha/Tarea]])</f>
        <v>55889.6666666667</v>
      </c>
      <c r="F1429" s="3" t="n">
        <v>110323</v>
      </c>
      <c r="G1429" s="2" t="s">
        <v>34</v>
      </c>
      <c r="H1429" s="2" t="n">
        <f aca="false">F1429/Tabla2[[#This Row],[Cosecha Mensual]]</f>
        <v>1.97394270855078</v>
      </c>
      <c r="I1429" s="2" t="n">
        <f aca="false">H1429*_xlfn.XLOOKUP(Tabla2[[#This Row],[Unidad de producción]],Tabla3[Medida],Tabla3[Equivalencia en Kg],"ELVIS",0)</f>
        <v>805.664716494999</v>
      </c>
      <c r="J1429" s="2" t="n">
        <v>3038.28571428571</v>
      </c>
      <c r="K1429" s="2" t="s">
        <v>34</v>
      </c>
      <c r="L1429" s="2" t="n">
        <f aca="false">J1429/_xlfn.XLOOKUP(Tabla2[[#This Row],[Unidad de precio]],Tabla3[Medida],Tabla3[Equivalencia en Kg],"ELVIS",0)</f>
        <v>7.44404193136276</v>
      </c>
      <c r="M1429" s="3" t="n">
        <v>8960.6721575976</v>
      </c>
      <c r="N1429" s="3" t="n">
        <f aca="false">(Tabla2[[#This Row],[Productividad (kg/TAS)]]*Tabla2[[#This Row],[Precio por kg]]-Tabla2[[#This Row],[Costos (En RD$/Tarea)]])</f>
        <v>-2963.27022538934</v>
      </c>
      <c r="O1429" s="9" t="n">
        <f aca="false">IF(Tabla2[[#This Row],[Costos (En RD$/Tarea)]]=0,0,Tabla2[[#This Row],[Beneficio Neto  (En RD$/Tarea)]]/Tabla2[[#This Row],[Costos (En RD$/Tarea)]])</f>
        <v>-0.330697315254061</v>
      </c>
      <c r="P1429" s="7" t="n">
        <f aca="false">Tabla2[[#This Row],[Rentabilidad (%)]]/12</f>
        <v>-0.0275581096045051</v>
      </c>
    </row>
    <row r="1430" customFormat="false" ht="14.25" hidden="false" customHeight="false" outlineLevel="0" collapsed="false">
      <c r="A1430" s="1" t="n">
        <v>40148</v>
      </c>
      <c r="B1430" s="2" t="s">
        <v>16</v>
      </c>
      <c r="C1430" s="3" t="n">
        <v>135303</v>
      </c>
      <c r="D1430" s="8" t="s">
        <v>17</v>
      </c>
      <c r="E1430" s="3" t="n">
        <f aca="false">IF(Tabla2[[#This Row],[Frecuencia]]="Annual", Tabla2[[#This Row],[Cosecha/Tarea]]/12,Tabla2[[#This Row],[Cosecha/Tarea]])</f>
        <v>135303</v>
      </c>
      <c r="F1430" s="3" t="n">
        <v>434120</v>
      </c>
      <c r="G1430" s="2" t="s">
        <v>18</v>
      </c>
      <c r="H1430" s="2" t="n">
        <f aca="false">F1430/Tabla2[[#This Row],[Cosecha Mensual]]</f>
        <v>3.20850239832081</v>
      </c>
      <c r="I1430" s="2" t="n">
        <f aca="false">H1430*_xlfn.XLOOKUP(Tabla2[[#This Row],[Unidad de producción]],Tabla3[Medida],Tabla3[Equivalencia en Kg],"ELVIS",0)</f>
        <v>145.537668787832</v>
      </c>
      <c r="J1430" s="2" t="n">
        <v>1956.8921679086</v>
      </c>
      <c r="K1430" s="2" t="s">
        <v>19</v>
      </c>
      <c r="L1430" s="2" t="n">
        <f aca="false">J1430/_xlfn.XLOOKUP(Tabla2[[#This Row],[Unidad de precio]],Tabla3[Medida],Tabla3[Equivalencia en Kg],"ELVIS",0)</f>
        <v>17.7899287991691</v>
      </c>
      <c r="M1430" s="2" t="n">
        <v>6526.78</v>
      </c>
      <c r="N1430" s="3" t="n">
        <f aca="false">(Tabla2[[#This Row],[Productividad (kg/TAS)]]*Tabla2[[#This Row],[Precio por kg]]-Tabla2[[#This Row],[Costos (En RD$/Tarea)]])</f>
        <v>-3937.67523466742</v>
      </c>
      <c r="O1430" s="9" t="n">
        <f aca="false">IF(Tabla2[[#This Row],[Costos (En RD$/Tarea)]]=0,0,Tabla2[[#This Row],[Beneficio Neto  (En RD$/Tarea)]]/Tabla2[[#This Row],[Costos (En RD$/Tarea)]])</f>
        <v>-0.603310550480853</v>
      </c>
      <c r="P1430" s="7" t="n">
        <f aca="false">Tabla2[[#This Row],[Rentabilidad (%)]]/12</f>
        <v>-0.0502758792067377</v>
      </c>
    </row>
    <row r="1431" customFormat="false" ht="14.25" hidden="false" customHeight="false" outlineLevel="0" collapsed="false">
      <c r="A1431" s="1" t="n">
        <v>40148</v>
      </c>
      <c r="B1431" s="2" t="s">
        <v>20</v>
      </c>
      <c r="C1431" s="3" t="n">
        <v>25178</v>
      </c>
      <c r="D1431" s="8" t="s">
        <v>17</v>
      </c>
      <c r="E1431" s="3" t="n">
        <f aca="false">IF(Tabla2[[#This Row],[Frecuencia]]="Annual", Tabla2[[#This Row],[Cosecha/Tarea]]/12,Tabla2[[#This Row],[Cosecha/Tarea]])</f>
        <v>25178</v>
      </c>
      <c r="F1431" s="3" t="n">
        <v>45156</v>
      </c>
      <c r="G1431" s="2" t="s">
        <v>18</v>
      </c>
      <c r="H1431" s="2" t="n">
        <f aca="false">F1431/Tabla2[[#This Row],[Cosecha Mensual]]</f>
        <v>1.79347049011041</v>
      </c>
      <c r="I1431" s="2" t="n">
        <f aca="false">H1431*_xlfn.XLOOKUP(Tabla2[[#This Row],[Unidad de producción]],Tabla3[Medida],Tabla3[Equivalencia en Kg],"ELVIS",0)</f>
        <v>81.3518214314084</v>
      </c>
      <c r="J1431" s="2" t="n">
        <v>565.357142857143</v>
      </c>
      <c r="K1431" s="2" t="s">
        <v>18</v>
      </c>
      <c r="L1431" s="2" t="n">
        <f aca="false">J1431/_xlfn.XLOOKUP(Tabla2[[#This Row],[Unidad de precio]],Tabla3[Medida],Tabla3[Equivalencia en Kg],"ELVIS",0)</f>
        <v>12.4637818090199</v>
      </c>
      <c r="M1431" s="2" t="n">
        <v>1590.10324602816</v>
      </c>
      <c r="N1431" s="3" t="n">
        <f aca="false">(Tabla2[[#This Row],[Productividad (kg/TAS)]]*Tabla2[[#This Row],[Precio por kg]]-Tabla2[[#This Row],[Costos (En RD$/Tarea)]])</f>
        <v>-576.151893940736</v>
      </c>
      <c r="O1431" s="9" t="n">
        <f aca="false">IF(Tabla2[[#This Row],[Costos (En RD$/Tarea)]]=0,0,Tabla2[[#This Row],[Beneficio Neto  (En RD$/Tarea)]]/Tabla2[[#This Row],[Costos (En RD$/Tarea)]])</f>
        <v>-0.362336153567309</v>
      </c>
      <c r="P1431" s="7" t="n">
        <f aca="false">Tabla2[[#This Row],[Rentabilidad (%)]]/12</f>
        <v>-0.0301946794639424</v>
      </c>
    </row>
    <row r="1432" customFormat="false" ht="14.25" hidden="false" customHeight="false" outlineLevel="0" collapsed="false">
      <c r="A1432" s="1" t="n">
        <v>40148</v>
      </c>
      <c r="B1432" s="2" t="s">
        <v>21</v>
      </c>
      <c r="C1432" s="3" t="n">
        <v>6385</v>
      </c>
      <c r="D1432" s="8" t="s">
        <v>17</v>
      </c>
      <c r="E1432" s="3" t="n">
        <f aca="false">IF(Tabla2[[#This Row],[Frecuencia]]="Annual", Tabla2[[#This Row],[Cosecha/Tarea]]/12,Tabla2[[#This Row],[Cosecha/Tarea]])</f>
        <v>6385</v>
      </c>
      <c r="F1432" s="3" t="n">
        <v>68340</v>
      </c>
      <c r="G1432" s="2" t="s">
        <v>18</v>
      </c>
      <c r="H1432" s="2" t="n">
        <f aca="false">F1432/Tabla2[[#This Row],[Cosecha Mensual]]</f>
        <v>10.7032106499608</v>
      </c>
      <c r="I1432" s="2" t="n">
        <f aca="false">H1432*_xlfn.XLOOKUP(Tabla2[[#This Row],[Unidad de producción]],Tabla3[Medida],Tabla3[Equivalencia en Kg],"ELVIS",0)</f>
        <v>485.497635082224</v>
      </c>
      <c r="J1432" s="2" t="n">
        <v>461.566666666667</v>
      </c>
      <c r="K1432" s="2" t="s">
        <v>18</v>
      </c>
      <c r="L1432" s="2" t="n">
        <f aca="false">J1432/_xlfn.XLOOKUP(Tabla2[[#This Row],[Unidad de precio]],Tabla3[Medida],Tabla3[Equivalencia en Kg],"ELVIS",0)</f>
        <v>10.1756319811875</v>
      </c>
      <c r="M1432" s="2" t="n">
        <v>4038.1847175</v>
      </c>
      <c r="N1432" s="3" t="n">
        <f aca="false">(Tabla2[[#This Row],[Productividad (kg/TAS)]]*Tabla2[[#This Row],[Precio por kg]]-Tabla2[[#This Row],[Costos (En RD$/Tarea)]])</f>
        <v>902.060544833599</v>
      </c>
      <c r="O1432" s="9" t="n">
        <f aca="false">IF(Tabla2[[#This Row],[Costos (En RD$/Tarea)]]=0,0,Tabla2[[#This Row],[Beneficio Neto  (En RD$/Tarea)]]/Tabla2[[#This Row],[Costos (En RD$/Tarea)]])</f>
        <v>0.223382685027855</v>
      </c>
      <c r="P1432" s="7" t="n">
        <f aca="false">Tabla2[[#This Row],[Rentabilidad (%)]]/12</f>
        <v>0.0186152237523212</v>
      </c>
    </row>
    <row r="1433" customFormat="false" ht="14.25" hidden="false" customHeight="false" outlineLevel="0" collapsed="false">
      <c r="A1433" s="1" t="n">
        <v>40148</v>
      </c>
      <c r="B1433" s="2" t="s">
        <v>22</v>
      </c>
      <c r="C1433" s="3" t="n">
        <v>4423</v>
      </c>
      <c r="D1433" s="8" t="s">
        <v>17</v>
      </c>
      <c r="E1433" s="3" t="n">
        <f aca="false">IF(Tabla2[[#This Row],[Frecuencia]]="Annual", Tabla2[[#This Row],[Cosecha/Tarea]]/12,Tabla2[[#This Row],[Cosecha/Tarea]])</f>
        <v>4423</v>
      </c>
      <c r="F1433" s="3" t="n">
        <v>45199</v>
      </c>
      <c r="G1433" s="2" t="s">
        <v>18</v>
      </c>
      <c r="H1433" s="2" t="n">
        <f aca="false">F1433/Tabla2[[#This Row],[Cosecha Mensual]]</f>
        <v>10.2190820709925</v>
      </c>
      <c r="I1433" s="2" t="n">
        <f aca="false">H1433*_xlfn.XLOOKUP(Tabla2[[#This Row],[Unidad de producción]],Tabla3[Medida],Tabla3[Equivalencia en Kg],"ELVIS",0)</f>
        <v>463.537562740222</v>
      </c>
      <c r="J1433" s="2" t="n">
        <v>992.957142857143</v>
      </c>
      <c r="K1433" s="2" t="s">
        <v>18</v>
      </c>
      <c r="L1433" s="2" t="n">
        <f aca="false">J1433/_xlfn.XLOOKUP(Tabla2[[#This Row],[Unidad de precio]],Tabla3[Medida],Tabla3[Equivalencia en Kg],"ELVIS",0)</f>
        <v>21.890589569161</v>
      </c>
      <c r="M1433" s="2" t="n">
        <v>7095.7961172</v>
      </c>
      <c r="N1433" s="3" t="n">
        <f aca="false">(Tabla2[[#This Row],[Productividad (kg/TAS)]]*Tabla2[[#This Row],[Precio por kg]]-Tabla2[[#This Row],[Costos (En RD$/Tarea)]])</f>
        <v>3051.31441863541</v>
      </c>
      <c r="O1433" s="9" t="n">
        <f aca="false">IF(Tabla2[[#This Row],[Costos (En RD$/Tarea)]]=0,0,Tabla2[[#This Row],[Beneficio Neto  (En RD$/Tarea)]]/Tabla2[[#This Row],[Costos (En RD$/Tarea)]])</f>
        <v>0.430017205714115</v>
      </c>
      <c r="P1433" s="7" t="n">
        <f aca="false">Tabla2[[#This Row],[Rentabilidad (%)]]/12</f>
        <v>0.0358347671428429</v>
      </c>
    </row>
    <row r="1434" customFormat="false" ht="14.25" hidden="false" customHeight="false" outlineLevel="0" collapsed="false">
      <c r="A1434" s="1" t="n">
        <v>40148</v>
      </c>
      <c r="B1434" s="2" t="s">
        <v>23</v>
      </c>
      <c r="C1434" s="3" t="n">
        <v>2240</v>
      </c>
      <c r="D1434" s="8" t="s">
        <v>17</v>
      </c>
      <c r="E1434" s="3" t="n">
        <f aca="false">IF(Tabla2[[#This Row],[Frecuencia]]="Annual", Tabla2[[#This Row],[Cosecha/Tarea]]/12,Tabla2[[#This Row],[Cosecha/Tarea]])</f>
        <v>2240</v>
      </c>
      <c r="F1434" s="3" t="n">
        <v>57883</v>
      </c>
      <c r="G1434" s="2" t="s">
        <v>18</v>
      </c>
      <c r="H1434" s="2" t="n">
        <f aca="false">F1434/Tabla2[[#This Row],[Cosecha Mensual]]</f>
        <v>25.840625</v>
      </c>
      <c r="I1434" s="2" t="n">
        <f aca="false">H1434*_xlfn.XLOOKUP(Tabla2[[#This Row],[Unidad de producción]],Tabla3[Medida],Tabla3[Equivalencia en Kg],"ELVIS",0)</f>
        <v>1172.13075</v>
      </c>
      <c r="J1434" s="2" t="n">
        <v>662.5</v>
      </c>
      <c r="K1434" s="2" t="s">
        <v>18</v>
      </c>
      <c r="L1434" s="2" t="n">
        <f aca="false">J1434/_xlfn.XLOOKUP(Tabla2[[#This Row],[Unidad de precio]],Tabla3[Medida],Tabla3[Equivalencia en Kg],"ELVIS",0)</f>
        <v>14.6053791887125</v>
      </c>
      <c r="M1434" s="2" t="n">
        <v>17661.8086675086</v>
      </c>
      <c r="N1434" s="3" t="n">
        <f aca="false">(Tabla2[[#This Row],[Productividad (kg/TAS)]]*Tabla2[[#This Row],[Precio por kg]]-Tabla2[[#This Row],[Costos (En RD$/Tarea)]])</f>
        <v>-542.394605008602</v>
      </c>
      <c r="O1434" s="9" t="n">
        <f aca="false">IF(Tabla2[[#This Row],[Costos (En RD$/Tarea)]]=0,0,Tabla2[[#This Row],[Beneficio Neto  (En RD$/Tarea)]]/Tabla2[[#This Row],[Costos (En RD$/Tarea)]])</f>
        <v>-0.0307100260918585</v>
      </c>
      <c r="P1434" s="7" t="n">
        <f aca="false">Tabla2[[#This Row],[Rentabilidad (%)]]/12</f>
        <v>-0.00255916884098821</v>
      </c>
    </row>
    <row r="1435" customFormat="false" ht="14.25" hidden="false" customHeight="false" outlineLevel="0" collapsed="false">
      <c r="A1435" s="1" t="n">
        <v>40148</v>
      </c>
      <c r="B1435" s="2" t="s">
        <v>24</v>
      </c>
      <c r="C1435" s="3" t="n">
        <v>10268</v>
      </c>
      <c r="D1435" s="8" t="s">
        <v>17</v>
      </c>
      <c r="E1435" s="3" t="n">
        <f aca="false">IF(Tabla2[[#This Row],[Frecuencia]]="Annual", Tabla2[[#This Row],[Cosecha/Tarea]]/12,Tabla2[[#This Row],[Cosecha/Tarea]])</f>
        <v>10268</v>
      </c>
      <c r="F1435" s="3" t="n">
        <v>79257</v>
      </c>
      <c r="G1435" s="2" t="s">
        <v>18</v>
      </c>
      <c r="H1435" s="2" t="n">
        <f aca="false">F1435/Tabla2[[#This Row],[Cosecha Mensual]]</f>
        <v>7.71883521620569</v>
      </c>
      <c r="I1435" s="2" t="n">
        <f aca="false">H1435*_xlfn.XLOOKUP(Tabla2[[#This Row],[Unidad de producción]],Tabla3[Medida],Tabla3[Equivalencia en Kg],"ELVIS",0)</f>
        <v>350.12636540709</v>
      </c>
      <c r="J1435" s="2" t="n">
        <v>1171.92857142857</v>
      </c>
      <c r="K1435" s="2" t="s">
        <v>18</v>
      </c>
      <c r="L1435" s="2" t="n">
        <f aca="false">J1435/_xlfn.XLOOKUP(Tabla2[[#This Row],[Unidad de precio]],Tabla3[Medida],Tabla3[Equivalencia en Kg],"ELVIS",0)</f>
        <v>25.8361678004535</v>
      </c>
      <c r="M1435" s="2" t="n">
        <v>5745.6881190336</v>
      </c>
      <c r="N1435" s="3" t="n">
        <f aca="false">(Tabla2[[#This Row],[Productividad (kg/TAS)]]*Tabla2[[#This Row],[Precio por kg]]-Tabla2[[#This Row],[Costos (En RD$/Tarea)]])</f>
        <v>3300.23540898687</v>
      </c>
      <c r="O1435" s="9" t="n">
        <f aca="false">IF(Tabla2[[#This Row],[Costos (En RD$/Tarea)]]=0,0,Tabla2[[#This Row],[Beneficio Neto  (En RD$/Tarea)]]/Tabla2[[#This Row],[Costos (En RD$/Tarea)]])</f>
        <v>0.574384710867661</v>
      </c>
      <c r="P1435" s="7" t="n">
        <f aca="false">Tabla2[[#This Row],[Rentabilidad (%)]]/12</f>
        <v>0.0478653925723051</v>
      </c>
    </row>
    <row r="1436" customFormat="false" ht="14.25" hidden="false" customHeight="false" outlineLevel="0" collapsed="false">
      <c r="A1436" s="1" t="n">
        <v>40148</v>
      </c>
      <c r="B1436" s="2" t="s">
        <v>25</v>
      </c>
      <c r="C1436" s="3" t="n">
        <v>44525</v>
      </c>
      <c r="D1436" s="8" t="s">
        <v>17</v>
      </c>
      <c r="E1436" s="3" t="n">
        <f aca="false">IF(Tabla2[[#This Row],[Frecuencia]]="Annual", Tabla2[[#This Row],[Cosecha/Tarea]]/12,Tabla2[[#This Row],[Cosecha/Tarea]])</f>
        <v>44525</v>
      </c>
      <c r="F1436" s="3" t="n">
        <v>531726</v>
      </c>
      <c r="G1436" s="2" t="s">
        <v>18</v>
      </c>
      <c r="H1436" s="2" t="n">
        <f aca="false">F1436/Tabla2[[#This Row],[Cosecha Mensual]]</f>
        <v>11.9421897810219</v>
      </c>
      <c r="I1436" s="2" t="n">
        <f aca="false">H1436*_xlfn.XLOOKUP(Tabla2[[#This Row],[Unidad de producción]],Tabla3[Medida],Tabla3[Equivalencia en Kg],"ELVIS",0)</f>
        <v>541.697728467153</v>
      </c>
      <c r="J1436" s="2" t="n">
        <v>288.442857142857</v>
      </c>
      <c r="K1436" s="2" t="s">
        <v>18</v>
      </c>
      <c r="L1436" s="2" t="n">
        <f aca="false">J1436/_xlfn.XLOOKUP(Tabla2[[#This Row],[Unidad de precio]],Tabla3[Medida],Tabla3[Equivalencia en Kg],"ELVIS",0)</f>
        <v>6.35896951373142</v>
      </c>
      <c r="M1436" s="2" t="n">
        <v>3380.66818371576</v>
      </c>
      <c r="N1436" s="3" t="n">
        <f aca="false">(Tabla2[[#This Row],[Productividad (kg/TAS)]]*Tabla2[[#This Row],[Precio por kg]]-Tabla2[[#This Row],[Costos (En RD$/Tarea)]])</f>
        <v>63.9711572644264</v>
      </c>
      <c r="O1436" s="9" t="n">
        <f aca="false">IF(Tabla2[[#This Row],[Costos (En RD$/Tarea)]]=0,0,Tabla2[[#This Row],[Beneficio Neto  (En RD$/Tarea)]]/Tabla2[[#This Row],[Costos (En RD$/Tarea)]])</f>
        <v>0.0189226371202495</v>
      </c>
      <c r="P1436" s="7" t="n">
        <f aca="false">Tabla2[[#This Row],[Rentabilidad (%)]]/12</f>
        <v>0.00157688642668746</v>
      </c>
    </row>
    <row r="1437" customFormat="false" ht="14.25" hidden="false" customHeight="false" outlineLevel="0" collapsed="false">
      <c r="A1437" s="1" t="n">
        <v>40148</v>
      </c>
      <c r="B1437" s="2" t="s">
        <v>26</v>
      </c>
      <c r="C1437" s="3" t="n">
        <v>12871</v>
      </c>
      <c r="D1437" s="8" t="s">
        <v>17</v>
      </c>
      <c r="E1437" s="3" t="n">
        <f aca="false">IF(Tabla2[[#This Row],[Frecuencia]]="Annual", Tabla2[[#This Row],[Cosecha/Tarea]]/12,Tabla2[[#This Row],[Cosecha/Tarea]])</f>
        <v>12871</v>
      </c>
      <c r="F1437" s="3" t="n">
        <v>63419</v>
      </c>
      <c r="G1437" s="2" t="s">
        <v>18</v>
      </c>
      <c r="H1437" s="2" t="n">
        <f aca="false">F1437/Tabla2[[#This Row],[Cosecha Mensual]]</f>
        <v>4.92727837774843</v>
      </c>
      <c r="I1437" s="2" t="n">
        <f aca="false">H1437*_xlfn.XLOOKUP(Tabla2[[#This Row],[Unidad de producción]],Tabla3[Medida],Tabla3[Equivalencia en Kg],"ELVIS",0)</f>
        <v>223.501347214669</v>
      </c>
      <c r="J1437" s="2" t="n">
        <v>539.3</v>
      </c>
      <c r="K1437" s="2" t="s">
        <v>18</v>
      </c>
      <c r="L1437" s="2" t="n">
        <f aca="false">J1437/_xlfn.XLOOKUP(Tabla2[[#This Row],[Unidad de precio]],Tabla3[Medida],Tabla3[Equivalencia en Kg],"ELVIS",0)</f>
        <v>11.8893298059965</v>
      </c>
      <c r="M1437" s="2" t="n">
        <v>1376.3165203125</v>
      </c>
      <c r="N1437" s="3" t="n">
        <f aca="false">(Tabla2[[#This Row],[Productividad (kg/TAS)]]*Tabla2[[#This Row],[Precio por kg]]-Tabla2[[#This Row],[Costos (En RD$/Tarea)]])</f>
        <v>1280.96470880723</v>
      </c>
      <c r="O1437" s="9" t="n">
        <f aca="false">IF(Tabla2[[#This Row],[Costos (En RD$/Tarea)]]=0,0,Tabla2[[#This Row],[Beneficio Neto  (En RD$/Tarea)]]/Tabla2[[#This Row],[Costos (En RD$/Tarea)]])</f>
        <v>0.930719561890005</v>
      </c>
      <c r="P1437" s="7" t="n">
        <f aca="false">Tabla2[[#This Row],[Rentabilidad (%)]]/12</f>
        <v>0.0775599634908338</v>
      </c>
    </row>
    <row r="1438" customFormat="false" ht="14.25" hidden="false" customHeight="false" outlineLevel="0" collapsed="false">
      <c r="A1438" s="1" t="n">
        <v>40148</v>
      </c>
      <c r="B1438" s="2" t="s">
        <v>27</v>
      </c>
      <c r="C1438" s="3" t="n">
        <v>6743</v>
      </c>
      <c r="D1438" s="8" t="s">
        <v>17</v>
      </c>
      <c r="E1438" s="3" t="n">
        <f aca="false">IF(Tabla2[[#This Row],[Frecuencia]]="Annual", Tabla2[[#This Row],[Cosecha/Tarea]]/12,Tabla2[[#This Row],[Cosecha/Tarea]])</f>
        <v>6743</v>
      </c>
      <c r="F1438" s="3" t="n">
        <v>37819</v>
      </c>
      <c r="G1438" s="2" t="s">
        <v>18</v>
      </c>
      <c r="H1438" s="2" t="n">
        <f aca="false">F1438/Tabla2[[#This Row],[Cosecha Mensual]]</f>
        <v>5.60863117306837</v>
      </c>
      <c r="I1438" s="2" t="n">
        <f aca="false">H1438*_xlfn.XLOOKUP(Tabla2[[#This Row],[Unidad de producción]],Tabla3[Medida],Tabla3[Equivalencia en Kg],"ELVIS",0)</f>
        <v>254.407510010381</v>
      </c>
      <c r="J1438" s="2" t="n">
        <v>400.645333333333</v>
      </c>
      <c r="K1438" s="2" t="s">
        <v>18</v>
      </c>
      <c r="L1438" s="2" t="n">
        <f aca="false">J1438/_xlfn.XLOOKUP(Tabla2[[#This Row],[Unidad de precio]],Tabla3[Medida],Tabla3[Equivalencia en Kg],"ELVIS",0)</f>
        <v>8.83256907701351</v>
      </c>
      <c r="M1438" s="2" t="n">
        <v>5690.0383784955</v>
      </c>
      <c r="N1438" s="3" t="n">
        <f aca="false">(Tabla2[[#This Row],[Productividad (kg/TAS)]]*Tabla2[[#This Row],[Precio por kg]]-Tabla2[[#This Row],[Costos (En RD$/Tarea)]])</f>
        <v>-3442.9664726178</v>
      </c>
      <c r="O1438" s="9" t="n">
        <f aca="false">IF(Tabla2[[#This Row],[Costos (En RD$/Tarea)]]=0,0,Tabla2[[#This Row],[Beneficio Neto  (En RD$/Tarea)]]/Tabla2[[#This Row],[Costos (En RD$/Tarea)]])</f>
        <v>-0.605086687223392</v>
      </c>
      <c r="P1438" s="7" t="n">
        <f aca="false">Tabla2[[#This Row],[Rentabilidad (%)]]/12</f>
        <v>-0.0504238906019493</v>
      </c>
    </row>
    <row r="1439" customFormat="false" ht="14.25" hidden="false" customHeight="false" outlineLevel="0" collapsed="false">
      <c r="A1439" s="1" t="n">
        <v>40148</v>
      </c>
      <c r="B1439" s="2" t="s">
        <v>28</v>
      </c>
      <c r="C1439" s="3" t="n">
        <v>54084</v>
      </c>
      <c r="D1439" s="8" t="s">
        <v>17</v>
      </c>
      <c r="E1439" s="3" t="n">
        <f aca="false">IF(Tabla2[[#This Row],[Frecuencia]]="Annual", Tabla2[[#This Row],[Cosecha/Tarea]]/12,Tabla2[[#This Row],[Cosecha/Tarea]])</f>
        <v>54084</v>
      </c>
      <c r="F1439" s="3" t="n">
        <v>48386</v>
      </c>
      <c r="G1439" s="2" t="s">
        <v>29</v>
      </c>
      <c r="H1439" s="2" t="n">
        <f aca="false">F1439/Tabla2[[#This Row],[Cosecha Mensual]]</f>
        <v>0.894645366466977</v>
      </c>
      <c r="I1439" s="2" t="n">
        <f aca="false">H1439*_xlfn.XLOOKUP(Tabla2[[#This Row],[Unidad de producción]],Tabla3[Medida],Tabla3[Equivalencia en Kg],"ELVIS",0)</f>
        <v>503.09487537904</v>
      </c>
      <c r="J1439" s="2" t="n">
        <v>5034.5</v>
      </c>
      <c r="K1439" s="2" t="s">
        <v>29</v>
      </c>
      <c r="L1439" s="2" t="n">
        <f aca="false">J1439/_xlfn.XLOOKUP(Tabla2[[#This Row],[Unidad de precio]],Tabla3[Medida],Tabla3[Equivalencia en Kg],"ELVIS",0)</f>
        <v>8.95276878756624</v>
      </c>
      <c r="M1439" s="2" t="n">
        <v>5157.16231976537</v>
      </c>
      <c r="N1439" s="3" t="n">
        <f aca="false">(Tabla2[[#This Row],[Productividad (kg/TAS)]]*Tabla2[[#This Row],[Precio por kg]]-Tabla2[[#This Row],[Costos (En RD$/Tarea)]])</f>
        <v>-653.070222287372</v>
      </c>
      <c r="O1439" s="9" t="n">
        <f aca="false">IF(Tabla2[[#This Row],[Costos (En RD$/Tarea)]]=0,0,Tabla2[[#This Row],[Beneficio Neto  (En RD$/Tarea)]]/Tabla2[[#This Row],[Costos (En RD$/Tarea)]])</f>
        <v>-0.126633637220301</v>
      </c>
      <c r="P1439" s="7" t="n">
        <f aca="false">Tabla2[[#This Row],[Rentabilidad (%)]]/12</f>
        <v>-0.0105528031016917</v>
      </c>
    </row>
    <row r="1440" customFormat="false" ht="14.25" hidden="false" customHeight="false" outlineLevel="0" collapsed="false">
      <c r="A1440" s="1" t="n">
        <v>40148</v>
      </c>
      <c r="B1440" s="2" t="s">
        <v>30</v>
      </c>
      <c r="C1440" s="3" t="n">
        <v>296758</v>
      </c>
      <c r="D1440" s="3" t="s">
        <v>31</v>
      </c>
      <c r="E1440" s="3" t="n">
        <f aca="false">IF(Tabla2[[#This Row],[Frecuencia]]="Annual", Tabla2[[#This Row],[Cosecha/Tarea]]/12,Tabla2[[#This Row],[Cosecha/Tarea]])</f>
        <v>24729.8333333333</v>
      </c>
      <c r="F1440" s="3" t="n">
        <v>2196169</v>
      </c>
      <c r="G1440" s="2" t="s">
        <v>32</v>
      </c>
      <c r="H1440" s="2" t="n">
        <f aca="false">F1440/Tabla2[[#This Row],[Cosecha Mensual]]</f>
        <v>88.8064618308521</v>
      </c>
      <c r="I1440" s="2" t="n">
        <f aca="false">H1440*_xlfn.XLOOKUP(Tabla2[[#This Row],[Unidad de producción]],Tabla3[Medida],Tabla3[Equivalencia en Kg],"ELVIS",0)</f>
        <v>2416.42382641749</v>
      </c>
      <c r="J1440" s="2" t="n">
        <v>102.257142857143</v>
      </c>
      <c r="K1440" s="2" t="s">
        <v>32</v>
      </c>
      <c r="L1440" s="2" t="n">
        <f aca="false">J1440/_xlfn.XLOOKUP(Tabla2[[#This Row],[Unidad de precio]],Tabla3[Medida],Tabla3[Equivalencia en Kg],"ELVIS",0)</f>
        <v>3.75807213734447</v>
      </c>
      <c r="M1440" s="3" t="n">
        <v>9253.94477920298</v>
      </c>
      <c r="N1440" s="3" t="n">
        <f aca="false">(Tabla2[[#This Row],[Productividad (kg/TAS)]]*Tabla2[[#This Row],[Precio por kg]]-Tabla2[[#This Row],[Costos (En RD$/Tarea)]])</f>
        <v>-172.849725128122</v>
      </c>
      <c r="O1440" s="9" t="n">
        <f aca="false">IF(Tabla2[[#This Row],[Costos (En RD$/Tarea)]]=0,0,Tabla2[[#This Row],[Beneficio Neto  (En RD$/Tarea)]]/Tabla2[[#This Row],[Costos (En RD$/Tarea)]])</f>
        <v>-0.0186784910924236</v>
      </c>
      <c r="P1440" s="7" t="n">
        <f aca="false">Tabla2[[#This Row],[Rentabilidad (%)]]/12</f>
        <v>-0.00155654092436863</v>
      </c>
    </row>
    <row r="1441" customFormat="false" ht="14.25" hidden="false" customHeight="false" outlineLevel="0" collapsed="false">
      <c r="A1441" s="1" t="n">
        <v>40148</v>
      </c>
      <c r="B1441" s="2" t="s">
        <v>33</v>
      </c>
      <c r="C1441" s="3" t="n">
        <v>659846</v>
      </c>
      <c r="D1441" s="3" t="s">
        <v>31</v>
      </c>
      <c r="E1441" s="11" t="n">
        <f aca="false">IF(Tabla2[[#This Row],[Frecuencia]]="Annual", Tabla2[[#This Row],[Cosecha/Tarea]]/12,Tabla2[[#This Row],[Cosecha/Tarea]])</f>
        <v>54987.1666666667</v>
      </c>
      <c r="F1441" s="3" t="n">
        <v>231280</v>
      </c>
      <c r="G1441" s="2" t="s">
        <v>34</v>
      </c>
      <c r="H1441" s="2" t="n">
        <f aca="false">F1441/Tabla2[[#This Row],[Cosecha Mensual]]</f>
        <v>4.20607232596697</v>
      </c>
      <c r="I1441" s="2" t="n">
        <f aca="false">H1441*_xlfn.XLOOKUP(Tabla2[[#This Row],[Unidad de producción]],Tabla3[Medida],Tabla3[Equivalencia en Kg],"ELVIS",0)</f>
        <v>1716.70841984342</v>
      </c>
      <c r="J1441" s="2" t="n">
        <v>3687.51428571429</v>
      </c>
      <c r="K1441" s="2" t="s">
        <v>34</v>
      </c>
      <c r="L1441" s="2" t="n">
        <f aca="false">J1441/_xlfn.XLOOKUP(Tabla2[[#This Row],[Unidad de precio]],Tabla3[Medida],Tabla3[Equivalencia en Kg],"ELVIS",0)</f>
        <v>9.03470362786792</v>
      </c>
      <c r="M1441" s="3" t="n">
        <v>8960.6721575976</v>
      </c>
      <c r="N1441" s="3" t="n">
        <f aca="false">(Tabla2[[#This Row],[Productividad (kg/TAS)]]*Tabla2[[#This Row],[Precio por kg]]-Tabla2[[#This Row],[Costos (En RD$/Tarea)]])</f>
        <v>6549.27963115313</v>
      </c>
      <c r="O1441" s="9" t="n">
        <f aca="false">IF(Tabla2[[#This Row],[Costos (En RD$/Tarea)]]=0,0,Tabla2[[#This Row],[Beneficio Neto  (En RD$/Tarea)]]/Tabla2[[#This Row],[Costos (En RD$/Tarea)]])</f>
        <v>0.730891557682992</v>
      </c>
      <c r="P1441" s="7" t="n">
        <f aca="false">Tabla2[[#This Row],[Rentabilidad (%)]]/12</f>
        <v>0.060907629806916</v>
      </c>
    </row>
    <row r="1442" customFormat="false" ht="14.25" hidden="false" customHeight="false" outlineLevel="0" collapsed="false">
      <c r="A1442" s="1" t="n">
        <v>40179</v>
      </c>
      <c r="B1442" s="2" t="s">
        <v>16</v>
      </c>
      <c r="C1442" s="3" t="n">
        <v>26886</v>
      </c>
      <c r="D1442" s="8" t="s">
        <v>17</v>
      </c>
      <c r="E1442" s="3" t="n">
        <f aca="false">IF(Tabla2[[#This Row],[Frecuencia]]="Annual", Tabla2[[#This Row],[Cosecha/Tarea]]/12,Tabla2[[#This Row],[Cosecha/Tarea]])</f>
        <v>26886</v>
      </c>
      <c r="F1442" s="3" t="n">
        <v>85232</v>
      </c>
      <c r="G1442" s="2" t="s">
        <v>18</v>
      </c>
      <c r="H1442" s="2" t="n">
        <f aca="false">F1442/Tabla2[[#This Row],[Cosecha Mensual]]</f>
        <v>3.17012571598602</v>
      </c>
      <c r="I1442" s="2" t="n">
        <f aca="false">H1442*_xlfn.XLOOKUP(Tabla2[[#This Row],[Unidad de producción]],Tabla3[Medida],Tabla3[Equivalencia en Kg],"ELVIS",0)</f>
        <v>143.796902477126</v>
      </c>
      <c r="J1442" s="2" t="n">
        <v>1983.19897435897</v>
      </c>
      <c r="K1442" s="2" t="s">
        <v>19</v>
      </c>
      <c r="L1442" s="2" t="n">
        <f aca="false">J1442/_xlfn.XLOOKUP(Tabla2[[#This Row],[Unidad de precio]],Tabla3[Medida],Tabla3[Equivalencia en Kg],"ELVIS",0)</f>
        <v>18.0290815850815</v>
      </c>
      <c r="M1442" s="2" t="n">
        <v>7449.80873820933</v>
      </c>
      <c r="N1442" s="3" t="n">
        <f aca="false">(Tabla2[[#This Row],[Productividad (kg/TAS)]]*Tabla2[[#This Row],[Precio por kg]]-Tabla2[[#This Row],[Costos (En RD$/Tarea)]])</f>
        <v>-4857.28265176722</v>
      </c>
      <c r="O1442" s="9" t="n">
        <f aca="false">IF(Tabla2[[#This Row],[Costos (En RD$/Tarea)]]=0,0,Tabla2[[#This Row],[Beneficio Neto  (En RD$/Tarea)]]/Tabla2[[#This Row],[Costos (En RD$/Tarea)]])</f>
        <v>-0.652000987200476</v>
      </c>
      <c r="P1442" s="7" t="n">
        <f aca="false">Tabla2[[#This Row],[Rentabilidad (%)]]/12</f>
        <v>-0.0543334156000397</v>
      </c>
    </row>
    <row r="1443" customFormat="false" ht="14.25" hidden="false" customHeight="false" outlineLevel="0" collapsed="false">
      <c r="A1443" s="1" t="n">
        <v>40179</v>
      </c>
      <c r="B1443" s="2" t="s">
        <v>20</v>
      </c>
      <c r="C1443" s="3" t="n">
        <v>27954</v>
      </c>
      <c r="D1443" s="8" t="s">
        <v>17</v>
      </c>
      <c r="E1443" s="3" t="n">
        <f aca="false">IF(Tabla2[[#This Row],[Frecuencia]]="Annual", Tabla2[[#This Row],[Cosecha/Tarea]]/12,Tabla2[[#This Row],[Cosecha/Tarea]])</f>
        <v>27954</v>
      </c>
      <c r="F1443" s="3" t="n">
        <v>47593</v>
      </c>
      <c r="G1443" s="2" t="s">
        <v>18</v>
      </c>
      <c r="H1443" s="2" t="n">
        <f aca="false">F1443/Tabla2[[#This Row],[Cosecha Mensual]]</f>
        <v>1.70254704156829</v>
      </c>
      <c r="I1443" s="2" t="n">
        <f aca="false">H1443*_xlfn.XLOOKUP(Tabla2[[#This Row],[Unidad de producción]],Tabla3[Medida],Tabla3[Equivalencia en Kg],"ELVIS",0)</f>
        <v>77.2275338055377</v>
      </c>
      <c r="J1443" s="2" t="n">
        <v>599.361111111111</v>
      </c>
      <c r="K1443" s="2" t="s">
        <v>18</v>
      </c>
      <c r="L1443" s="2" t="n">
        <f aca="false">J1443/_xlfn.XLOOKUP(Tabla2[[#This Row],[Unidad de precio]],Tabla3[Medida],Tabla3[Equivalencia en Kg],"ELVIS",0)</f>
        <v>13.2134283754654</v>
      </c>
      <c r="M1443" s="2" t="n">
        <v>2162.02023182316</v>
      </c>
      <c r="N1443" s="3" t="n">
        <f aca="false">(Tabla2[[#This Row],[Productividad (kg/TAS)]]*Tabla2[[#This Row],[Precio por kg]]-Tabla2[[#This Row],[Costos (En RD$/Tarea)]])</f>
        <v>-1141.57974526985</v>
      </c>
      <c r="O1443" s="9" t="n">
        <f aca="false">IF(Tabla2[[#This Row],[Costos (En RD$/Tarea)]]=0,0,Tabla2[[#This Row],[Beneficio Neto  (En RD$/Tarea)]]/Tabla2[[#This Row],[Costos (En RD$/Tarea)]])</f>
        <v>-0.52801529257994</v>
      </c>
      <c r="P1443" s="7" t="n">
        <f aca="false">Tabla2[[#This Row],[Rentabilidad (%)]]/12</f>
        <v>-0.0440012743816616</v>
      </c>
    </row>
    <row r="1444" customFormat="false" ht="14.25" hidden="false" customHeight="false" outlineLevel="0" collapsed="false">
      <c r="A1444" s="1" t="n">
        <v>40179</v>
      </c>
      <c r="B1444" s="2" t="s">
        <v>21</v>
      </c>
      <c r="C1444" s="3" t="n">
        <v>8441</v>
      </c>
      <c r="D1444" s="8" t="s">
        <v>17</v>
      </c>
      <c r="E1444" s="3" t="n">
        <f aca="false">IF(Tabla2[[#This Row],[Frecuencia]]="Annual", Tabla2[[#This Row],[Cosecha/Tarea]]/12,Tabla2[[#This Row],[Cosecha/Tarea]])</f>
        <v>8441</v>
      </c>
      <c r="F1444" s="3" t="n">
        <v>97919</v>
      </c>
      <c r="G1444" s="2" t="s">
        <v>18</v>
      </c>
      <c r="H1444" s="2" t="n">
        <f aca="false">F1444/Tabla2[[#This Row],[Cosecha Mensual]]</f>
        <v>11.6004027958773</v>
      </c>
      <c r="I1444" s="2" t="n">
        <f aca="false">H1444*_xlfn.XLOOKUP(Tabla2[[#This Row],[Unidad de producción]],Tabla3[Medida],Tabla3[Equivalencia en Kg],"ELVIS",0)</f>
        <v>526.194270820993</v>
      </c>
      <c r="J1444" s="2" t="n">
        <v>419.541666666667</v>
      </c>
      <c r="K1444" s="2" t="s">
        <v>18</v>
      </c>
      <c r="L1444" s="2" t="n">
        <f aca="false">J1444/_xlfn.XLOOKUP(Tabla2[[#This Row],[Unidad de precio]],Tabla3[Medida],Tabla3[Equivalencia en Kg],"ELVIS",0)</f>
        <v>9.24915490887714</v>
      </c>
      <c r="M1444" s="2" t="n">
        <v>4521.4268875</v>
      </c>
      <c r="N1444" s="3" t="n">
        <f aca="false">(Tabla2[[#This Row],[Productividad (kg/TAS)]]*Tabla2[[#This Row],[Precio por kg]]-Tabla2[[#This Row],[Costos (En RD$/Tarea)]])</f>
        <v>345.425435487013</v>
      </c>
      <c r="O1444" s="9" t="n">
        <f aca="false">IF(Tabla2[[#This Row],[Costos (En RD$/Tarea)]]=0,0,Tabla2[[#This Row],[Beneficio Neto  (En RD$/Tarea)]]/Tabla2[[#This Row],[Costos (En RD$/Tarea)]])</f>
        <v>0.076397439145147</v>
      </c>
      <c r="P1444" s="7" t="n">
        <f aca="false">Tabla2[[#This Row],[Rentabilidad (%)]]/12</f>
        <v>0.00636645326209559</v>
      </c>
    </row>
    <row r="1445" customFormat="false" ht="14.25" hidden="false" customHeight="false" outlineLevel="0" collapsed="false">
      <c r="A1445" s="1" t="n">
        <v>40179</v>
      </c>
      <c r="B1445" s="2" t="s">
        <v>22</v>
      </c>
      <c r="C1445" s="3" t="n">
        <v>7779</v>
      </c>
      <c r="D1445" s="8" t="s">
        <v>17</v>
      </c>
      <c r="E1445" s="3" t="n">
        <f aca="false">IF(Tabla2[[#This Row],[Frecuencia]]="Annual", Tabla2[[#This Row],[Cosecha/Tarea]]/12,Tabla2[[#This Row],[Cosecha/Tarea]])</f>
        <v>7779</v>
      </c>
      <c r="F1445" s="3" t="n">
        <v>74760</v>
      </c>
      <c r="G1445" s="2" t="s">
        <v>18</v>
      </c>
      <c r="H1445" s="2" t="n">
        <f aca="false">F1445/Tabla2[[#This Row],[Cosecha Mensual]]</f>
        <v>9.6104897801774</v>
      </c>
      <c r="I1445" s="2" t="n">
        <f aca="false">H1445*_xlfn.XLOOKUP(Tabla2[[#This Row],[Unidad de producción]],Tabla3[Medida],Tabla3[Equivalencia en Kg],"ELVIS",0)</f>
        <v>435.931816428847</v>
      </c>
      <c r="J1445" s="2" t="n">
        <v>967.6</v>
      </c>
      <c r="K1445" s="2" t="s">
        <v>18</v>
      </c>
      <c r="L1445" s="2" t="n">
        <f aca="false">J1445/_xlfn.XLOOKUP(Tabla2[[#This Row],[Unidad de precio]],Tabla3[Medida],Tabla3[Equivalencia en Kg],"ELVIS",0)</f>
        <v>21.331569664903</v>
      </c>
      <c r="M1445" s="2" t="n">
        <v>7599.7694060736</v>
      </c>
      <c r="N1445" s="3" t="n">
        <f aca="false">(Tabla2[[#This Row],[Productividad (kg/TAS)]]*Tabla2[[#This Row],[Precio por kg]]-Tabla2[[#This Row],[Costos (En RD$/Tarea)]])</f>
        <v>1699.34050522605</v>
      </c>
      <c r="O1445" s="9" t="n">
        <f aca="false">IF(Tabla2[[#This Row],[Costos (En RD$/Tarea)]]=0,0,Tabla2[[#This Row],[Beneficio Neto  (En RD$/Tarea)]]/Tabla2[[#This Row],[Costos (En RD$/Tarea)]])</f>
        <v>0.223604219342231</v>
      </c>
      <c r="P1445" s="7" t="n">
        <f aca="false">Tabla2[[#This Row],[Rentabilidad (%)]]/12</f>
        <v>0.0186336849451859</v>
      </c>
    </row>
    <row r="1446" customFormat="false" ht="14.25" hidden="false" customHeight="false" outlineLevel="0" collapsed="false">
      <c r="A1446" s="1" t="n">
        <v>40179</v>
      </c>
      <c r="B1446" s="2" t="s">
        <v>23</v>
      </c>
      <c r="C1446" s="3" t="n">
        <v>3558</v>
      </c>
      <c r="D1446" s="8" t="s">
        <v>17</v>
      </c>
      <c r="E1446" s="3" t="n">
        <f aca="false">IF(Tabla2[[#This Row],[Frecuencia]]="Annual", Tabla2[[#This Row],[Cosecha/Tarea]]/12,Tabla2[[#This Row],[Cosecha/Tarea]])</f>
        <v>3558</v>
      </c>
      <c r="F1446" s="3" t="n">
        <v>135170</v>
      </c>
      <c r="G1446" s="2" t="s">
        <v>18</v>
      </c>
      <c r="H1446" s="2" t="n">
        <f aca="false">F1446/Tabla2[[#This Row],[Cosecha Mensual]]</f>
        <v>37.9904440697021</v>
      </c>
      <c r="I1446" s="2" t="n">
        <f aca="false">H1446*_xlfn.XLOOKUP(Tabla2[[#This Row],[Unidad de producción]],Tabla3[Medida],Tabla3[Equivalencia en Kg],"ELVIS",0)</f>
        <v>1723.24654300169</v>
      </c>
      <c r="J1446" s="2" t="n">
        <v>793.75</v>
      </c>
      <c r="K1446" s="2" t="s">
        <v>18</v>
      </c>
      <c r="L1446" s="2" t="n">
        <f aca="false">J1446/_xlfn.XLOOKUP(Tabla2[[#This Row],[Unidad de precio]],Tabla3[Medida],Tabla3[Equivalencia en Kg],"ELVIS",0)</f>
        <v>17.498897707231</v>
      </c>
      <c r="M1446" s="2" t="n">
        <v>20327.21</v>
      </c>
      <c r="N1446" s="3" t="n">
        <f aca="false">(Tabla2[[#This Row],[Productividad (kg/TAS)]]*Tabla2[[#This Row],[Precio por kg]]-Tabla2[[#This Row],[Costos (En RD$/Tarea)]])</f>
        <v>9827.70498032602</v>
      </c>
      <c r="O1446" s="9" t="n">
        <f aca="false">IF(Tabla2[[#This Row],[Costos (En RD$/Tarea)]]=0,0,Tabla2[[#This Row],[Beneficio Neto  (En RD$/Tarea)]]/Tabla2[[#This Row],[Costos (En RD$/Tarea)]])</f>
        <v>0.483475350543731</v>
      </c>
      <c r="P1446" s="7" t="n">
        <f aca="false">Tabla2[[#This Row],[Rentabilidad (%)]]/12</f>
        <v>0.0402896125453109</v>
      </c>
    </row>
    <row r="1447" customFormat="false" ht="14.25" hidden="false" customHeight="false" outlineLevel="0" collapsed="false">
      <c r="A1447" s="1" t="n">
        <v>40179</v>
      </c>
      <c r="B1447" s="2" t="s">
        <v>24</v>
      </c>
      <c r="C1447" s="3" t="n">
        <v>5926</v>
      </c>
      <c r="D1447" s="8" t="s">
        <v>17</v>
      </c>
      <c r="E1447" s="3" t="n">
        <f aca="false">IF(Tabla2[[#This Row],[Frecuencia]]="Annual", Tabla2[[#This Row],[Cosecha/Tarea]]/12,Tabla2[[#This Row],[Cosecha/Tarea]])</f>
        <v>5926</v>
      </c>
      <c r="F1447" s="3" t="n">
        <v>50370</v>
      </c>
      <c r="G1447" s="2" t="s">
        <v>18</v>
      </c>
      <c r="H1447" s="2" t="n">
        <f aca="false">F1447/Tabla2[[#This Row],[Cosecha Mensual]]</f>
        <v>8.49983125210935</v>
      </c>
      <c r="I1447" s="2" t="n">
        <f aca="false">H1447*_xlfn.XLOOKUP(Tabla2[[#This Row],[Unidad de producción]],Tabla3[Medida],Tabla3[Equivalencia en Kg],"ELVIS",0)</f>
        <v>385.55234559568</v>
      </c>
      <c r="J1447" s="2" t="n">
        <v>1168.6546875</v>
      </c>
      <c r="K1447" s="2" t="s">
        <v>18</v>
      </c>
      <c r="L1447" s="2" t="n">
        <f aca="false">J1447/_xlfn.XLOOKUP(Tabla2[[#This Row],[Unidad de precio]],Tabla3[Medida],Tabla3[Equivalencia en Kg],"ELVIS",0)</f>
        <v>25.763992228836</v>
      </c>
      <c r="M1447" s="2" t="n">
        <v>6579.6044973696</v>
      </c>
      <c r="N1447" s="3" t="n">
        <f aca="false">(Tabla2[[#This Row],[Productividad (kg/TAS)]]*Tabla2[[#This Row],[Precio por kg]]-Tabla2[[#This Row],[Costos (En RD$/Tarea)]])</f>
        <v>3353.76313836698</v>
      </c>
      <c r="O1447" s="9" t="n">
        <f aca="false">IF(Tabla2[[#This Row],[Costos (En RD$/Tarea)]]=0,0,Tabla2[[#This Row],[Beneficio Neto  (En RD$/Tarea)]]/Tabla2[[#This Row],[Costos (En RD$/Tarea)]])</f>
        <v>0.509721084254799</v>
      </c>
      <c r="P1447" s="7" t="n">
        <f aca="false">Tabla2[[#This Row],[Rentabilidad (%)]]/12</f>
        <v>0.0424767570212333</v>
      </c>
    </row>
    <row r="1448" customFormat="false" ht="14.25" hidden="false" customHeight="false" outlineLevel="0" collapsed="false">
      <c r="A1448" s="1" t="n">
        <v>40179</v>
      </c>
      <c r="B1448" s="2" t="s">
        <v>25</v>
      </c>
      <c r="C1448" s="3" t="n">
        <v>35854</v>
      </c>
      <c r="D1448" s="8" t="s">
        <v>17</v>
      </c>
      <c r="E1448" s="3" t="n">
        <f aca="false">IF(Tabla2[[#This Row],[Frecuencia]]="Annual", Tabla2[[#This Row],[Cosecha/Tarea]]/12,Tabla2[[#This Row],[Cosecha/Tarea]])</f>
        <v>35854</v>
      </c>
      <c r="F1448" s="3" t="n">
        <v>369553</v>
      </c>
      <c r="G1448" s="2" t="s">
        <v>18</v>
      </c>
      <c r="H1448" s="2" t="n">
        <f aca="false">F1448/Tabla2[[#This Row],[Cosecha Mensual]]</f>
        <v>10.3071623807664</v>
      </c>
      <c r="I1448" s="2" t="n">
        <f aca="false">H1448*_xlfn.XLOOKUP(Tabla2[[#This Row],[Unidad de producción]],Tabla3[Medida],Tabla3[Equivalencia en Kg],"ELVIS",0)</f>
        <v>467.532885591566</v>
      </c>
      <c r="J1448" s="2" t="n">
        <v>255.192857142857</v>
      </c>
      <c r="K1448" s="2" t="s">
        <v>18</v>
      </c>
      <c r="L1448" s="2" t="n">
        <f aca="false">J1448/_xlfn.XLOOKUP(Tabla2[[#This Row],[Unidad de precio]],Tabla3[Medida],Tabla3[Equivalencia en Kg],"ELVIS",0)</f>
        <v>5.62594482237339</v>
      </c>
      <c r="M1448" s="2" t="n">
        <v>3734.00643997985</v>
      </c>
      <c r="N1448" s="3" t="n">
        <f aca="false">(Tabla2[[#This Row],[Productividad (kg/TAS)]]*Tabla2[[#This Row],[Precio por kg]]-Tabla2[[#This Row],[Costos (En RD$/Tarea)]])</f>
        <v>-1103.69222299669</v>
      </c>
      <c r="O1448" s="9" t="n">
        <f aca="false">IF(Tabla2[[#This Row],[Costos (En RD$/Tarea)]]=0,0,Tabla2[[#This Row],[Beneficio Neto  (En RD$/Tarea)]]/Tabla2[[#This Row],[Costos (En RD$/Tarea)]])</f>
        <v>-0.295578553689545</v>
      </c>
      <c r="P1448" s="7" t="n">
        <f aca="false">Tabla2[[#This Row],[Rentabilidad (%)]]/12</f>
        <v>-0.0246315461407954</v>
      </c>
    </row>
    <row r="1449" customFormat="false" ht="14.25" hidden="false" customHeight="false" outlineLevel="0" collapsed="false">
      <c r="A1449" s="1" t="n">
        <v>40179</v>
      </c>
      <c r="B1449" s="2" t="s">
        <v>26</v>
      </c>
      <c r="C1449" s="3" t="n">
        <v>10626</v>
      </c>
      <c r="D1449" s="8" t="s">
        <v>17</v>
      </c>
      <c r="E1449" s="3" t="n">
        <f aca="false">IF(Tabla2[[#This Row],[Frecuencia]]="Annual", Tabla2[[#This Row],[Cosecha/Tarea]]/12,Tabla2[[#This Row],[Cosecha/Tarea]])</f>
        <v>10626</v>
      </c>
      <c r="F1449" s="3" t="n">
        <v>56405</v>
      </c>
      <c r="G1449" s="2" t="s">
        <v>18</v>
      </c>
      <c r="H1449" s="2" t="n">
        <f aca="false">F1449/Tabla2[[#This Row],[Cosecha Mensual]]</f>
        <v>5.30820628646716</v>
      </c>
      <c r="I1449" s="2" t="n">
        <f aca="false">H1449*_xlfn.XLOOKUP(Tabla2[[#This Row],[Unidad de producción]],Tabla3[Medida],Tabla3[Equivalencia en Kg],"ELVIS",0)</f>
        <v>240.78023715415</v>
      </c>
      <c r="J1449" s="2" t="n">
        <v>685.101190476191</v>
      </c>
      <c r="K1449" s="2" t="s">
        <v>18</v>
      </c>
      <c r="L1449" s="2" t="n">
        <f aca="false">J1449/_xlfn.XLOOKUP(Tabla2[[#This Row],[Unidad de precio]],Tabla3[Medida],Tabla3[Equivalencia en Kg],"ELVIS",0)</f>
        <v>15.1036417653481</v>
      </c>
      <c r="M1449" s="2" t="n">
        <v>1771.21219288463</v>
      </c>
      <c r="N1449" s="3" t="n">
        <f aca="false">(Tabla2[[#This Row],[Productividad (kg/TAS)]]*Tabla2[[#This Row],[Precio por kg]]-Tabla2[[#This Row],[Costos (En RD$/Tarea)]])</f>
        <v>1865.44625326722</v>
      </c>
      <c r="O1449" s="9" t="n">
        <f aca="false">IF(Tabla2[[#This Row],[Costos (En RD$/Tarea)]]=0,0,Tabla2[[#This Row],[Beneficio Neto  (En RD$/Tarea)]]/Tabla2[[#This Row],[Costos (En RD$/Tarea)]])</f>
        <v>1.05320314571069</v>
      </c>
      <c r="P1449" s="7" t="n">
        <f aca="false">Tabla2[[#This Row],[Rentabilidad (%)]]/12</f>
        <v>0.0877669288092241</v>
      </c>
    </row>
    <row r="1450" customFormat="false" ht="14.25" hidden="false" customHeight="false" outlineLevel="0" collapsed="false">
      <c r="A1450" s="1" t="n">
        <v>40179</v>
      </c>
      <c r="B1450" s="2" t="s">
        <v>27</v>
      </c>
      <c r="C1450" s="3" t="n">
        <v>5313</v>
      </c>
      <c r="D1450" s="8" t="s">
        <v>17</v>
      </c>
      <c r="E1450" s="3" t="n">
        <f aca="false">IF(Tabla2[[#This Row],[Frecuencia]]="Annual", Tabla2[[#This Row],[Cosecha/Tarea]]/12,Tabla2[[#This Row],[Cosecha/Tarea]])</f>
        <v>5313</v>
      </c>
      <c r="F1450" s="3" t="n">
        <v>25287</v>
      </c>
      <c r="G1450" s="2" t="s">
        <v>18</v>
      </c>
      <c r="H1450" s="2" t="n">
        <f aca="false">F1450/Tabla2[[#This Row],[Cosecha Mensual]]</f>
        <v>4.75945793337098</v>
      </c>
      <c r="I1450" s="2" t="n">
        <f aca="false">H1450*_xlfn.XLOOKUP(Tabla2[[#This Row],[Unidad de producción]],Tabla3[Medida],Tabla3[Equivalencia en Kg],"ELVIS",0)</f>
        <v>215.889011857708</v>
      </c>
      <c r="J1450" s="2" t="n">
        <v>284.6775</v>
      </c>
      <c r="K1450" s="2" t="s">
        <v>18</v>
      </c>
      <c r="L1450" s="2" t="n">
        <f aca="false">J1450/_xlfn.XLOOKUP(Tabla2[[#This Row],[Unidad de precio]],Tabla3[Medida],Tabla3[Equivalencia en Kg],"ELVIS",0)</f>
        <v>6.275958994709</v>
      </c>
      <c r="M1450" s="2" t="n">
        <v>6142.39107464557</v>
      </c>
      <c r="N1450" s="3" t="n">
        <f aca="false">(Tabla2[[#This Row],[Productividad (kg/TAS)]]*Tabla2[[#This Row],[Precio por kg]]-Tabla2[[#This Row],[Costos (En RD$/Tarea)]])</f>
        <v>-4787.48048881835</v>
      </c>
      <c r="O1450" s="9" t="n">
        <f aca="false">IF(Tabla2[[#This Row],[Costos (En RD$/Tarea)]]=0,0,Tabla2[[#This Row],[Beneficio Neto  (En RD$/Tarea)]]/Tabla2[[#This Row],[Costos (En RD$/Tarea)]])</f>
        <v>-0.779416424424686</v>
      </c>
      <c r="P1450" s="7" t="n">
        <f aca="false">Tabla2[[#This Row],[Rentabilidad (%)]]/12</f>
        <v>-0.0649513687020571</v>
      </c>
    </row>
    <row r="1451" customFormat="false" ht="14.25" hidden="false" customHeight="false" outlineLevel="0" collapsed="false">
      <c r="A1451" s="1" t="n">
        <v>40179</v>
      </c>
      <c r="B1451" s="2" t="s">
        <v>28</v>
      </c>
      <c r="C1451" s="3" t="n">
        <v>73359</v>
      </c>
      <c r="D1451" s="8" t="s">
        <v>17</v>
      </c>
      <c r="E1451" s="3" t="n">
        <f aca="false">IF(Tabla2[[#This Row],[Frecuencia]]="Annual", Tabla2[[#This Row],[Cosecha/Tarea]]/12,Tabla2[[#This Row],[Cosecha/Tarea]])</f>
        <v>73359</v>
      </c>
      <c r="F1451" s="3" t="n">
        <v>42300</v>
      </c>
      <c r="G1451" s="2" t="s">
        <v>29</v>
      </c>
      <c r="H1451" s="2" t="n">
        <f aca="false">F1451/Tabla2[[#This Row],[Cosecha Mensual]]</f>
        <v>0.57661636609005</v>
      </c>
      <c r="I1451" s="2" t="n">
        <f aca="false">H1451*_xlfn.XLOOKUP(Tabla2[[#This Row],[Unidad de producción]],Tabla3[Medida],Tabla3[Equivalencia en Kg],"ELVIS",0)</f>
        <v>324.254447307079</v>
      </c>
      <c r="J1451" s="2" t="n">
        <v>6686</v>
      </c>
      <c r="K1451" s="2" t="s">
        <v>29</v>
      </c>
      <c r="L1451" s="2" t="n">
        <f aca="false">J1451/_xlfn.XLOOKUP(Tabla2[[#This Row],[Unidad de precio]],Tabla3[Medida],Tabla3[Equivalencia en Kg],"ELVIS",0)</f>
        <v>11.8896041540705</v>
      </c>
      <c r="M1451" s="2" t="n">
        <v>6158.11903089474</v>
      </c>
      <c r="N1451" s="3" t="n">
        <f aca="false">(Tabla2[[#This Row],[Productividad (kg/TAS)]]*Tabla2[[#This Row],[Precio por kg]]-Tabla2[[#This Row],[Costos (En RD$/Tarea)]])</f>
        <v>-2302.86200721666</v>
      </c>
      <c r="O1451" s="9" t="n">
        <f aca="false">IF(Tabla2[[#This Row],[Costos (En RD$/Tarea)]]=0,0,Tabla2[[#This Row],[Beneficio Neto  (En RD$/Tarea)]]/Tabla2[[#This Row],[Costos (En RD$/Tarea)]])</f>
        <v>-0.373955423021771</v>
      </c>
      <c r="P1451" s="7" t="n">
        <f aca="false">Tabla2[[#This Row],[Rentabilidad (%)]]/12</f>
        <v>-0.031162951918481</v>
      </c>
    </row>
    <row r="1452" customFormat="false" ht="14.25" hidden="false" customHeight="false" outlineLevel="0" collapsed="false">
      <c r="A1452" s="1" t="n">
        <v>40179</v>
      </c>
      <c r="B1452" s="2" t="s">
        <v>30</v>
      </c>
      <c r="C1452" s="3" t="n">
        <v>306411</v>
      </c>
      <c r="D1452" s="3" t="s">
        <v>31</v>
      </c>
      <c r="E1452" s="3" t="n">
        <f aca="false">IF(Tabla2[[#This Row],[Frecuencia]]="Annual", Tabla2[[#This Row],[Cosecha/Tarea]]/12,Tabla2[[#This Row],[Cosecha/Tarea]])</f>
        <v>25534.25</v>
      </c>
      <c r="F1452" s="3" t="n">
        <v>2010967</v>
      </c>
      <c r="G1452" s="2" t="s">
        <v>32</v>
      </c>
      <c r="H1452" s="2" t="n">
        <f aca="false">F1452/Tabla2[[#This Row],[Cosecha Mensual]]</f>
        <v>78.7556713042286</v>
      </c>
      <c r="I1452" s="2" t="n">
        <f aca="false">H1452*_xlfn.XLOOKUP(Tabla2[[#This Row],[Unidad de producción]],Tabla3[Medida],Tabla3[Equivalencia en Kg],"ELVIS",0)</f>
        <v>2142.94181618806</v>
      </c>
      <c r="J1452" s="2" t="n">
        <v>120.510416666667</v>
      </c>
      <c r="K1452" s="2" t="s">
        <v>32</v>
      </c>
      <c r="L1452" s="2" t="n">
        <f aca="false">J1452/_xlfn.XLOOKUP(Tabla2[[#This Row],[Unidad de precio]],Tabla3[Medida],Tabla3[Equivalencia en Kg],"ELVIS",0)</f>
        <v>4.42890175180695</v>
      </c>
      <c r="M1452" s="3" t="n">
        <v>10497.9114219602</v>
      </c>
      <c r="N1452" s="3" t="n">
        <f aca="false">(Tabla2[[#This Row],[Productividad (kg/TAS)]]*Tabla2[[#This Row],[Precio por kg]]-Tabla2[[#This Row],[Costos (En RD$/Tarea)]])</f>
        <v>-1007.03265822454</v>
      </c>
      <c r="O1452" s="9" t="n">
        <f aca="false">IF(Tabla2[[#This Row],[Costos (En RD$/Tarea)]]=0,0,Tabla2[[#This Row],[Beneficio Neto  (En RD$/Tarea)]]/Tabla2[[#This Row],[Costos (En RD$/Tarea)]])</f>
        <v>-0.0959269532526216</v>
      </c>
      <c r="P1452" s="7" t="n">
        <f aca="false">Tabla2[[#This Row],[Rentabilidad (%)]]/12</f>
        <v>-0.0079939127710518</v>
      </c>
    </row>
    <row r="1453" customFormat="false" ht="14.25" hidden="false" customHeight="false" outlineLevel="0" collapsed="false">
      <c r="A1453" s="1" t="n">
        <v>40179</v>
      </c>
      <c r="B1453" s="2" t="s">
        <v>33</v>
      </c>
      <c r="C1453" s="3" t="n">
        <v>669729</v>
      </c>
      <c r="D1453" s="3" t="s">
        <v>31</v>
      </c>
      <c r="E1453" s="3" t="n">
        <f aca="false">IF(Tabla2[[#This Row],[Frecuencia]]="Annual", Tabla2[[#This Row],[Cosecha/Tarea]]/12,Tabla2[[#This Row],[Cosecha/Tarea]])</f>
        <v>55810.75</v>
      </c>
      <c r="F1453" s="3" t="n">
        <v>104616</v>
      </c>
      <c r="G1453" s="2" t="s">
        <v>34</v>
      </c>
      <c r="H1453" s="2" t="n">
        <f aca="false">F1453/Tabla2[[#This Row],[Cosecha Mensual]]</f>
        <v>1.87447758720318</v>
      </c>
      <c r="I1453" s="2" t="n">
        <f aca="false">H1453*_xlfn.XLOOKUP(Tabla2[[#This Row],[Unidad de producción]],Tabla3[Medida],Tabla3[Equivalencia en Kg],"ELVIS",0)</f>
        <v>765.068027216979</v>
      </c>
      <c r="J1453" s="2" t="n">
        <v>4205.859375</v>
      </c>
      <c r="K1453" s="2" t="s">
        <v>34</v>
      </c>
      <c r="L1453" s="2" t="n">
        <f aca="false">J1453/_xlfn.XLOOKUP(Tabla2[[#This Row],[Unidad de precio]],Tabla3[Medida],Tabla3[Equivalencia en Kg],"ELVIS",0)</f>
        <v>10.3046903711871</v>
      </c>
      <c r="M1453" s="3" t="n">
        <v>9292.97349690822</v>
      </c>
      <c r="N1453" s="3" t="n">
        <f aca="false">(Tabla2[[#This Row],[Productividad (kg/TAS)]]*Tabla2[[#This Row],[Precio por kg]]-Tabla2[[#This Row],[Costos (En RD$/Tarea)]])</f>
        <v>-1409.18436354234</v>
      </c>
      <c r="O1453" s="9" t="n">
        <f aca="false">IF(Tabla2[[#This Row],[Costos (En RD$/Tarea)]]=0,0,Tabla2[[#This Row],[Beneficio Neto  (En RD$/Tarea)]]/Tabla2[[#This Row],[Costos (En RD$/Tarea)]])</f>
        <v>-0.151639769984405</v>
      </c>
      <c r="P1453" s="7" t="n">
        <f aca="false">Tabla2[[#This Row],[Rentabilidad (%)]]/12</f>
        <v>-0.0126366474987004</v>
      </c>
    </row>
    <row r="1454" customFormat="false" ht="14.25" hidden="false" customHeight="false" outlineLevel="0" collapsed="false">
      <c r="A1454" s="1" t="n">
        <v>40210</v>
      </c>
      <c r="B1454" s="2" t="s">
        <v>16</v>
      </c>
      <c r="C1454" s="3" t="n">
        <v>2216</v>
      </c>
      <c r="D1454" s="8" t="s">
        <v>17</v>
      </c>
      <c r="E1454" s="3" t="n">
        <f aca="false">IF(Tabla2[[#This Row],[Frecuencia]]="Annual", Tabla2[[#This Row],[Cosecha/Tarea]]/12,Tabla2[[#This Row],[Cosecha/Tarea]])</f>
        <v>2216</v>
      </c>
      <c r="F1454" s="3" t="n">
        <v>8597</v>
      </c>
      <c r="G1454" s="2" t="s">
        <v>18</v>
      </c>
      <c r="H1454" s="2" t="n">
        <f aca="false">F1454/Tabla2[[#This Row],[Cosecha Mensual]]</f>
        <v>3.87951263537906</v>
      </c>
      <c r="I1454" s="2" t="n">
        <f aca="false">H1454*_xlfn.XLOOKUP(Tabla2[[#This Row],[Unidad de producción]],Tabla3[Medida],Tabla3[Equivalencia en Kg],"ELVIS",0)</f>
        <v>175.974693140794</v>
      </c>
      <c r="J1454" s="2" t="n">
        <v>1985.33583333333</v>
      </c>
      <c r="K1454" s="2" t="s">
        <v>19</v>
      </c>
      <c r="L1454" s="2" t="n">
        <f aca="false">J1454/_xlfn.XLOOKUP(Tabla2[[#This Row],[Unidad de precio]],Tabla3[Medida],Tabla3[Equivalencia en Kg],"ELVIS",0)</f>
        <v>18.0485075757575</v>
      </c>
      <c r="M1454" s="2" t="n">
        <v>7449.80873820933</v>
      </c>
      <c r="N1454" s="3" t="n">
        <f aca="false">(Tabla2[[#This Row],[Productividad (kg/TAS)]]*Tabla2[[#This Row],[Precio por kg]]-Tabla2[[#This Row],[Costos (En RD$/Tarea)]])</f>
        <v>-4273.7281559161</v>
      </c>
      <c r="O1454" s="9" t="n">
        <f aca="false">IF(Tabla2[[#This Row],[Costos (En RD$/Tarea)]]=0,0,Tabla2[[#This Row],[Beneficio Neto  (En RD$/Tarea)]]/Tabla2[[#This Row],[Costos (En RD$/Tarea)]])</f>
        <v>-0.573669513687857</v>
      </c>
      <c r="P1454" s="7" t="n">
        <f aca="false">Tabla2[[#This Row],[Rentabilidad (%)]]/12</f>
        <v>-0.0478057928073214</v>
      </c>
    </row>
    <row r="1455" customFormat="false" ht="14.25" hidden="false" customHeight="false" outlineLevel="0" collapsed="false">
      <c r="A1455" s="1" t="n">
        <v>40210</v>
      </c>
      <c r="B1455" s="2" t="s">
        <v>20</v>
      </c>
      <c r="C1455" s="3" t="n">
        <v>29327</v>
      </c>
      <c r="D1455" s="8" t="s">
        <v>17</v>
      </c>
      <c r="E1455" s="3" t="n">
        <f aca="false">IF(Tabla2[[#This Row],[Frecuencia]]="Annual", Tabla2[[#This Row],[Cosecha/Tarea]]/12,Tabla2[[#This Row],[Cosecha/Tarea]])</f>
        <v>29327</v>
      </c>
      <c r="F1455" s="3" t="n">
        <v>71920</v>
      </c>
      <c r="G1455" s="2" t="s">
        <v>18</v>
      </c>
      <c r="H1455" s="2" t="n">
        <f aca="false">F1455/Tabla2[[#This Row],[Cosecha Mensual]]</f>
        <v>2.45234766597334</v>
      </c>
      <c r="I1455" s="2" t="n">
        <f aca="false">H1455*_xlfn.XLOOKUP(Tabla2[[#This Row],[Unidad de producción]],Tabla3[Medida],Tabla3[Equivalencia en Kg],"ELVIS",0)</f>
        <v>111.23849012855</v>
      </c>
      <c r="J1455" s="2" t="n">
        <v>672.392678571429</v>
      </c>
      <c r="K1455" s="2" t="s">
        <v>18</v>
      </c>
      <c r="L1455" s="2" t="n">
        <f aca="false">J1455/_xlfn.XLOOKUP(Tabla2[[#This Row],[Unidad de precio]],Tabla3[Medida],Tabla3[Equivalencia en Kg],"ELVIS",0)</f>
        <v>14.823471749811</v>
      </c>
      <c r="M1455" s="2" t="n">
        <v>2162.02023182316</v>
      </c>
      <c r="N1455" s="3" t="n">
        <f aca="false">(Tabla2[[#This Row],[Productividad (kg/TAS)]]*Tabla2[[#This Row],[Precio por kg]]-Tabla2[[#This Row],[Costos (En RD$/Tarea)]])</f>
        <v>-513.079615910957</v>
      </c>
      <c r="O1455" s="9" t="n">
        <f aca="false">IF(Tabla2[[#This Row],[Costos (En RD$/Tarea)]]=0,0,Tabla2[[#This Row],[Beneficio Neto  (En RD$/Tarea)]]/Tabla2[[#This Row],[Costos (En RD$/Tarea)]])</f>
        <v>-0.237314900369038</v>
      </c>
      <c r="P1455" s="7" t="n">
        <f aca="false">Tabla2[[#This Row],[Rentabilidad (%)]]/12</f>
        <v>-0.0197762416974198</v>
      </c>
    </row>
    <row r="1456" customFormat="false" ht="14.25" hidden="false" customHeight="false" outlineLevel="0" collapsed="false">
      <c r="A1456" s="1" t="n">
        <v>40210</v>
      </c>
      <c r="B1456" s="2" t="s">
        <v>21</v>
      </c>
      <c r="C1456" s="3" t="n">
        <v>9954</v>
      </c>
      <c r="D1456" s="8" t="s">
        <v>17</v>
      </c>
      <c r="E1456" s="3" t="n">
        <f aca="false">IF(Tabla2[[#This Row],[Frecuencia]]="Annual", Tabla2[[#This Row],[Cosecha/Tarea]]/12,Tabla2[[#This Row],[Cosecha/Tarea]])</f>
        <v>9954</v>
      </c>
      <c r="F1456" s="3" t="n">
        <v>105464</v>
      </c>
      <c r="G1456" s="2" t="s">
        <v>18</v>
      </c>
      <c r="H1456" s="2" t="n">
        <f aca="false">F1456/Tabla2[[#This Row],[Cosecha Mensual]]</f>
        <v>10.5951376331123</v>
      </c>
      <c r="I1456" s="2" t="n">
        <f aca="false">H1456*_xlfn.XLOOKUP(Tabla2[[#This Row],[Unidad de producción]],Tabla3[Medida],Tabla3[Equivalencia en Kg],"ELVIS",0)</f>
        <v>480.595443037975</v>
      </c>
      <c r="J1456" s="2" t="n">
        <v>508.607142857143</v>
      </c>
      <c r="K1456" s="2" t="s">
        <v>18</v>
      </c>
      <c r="L1456" s="2" t="n">
        <f aca="false">J1456/_xlfn.XLOOKUP(Tabla2[[#This Row],[Unidad de precio]],Tabla3[Medida],Tabla3[Equivalencia en Kg],"ELVIS",0)</f>
        <v>11.2126795162509</v>
      </c>
      <c r="M1456" s="2" t="n">
        <v>4521.4268875</v>
      </c>
      <c r="N1456" s="3" t="n">
        <f aca="false">(Tabla2[[#This Row],[Productividad (kg/TAS)]]*Tabla2[[#This Row],[Precio por kg]]-Tabla2[[#This Row],[Costos (En RD$/Tarea)]])</f>
        <v>867.335792255448</v>
      </c>
      <c r="O1456" s="9" t="n">
        <f aca="false">IF(Tabla2[[#This Row],[Costos (En RD$/Tarea)]]=0,0,Tabla2[[#This Row],[Beneficio Neto  (En RD$/Tarea)]]/Tabla2[[#This Row],[Costos (En RD$/Tarea)]])</f>
        <v>0.191827892794926</v>
      </c>
      <c r="P1456" s="7" t="n">
        <f aca="false">Tabla2[[#This Row],[Rentabilidad (%)]]/12</f>
        <v>0.0159856577329105</v>
      </c>
    </row>
    <row r="1457" customFormat="false" ht="14.25" hidden="false" customHeight="false" outlineLevel="0" collapsed="false">
      <c r="A1457" s="1" t="n">
        <v>40210</v>
      </c>
      <c r="B1457" s="2" t="s">
        <v>22</v>
      </c>
      <c r="C1457" s="3" t="n">
        <v>8825</v>
      </c>
      <c r="D1457" s="8" t="s">
        <v>17</v>
      </c>
      <c r="E1457" s="3" t="n">
        <f aca="false">IF(Tabla2[[#This Row],[Frecuencia]]="Annual", Tabla2[[#This Row],[Cosecha/Tarea]]/12,Tabla2[[#This Row],[Cosecha/Tarea]])</f>
        <v>8825</v>
      </c>
      <c r="F1457" s="3" t="n">
        <v>83837</v>
      </c>
      <c r="G1457" s="2" t="s">
        <v>18</v>
      </c>
      <c r="H1457" s="2" t="n">
        <f aca="false">F1457/Tabla2[[#This Row],[Cosecha Mensual]]</f>
        <v>9.4999433427762</v>
      </c>
      <c r="I1457" s="2" t="n">
        <f aca="false">H1457*_xlfn.XLOOKUP(Tabla2[[#This Row],[Unidad de producción]],Tabla3[Medida],Tabla3[Equivalencia en Kg],"ELVIS",0)</f>
        <v>430.917430028329</v>
      </c>
      <c r="J1457" s="2" t="n">
        <v>1045</v>
      </c>
      <c r="K1457" s="2" t="s">
        <v>18</v>
      </c>
      <c r="L1457" s="2" t="n">
        <f aca="false">J1457/_xlfn.XLOOKUP(Tabla2[[#This Row],[Unidad de precio]],Tabla3[Medida],Tabla3[Equivalencia en Kg],"ELVIS",0)</f>
        <v>23.0379188712522</v>
      </c>
      <c r="M1457" s="2" t="n">
        <v>7599.7694060736</v>
      </c>
      <c r="N1457" s="3" t="n">
        <f aca="false">(Tabla2[[#This Row],[Productividad (kg/TAS)]]*Tabla2[[#This Row],[Precio por kg]]-Tabla2[[#This Row],[Costos (En RD$/Tarea)]])</f>
        <v>2327.67138712753</v>
      </c>
      <c r="O1457" s="9" t="n">
        <f aca="false">IF(Tabla2[[#This Row],[Costos (En RD$/Tarea)]]=0,0,Tabla2[[#This Row],[Beneficio Neto  (En RD$/Tarea)]]/Tabla2[[#This Row],[Costos (En RD$/Tarea)]])</f>
        <v>0.306281843929015</v>
      </c>
      <c r="P1457" s="7" t="n">
        <f aca="false">Tabla2[[#This Row],[Rentabilidad (%)]]/12</f>
        <v>0.0255234869940846</v>
      </c>
    </row>
    <row r="1458" customFormat="false" ht="14.25" hidden="false" customHeight="false" outlineLevel="0" collapsed="false">
      <c r="A1458" s="1" t="n">
        <v>40210</v>
      </c>
      <c r="B1458" s="2" t="s">
        <v>23</v>
      </c>
      <c r="C1458" s="3" t="n">
        <v>3838</v>
      </c>
      <c r="D1458" s="8" t="s">
        <v>17</v>
      </c>
      <c r="E1458" s="3" t="n">
        <f aca="false">IF(Tabla2[[#This Row],[Frecuencia]]="Annual", Tabla2[[#This Row],[Cosecha/Tarea]]/12,Tabla2[[#This Row],[Cosecha/Tarea]])</f>
        <v>3838</v>
      </c>
      <c r="F1458" s="3" t="n">
        <v>137746</v>
      </c>
      <c r="G1458" s="2" t="s">
        <v>18</v>
      </c>
      <c r="H1458" s="2" t="n">
        <f aca="false">F1458/Tabla2[[#This Row],[Cosecha Mensual]]</f>
        <v>35.8900468994268</v>
      </c>
      <c r="I1458" s="2" t="n">
        <f aca="false">H1458*_xlfn.XLOOKUP(Tabla2[[#This Row],[Unidad de producción]],Tabla3[Medida],Tabla3[Equivalencia en Kg],"ELVIS",0)</f>
        <v>1627.972527358</v>
      </c>
      <c r="J1458" s="2" t="n">
        <v>734.895833333333</v>
      </c>
      <c r="K1458" s="2" t="s">
        <v>18</v>
      </c>
      <c r="L1458" s="2" t="n">
        <f aca="false">J1458/_xlfn.XLOOKUP(Tabla2[[#This Row],[Unidad de precio]],Tabla3[Medida],Tabla3[Equivalencia en Kg],"ELVIS",0)</f>
        <v>16.201407260435</v>
      </c>
      <c r="M1458" s="2" t="n">
        <v>20327.21</v>
      </c>
      <c r="N1458" s="3" t="n">
        <f aca="false">(Tabla2[[#This Row],[Productividad (kg/TAS)]]*Tabla2[[#This Row],[Precio por kg]]-Tabla2[[#This Row],[Costos (En RD$/Tarea)]])</f>
        <v>6048.23592452666</v>
      </c>
      <c r="O1458" s="9" t="n">
        <f aca="false">IF(Tabla2[[#This Row],[Costos (En RD$/Tarea)]]=0,0,Tabla2[[#This Row],[Beneficio Neto  (En RD$/Tarea)]]/Tabla2[[#This Row],[Costos (En RD$/Tarea)]])</f>
        <v>0.29754383038925</v>
      </c>
      <c r="P1458" s="7" t="n">
        <f aca="false">Tabla2[[#This Row],[Rentabilidad (%)]]/12</f>
        <v>0.0247953191991041</v>
      </c>
    </row>
    <row r="1459" customFormat="false" ht="14.25" hidden="false" customHeight="false" outlineLevel="0" collapsed="false">
      <c r="A1459" s="1" t="n">
        <v>40210</v>
      </c>
      <c r="B1459" s="2" t="s">
        <v>24</v>
      </c>
      <c r="C1459" s="3" t="n">
        <v>7527</v>
      </c>
      <c r="D1459" s="8" t="s">
        <v>17</v>
      </c>
      <c r="E1459" s="3" t="n">
        <f aca="false">IF(Tabla2[[#This Row],[Frecuencia]]="Annual", Tabla2[[#This Row],[Cosecha/Tarea]]/12,Tabla2[[#This Row],[Cosecha/Tarea]])</f>
        <v>7527</v>
      </c>
      <c r="F1459" s="3" t="n">
        <v>64907</v>
      </c>
      <c r="G1459" s="2" t="s">
        <v>18</v>
      </c>
      <c r="H1459" s="2" t="n">
        <f aca="false">F1459/Tabla2[[#This Row],[Cosecha Mensual]]</f>
        <v>8.62322306363757</v>
      </c>
      <c r="I1459" s="2" t="n">
        <f aca="false">H1459*_xlfn.XLOOKUP(Tabla2[[#This Row],[Unidad de producción]],Tabla3[Medida],Tabla3[Equivalencia en Kg],"ELVIS",0)</f>
        <v>391.1493981666</v>
      </c>
      <c r="J1459" s="2" t="n">
        <v>1288.21527777778</v>
      </c>
      <c r="K1459" s="2" t="s">
        <v>18</v>
      </c>
      <c r="L1459" s="2" t="n">
        <f aca="false">J1459/_xlfn.XLOOKUP(Tabla2[[#This Row],[Unidad de precio]],Tabla3[Medida],Tabla3[Equivalencia en Kg],"ELVIS",0)</f>
        <v>28.3998077111504</v>
      </c>
      <c r="M1459" s="2" t="n">
        <v>6579.6044973696</v>
      </c>
      <c r="N1459" s="3" t="n">
        <f aca="false">(Tabla2[[#This Row],[Productividad (kg/TAS)]]*Tabla2[[#This Row],[Precio por kg]]-Tabla2[[#This Row],[Costos (En RD$/Tarea)]])</f>
        <v>4528.96319689404</v>
      </c>
      <c r="O1459" s="9" t="n">
        <f aca="false">IF(Tabla2[[#This Row],[Costos (En RD$/Tarea)]]=0,0,Tabla2[[#This Row],[Beneficio Neto  (En RD$/Tarea)]]/Tabla2[[#This Row],[Costos (En RD$/Tarea)]])</f>
        <v>0.688333652684539</v>
      </c>
      <c r="P1459" s="7" t="n">
        <f aca="false">Tabla2[[#This Row],[Rentabilidad (%)]]/12</f>
        <v>0.0573611377237116</v>
      </c>
    </row>
    <row r="1460" customFormat="false" ht="14.25" hidden="false" customHeight="false" outlineLevel="0" collapsed="false">
      <c r="A1460" s="1" t="n">
        <v>40210</v>
      </c>
      <c r="B1460" s="2" t="s">
        <v>25</v>
      </c>
      <c r="C1460" s="3" t="n">
        <v>69287</v>
      </c>
      <c r="D1460" s="8" t="s">
        <v>17</v>
      </c>
      <c r="E1460" s="3" t="n">
        <f aca="false">IF(Tabla2[[#This Row],[Frecuencia]]="Annual", Tabla2[[#This Row],[Cosecha/Tarea]]/12,Tabla2[[#This Row],[Cosecha/Tarea]])</f>
        <v>69287</v>
      </c>
      <c r="F1460" s="3" t="n">
        <v>822124</v>
      </c>
      <c r="G1460" s="2" t="s">
        <v>18</v>
      </c>
      <c r="H1460" s="2" t="n">
        <f aca="false">F1460/Tabla2[[#This Row],[Cosecha Mensual]]</f>
        <v>11.8654870321994</v>
      </c>
      <c r="I1460" s="2" t="n">
        <f aca="false">H1460*_xlfn.XLOOKUP(Tabla2[[#This Row],[Unidad de producción]],Tabla3[Medida],Tabla3[Equivalencia en Kg],"ELVIS",0)</f>
        <v>538.218491780565</v>
      </c>
      <c r="J1460" s="2" t="n">
        <v>289.489285714286</v>
      </c>
      <c r="K1460" s="2" t="s">
        <v>18</v>
      </c>
      <c r="L1460" s="2" t="n">
        <f aca="false">J1460/_xlfn.XLOOKUP(Tabla2[[#This Row],[Unidad de precio]],Tabla3[Medida],Tabla3[Equivalencia en Kg],"ELVIS",0)</f>
        <v>6.38203892668179</v>
      </c>
      <c r="M1460" s="2" t="n">
        <v>3734.00643997985</v>
      </c>
      <c r="N1460" s="3" t="n">
        <f aca="false">(Tabla2[[#This Row],[Productividad (kg/TAS)]]*Tabla2[[#This Row],[Precio por kg]]-Tabla2[[#This Row],[Costos (En RD$/Tarea)]])</f>
        <v>-299.075074376322</v>
      </c>
      <c r="O1460" s="9" t="n">
        <f aca="false">IF(Tabla2[[#This Row],[Costos (En RD$/Tarea)]]=0,0,Tabla2[[#This Row],[Beneficio Neto  (En RD$/Tarea)]]/Tabla2[[#This Row],[Costos (En RD$/Tarea)]])</f>
        <v>-0.0800949540884928</v>
      </c>
      <c r="P1460" s="7" t="n">
        <f aca="false">Tabla2[[#This Row],[Rentabilidad (%)]]/12</f>
        <v>-0.0066745795073744</v>
      </c>
    </row>
    <row r="1461" customFormat="false" ht="14.25" hidden="false" customHeight="false" outlineLevel="0" collapsed="false">
      <c r="A1461" s="1" t="n">
        <v>40210</v>
      </c>
      <c r="B1461" s="2" t="s">
        <v>26</v>
      </c>
      <c r="C1461" s="3" t="n">
        <v>12005</v>
      </c>
      <c r="D1461" s="8" t="s">
        <v>17</v>
      </c>
      <c r="E1461" s="3" t="n">
        <f aca="false">IF(Tabla2[[#This Row],[Frecuencia]]="Annual", Tabla2[[#This Row],[Cosecha/Tarea]]/12,Tabla2[[#This Row],[Cosecha/Tarea]])</f>
        <v>12005</v>
      </c>
      <c r="F1461" s="3" t="n">
        <v>81655</v>
      </c>
      <c r="G1461" s="2" t="s">
        <v>18</v>
      </c>
      <c r="H1461" s="2" t="n">
        <f aca="false">F1461/Tabla2[[#This Row],[Cosecha Mensual]]</f>
        <v>6.80174927113703</v>
      </c>
      <c r="I1461" s="2" t="n">
        <f aca="false">H1461*_xlfn.XLOOKUP(Tabla2[[#This Row],[Unidad de producción]],Tabla3[Medida],Tabla3[Equivalencia en Kg],"ELVIS",0)</f>
        <v>308.527346938776</v>
      </c>
      <c r="J1461" s="2" t="n">
        <v>599.241666666667</v>
      </c>
      <c r="K1461" s="2" t="s">
        <v>18</v>
      </c>
      <c r="L1461" s="2" t="n">
        <f aca="false">J1461/_xlfn.XLOOKUP(Tabla2[[#This Row],[Unidad de precio]],Tabla3[Medida],Tabla3[Equivalencia en Kg],"ELVIS",0)</f>
        <v>13.2107951205174</v>
      </c>
      <c r="M1461" s="2" t="n">
        <v>1771.21219288463</v>
      </c>
      <c r="N1461" s="3" t="n">
        <f aca="false">(Tabla2[[#This Row],[Productividad (kg/TAS)]]*Tabla2[[#This Row],[Precio por kg]]-Tabla2[[#This Row],[Costos (En RD$/Tarea)]])</f>
        <v>2304.67937660031</v>
      </c>
      <c r="O1461" s="9" t="n">
        <f aca="false">IF(Tabla2[[#This Row],[Costos (En RD$/Tarea)]]=0,0,Tabla2[[#This Row],[Beneficio Neto  (En RD$/Tarea)]]/Tabla2[[#This Row],[Costos (En RD$/Tarea)]])</f>
        <v>1.30118761933705</v>
      </c>
      <c r="P1461" s="7" t="n">
        <f aca="false">Tabla2[[#This Row],[Rentabilidad (%)]]/12</f>
        <v>0.108432301611421</v>
      </c>
    </row>
    <row r="1462" customFormat="false" ht="14.25" hidden="false" customHeight="false" outlineLevel="0" collapsed="false">
      <c r="A1462" s="1" t="n">
        <v>40210</v>
      </c>
      <c r="B1462" s="2" t="s">
        <v>27</v>
      </c>
      <c r="C1462" s="3" t="n">
        <v>6030</v>
      </c>
      <c r="D1462" s="8" t="s">
        <v>17</v>
      </c>
      <c r="E1462" s="3" t="n">
        <f aca="false">IF(Tabla2[[#This Row],[Frecuencia]]="Annual", Tabla2[[#This Row],[Cosecha/Tarea]]/12,Tabla2[[#This Row],[Cosecha/Tarea]])</f>
        <v>6030</v>
      </c>
      <c r="F1462" s="3" t="n">
        <v>40702</v>
      </c>
      <c r="G1462" s="2" t="s">
        <v>18</v>
      </c>
      <c r="H1462" s="2" t="n">
        <f aca="false">F1462/Tabla2[[#This Row],[Cosecha Mensual]]</f>
        <v>6.74991708126037</v>
      </c>
      <c r="I1462" s="2" t="n">
        <f aca="false">H1462*_xlfn.XLOOKUP(Tabla2[[#This Row],[Unidad de producción]],Tabla3[Medida],Tabla3[Equivalencia en Kg],"ELVIS",0)</f>
        <v>306.17623880597</v>
      </c>
      <c r="J1462" s="2" t="n">
        <v>293.673333333333</v>
      </c>
      <c r="K1462" s="2" t="s">
        <v>18</v>
      </c>
      <c r="L1462" s="2" t="n">
        <f aca="false">J1462/_xlfn.XLOOKUP(Tabla2[[#This Row],[Unidad de precio]],Tabla3[Medida],Tabla3[Equivalencia en Kg],"ELVIS",0)</f>
        <v>6.47427983539094</v>
      </c>
      <c r="M1462" s="2" t="n">
        <v>6142.39107464557</v>
      </c>
      <c r="N1462" s="3" t="n">
        <f aca="false">(Tabla2[[#This Row],[Productividad (kg/TAS)]]*Tabla2[[#This Row],[Precio por kg]]-Tabla2[[#This Row],[Costos (En RD$/Tarea)]])</f>
        <v>-4160.12042566824</v>
      </c>
      <c r="O1462" s="9" t="n">
        <f aca="false">IF(Tabla2[[#This Row],[Costos (En RD$/Tarea)]]=0,0,Tabla2[[#This Row],[Beneficio Neto  (En RD$/Tarea)]]/Tabla2[[#This Row],[Costos (En RD$/Tarea)]])</f>
        <v>-0.677280292822822</v>
      </c>
      <c r="P1462" s="7" t="n">
        <f aca="false">Tabla2[[#This Row],[Rentabilidad (%)]]/12</f>
        <v>-0.0564400244019018</v>
      </c>
    </row>
    <row r="1463" customFormat="false" ht="14.25" hidden="false" customHeight="false" outlineLevel="0" collapsed="false">
      <c r="A1463" s="1" t="n">
        <v>40210</v>
      </c>
      <c r="B1463" s="2" t="s">
        <v>28</v>
      </c>
      <c r="C1463" s="3" t="n">
        <v>80134</v>
      </c>
      <c r="D1463" s="8" t="s">
        <v>17</v>
      </c>
      <c r="E1463" s="3" t="n">
        <f aca="false">IF(Tabla2[[#This Row],[Frecuencia]]="Annual", Tabla2[[#This Row],[Cosecha/Tarea]]/12,Tabla2[[#This Row],[Cosecha/Tarea]])</f>
        <v>80134</v>
      </c>
      <c r="F1463" s="3" t="n">
        <v>45591</v>
      </c>
      <c r="G1463" s="2" t="s">
        <v>29</v>
      </c>
      <c r="H1463" s="2" t="n">
        <f aca="false">F1463/Tabla2[[#This Row],[Cosecha Mensual]]</f>
        <v>0.568934534654454</v>
      </c>
      <c r="I1463" s="2" t="n">
        <f aca="false">H1463*_xlfn.XLOOKUP(Tabla2[[#This Row],[Unidad de producción]],Tabla3[Medida],Tabla3[Equivalencia en Kg],"ELVIS",0)</f>
        <v>319.934646217586</v>
      </c>
      <c r="J1463" s="2" t="n">
        <v>7453.5</v>
      </c>
      <c r="K1463" s="2" t="s">
        <v>29</v>
      </c>
      <c r="L1463" s="2" t="n">
        <f aca="false">J1463/_xlfn.XLOOKUP(Tabla2[[#This Row],[Unidad de precio]],Tabla3[Medida],Tabla3[Equivalencia en Kg],"ELVIS",0)</f>
        <v>13.2544368175837</v>
      </c>
      <c r="M1463" s="2" t="n">
        <v>6158.11903089474</v>
      </c>
      <c r="N1463" s="3" t="n">
        <f aca="false">(Tabla2[[#This Row],[Productividad (kg/TAS)]]*Tabla2[[#This Row],[Precio por kg]]-Tabla2[[#This Row],[Costos (En RD$/Tarea)]])</f>
        <v>-1917.56547684777</v>
      </c>
      <c r="O1463" s="9" t="n">
        <f aca="false">IF(Tabla2[[#This Row],[Costos (En RD$/Tarea)]]=0,0,Tabla2[[#This Row],[Beneficio Neto  (En RD$/Tarea)]]/Tabla2[[#This Row],[Costos (En RD$/Tarea)]])</f>
        <v>-0.311388179934086</v>
      </c>
      <c r="P1463" s="7" t="n">
        <f aca="false">Tabla2[[#This Row],[Rentabilidad (%)]]/12</f>
        <v>-0.0259490149945071</v>
      </c>
    </row>
    <row r="1464" customFormat="false" ht="14.25" hidden="false" customHeight="false" outlineLevel="0" collapsed="false">
      <c r="A1464" s="1" t="n">
        <v>40210</v>
      </c>
      <c r="B1464" s="2" t="s">
        <v>30</v>
      </c>
      <c r="C1464" s="3" t="n">
        <v>306292</v>
      </c>
      <c r="D1464" s="3" t="s">
        <v>31</v>
      </c>
      <c r="E1464" s="3" t="n">
        <f aca="false">IF(Tabla2[[#This Row],[Frecuencia]]="Annual", Tabla2[[#This Row],[Cosecha/Tarea]]/12,Tabla2[[#This Row],[Cosecha/Tarea]])</f>
        <v>25524.3333333333</v>
      </c>
      <c r="F1464" s="3" t="n">
        <v>1980177</v>
      </c>
      <c r="G1464" s="2" t="s">
        <v>32</v>
      </c>
      <c r="H1464" s="2" t="n">
        <f aca="false">F1464/Tabla2[[#This Row],[Cosecha Mensual]]</f>
        <v>77.5799694409257</v>
      </c>
      <c r="I1464" s="2" t="n">
        <f aca="false">H1464*_xlfn.XLOOKUP(Tabla2[[#This Row],[Unidad de producción]],Tabla3[Medida],Tabla3[Equivalencia en Kg],"ELVIS",0)</f>
        <v>2110.95096848759</v>
      </c>
      <c r="J1464" s="2" t="n">
        <v>110.886904761905</v>
      </c>
      <c r="K1464" s="2" t="s">
        <v>32</v>
      </c>
      <c r="L1464" s="2" t="n">
        <f aca="false">J1464/_xlfn.XLOOKUP(Tabla2[[#This Row],[Unidad de precio]],Tabla3[Medida],Tabla3[Equivalencia en Kg],"ELVIS",0)</f>
        <v>4.07522619485134</v>
      </c>
      <c r="M1464" s="3" t="n">
        <v>10497.9114219602</v>
      </c>
      <c r="N1464" s="3" t="n">
        <f aca="false">(Tabla2[[#This Row],[Productividad (kg/TAS)]]*Tabla2[[#This Row],[Precio por kg]]-Tabla2[[#This Row],[Costos (En RD$/Tarea)]])</f>
        <v>-1895.30873913278</v>
      </c>
      <c r="O1464" s="9" t="n">
        <f aca="false">IF(Tabla2[[#This Row],[Costos (En RD$/Tarea)]]=0,0,Tabla2[[#This Row],[Beneficio Neto  (En RD$/Tarea)]]/Tabla2[[#This Row],[Costos (En RD$/Tarea)]])</f>
        <v>-0.180541506110258</v>
      </c>
      <c r="P1464" s="7" t="n">
        <f aca="false">Tabla2[[#This Row],[Rentabilidad (%)]]/12</f>
        <v>-0.0150451255091882</v>
      </c>
    </row>
    <row r="1465" customFormat="false" ht="14.25" hidden="false" customHeight="false" outlineLevel="0" collapsed="false">
      <c r="A1465" s="1" t="n">
        <v>40210</v>
      </c>
      <c r="B1465" s="2" t="s">
        <v>33</v>
      </c>
      <c r="C1465" s="3" t="n">
        <v>656613</v>
      </c>
      <c r="D1465" s="3" t="s">
        <v>31</v>
      </c>
      <c r="E1465" s="3" t="n">
        <f aca="false">IF(Tabla2[[#This Row],[Frecuencia]]="Annual", Tabla2[[#This Row],[Cosecha/Tarea]]/12,Tabla2[[#This Row],[Cosecha/Tarea]])</f>
        <v>54717.75</v>
      </c>
      <c r="F1465" s="3" t="n">
        <v>107113</v>
      </c>
      <c r="G1465" s="2" t="s">
        <v>34</v>
      </c>
      <c r="H1465" s="2" t="n">
        <f aca="false">F1465/Tabla2[[#This Row],[Cosecha Mensual]]</f>
        <v>1.95755490677157</v>
      </c>
      <c r="I1465" s="2" t="n">
        <f aca="false">H1465*_xlfn.XLOOKUP(Tabla2[[#This Row],[Unidad de producción]],Tabla3[Medida],Tabla3[Equivalencia en Kg],"ELVIS",0)</f>
        <v>798.976035198816</v>
      </c>
      <c r="J1465" s="2" t="n">
        <v>4653.33333333333</v>
      </c>
      <c r="K1465" s="2" t="s">
        <v>34</v>
      </c>
      <c r="L1465" s="2" t="n">
        <f aca="false">J1465/_xlfn.XLOOKUP(Tabla2[[#This Row],[Unidad de precio]],Tabla3[Medida],Tabla3[Equivalencia en Kg],"ELVIS",0)</f>
        <v>11.4010372003757</v>
      </c>
      <c r="M1465" s="3" t="n">
        <v>9292.97349690822</v>
      </c>
      <c r="N1465" s="3" t="n">
        <f aca="false">(Tabla2[[#This Row],[Productividad (kg/TAS)]]*Tabla2[[#This Row],[Precio por kg]]-Tabla2[[#This Row],[Costos (En RD$/Tarea)]])</f>
        <v>-183.81799739786</v>
      </c>
      <c r="O1465" s="9" t="n">
        <f aca="false">IF(Tabla2[[#This Row],[Costos (En RD$/Tarea)]]=0,0,Tabla2[[#This Row],[Beneficio Neto  (En RD$/Tarea)]]/Tabla2[[#This Row],[Costos (En RD$/Tarea)]])</f>
        <v>-0.0197803208476831</v>
      </c>
      <c r="P1465" s="7" t="n">
        <f aca="false">Tabla2[[#This Row],[Rentabilidad (%)]]/12</f>
        <v>-0.00164836007064026</v>
      </c>
    </row>
    <row r="1466" customFormat="false" ht="14.25" hidden="false" customHeight="false" outlineLevel="0" collapsed="false">
      <c r="A1466" s="1" t="n">
        <v>40238</v>
      </c>
      <c r="B1466" s="2" t="s">
        <v>16</v>
      </c>
      <c r="C1466" s="3" t="n">
        <v>117633</v>
      </c>
      <c r="D1466" s="8" t="s">
        <v>17</v>
      </c>
      <c r="E1466" s="3" t="n">
        <f aca="false">IF(Tabla2[[#This Row],[Frecuencia]]="Annual", Tabla2[[#This Row],[Cosecha/Tarea]]/12,Tabla2[[#This Row],[Cosecha/Tarea]])</f>
        <v>117633</v>
      </c>
      <c r="F1466" s="3" t="n">
        <v>601251</v>
      </c>
      <c r="G1466" s="2" t="s">
        <v>18</v>
      </c>
      <c r="H1466" s="2" t="n">
        <f aca="false">F1466/Tabla2[[#This Row],[Cosecha Mensual]]</f>
        <v>5.1112442936931</v>
      </c>
      <c r="I1466" s="2" t="n">
        <f aca="false">H1466*_xlfn.XLOOKUP(Tabla2[[#This Row],[Unidad de producción]],Tabla3[Medida],Tabla3[Equivalencia en Kg],"ELVIS",0)</f>
        <v>231.846041161919</v>
      </c>
      <c r="J1466" s="2" t="n">
        <v>1942.83888888889</v>
      </c>
      <c r="K1466" s="2" t="s">
        <v>19</v>
      </c>
      <c r="L1466" s="2" t="n">
        <f aca="false">J1466/_xlfn.XLOOKUP(Tabla2[[#This Row],[Unidad de precio]],Tabla3[Medida],Tabla3[Equivalencia en Kg],"ELVIS",0)</f>
        <v>17.6621717171717</v>
      </c>
      <c r="M1466" s="2" t="n">
        <v>7449.80873820933</v>
      </c>
      <c r="N1466" s="3" t="n">
        <f aca="false">(Tabla2[[#This Row],[Productividad (kg/TAS)]]*Tabla2[[#This Row],[Precio por kg]]-Tabla2[[#This Row],[Costos (En RD$/Tarea)]])</f>
        <v>-3354.90414726105</v>
      </c>
      <c r="O1466" s="9" t="n">
        <f aca="false">IF(Tabla2[[#This Row],[Costos (En RD$/Tarea)]]=0,0,Tabla2[[#This Row],[Beneficio Neto  (En RD$/Tarea)]]/Tabla2[[#This Row],[Costos (En RD$/Tarea)]])</f>
        <v>-0.450334265637463</v>
      </c>
      <c r="P1466" s="7" t="n">
        <f aca="false">Tabla2[[#This Row],[Rentabilidad (%)]]/12</f>
        <v>-0.0375278554697886</v>
      </c>
    </row>
    <row r="1467" customFormat="false" ht="14.25" hidden="false" customHeight="false" outlineLevel="0" collapsed="false">
      <c r="A1467" s="1" t="n">
        <v>40238</v>
      </c>
      <c r="B1467" s="2" t="s">
        <v>20</v>
      </c>
      <c r="C1467" s="3" t="n">
        <v>13712</v>
      </c>
      <c r="D1467" s="8" t="s">
        <v>17</v>
      </c>
      <c r="E1467" s="3" t="n">
        <f aca="false">IF(Tabla2[[#This Row],[Frecuencia]]="Annual", Tabla2[[#This Row],[Cosecha/Tarea]]/12,Tabla2[[#This Row],[Cosecha/Tarea]])</f>
        <v>13712</v>
      </c>
      <c r="F1467" s="3" t="n">
        <v>31760</v>
      </c>
      <c r="G1467" s="2" t="s">
        <v>18</v>
      </c>
      <c r="H1467" s="2" t="n">
        <f aca="false">F1467/Tabla2[[#This Row],[Cosecha Mensual]]</f>
        <v>2.31621936989498</v>
      </c>
      <c r="I1467" s="2" t="n">
        <f aca="false">H1467*_xlfn.XLOOKUP(Tabla2[[#This Row],[Unidad de producción]],Tabla3[Medida],Tabla3[Equivalencia en Kg],"ELVIS",0)</f>
        <v>105.063710618436</v>
      </c>
      <c r="J1467" s="2" t="n">
        <v>692.814416666667</v>
      </c>
      <c r="K1467" s="2" t="s">
        <v>18</v>
      </c>
      <c r="L1467" s="2" t="n">
        <f aca="false">J1467/_xlfn.XLOOKUP(Tabla2[[#This Row],[Unidad de precio]],Tabla3[Medida],Tabla3[Equivalencia en Kg],"ELVIS",0)</f>
        <v>15.2736864344503</v>
      </c>
      <c r="M1467" s="2" t="n">
        <v>2162.02023182316</v>
      </c>
      <c r="N1467" s="3" t="n">
        <f aca="false">(Tabla2[[#This Row],[Productividad (kg/TAS)]]*Tabla2[[#This Row],[Precio por kg]]-Tabla2[[#This Row],[Costos (En RD$/Tarea)]])</f>
        <v>-557.310060197333</v>
      </c>
      <c r="O1467" s="9" t="n">
        <f aca="false">IF(Tabla2[[#This Row],[Costos (En RD$/Tarea)]]=0,0,Tabla2[[#This Row],[Beneficio Neto  (En RD$/Tarea)]]/Tabla2[[#This Row],[Costos (En RD$/Tarea)]])</f>
        <v>-0.257772823766488</v>
      </c>
      <c r="P1467" s="7" t="n">
        <f aca="false">Tabla2[[#This Row],[Rentabilidad (%)]]/12</f>
        <v>-0.0214810686472073</v>
      </c>
    </row>
    <row r="1468" customFormat="false" ht="14.25" hidden="false" customHeight="false" outlineLevel="0" collapsed="false">
      <c r="A1468" s="1" t="n">
        <v>40238</v>
      </c>
      <c r="B1468" s="2" t="s">
        <v>21</v>
      </c>
      <c r="C1468" s="3" t="n">
        <v>9985</v>
      </c>
      <c r="D1468" s="8" t="s">
        <v>17</v>
      </c>
      <c r="E1468" s="3" t="n">
        <f aca="false">IF(Tabla2[[#This Row],[Frecuencia]]="Annual", Tabla2[[#This Row],[Cosecha/Tarea]]/12,Tabla2[[#This Row],[Cosecha/Tarea]])</f>
        <v>9985</v>
      </c>
      <c r="F1468" s="3" t="n">
        <v>106102</v>
      </c>
      <c r="G1468" s="2" t="s">
        <v>18</v>
      </c>
      <c r="H1468" s="2" t="n">
        <f aca="false">F1468/Tabla2[[#This Row],[Cosecha Mensual]]</f>
        <v>10.6261392088132</v>
      </c>
      <c r="I1468" s="2" t="n">
        <f aca="false">H1468*_xlfn.XLOOKUP(Tabla2[[#This Row],[Unidad de producción]],Tabla3[Medida],Tabla3[Equivalencia en Kg],"ELVIS",0)</f>
        <v>482.001674511768</v>
      </c>
      <c r="J1468" s="2" t="n">
        <v>607.104166666667</v>
      </c>
      <c r="K1468" s="2" t="s">
        <v>18</v>
      </c>
      <c r="L1468" s="2" t="n">
        <f aca="false">J1468/_xlfn.XLOOKUP(Tabla2[[#This Row],[Unidad de precio]],Tabla3[Medida],Tabla3[Equivalencia en Kg],"ELVIS",0)</f>
        <v>13.3841306584362</v>
      </c>
      <c r="M1468" s="2" t="n">
        <v>4521.4268875</v>
      </c>
      <c r="N1468" s="3" t="n">
        <f aca="false">(Tabla2[[#This Row],[Productividad (kg/TAS)]]*Tabla2[[#This Row],[Precio por kg]]-Tabla2[[#This Row],[Costos (En RD$/Tarea)]])</f>
        <v>1929.74650175055</v>
      </c>
      <c r="O1468" s="9" t="n">
        <f aca="false">IF(Tabla2[[#This Row],[Costos (En RD$/Tarea)]]=0,0,Tabla2[[#This Row],[Beneficio Neto  (En RD$/Tarea)]]/Tabla2[[#This Row],[Costos (En RD$/Tarea)]])</f>
        <v>0.426800333117306</v>
      </c>
      <c r="P1468" s="7" t="n">
        <f aca="false">Tabla2[[#This Row],[Rentabilidad (%)]]/12</f>
        <v>0.0355666944264422</v>
      </c>
    </row>
    <row r="1469" customFormat="false" ht="14.25" hidden="false" customHeight="false" outlineLevel="0" collapsed="false">
      <c r="A1469" s="1" t="n">
        <v>40238</v>
      </c>
      <c r="B1469" s="2" t="s">
        <v>22</v>
      </c>
      <c r="C1469" s="3" t="n">
        <v>7250</v>
      </c>
      <c r="D1469" s="8" t="s">
        <v>17</v>
      </c>
      <c r="E1469" s="3" t="n">
        <f aca="false">IF(Tabla2[[#This Row],[Frecuencia]]="Annual", Tabla2[[#This Row],[Cosecha/Tarea]]/12,Tabla2[[#This Row],[Cosecha/Tarea]])</f>
        <v>7250</v>
      </c>
      <c r="F1469" s="3" t="n">
        <v>69830</v>
      </c>
      <c r="G1469" s="2" t="s">
        <v>18</v>
      </c>
      <c r="H1469" s="2" t="n">
        <f aca="false">F1469/Tabla2[[#This Row],[Cosecha Mensual]]</f>
        <v>9.63172413793103</v>
      </c>
      <c r="I1469" s="2" t="n">
        <f aca="false">H1469*_xlfn.XLOOKUP(Tabla2[[#This Row],[Unidad de producción]],Tabla3[Medida],Tabla3[Equivalencia en Kg],"ELVIS",0)</f>
        <v>436.895006896552</v>
      </c>
      <c r="J1469" s="2" t="n">
        <v>1105.65</v>
      </c>
      <c r="K1469" s="2" t="s">
        <v>18</v>
      </c>
      <c r="L1469" s="2" t="n">
        <f aca="false">J1469/_xlfn.XLOOKUP(Tabla2[[#This Row],[Unidad de precio]],Tabla3[Medida],Tabla3[Equivalencia en Kg],"ELVIS",0)</f>
        <v>24.375</v>
      </c>
      <c r="M1469" s="2" t="n">
        <v>7599.7694060736</v>
      </c>
      <c r="N1469" s="3" t="n">
        <f aca="false">(Tabla2[[#This Row],[Productividad (kg/TAS)]]*Tabla2[[#This Row],[Precio por kg]]-Tabla2[[#This Row],[Costos (En RD$/Tarea)]])</f>
        <v>3049.54638702985</v>
      </c>
      <c r="O1469" s="9" t="n">
        <f aca="false">IF(Tabla2[[#This Row],[Costos (En RD$/Tarea)]]=0,0,Tabla2[[#This Row],[Beneficio Neto  (En RD$/Tarea)]]/Tabla2[[#This Row],[Costos (En RD$/Tarea)]])</f>
        <v>0.401268278560229</v>
      </c>
      <c r="P1469" s="7" t="n">
        <f aca="false">Tabla2[[#This Row],[Rentabilidad (%)]]/12</f>
        <v>0.0334390232133524</v>
      </c>
    </row>
    <row r="1470" customFormat="false" ht="14.25" hidden="false" customHeight="false" outlineLevel="0" collapsed="false">
      <c r="A1470" s="1" t="n">
        <v>40238</v>
      </c>
      <c r="B1470" s="2" t="s">
        <v>23</v>
      </c>
      <c r="C1470" s="3" t="n">
        <v>2504</v>
      </c>
      <c r="D1470" s="8" t="s">
        <v>17</v>
      </c>
      <c r="E1470" s="3" t="n">
        <f aca="false">IF(Tabla2[[#This Row],[Frecuencia]]="Annual", Tabla2[[#This Row],[Cosecha/Tarea]]/12,Tabla2[[#This Row],[Cosecha/Tarea]])</f>
        <v>2504</v>
      </c>
      <c r="F1470" s="3" t="n">
        <v>75922</v>
      </c>
      <c r="G1470" s="2" t="s">
        <v>18</v>
      </c>
      <c r="H1470" s="2" t="n">
        <f aca="false">F1470/Tabla2[[#This Row],[Cosecha Mensual]]</f>
        <v>30.3202875399361</v>
      </c>
      <c r="I1470" s="2" t="n">
        <f aca="false">H1470*_xlfn.XLOOKUP(Tabla2[[#This Row],[Unidad de producción]],Tabla3[Medida],Tabla3[Equivalencia en Kg],"ELVIS",0)</f>
        <v>1375.3282428115</v>
      </c>
      <c r="J1470" s="2" t="n">
        <v>715.416666666667</v>
      </c>
      <c r="K1470" s="2" t="s">
        <v>18</v>
      </c>
      <c r="L1470" s="2" t="n">
        <f aca="false">J1470/_xlfn.XLOOKUP(Tabla2[[#This Row],[Unidad de precio]],Tabla3[Medida],Tabla3[Equivalencia en Kg],"ELVIS",0)</f>
        <v>15.7719723691946</v>
      </c>
      <c r="M1470" s="2" t="n">
        <v>20327.21</v>
      </c>
      <c r="N1470" s="3" t="n">
        <f aca="false">(Tabla2[[#This Row],[Productividad (kg/TAS)]]*Tabla2[[#This Row],[Precio por kg]]-Tabla2[[#This Row],[Costos (En RD$/Tarea)]])</f>
        <v>1364.42904419596</v>
      </c>
      <c r="O1470" s="9" t="n">
        <f aca="false">IF(Tabla2[[#This Row],[Costos (En RD$/Tarea)]]=0,0,Tabla2[[#This Row],[Beneficio Neto  (En RD$/Tarea)]]/Tabla2[[#This Row],[Costos (En RD$/Tarea)]])</f>
        <v>0.0671232817585868</v>
      </c>
      <c r="P1470" s="7" t="n">
        <f aca="false">Tabla2[[#This Row],[Rentabilidad (%)]]/12</f>
        <v>0.00559360681321557</v>
      </c>
    </row>
    <row r="1471" customFormat="false" ht="14.25" hidden="false" customHeight="false" outlineLevel="0" collapsed="false">
      <c r="A1471" s="1" t="n">
        <v>40238</v>
      </c>
      <c r="B1471" s="2" t="s">
        <v>24</v>
      </c>
      <c r="C1471" s="3" t="n">
        <v>7710</v>
      </c>
      <c r="D1471" s="8" t="s">
        <v>17</v>
      </c>
      <c r="E1471" s="3" t="n">
        <f aca="false">IF(Tabla2[[#This Row],[Frecuencia]]="Annual", Tabla2[[#This Row],[Cosecha/Tarea]]/12,Tabla2[[#This Row],[Cosecha/Tarea]])</f>
        <v>7710</v>
      </c>
      <c r="F1471" s="3" t="n">
        <v>66999</v>
      </c>
      <c r="G1471" s="2" t="s">
        <v>18</v>
      </c>
      <c r="H1471" s="2" t="n">
        <f aca="false">F1471/Tabla2[[#This Row],[Cosecha Mensual]]</f>
        <v>8.68988326848249</v>
      </c>
      <c r="I1471" s="2" t="n">
        <f aca="false">H1471*_xlfn.XLOOKUP(Tabla2[[#This Row],[Unidad de producción]],Tabla3[Medida],Tabla3[Equivalencia en Kg],"ELVIS",0)</f>
        <v>394.173105058366</v>
      </c>
      <c r="J1471" s="2" t="n">
        <v>1212.21</v>
      </c>
      <c r="K1471" s="2" t="s">
        <v>18</v>
      </c>
      <c r="L1471" s="2" t="n">
        <f aca="false">J1471/_xlfn.XLOOKUP(Tabla2[[#This Row],[Unidad de precio]],Tabla3[Medida],Tabla3[Equivalencia en Kg],"ELVIS",0)</f>
        <v>26.7242063492064</v>
      </c>
      <c r="M1471" s="2" t="n">
        <v>6579.6044973696</v>
      </c>
      <c r="N1471" s="3" t="n">
        <f aca="false">(Tabla2[[#This Row],[Productividad (kg/TAS)]]*Tabla2[[#This Row],[Precio por kg]]-Tabla2[[#This Row],[Costos (En RD$/Tarea)]])</f>
        <v>3954.35889951756</v>
      </c>
      <c r="O1471" s="9" t="n">
        <f aca="false">IF(Tabla2[[#This Row],[Costos (En RD$/Tarea)]]=0,0,Tabla2[[#This Row],[Beneficio Neto  (En RD$/Tarea)]]/Tabla2[[#This Row],[Costos (En RD$/Tarea)]])</f>
        <v>0.601002522431012</v>
      </c>
      <c r="P1471" s="7" t="n">
        <f aca="false">Tabla2[[#This Row],[Rentabilidad (%)]]/12</f>
        <v>0.0500835435359176</v>
      </c>
    </row>
    <row r="1472" customFormat="false" ht="14.25" hidden="false" customHeight="false" outlineLevel="0" collapsed="false">
      <c r="A1472" s="1" t="n">
        <v>40238</v>
      </c>
      <c r="B1472" s="2" t="s">
        <v>25</v>
      </c>
      <c r="C1472" s="3" t="n">
        <v>28504</v>
      </c>
      <c r="D1472" s="8" t="s">
        <v>17</v>
      </c>
      <c r="E1472" s="3" t="n">
        <f aca="false">IF(Tabla2[[#This Row],[Frecuencia]]="Annual", Tabla2[[#This Row],[Cosecha/Tarea]]/12,Tabla2[[#This Row],[Cosecha/Tarea]])</f>
        <v>28504</v>
      </c>
      <c r="F1472" s="3" t="n">
        <v>318205</v>
      </c>
      <c r="G1472" s="2" t="s">
        <v>18</v>
      </c>
      <c r="H1472" s="2" t="n">
        <f aca="false">F1472/Tabla2[[#This Row],[Cosecha Mensual]]</f>
        <v>11.1635209093461</v>
      </c>
      <c r="I1472" s="2" t="n">
        <f aca="false">H1472*_xlfn.XLOOKUP(Tabla2[[#This Row],[Unidad de producción]],Tabla3[Medida],Tabla3[Equivalencia en Kg],"ELVIS",0)</f>
        <v>506.377308447937</v>
      </c>
      <c r="J1472" s="2" t="n">
        <v>269.585458333333</v>
      </c>
      <c r="K1472" s="2" t="s">
        <v>18</v>
      </c>
      <c r="L1472" s="2" t="n">
        <f aca="false">J1472/_xlfn.XLOOKUP(Tabla2[[#This Row],[Unidad de precio]],Tabla3[Medida],Tabla3[Equivalencia en Kg],"ELVIS",0)</f>
        <v>5.94324202674896</v>
      </c>
      <c r="M1472" s="2" t="n">
        <v>3734.00643997985</v>
      </c>
      <c r="N1472" s="3" t="n">
        <f aca="false">(Tabla2[[#This Row],[Productividad (kg/TAS)]]*Tabla2[[#This Row],[Precio por kg]]-Tabla2[[#This Row],[Costos (En RD$/Tarea)]])</f>
        <v>-724.483539020047</v>
      </c>
      <c r="O1472" s="9" t="n">
        <f aca="false">IF(Tabla2[[#This Row],[Costos (En RD$/Tarea)]]=0,0,Tabla2[[#This Row],[Beneficio Neto  (En RD$/Tarea)]]/Tabla2[[#This Row],[Costos (En RD$/Tarea)]])</f>
        <v>-0.194023109136351</v>
      </c>
      <c r="P1472" s="7" t="n">
        <f aca="false">Tabla2[[#This Row],[Rentabilidad (%)]]/12</f>
        <v>-0.0161685924280292</v>
      </c>
    </row>
    <row r="1473" customFormat="false" ht="14.25" hidden="false" customHeight="false" outlineLevel="0" collapsed="false">
      <c r="A1473" s="1" t="n">
        <v>40238</v>
      </c>
      <c r="B1473" s="2" t="s">
        <v>26</v>
      </c>
      <c r="C1473" s="3" t="n">
        <v>12486</v>
      </c>
      <c r="D1473" s="8" t="s">
        <v>17</v>
      </c>
      <c r="E1473" s="3" t="n">
        <f aca="false">IF(Tabla2[[#This Row],[Frecuencia]]="Annual", Tabla2[[#This Row],[Cosecha/Tarea]]/12,Tabla2[[#This Row],[Cosecha/Tarea]])</f>
        <v>12486</v>
      </c>
      <c r="F1473" s="3" t="n">
        <v>91147</v>
      </c>
      <c r="G1473" s="2" t="s">
        <v>18</v>
      </c>
      <c r="H1473" s="2" t="n">
        <f aca="false">F1473/Tabla2[[#This Row],[Cosecha Mensual]]</f>
        <v>7.29993592823963</v>
      </c>
      <c r="I1473" s="2" t="n">
        <f aca="false">H1473*_xlfn.XLOOKUP(Tabla2[[#This Row],[Unidad de producción]],Tabla3[Medida],Tabla3[Equivalencia en Kg],"ELVIS",0)</f>
        <v>331.12509370495</v>
      </c>
      <c r="J1473" s="2" t="n">
        <v>640.5125</v>
      </c>
      <c r="K1473" s="2" t="s">
        <v>18</v>
      </c>
      <c r="L1473" s="2" t="n">
        <f aca="false">J1473/_xlfn.XLOOKUP(Tabla2[[#This Row],[Unidad de precio]],Tabla3[Medida],Tabla3[Equivalencia en Kg],"ELVIS",0)</f>
        <v>14.1206459435626</v>
      </c>
      <c r="M1473" s="2" t="n">
        <v>1771.21219288463</v>
      </c>
      <c r="N1473" s="3" t="n">
        <f aca="false">(Tabla2[[#This Row],[Productividad (kg/TAS)]]*Tabla2[[#This Row],[Precio por kg]]-Tabla2[[#This Row],[Costos (En RD$/Tarea)]])</f>
        <v>2904.48801835196</v>
      </c>
      <c r="O1473" s="9" t="n">
        <f aca="false">IF(Tabla2[[#This Row],[Costos (En RD$/Tarea)]]=0,0,Tabla2[[#This Row],[Beneficio Neto  (En RD$/Tarea)]]/Tabla2[[#This Row],[Costos (En RD$/Tarea)]])</f>
        <v>1.63983063690503</v>
      </c>
      <c r="P1473" s="7" t="n">
        <f aca="false">Tabla2[[#This Row],[Rentabilidad (%)]]/12</f>
        <v>0.136652553075419</v>
      </c>
    </row>
    <row r="1474" customFormat="false" ht="14.25" hidden="false" customHeight="false" outlineLevel="0" collapsed="false">
      <c r="A1474" s="1" t="n">
        <v>40238</v>
      </c>
      <c r="B1474" s="2" t="s">
        <v>27</v>
      </c>
      <c r="C1474" s="3" t="n">
        <v>6120</v>
      </c>
      <c r="D1474" s="8" t="s">
        <v>17</v>
      </c>
      <c r="E1474" s="3" t="n">
        <f aca="false">IF(Tabla2[[#This Row],[Frecuencia]]="Annual", Tabla2[[#This Row],[Cosecha/Tarea]]/12,Tabla2[[#This Row],[Cosecha/Tarea]])</f>
        <v>6120</v>
      </c>
      <c r="F1474" s="3" t="n">
        <v>43146</v>
      </c>
      <c r="G1474" s="2" t="s">
        <v>18</v>
      </c>
      <c r="H1474" s="2" t="n">
        <f aca="false">F1474/Tabla2[[#This Row],[Cosecha Mensual]]</f>
        <v>7.05</v>
      </c>
      <c r="I1474" s="2" t="n">
        <f aca="false">H1474*_xlfn.XLOOKUP(Tabla2[[#This Row],[Unidad de producción]],Tabla3[Medida],Tabla3[Equivalencia en Kg],"ELVIS",0)</f>
        <v>319.788</v>
      </c>
      <c r="J1474" s="2" t="n">
        <v>306.379166666667</v>
      </c>
      <c r="K1474" s="2" t="s">
        <v>18</v>
      </c>
      <c r="L1474" s="2" t="n">
        <f aca="false">J1474/_xlfn.XLOOKUP(Tabla2[[#This Row],[Unidad de precio]],Tabla3[Medida],Tabla3[Equivalencia en Kg],"ELVIS",0)</f>
        <v>6.7543907995297</v>
      </c>
      <c r="M1474" s="2" t="n">
        <v>6142.39107464557</v>
      </c>
      <c r="N1474" s="3" t="n">
        <f aca="false">(Tabla2[[#This Row],[Productividad (kg/TAS)]]*Tabla2[[#This Row],[Precio por kg]]-Tabla2[[#This Row],[Costos (En RD$/Tarea)]])</f>
        <v>-3982.41794964557</v>
      </c>
      <c r="O1474" s="9" t="n">
        <f aca="false">IF(Tabla2[[#This Row],[Costos (En RD$/Tarea)]]=0,0,Tabla2[[#This Row],[Beneficio Neto  (En RD$/Tarea)]]/Tabla2[[#This Row],[Costos (En RD$/Tarea)]])</f>
        <v>-0.6483497877698</v>
      </c>
      <c r="P1474" s="7" t="n">
        <f aca="false">Tabla2[[#This Row],[Rentabilidad (%)]]/12</f>
        <v>-0.0540291489808167</v>
      </c>
    </row>
    <row r="1475" customFormat="false" ht="14.25" hidden="false" customHeight="false" outlineLevel="0" collapsed="false">
      <c r="A1475" s="1" t="n">
        <v>40238</v>
      </c>
      <c r="B1475" s="2" t="s">
        <v>28</v>
      </c>
      <c r="C1475" s="3" t="n">
        <v>89274</v>
      </c>
      <c r="D1475" s="8" t="s">
        <v>17</v>
      </c>
      <c r="E1475" s="3" t="n">
        <f aca="false">IF(Tabla2[[#This Row],[Frecuencia]]="Annual", Tabla2[[#This Row],[Cosecha/Tarea]]/12,Tabla2[[#This Row],[Cosecha/Tarea]])</f>
        <v>89274</v>
      </c>
      <c r="F1475" s="3" t="n">
        <v>46120</v>
      </c>
      <c r="G1475" s="2" t="s">
        <v>29</v>
      </c>
      <c r="H1475" s="2" t="n">
        <f aca="false">F1475/Tabla2[[#This Row],[Cosecha Mensual]]</f>
        <v>0.516611779465466</v>
      </c>
      <c r="I1475" s="2" t="n">
        <f aca="false">H1475*_xlfn.XLOOKUP(Tabla2[[#This Row],[Unidad de producción]],Tabla3[Medida],Tabla3[Equivalencia en Kg],"ELVIS",0)</f>
        <v>290.51146806461</v>
      </c>
      <c r="J1475" s="2" t="n">
        <v>8401.5</v>
      </c>
      <c r="K1475" s="2" t="s">
        <v>29</v>
      </c>
      <c r="L1475" s="2" t="n">
        <f aca="false">J1475/_xlfn.XLOOKUP(Tabla2[[#This Row],[Unidad de precio]],Tabla3[Medida],Tabla3[Equivalencia en Kg],"ELVIS",0)</f>
        <v>14.9402496710175</v>
      </c>
      <c r="M1475" s="2" t="n">
        <v>6158.11903089474</v>
      </c>
      <c r="N1475" s="3" t="n">
        <f aca="false">(Tabla2[[#This Row],[Productividad (kg/TAS)]]*Tabla2[[#This Row],[Precio por kg]]-Tabla2[[#This Row],[Costos (En RD$/Tarea)]])</f>
        <v>-1817.80516571563</v>
      </c>
      <c r="O1475" s="9" t="n">
        <f aca="false">IF(Tabla2[[#This Row],[Costos (En RD$/Tarea)]]=0,0,Tabla2[[#This Row],[Beneficio Neto  (En RD$/Tarea)]]/Tabla2[[#This Row],[Costos (En RD$/Tarea)]])</f>
        <v>-0.295188377586705</v>
      </c>
      <c r="P1475" s="7" t="n">
        <f aca="false">Tabla2[[#This Row],[Rentabilidad (%)]]/12</f>
        <v>-0.0245990314655587</v>
      </c>
    </row>
    <row r="1476" customFormat="false" ht="14.25" hidden="false" customHeight="false" outlineLevel="0" collapsed="false">
      <c r="A1476" s="1" t="n">
        <v>40238</v>
      </c>
      <c r="B1476" s="2" t="s">
        <v>30</v>
      </c>
      <c r="C1476" s="3" t="n">
        <v>314130</v>
      </c>
      <c r="D1476" s="3" t="s">
        <v>31</v>
      </c>
      <c r="E1476" s="3" t="n">
        <f aca="false">IF(Tabla2[[#This Row],[Frecuencia]]="Annual", Tabla2[[#This Row],[Cosecha/Tarea]]/12,Tabla2[[#This Row],[Cosecha/Tarea]])</f>
        <v>26177.5</v>
      </c>
      <c r="F1476" s="3" t="n">
        <v>2213875</v>
      </c>
      <c r="G1476" s="2" t="s">
        <v>32</v>
      </c>
      <c r="H1476" s="2" t="n">
        <f aca="false">F1476/Tabla2[[#This Row],[Cosecha Mensual]]</f>
        <v>84.5716741476459</v>
      </c>
      <c r="I1476" s="2" t="n">
        <f aca="false">H1476*_xlfn.XLOOKUP(Tabla2[[#This Row],[Unidad de producción]],Tabla3[Medida],Tabla3[Equivalencia en Kg],"ELVIS",0)</f>
        <v>2301.19525355744</v>
      </c>
      <c r="J1476" s="2" t="n">
        <v>121.359444444444</v>
      </c>
      <c r="K1476" s="2" t="s">
        <v>32</v>
      </c>
      <c r="L1476" s="2" t="n">
        <f aca="false">J1476/_xlfn.XLOOKUP(Tabla2[[#This Row],[Unidad de precio]],Tabla3[Medida],Tabla3[Equivalencia en Kg],"ELVIS",0)</f>
        <v>4.46010453673076</v>
      </c>
      <c r="M1476" s="3" t="n">
        <v>10497.9114219602</v>
      </c>
      <c r="N1476" s="3" t="n">
        <f aca="false">(Tabla2[[#This Row],[Productividad (kg/TAS)]]*Tabla2[[#This Row],[Precio por kg]]-Tabla2[[#This Row],[Costos (En RD$/Tarea)]])</f>
        <v>-234.340031665348</v>
      </c>
      <c r="O1476" s="9" t="n">
        <f aca="false">IF(Tabla2[[#This Row],[Costos (En RD$/Tarea)]]=0,0,Tabla2[[#This Row],[Beneficio Neto  (En RD$/Tarea)]]/Tabla2[[#This Row],[Costos (En RD$/Tarea)]])</f>
        <v>-0.0223225384789531</v>
      </c>
      <c r="P1476" s="7" t="n">
        <f aca="false">Tabla2[[#This Row],[Rentabilidad (%)]]/12</f>
        <v>-0.00186021153991276</v>
      </c>
    </row>
    <row r="1477" customFormat="false" ht="14.25" hidden="false" customHeight="false" outlineLevel="0" collapsed="false">
      <c r="A1477" s="1" t="n">
        <v>40238</v>
      </c>
      <c r="B1477" s="2" t="s">
        <v>33</v>
      </c>
      <c r="C1477" s="3" t="n">
        <v>654210</v>
      </c>
      <c r="D1477" s="3" t="s">
        <v>31</v>
      </c>
      <c r="E1477" s="11" t="n">
        <f aca="false">IF(Tabla2[[#This Row],[Frecuencia]]="Annual", Tabla2[[#This Row],[Cosecha/Tarea]]/12,Tabla2[[#This Row],[Cosecha/Tarea]])</f>
        <v>54517.5</v>
      </c>
      <c r="F1477" s="3" t="n">
        <v>140796</v>
      </c>
      <c r="G1477" s="2" t="s">
        <v>34</v>
      </c>
      <c r="H1477" s="2" t="n">
        <f aca="false">F1477/Tabla2[[#This Row],[Cosecha Mensual]]</f>
        <v>2.58258357408172</v>
      </c>
      <c r="I1477" s="2" t="n">
        <f aca="false">H1477*_xlfn.XLOOKUP(Tabla2[[#This Row],[Unidad de producción]],Tabla3[Medida],Tabla3[Equivalencia en Kg],"ELVIS",0)</f>
        <v>1054.08148576145</v>
      </c>
      <c r="J1477" s="2" t="n">
        <v>3957.30416666667</v>
      </c>
      <c r="K1477" s="2" t="s">
        <v>34</v>
      </c>
      <c r="L1477" s="2" t="n">
        <f aca="false">J1477/_xlfn.XLOOKUP(Tabla2[[#This Row],[Unidad de precio]],Tabla3[Medida],Tabla3[Equivalencia en Kg],"ELVIS",0)</f>
        <v>9.69571031891871</v>
      </c>
      <c r="M1477" s="3" t="n">
        <v>9292.97349690822</v>
      </c>
      <c r="N1477" s="3" t="n">
        <f aca="false">(Tabla2[[#This Row],[Productividad (kg/TAS)]]*Tabla2[[#This Row],[Precio por kg]]-Tabla2[[#This Row],[Costos (En RD$/Tarea)]])</f>
        <v>927.09524157026</v>
      </c>
      <c r="O1477" s="9" t="n">
        <f aca="false">IF(Tabla2[[#This Row],[Costos (En RD$/Tarea)]]=0,0,Tabla2[[#This Row],[Beneficio Neto  (En RD$/Tarea)]]/Tabla2[[#This Row],[Costos (En RD$/Tarea)]])</f>
        <v>0.0997630351446397</v>
      </c>
      <c r="P1477" s="7" t="n">
        <f aca="false">Tabla2[[#This Row],[Rentabilidad (%)]]/12</f>
        <v>0.0083135862620533</v>
      </c>
    </row>
    <row r="1478" customFormat="false" ht="14.25" hidden="false" customHeight="false" outlineLevel="0" collapsed="false">
      <c r="A1478" s="1" t="n">
        <v>40269</v>
      </c>
      <c r="B1478" s="2" t="s">
        <v>16</v>
      </c>
      <c r="C1478" s="3" t="n">
        <v>481235</v>
      </c>
      <c r="D1478" s="8" t="s">
        <v>17</v>
      </c>
      <c r="E1478" s="3" t="n">
        <f aca="false">IF(Tabla2[[#This Row],[Frecuencia]]="Annual", Tabla2[[#This Row],[Cosecha/Tarea]]/12,Tabla2[[#This Row],[Cosecha/Tarea]])</f>
        <v>481235</v>
      </c>
      <c r="F1478" s="3" t="n">
        <v>2337773</v>
      </c>
      <c r="G1478" s="2" t="s">
        <v>18</v>
      </c>
      <c r="H1478" s="2" t="n">
        <f aca="false">F1478/Tabla2[[#This Row],[Cosecha Mensual]]</f>
        <v>4.85786154373643</v>
      </c>
      <c r="I1478" s="2" t="n">
        <f aca="false">H1478*_xlfn.XLOOKUP(Tabla2[[#This Row],[Unidad de producción]],Tabla3[Medida],Tabla3[Equivalencia en Kg],"ELVIS",0)</f>
        <v>220.352599623884</v>
      </c>
      <c r="J1478" s="2" t="n">
        <v>2018.63888888889</v>
      </c>
      <c r="K1478" s="2" t="s">
        <v>19</v>
      </c>
      <c r="L1478" s="2" t="n">
        <f aca="false">J1478/_xlfn.XLOOKUP(Tabla2[[#This Row],[Unidad de precio]],Tabla3[Medida],Tabla3[Equivalencia en Kg],"ELVIS",0)</f>
        <v>18.3512626262626</v>
      </c>
      <c r="M1478" s="2" t="n">
        <v>7449.80873820933</v>
      </c>
      <c r="N1478" s="3" t="n">
        <f aca="false">(Tabla2[[#This Row],[Productividad (kg/TAS)]]*Tabla2[[#This Row],[Precio por kg]]-Tabla2[[#This Row],[Costos (En RD$/Tarea)]])</f>
        <v>-3406.06031213173</v>
      </c>
      <c r="O1478" s="9" t="n">
        <f aca="false">IF(Tabla2[[#This Row],[Costos (En RD$/Tarea)]]=0,0,Tabla2[[#This Row],[Beneficio Neto  (En RD$/Tarea)]]/Tabla2[[#This Row],[Costos (En RD$/Tarea)]])</f>
        <v>-0.457201041237795</v>
      </c>
      <c r="P1478" s="7" t="n">
        <f aca="false">Tabla2[[#This Row],[Rentabilidad (%)]]/12</f>
        <v>-0.0381000867698162</v>
      </c>
    </row>
    <row r="1479" customFormat="false" ht="14.25" hidden="false" customHeight="false" outlineLevel="0" collapsed="false">
      <c r="A1479" s="1" t="n">
        <v>40269</v>
      </c>
      <c r="B1479" s="2" t="s">
        <v>20</v>
      </c>
      <c r="C1479" s="3" t="n">
        <v>22615</v>
      </c>
      <c r="D1479" s="8" t="s">
        <v>17</v>
      </c>
      <c r="E1479" s="3" t="n">
        <f aca="false">IF(Tabla2[[#This Row],[Frecuencia]]="Annual", Tabla2[[#This Row],[Cosecha/Tarea]]/12,Tabla2[[#This Row],[Cosecha/Tarea]])</f>
        <v>22615</v>
      </c>
      <c r="F1479" s="3" t="n">
        <v>50884</v>
      </c>
      <c r="G1479" s="2" t="s">
        <v>18</v>
      </c>
      <c r="H1479" s="2" t="n">
        <f aca="false">F1479/Tabla2[[#This Row],[Cosecha Mensual]]</f>
        <v>2.25001105460977</v>
      </c>
      <c r="I1479" s="2" t="n">
        <f aca="false">H1479*_xlfn.XLOOKUP(Tabla2[[#This Row],[Unidad de producción]],Tabla3[Medida],Tabla3[Equivalencia en Kg],"ELVIS",0)</f>
        <v>102.060501437099</v>
      </c>
      <c r="J1479" s="2" t="n">
        <v>670.160714285714</v>
      </c>
      <c r="K1479" s="2" t="s">
        <v>18</v>
      </c>
      <c r="L1479" s="2" t="n">
        <f aca="false">J1479/_xlfn.XLOOKUP(Tabla2[[#This Row],[Unidad de precio]],Tabla3[Medida],Tabla3[Equivalencia en Kg],"ELVIS",0)</f>
        <v>14.7742661879567</v>
      </c>
      <c r="M1479" s="2" t="n">
        <v>2162.02023182316</v>
      </c>
      <c r="N1479" s="3" t="n">
        <f aca="false">(Tabla2[[#This Row],[Productividad (kg/TAS)]]*Tabla2[[#This Row],[Precio por kg]]-Tabla2[[#This Row],[Costos (En RD$/Tarea)]])</f>
        <v>-654.151216315122</v>
      </c>
      <c r="O1479" s="9" t="n">
        <f aca="false">IF(Tabla2[[#This Row],[Costos (En RD$/Tarea)]]=0,0,Tabla2[[#This Row],[Beneficio Neto  (En RD$/Tarea)]]/Tabla2[[#This Row],[Costos (En RD$/Tarea)]])</f>
        <v>-0.302564798740805</v>
      </c>
      <c r="P1479" s="7" t="n">
        <f aca="false">Tabla2[[#This Row],[Rentabilidad (%)]]/12</f>
        <v>-0.0252137332284004</v>
      </c>
    </row>
    <row r="1480" customFormat="false" ht="14.25" hidden="false" customHeight="false" outlineLevel="0" collapsed="false">
      <c r="A1480" s="1" t="n">
        <v>40269</v>
      </c>
      <c r="B1480" s="2" t="s">
        <v>21</v>
      </c>
      <c r="C1480" s="3" t="n">
        <v>14508</v>
      </c>
      <c r="D1480" s="8" t="s">
        <v>17</v>
      </c>
      <c r="E1480" s="3" t="n">
        <f aca="false">IF(Tabla2[[#This Row],[Frecuencia]]="Annual", Tabla2[[#This Row],[Cosecha/Tarea]]/12,Tabla2[[#This Row],[Cosecha/Tarea]])</f>
        <v>14508</v>
      </c>
      <c r="F1480" s="3" t="n">
        <v>169744</v>
      </c>
      <c r="G1480" s="2" t="s">
        <v>18</v>
      </c>
      <c r="H1480" s="2" t="n">
        <f aca="false">F1480/Tabla2[[#This Row],[Cosecha Mensual]]</f>
        <v>11.7000275709953</v>
      </c>
      <c r="I1480" s="2" t="n">
        <f aca="false">H1480*_xlfn.XLOOKUP(Tabla2[[#This Row],[Unidad de producción]],Tabla3[Medida],Tabla3[Equivalencia en Kg],"ELVIS",0)</f>
        <v>530.713250620347</v>
      </c>
      <c r="J1480" s="2" t="n">
        <v>409.736607142857</v>
      </c>
      <c r="K1480" s="2" t="s">
        <v>18</v>
      </c>
      <c r="L1480" s="2" t="n">
        <f aca="false">J1480/_xlfn.XLOOKUP(Tabla2[[#This Row],[Unidad de precio]],Tabla3[Medida],Tabla3[Equivalencia en Kg],"ELVIS",0)</f>
        <v>9.03299398463089</v>
      </c>
      <c r="M1480" s="2" t="n">
        <v>4521.4268875</v>
      </c>
      <c r="N1480" s="3" t="n">
        <f aca="false">(Tabla2[[#This Row],[Productividad (kg/TAS)]]*Tabla2[[#This Row],[Precio por kg]]-Tabla2[[#This Row],[Costos (En RD$/Tarea)]])</f>
        <v>272.502712917502</v>
      </c>
      <c r="O1480" s="9" t="n">
        <f aca="false">IF(Tabla2[[#This Row],[Costos (En RD$/Tarea)]]=0,0,Tabla2[[#This Row],[Beneficio Neto  (En RD$/Tarea)]]/Tabla2[[#This Row],[Costos (En RD$/Tarea)]])</f>
        <v>0.0602691848608383</v>
      </c>
      <c r="P1480" s="7" t="n">
        <f aca="false">Tabla2[[#This Row],[Rentabilidad (%)]]/12</f>
        <v>0.00502243207173653</v>
      </c>
    </row>
    <row r="1481" customFormat="false" ht="14.25" hidden="false" customHeight="false" outlineLevel="0" collapsed="false">
      <c r="A1481" s="1" t="n">
        <v>40269</v>
      </c>
      <c r="B1481" s="2" t="s">
        <v>22</v>
      </c>
      <c r="C1481" s="3" t="n">
        <v>4452</v>
      </c>
      <c r="D1481" s="8" t="s">
        <v>17</v>
      </c>
      <c r="E1481" s="3" t="n">
        <f aca="false">IF(Tabla2[[#This Row],[Frecuencia]]="Annual", Tabla2[[#This Row],[Cosecha/Tarea]]/12,Tabla2[[#This Row],[Cosecha/Tarea]])</f>
        <v>4452</v>
      </c>
      <c r="F1481" s="3" t="n">
        <v>44876</v>
      </c>
      <c r="G1481" s="2" t="s">
        <v>18</v>
      </c>
      <c r="H1481" s="2" t="n">
        <f aca="false">F1481/Tabla2[[#This Row],[Cosecha Mensual]]</f>
        <v>10.0799640610961</v>
      </c>
      <c r="I1481" s="2" t="n">
        <f aca="false">H1481*_xlfn.XLOOKUP(Tabla2[[#This Row],[Unidad de producción]],Tabla3[Medida],Tabla3[Equivalencia en Kg],"ELVIS",0)</f>
        <v>457.227169811321</v>
      </c>
      <c r="J1481" s="2" t="n">
        <v>1084.78125</v>
      </c>
      <c r="K1481" s="2" t="s">
        <v>18</v>
      </c>
      <c r="L1481" s="2" t="n">
        <f aca="false">J1481/_xlfn.XLOOKUP(Tabla2[[#This Row],[Unidad de precio]],Tabla3[Medida],Tabla3[Equivalencia en Kg],"ELVIS",0)</f>
        <v>23.9149305555556</v>
      </c>
      <c r="M1481" s="2" t="n">
        <v>7599.7694060736</v>
      </c>
      <c r="N1481" s="3" t="n">
        <f aca="false">(Tabla2[[#This Row],[Productividad (kg/TAS)]]*Tabla2[[#This Row],[Precio por kg]]-Tabla2[[#This Row],[Costos (En RD$/Tarea)]])</f>
        <v>3334.78660807734</v>
      </c>
      <c r="O1481" s="9" t="n">
        <f aca="false">IF(Tabla2[[#This Row],[Costos (En RD$/Tarea)]]=0,0,Tabla2[[#This Row],[Beneficio Neto  (En RD$/Tarea)]]/Tabla2[[#This Row],[Costos (En RD$/Tarea)]])</f>
        <v>0.438801025385355</v>
      </c>
      <c r="P1481" s="7" t="n">
        <f aca="false">Tabla2[[#This Row],[Rentabilidad (%)]]/12</f>
        <v>0.0365667521154462</v>
      </c>
    </row>
    <row r="1482" customFormat="false" ht="14.25" hidden="false" customHeight="false" outlineLevel="0" collapsed="false">
      <c r="A1482" s="1" t="n">
        <v>40269</v>
      </c>
      <c r="B1482" s="2" t="s">
        <v>23</v>
      </c>
      <c r="C1482" s="3" t="n">
        <v>4668</v>
      </c>
      <c r="D1482" s="8" t="s">
        <v>17</v>
      </c>
      <c r="E1482" s="3" t="n">
        <f aca="false">IF(Tabla2[[#This Row],[Frecuencia]]="Annual", Tabla2[[#This Row],[Cosecha/Tarea]]/12,Tabla2[[#This Row],[Cosecha/Tarea]])</f>
        <v>4668</v>
      </c>
      <c r="F1482" s="3" t="n">
        <v>119340</v>
      </c>
      <c r="G1482" s="2" t="s">
        <v>18</v>
      </c>
      <c r="H1482" s="2" t="n">
        <f aca="false">F1482/Tabla2[[#This Row],[Cosecha Mensual]]</f>
        <v>25.5655526992288</v>
      </c>
      <c r="I1482" s="2" t="n">
        <f aca="false">H1482*_xlfn.XLOOKUP(Tabla2[[#This Row],[Unidad de producción]],Tabla3[Medida],Tabla3[Equivalencia en Kg],"ELVIS",0)</f>
        <v>1159.65347043702</v>
      </c>
      <c r="J1482" s="2" t="n">
        <v>616.25</v>
      </c>
      <c r="K1482" s="2" t="s">
        <v>18</v>
      </c>
      <c r="L1482" s="2" t="n">
        <f aca="false">J1482/_xlfn.XLOOKUP(Tabla2[[#This Row],[Unidad de precio]],Tabla3[Medida],Tabla3[Equivalencia en Kg],"ELVIS",0)</f>
        <v>13.585758377425</v>
      </c>
      <c r="M1482" s="2" t="n">
        <v>20327.21</v>
      </c>
      <c r="N1482" s="3" t="n">
        <f aca="false">(Tabla2[[#This Row],[Productividad (kg/TAS)]]*Tabla2[[#This Row],[Precio por kg]]-Tabla2[[#This Row],[Costos (En RD$/Tarea)]])</f>
        <v>-4572.43814910026</v>
      </c>
      <c r="O1482" s="9" t="n">
        <f aca="false">IF(Tabla2[[#This Row],[Costos (En RD$/Tarea)]]=0,0,Tabla2[[#This Row],[Beneficio Neto  (En RD$/Tarea)]]/Tabla2[[#This Row],[Costos (En RD$/Tarea)]])</f>
        <v>-0.22494174798707</v>
      </c>
      <c r="P1482" s="7" t="n">
        <f aca="false">Tabla2[[#This Row],[Rentabilidad (%)]]/12</f>
        <v>-0.0187451456655892</v>
      </c>
    </row>
    <row r="1483" customFormat="false" ht="14.25" hidden="false" customHeight="false" outlineLevel="0" collapsed="false">
      <c r="A1483" s="1" t="n">
        <v>40269</v>
      </c>
      <c r="B1483" s="2" t="s">
        <v>24</v>
      </c>
      <c r="C1483" s="3" t="n">
        <v>5200</v>
      </c>
      <c r="D1483" s="8" t="s">
        <v>17</v>
      </c>
      <c r="E1483" s="3" t="n">
        <f aca="false">IF(Tabla2[[#This Row],[Frecuencia]]="Annual", Tabla2[[#This Row],[Cosecha/Tarea]]/12,Tabla2[[#This Row],[Cosecha/Tarea]])</f>
        <v>5200</v>
      </c>
      <c r="F1483" s="3" t="n">
        <v>62000</v>
      </c>
      <c r="G1483" s="2" t="s">
        <v>18</v>
      </c>
      <c r="H1483" s="2" t="n">
        <f aca="false">F1483/Tabla2[[#This Row],[Cosecha Mensual]]</f>
        <v>11.9230769230769</v>
      </c>
      <c r="I1483" s="2" t="n">
        <f aca="false">H1483*_xlfn.XLOOKUP(Tabla2[[#This Row],[Unidad de producción]],Tabla3[Medida],Tabla3[Equivalencia en Kg],"ELVIS",0)</f>
        <v>540.830769230769</v>
      </c>
      <c r="J1483" s="2" t="n">
        <v>1255.475</v>
      </c>
      <c r="K1483" s="2" t="s">
        <v>18</v>
      </c>
      <c r="L1483" s="2" t="n">
        <f aca="false">J1483/_xlfn.XLOOKUP(Tabla2[[#This Row],[Unidad de precio]],Tabla3[Medida],Tabla3[Equivalencia en Kg],"ELVIS",0)</f>
        <v>27.6780202821869</v>
      </c>
      <c r="M1483" s="2" t="n">
        <v>6579.6044973696</v>
      </c>
      <c r="N1483" s="3" t="n">
        <f aca="false">(Tabla2[[#This Row],[Productividad (kg/TAS)]]*Tabla2[[#This Row],[Precio por kg]]-Tabla2[[#This Row],[Costos (En RD$/Tarea)]])</f>
        <v>8389.5205026304</v>
      </c>
      <c r="O1483" s="9" t="n">
        <f aca="false">IF(Tabla2[[#This Row],[Costos (En RD$/Tarea)]]=0,0,Tabla2[[#This Row],[Beneficio Neto  (En RD$/Tarea)]]/Tabla2[[#This Row],[Costos (En RD$/Tarea)]])</f>
        <v>1.27507975684319</v>
      </c>
      <c r="P1483" s="7" t="n">
        <f aca="false">Tabla2[[#This Row],[Rentabilidad (%)]]/12</f>
        <v>0.106256646403599</v>
      </c>
    </row>
    <row r="1484" customFormat="false" ht="14.25" hidden="false" customHeight="false" outlineLevel="0" collapsed="false">
      <c r="A1484" s="1" t="n">
        <v>40269</v>
      </c>
      <c r="B1484" s="2" t="s">
        <v>25</v>
      </c>
      <c r="C1484" s="3" t="n">
        <v>28921</v>
      </c>
      <c r="D1484" s="8" t="s">
        <v>17</v>
      </c>
      <c r="E1484" s="3" t="n">
        <f aca="false">IF(Tabla2[[#This Row],[Frecuencia]]="Annual", Tabla2[[#This Row],[Cosecha/Tarea]]/12,Tabla2[[#This Row],[Cosecha/Tarea]])</f>
        <v>28921</v>
      </c>
      <c r="F1484" s="3" t="n">
        <v>305406</v>
      </c>
      <c r="G1484" s="2" t="s">
        <v>18</v>
      </c>
      <c r="H1484" s="2" t="n">
        <f aca="false">F1484/Tabla2[[#This Row],[Cosecha Mensual]]</f>
        <v>10.5600082984682</v>
      </c>
      <c r="I1484" s="2" t="n">
        <f aca="false">H1484*_xlfn.XLOOKUP(Tabla2[[#This Row],[Unidad de producción]],Tabla3[Medida],Tabla3[Equivalencia en Kg],"ELVIS",0)</f>
        <v>479.001976418519</v>
      </c>
      <c r="J1484" s="2" t="n">
        <v>288.495833333333</v>
      </c>
      <c r="K1484" s="2" t="s">
        <v>18</v>
      </c>
      <c r="L1484" s="2" t="n">
        <f aca="false">J1484/_xlfn.XLOOKUP(Tabla2[[#This Row],[Unidad de precio]],Tabla3[Medida],Tabla3[Equivalencia en Kg],"ELVIS",0)</f>
        <v>6.36013741916519</v>
      </c>
      <c r="M1484" s="2" t="n">
        <v>3734.00643997985</v>
      </c>
      <c r="N1484" s="3" t="n">
        <f aca="false">(Tabla2[[#This Row],[Productividad (kg/TAS)]]*Tabla2[[#This Row],[Precio por kg]]-Tabla2[[#This Row],[Costos (En RD$/Tarea)]])</f>
        <v>-687.488045906343</v>
      </c>
      <c r="O1484" s="9" t="n">
        <f aca="false">IF(Tabla2[[#This Row],[Costos (En RD$/Tarea)]]=0,0,Tabla2[[#This Row],[Beneficio Neto  (En RD$/Tarea)]]/Tabla2[[#This Row],[Costos (En RD$/Tarea)]])</f>
        <v>-0.184115388378937</v>
      </c>
      <c r="P1484" s="7" t="n">
        <f aca="false">Tabla2[[#This Row],[Rentabilidad (%)]]/12</f>
        <v>-0.0153429490315781</v>
      </c>
    </row>
    <row r="1485" customFormat="false" ht="14.25" hidden="false" customHeight="false" outlineLevel="0" collapsed="false">
      <c r="A1485" s="1" t="n">
        <v>40269</v>
      </c>
      <c r="B1485" s="2" t="s">
        <v>26</v>
      </c>
      <c r="C1485" s="3" t="n">
        <v>16105</v>
      </c>
      <c r="D1485" s="8" t="s">
        <v>17</v>
      </c>
      <c r="E1485" s="3" t="n">
        <f aca="false">IF(Tabla2[[#This Row],[Frecuencia]]="Annual", Tabla2[[#This Row],[Cosecha/Tarea]]/12,Tabla2[[#This Row],[Cosecha/Tarea]])</f>
        <v>16105</v>
      </c>
      <c r="F1485" s="3" t="n">
        <v>142334</v>
      </c>
      <c r="G1485" s="2" t="s">
        <v>18</v>
      </c>
      <c r="H1485" s="2" t="n">
        <f aca="false">F1485/Tabla2[[#This Row],[Cosecha Mensual]]</f>
        <v>8.83787643588948</v>
      </c>
      <c r="I1485" s="2" t="n">
        <f aca="false">H1485*_xlfn.XLOOKUP(Tabla2[[#This Row],[Unidad de producción]],Tabla3[Medida],Tabla3[Equivalencia en Kg],"ELVIS",0)</f>
        <v>400.886075131947</v>
      </c>
      <c r="J1485" s="2" t="n">
        <v>605.548611111111</v>
      </c>
      <c r="K1485" s="2" t="s">
        <v>18</v>
      </c>
      <c r="L1485" s="2" t="n">
        <f aca="false">J1485/_xlfn.XLOOKUP(Tabla2[[#This Row],[Unidad de precio]],Tabla3[Medida],Tabla3[Equivalencia en Kg],"ELVIS",0)</f>
        <v>13.3498371056241</v>
      </c>
      <c r="M1485" s="2" t="n">
        <v>1771.21219288463</v>
      </c>
      <c r="N1485" s="3" t="n">
        <f aca="false">(Tabla2[[#This Row],[Productividad (kg/TAS)]]*Tabla2[[#This Row],[Precio por kg]]-Tabla2[[#This Row],[Costos (En RD$/Tarea)]])</f>
        <v>3580.55160803986</v>
      </c>
      <c r="O1485" s="9" t="n">
        <f aca="false">IF(Tabla2[[#This Row],[Costos (En RD$/Tarea)]]=0,0,Tabla2[[#This Row],[Beneficio Neto  (En RD$/Tarea)]]/Tabla2[[#This Row],[Costos (En RD$/Tarea)]])</f>
        <v>2.02152606131765</v>
      </c>
      <c r="P1485" s="7" t="n">
        <f aca="false">Tabla2[[#This Row],[Rentabilidad (%)]]/12</f>
        <v>0.168460505109804</v>
      </c>
    </row>
    <row r="1486" customFormat="false" ht="14.25" hidden="false" customHeight="false" outlineLevel="0" collapsed="false">
      <c r="A1486" s="1" t="n">
        <v>40269</v>
      </c>
      <c r="B1486" s="2" t="s">
        <v>27</v>
      </c>
      <c r="C1486" s="3" t="n">
        <v>7000</v>
      </c>
      <c r="D1486" s="8" t="s">
        <v>17</v>
      </c>
      <c r="E1486" s="3" t="n">
        <f aca="false">IF(Tabla2[[#This Row],[Frecuencia]]="Annual", Tabla2[[#This Row],[Cosecha/Tarea]]/12,Tabla2[[#This Row],[Cosecha/Tarea]])</f>
        <v>7000</v>
      </c>
      <c r="F1486" s="3" t="n">
        <v>76500</v>
      </c>
      <c r="G1486" s="2" t="s">
        <v>18</v>
      </c>
      <c r="H1486" s="2" t="n">
        <f aca="false">F1486/Tabla2[[#This Row],[Cosecha Mensual]]</f>
        <v>10.9285714285714</v>
      </c>
      <c r="I1486" s="2" t="n">
        <f aca="false">H1486*_xlfn.XLOOKUP(Tabla2[[#This Row],[Unidad de producción]],Tabla3[Medida],Tabla3[Equivalencia en Kg],"ELVIS",0)</f>
        <v>495.72</v>
      </c>
      <c r="J1486" s="2" t="n">
        <v>275.024444444444</v>
      </c>
      <c r="K1486" s="2" t="s">
        <v>18</v>
      </c>
      <c r="L1486" s="2" t="n">
        <f aca="false">J1486/_xlfn.XLOOKUP(Tabla2[[#This Row],[Unidad de precio]],Tabla3[Medida],Tabla3[Equivalencia en Kg],"ELVIS",0)</f>
        <v>6.06314912796393</v>
      </c>
      <c r="M1486" s="2" t="n">
        <v>6142.39107464557</v>
      </c>
      <c r="N1486" s="3" t="n">
        <f aca="false">(Tabla2[[#This Row],[Productividad (kg/TAS)]]*Tabla2[[#This Row],[Precio por kg]]-Tabla2[[#This Row],[Costos (En RD$/Tarea)]])</f>
        <v>-3136.76678893129</v>
      </c>
      <c r="O1486" s="9" t="n">
        <f aca="false">IF(Tabla2[[#This Row],[Costos (En RD$/Tarea)]]=0,0,Tabla2[[#This Row],[Beneficio Neto  (En RD$/Tarea)]]/Tabla2[[#This Row],[Costos (En RD$/Tarea)]])</f>
        <v>-0.510675199740891</v>
      </c>
      <c r="P1486" s="7" t="n">
        <f aca="false">Tabla2[[#This Row],[Rentabilidad (%)]]/12</f>
        <v>-0.0425562666450742</v>
      </c>
    </row>
    <row r="1487" customFormat="false" ht="14.25" hidden="false" customHeight="false" outlineLevel="0" collapsed="false">
      <c r="A1487" s="1" t="n">
        <v>40269</v>
      </c>
      <c r="B1487" s="2" t="s">
        <v>28</v>
      </c>
      <c r="C1487" s="3" t="n">
        <v>1376</v>
      </c>
      <c r="D1487" s="8" t="s">
        <v>17</v>
      </c>
      <c r="E1487" s="3" t="n">
        <f aca="false">IF(Tabla2[[#This Row],[Frecuencia]]="Annual", Tabla2[[#This Row],[Cosecha/Tarea]]/12,Tabla2[[#This Row],[Cosecha/Tarea]])</f>
        <v>1376</v>
      </c>
      <c r="F1487" s="3" t="n">
        <v>972</v>
      </c>
      <c r="G1487" s="2" t="s">
        <v>29</v>
      </c>
      <c r="H1487" s="2" t="n">
        <f aca="false">F1487/Tabla2[[#This Row],[Cosecha Mensual]]</f>
        <v>0.706395348837209</v>
      </c>
      <c r="I1487" s="2" t="n">
        <f aca="false">H1487*_xlfn.XLOOKUP(Tabla2[[#This Row],[Unidad de producción]],Tabla3[Medida],Tabla3[Equivalencia en Kg],"ELVIS",0)</f>
        <v>397.234360465116</v>
      </c>
      <c r="J1487" s="2" t="n">
        <v>7215.3</v>
      </c>
      <c r="K1487" s="2" t="s">
        <v>29</v>
      </c>
      <c r="L1487" s="2" t="n">
        <f aca="false">J1487/_xlfn.XLOOKUP(Tabla2[[#This Row],[Unidad de precio]],Tabla3[Medida],Tabla3[Equivalencia en Kg],"ELVIS",0)</f>
        <v>12.8308496639044</v>
      </c>
      <c r="M1487" s="2" t="n">
        <v>6158.11903089474</v>
      </c>
      <c r="N1487" s="3" t="n">
        <f aca="false">(Tabla2[[#This Row],[Productividad (kg/TAS)]]*Tabla2[[#This Row],[Precio por kg]]-Tabla2[[#This Row],[Costos (En RD$/Tarea)]])</f>
        <v>-1061.26467042962</v>
      </c>
      <c r="O1487" s="9" t="n">
        <f aca="false">IF(Tabla2[[#This Row],[Costos (En RD$/Tarea)]]=0,0,Tabla2[[#This Row],[Beneficio Neto  (En RD$/Tarea)]]/Tabla2[[#This Row],[Costos (En RD$/Tarea)]])</f>
        <v>-0.172335848837178</v>
      </c>
      <c r="P1487" s="7" t="n">
        <f aca="false">Tabla2[[#This Row],[Rentabilidad (%)]]/12</f>
        <v>-0.0143613207364315</v>
      </c>
    </row>
    <row r="1488" customFormat="false" ht="14.25" hidden="false" customHeight="false" outlineLevel="0" collapsed="false">
      <c r="A1488" s="1" t="n">
        <v>40269</v>
      </c>
      <c r="B1488" s="2" t="s">
        <v>30</v>
      </c>
      <c r="C1488" s="3" t="n">
        <v>298359</v>
      </c>
      <c r="D1488" s="3" t="s">
        <v>31</v>
      </c>
      <c r="E1488" s="3" t="n">
        <f aca="false">IF(Tabla2[[#This Row],[Frecuencia]]="Annual", Tabla2[[#This Row],[Cosecha/Tarea]]/12,Tabla2[[#This Row],[Cosecha/Tarea]])</f>
        <v>24863.25</v>
      </c>
      <c r="F1488" s="3" t="n">
        <v>2088513</v>
      </c>
      <c r="G1488" s="2" t="s">
        <v>32</v>
      </c>
      <c r="H1488" s="2" t="n">
        <f aca="false">F1488/Tabla2[[#This Row],[Cosecha Mensual]]</f>
        <v>84</v>
      </c>
      <c r="I1488" s="2" t="n">
        <f aca="false">H1488*_xlfn.XLOOKUP(Tabla2[[#This Row],[Unidad de producción]],Tabla3[Medida],Tabla3[Equivalencia en Kg],"ELVIS",0)</f>
        <v>2285.64</v>
      </c>
      <c r="J1488" s="2" t="n">
        <v>117.549166666667</v>
      </c>
      <c r="K1488" s="2" t="s">
        <v>32</v>
      </c>
      <c r="L1488" s="2" t="n">
        <f aca="false">J1488/_xlfn.XLOOKUP(Tabla2[[#This Row],[Unidad de precio]],Tabla3[Medida],Tabla3[Equivalencia en Kg],"ELVIS",0)</f>
        <v>4.32007227734903</v>
      </c>
      <c r="M1488" s="3" t="n">
        <v>10497.9114219602</v>
      </c>
      <c r="N1488" s="3" t="n">
        <f aca="false">(Tabla2[[#This Row],[Productividad (kg/TAS)]]*Tabla2[[#This Row],[Precio por kg]]-Tabla2[[#This Row],[Costos (En RD$/Tarea)]])</f>
        <v>-623.781421960171</v>
      </c>
      <c r="O1488" s="9" t="n">
        <f aca="false">IF(Tabla2[[#This Row],[Costos (En RD$/Tarea)]]=0,0,Tabla2[[#This Row],[Beneficio Neto  (En RD$/Tarea)]]/Tabla2[[#This Row],[Costos (En RD$/Tarea)]])</f>
        <v>-0.0594195737501943</v>
      </c>
      <c r="P1488" s="7" t="n">
        <f aca="false">Tabla2[[#This Row],[Rentabilidad (%)]]/12</f>
        <v>-0.00495163114584953</v>
      </c>
    </row>
    <row r="1489" customFormat="false" ht="14.25" hidden="false" customHeight="false" outlineLevel="0" collapsed="false">
      <c r="A1489" s="1" t="n">
        <v>40269</v>
      </c>
      <c r="B1489" s="2" t="s">
        <v>33</v>
      </c>
      <c r="C1489" s="3" t="n">
        <v>606326</v>
      </c>
      <c r="D1489" s="3" t="s">
        <v>31</v>
      </c>
      <c r="E1489" s="3" t="n">
        <f aca="false">IF(Tabla2[[#This Row],[Frecuencia]]="Annual", Tabla2[[#This Row],[Cosecha/Tarea]]/12,Tabla2[[#This Row],[Cosecha/Tarea]])</f>
        <v>50527.1666666667</v>
      </c>
      <c r="F1489" s="3" t="n">
        <v>113589</v>
      </c>
      <c r="G1489" s="2" t="s">
        <v>34</v>
      </c>
      <c r="H1489" s="2" t="n">
        <f aca="false">F1489/Tabla2[[#This Row],[Cosecha Mensual]]</f>
        <v>2.24807776674594</v>
      </c>
      <c r="I1489" s="2" t="n">
        <f aca="false">H1489*_xlfn.XLOOKUP(Tabla2[[#This Row],[Unidad de producción]],Tabla3[Medida],Tabla3[Equivalencia en Kg],"ELVIS",0)</f>
        <v>917.552940497356</v>
      </c>
      <c r="J1489" s="2" t="n">
        <v>3779.58928571429</v>
      </c>
      <c r="K1489" s="2" t="s">
        <v>34</v>
      </c>
      <c r="L1489" s="2" t="n">
        <f aca="false">J1489/_xlfn.XLOOKUP(Tabla2[[#This Row],[Unidad de precio]],Tabla3[Medida],Tabla3[Equivalencia en Kg],"ELVIS",0)</f>
        <v>9.26029470957807</v>
      </c>
      <c r="M1489" s="3" t="n">
        <v>9292.97349690822</v>
      </c>
      <c r="N1489" s="3" t="n">
        <f aca="false">(Tabla2[[#This Row],[Productividad (kg/TAS)]]*Tabla2[[#This Row],[Precio por kg]]-Tabla2[[#This Row],[Costos (En RD$/Tarea)]])</f>
        <v>-796.162856262747</v>
      </c>
      <c r="O1489" s="9" t="n">
        <f aca="false">IF(Tabla2[[#This Row],[Costos (En RD$/Tarea)]]=0,0,Tabla2[[#This Row],[Beneficio Neto  (En RD$/Tarea)]]/Tabla2[[#This Row],[Costos (En RD$/Tarea)]])</f>
        <v>-0.0856736389625593</v>
      </c>
      <c r="P1489" s="7" t="n">
        <f aca="false">Tabla2[[#This Row],[Rentabilidad (%)]]/12</f>
        <v>-0.0071394699135466</v>
      </c>
    </row>
    <row r="1490" customFormat="false" ht="14.25" hidden="false" customHeight="false" outlineLevel="0" collapsed="false">
      <c r="A1490" s="1" t="n">
        <v>40299</v>
      </c>
      <c r="B1490" s="2" t="s">
        <v>16</v>
      </c>
      <c r="C1490" s="3" t="n">
        <v>288786</v>
      </c>
      <c r="D1490" s="8" t="s">
        <v>17</v>
      </c>
      <c r="E1490" s="3" t="n">
        <f aca="false">IF(Tabla2[[#This Row],[Frecuencia]]="Annual", Tabla2[[#This Row],[Cosecha/Tarea]]/12,Tabla2[[#This Row],[Cosecha/Tarea]])</f>
        <v>288786</v>
      </c>
      <c r="F1490" s="3" t="n">
        <v>1383253</v>
      </c>
      <c r="G1490" s="2" t="s">
        <v>18</v>
      </c>
      <c r="H1490" s="2" t="n">
        <f aca="false">F1490/Tabla2[[#This Row],[Cosecha Mensual]]</f>
        <v>4.78988939907059</v>
      </c>
      <c r="I1490" s="2" t="n">
        <f aca="false">H1490*_xlfn.XLOOKUP(Tabla2[[#This Row],[Unidad de producción]],Tabla3[Medida],Tabla3[Equivalencia en Kg],"ELVIS",0)</f>
        <v>217.269383141842</v>
      </c>
      <c r="J1490" s="2" t="n">
        <v>1843.45722222222</v>
      </c>
      <c r="K1490" s="2" t="s">
        <v>19</v>
      </c>
      <c r="L1490" s="2" t="n">
        <f aca="false">J1490/_xlfn.XLOOKUP(Tabla2[[#This Row],[Unidad de precio]],Tabla3[Medida],Tabla3[Equivalencia en Kg],"ELVIS",0)</f>
        <v>16.758702020202</v>
      </c>
      <c r="M1490" s="2" t="n">
        <v>7449.80873820933</v>
      </c>
      <c r="N1490" s="3" t="n">
        <f aca="false">(Tabla2[[#This Row],[Productividad (kg/TAS)]]*Tabla2[[#This Row],[Precio por kg]]-Tabla2[[#This Row],[Costos (En RD$/Tarea)]])</f>
        <v>-3808.6558880221</v>
      </c>
      <c r="O1490" s="9" t="n">
        <f aca="false">IF(Tabla2[[#This Row],[Costos (En RD$/Tarea)]]=0,0,Tabla2[[#This Row],[Beneficio Neto  (En RD$/Tarea)]]/Tabla2[[#This Row],[Costos (En RD$/Tarea)]])</f>
        <v>-0.511242103235199</v>
      </c>
      <c r="P1490" s="7" t="n">
        <f aca="false">Tabla2[[#This Row],[Rentabilidad (%)]]/12</f>
        <v>-0.0426035086029332</v>
      </c>
    </row>
    <row r="1491" customFormat="false" ht="14.25" hidden="false" customHeight="false" outlineLevel="0" collapsed="false">
      <c r="A1491" s="1" t="n">
        <v>40299</v>
      </c>
      <c r="B1491" s="2" t="s">
        <v>20</v>
      </c>
      <c r="C1491" s="3" t="n">
        <v>23500</v>
      </c>
      <c r="D1491" s="8" t="s">
        <v>17</v>
      </c>
      <c r="E1491" s="3" t="n">
        <f aca="false">IF(Tabla2[[#This Row],[Frecuencia]]="Annual", Tabla2[[#This Row],[Cosecha/Tarea]]/12,Tabla2[[#This Row],[Cosecha/Tarea]])</f>
        <v>23500</v>
      </c>
      <c r="F1491" s="3" t="n">
        <v>69328</v>
      </c>
      <c r="G1491" s="2" t="s">
        <v>18</v>
      </c>
      <c r="H1491" s="2" t="n">
        <f aca="false">F1491/Tabla2[[#This Row],[Cosecha Mensual]]</f>
        <v>2.95012765957447</v>
      </c>
      <c r="I1491" s="2" t="n">
        <f aca="false">H1491*_xlfn.XLOOKUP(Tabla2[[#This Row],[Unidad de producción]],Tabla3[Medida],Tabla3[Equivalencia en Kg],"ELVIS",0)</f>
        <v>133.817790638298</v>
      </c>
      <c r="J1491" s="2" t="n">
        <v>610.130952380952</v>
      </c>
      <c r="K1491" s="2" t="s">
        <v>18</v>
      </c>
      <c r="L1491" s="2" t="n">
        <f aca="false">J1491/_xlfn.XLOOKUP(Tabla2[[#This Row],[Unidad de precio]],Tabla3[Medida],Tabla3[Equivalencia en Kg],"ELVIS",0)</f>
        <v>13.4508587385571</v>
      </c>
      <c r="M1491" s="2" t="n">
        <v>2162.02023182316</v>
      </c>
      <c r="N1491" s="3" t="n">
        <f aca="false">(Tabla2[[#This Row],[Productividad (kg/TAS)]]*Tabla2[[#This Row],[Precio por kg]]-Tabla2[[#This Row],[Costos (En RD$/Tarea)]])</f>
        <v>-362.056033241601</v>
      </c>
      <c r="O1491" s="9" t="n">
        <f aca="false">IF(Tabla2[[#This Row],[Costos (En RD$/Tarea)]]=0,0,Tabla2[[#This Row],[Beneficio Neto  (En RD$/Tarea)]]/Tabla2[[#This Row],[Costos (En RD$/Tarea)]])</f>
        <v>-0.167461908039728</v>
      </c>
      <c r="P1491" s="7" t="n">
        <f aca="false">Tabla2[[#This Row],[Rentabilidad (%)]]/12</f>
        <v>-0.0139551590033106</v>
      </c>
    </row>
    <row r="1492" customFormat="false" ht="14.25" hidden="false" customHeight="false" outlineLevel="0" collapsed="false">
      <c r="A1492" s="1" t="n">
        <v>40299</v>
      </c>
      <c r="B1492" s="2" t="s">
        <v>21</v>
      </c>
      <c r="C1492" s="3" t="n">
        <v>7756</v>
      </c>
      <c r="D1492" s="8" t="s">
        <v>17</v>
      </c>
      <c r="E1492" s="3" t="n">
        <f aca="false">IF(Tabla2[[#This Row],[Frecuencia]]="Annual", Tabla2[[#This Row],[Cosecha/Tarea]]/12,Tabla2[[#This Row],[Cosecha/Tarea]])</f>
        <v>7756</v>
      </c>
      <c r="F1492" s="3" t="n">
        <v>92556</v>
      </c>
      <c r="G1492" s="2" t="s">
        <v>18</v>
      </c>
      <c r="H1492" s="2" t="n">
        <f aca="false">F1492/Tabla2[[#This Row],[Cosecha Mensual]]</f>
        <v>11.9334708612687</v>
      </c>
      <c r="I1492" s="2" t="n">
        <f aca="false">H1492*_xlfn.XLOOKUP(Tabla2[[#This Row],[Unidad de producción]],Tabla3[Medida],Tabla3[Equivalencia en Kg],"ELVIS",0)</f>
        <v>541.302238267148</v>
      </c>
      <c r="J1492" s="2" t="n">
        <v>410.544642857143</v>
      </c>
      <c r="K1492" s="2" t="s">
        <v>18</v>
      </c>
      <c r="L1492" s="2" t="n">
        <f aca="false">J1492/_xlfn.XLOOKUP(Tabla2[[#This Row],[Unidad de precio]],Tabla3[Medida],Tabla3[Equivalencia en Kg],"ELVIS",0)</f>
        <v>9.05080782312925</v>
      </c>
      <c r="M1492" s="2" t="n">
        <v>4521.4268875</v>
      </c>
      <c r="N1492" s="3" t="n">
        <f aca="false">(Tabla2[[#This Row],[Productividad (kg/TAS)]]*Tabla2[[#This Row],[Precio por kg]]-Tabla2[[#This Row],[Costos (En RD$/Tarea)]])</f>
        <v>377.795645285679</v>
      </c>
      <c r="O1492" s="9" t="n">
        <f aca="false">IF(Tabla2[[#This Row],[Costos (En RD$/Tarea)]]=0,0,Tabla2[[#This Row],[Beneficio Neto  (En RD$/Tarea)]]/Tabla2[[#This Row],[Costos (En RD$/Tarea)]])</f>
        <v>0.0835567299186321</v>
      </c>
      <c r="P1492" s="7" t="n">
        <f aca="false">Tabla2[[#This Row],[Rentabilidad (%)]]/12</f>
        <v>0.00696306082655267</v>
      </c>
    </row>
    <row r="1493" customFormat="false" ht="14.25" hidden="false" customHeight="false" outlineLevel="0" collapsed="false">
      <c r="A1493" s="1" t="n">
        <v>40299</v>
      </c>
      <c r="B1493" s="2" t="s">
        <v>22</v>
      </c>
      <c r="C1493" s="3" t="n">
        <v>6112</v>
      </c>
      <c r="D1493" s="8" t="s">
        <v>17</v>
      </c>
      <c r="E1493" s="3" t="n">
        <f aca="false">IF(Tabla2[[#This Row],[Frecuencia]]="Annual", Tabla2[[#This Row],[Cosecha/Tarea]]/12,Tabla2[[#This Row],[Cosecha/Tarea]])</f>
        <v>6112</v>
      </c>
      <c r="F1493" s="3" t="n">
        <v>66620</v>
      </c>
      <c r="G1493" s="2" t="s">
        <v>18</v>
      </c>
      <c r="H1493" s="2" t="n">
        <f aca="false">F1493/Tabla2[[#This Row],[Cosecha Mensual]]</f>
        <v>10.8998691099476</v>
      </c>
      <c r="I1493" s="2" t="n">
        <f aca="false">H1493*_xlfn.XLOOKUP(Tabla2[[#This Row],[Unidad de producción]],Tabla3[Medida],Tabla3[Equivalencia en Kg],"ELVIS",0)</f>
        <v>494.418062827225</v>
      </c>
      <c r="J1493" s="2" t="n">
        <v>1050.90458333333</v>
      </c>
      <c r="K1493" s="2" t="s">
        <v>18</v>
      </c>
      <c r="L1493" s="2" t="n">
        <f aca="false">J1493/_xlfn.XLOOKUP(Tabla2[[#This Row],[Unidad de precio]],Tabla3[Medida],Tabla3[Equivalencia en Kg],"ELVIS",0)</f>
        <v>23.1680904614932</v>
      </c>
      <c r="M1493" s="2" t="n">
        <v>7599.7694060736</v>
      </c>
      <c r="N1493" s="3" t="n">
        <f aca="false">(Tabla2[[#This Row],[Productividad (kg/TAS)]]*Tabla2[[#This Row],[Precio por kg]]-Tabla2[[#This Row],[Costos (En RD$/Tarea)]])</f>
        <v>3854.95299930376</v>
      </c>
      <c r="O1493" s="9" t="n">
        <f aca="false">IF(Tabla2[[#This Row],[Costos (En RD$/Tarea)]]=0,0,Tabla2[[#This Row],[Beneficio Neto  (En RD$/Tarea)]]/Tabla2[[#This Row],[Costos (En RD$/Tarea)]])</f>
        <v>0.507246048310749</v>
      </c>
      <c r="P1493" s="7" t="n">
        <f aca="false">Tabla2[[#This Row],[Rentabilidad (%)]]/12</f>
        <v>0.0422705040258958</v>
      </c>
    </row>
    <row r="1494" customFormat="false" ht="14.25" hidden="false" customHeight="false" outlineLevel="0" collapsed="false">
      <c r="A1494" s="1" t="n">
        <v>40299</v>
      </c>
      <c r="B1494" s="2" t="s">
        <v>23</v>
      </c>
      <c r="C1494" s="3" t="n">
        <v>2795</v>
      </c>
      <c r="D1494" s="8" t="s">
        <v>17</v>
      </c>
      <c r="E1494" s="3" t="n">
        <f aca="false">IF(Tabla2[[#This Row],[Frecuencia]]="Annual", Tabla2[[#This Row],[Cosecha/Tarea]]/12,Tabla2[[#This Row],[Cosecha/Tarea]])</f>
        <v>2795</v>
      </c>
      <c r="F1494" s="3" t="n">
        <v>73536</v>
      </c>
      <c r="G1494" s="2" t="s">
        <v>18</v>
      </c>
      <c r="H1494" s="2" t="n">
        <f aca="false">F1494/Tabla2[[#This Row],[Cosecha Mensual]]</f>
        <v>26.3098389982111</v>
      </c>
      <c r="I1494" s="2" t="n">
        <f aca="false">H1494*_xlfn.XLOOKUP(Tabla2[[#This Row],[Unidad de producción]],Tabla3[Medida],Tabla3[Equivalencia en Kg],"ELVIS",0)</f>
        <v>1193.41429695886</v>
      </c>
      <c r="J1494" s="2" t="n">
        <v>737.5</v>
      </c>
      <c r="K1494" s="2" t="s">
        <v>18</v>
      </c>
      <c r="L1494" s="2" t="n">
        <f aca="false">J1494/_xlfn.XLOOKUP(Tabla2[[#This Row],[Unidad de precio]],Tabla3[Medida],Tabla3[Equivalencia en Kg],"ELVIS",0)</f>
        <v>16.2588183421517</v>
      </c>
      <c r="M1494" s="2" t="n">
        <v>20327.21</v>
      </c>
      <c r="N1494" s="3" t="n">
        <f aca="false">(Tabla2[[#This Row],[Productividad (kg/TAS)]]*Tabla2[[#This Row],[Precio por kg]]-Tabla2[[#This Row],[Costos (En RD$/Tarea)]])</f>
        <v>-923.703738819317</v>
      </c>
      <c r="O1494" s="9" t="n">
        <f aca="false">IF(Tabla2[[#This Row],[Costos (En RD$/Tarea)]]=0,0,Tabla2[[#This Row],[Beneficio Neto  (En RD$/Tarea)]]/Tabla2[[#This Row],[Costos (En RD$/Tarea)]])</f>
        <v>-0.0454417373962938</v>
      </c>
      <c r="P1494" s="7" t="n">
        <f aca="false">Tabla2[[#This Row],[Rentabilidad (%)]]/12</f>
        <v>-0.00378681144969115</v>
      </c>
    </row>
    <row r="1495" customFormat="false" ht="14.25" hidden="false" customHeight="false" outlineLevel="0" collapsed="false">
      <c r="A1495" s="1" t="n">
        <v>40299</v>
      </c>
      <c r="B1495" s="2" t="s">
        <v>24</v>
      </c>
      <c r="C1495" s="3" t="n">
        <v>5041</v>
      </c>
      <c r="D1495" s="8" t="s">
        <v>17</v>
      </c>
      <c r="E1495" s="3" t="n">
        <f aca="false">IF(Tabla2[[#This Row],[Frecuencia]]="Annual", Tabla2[[#This Row],[Cosecha/Tarea]]/12,Tabla2[[#This Row],[Cosecha/Tarea]])</f>
        <v>5041</v>
      </c>
      <c r="F1495" s="3" t="n">
        <v>47950</v>
      </c>
      <c r="G1495" s="2" t="s">
        <v>18</v>
      </c>
      <c r="H1495" s="2" t="n">
        <f aca="false">F1495/Tabla2[[#This Row],[Cosecha Mensual]]</f>
        <v>9.51200158698671</v>
      </c>
      <c r="I1495" s="2" t="n">
        <f aca="false">H1495*_xlfn.XLOOKUP(Tabla2[[#This Row],[Unidad de producción]],Tabla3[Medida],Tabla3[Equivalencia en Kg],"ELVIS",0)</f>
        <v>431.464391985717</v>
      </c>
      <c r="J1495" s="2" t="n">
        <v>1177.125</v>
      </c>
      <c r="K1495" s="2" t="s">
        <v>18</v>
      </c>
      <c r="L1495" s="2" t="n">
        <f aca="false">J1495/_xlfn.XLOOKUP(Tabla2[[#This Row],[Unidad de precio]],Tabla3[Medida],Tabla3[Equivalencia en Kg],"ELVIS",0)</f>
        <v>25.9507275132275</v>
      </c>
      <c r="M1495" s="2" t="n">
        <v>6579.6044973696</v>
      </c>
      <c r="N1495" s="3" t="n">
        <f aca="false">(Tabla2[[#This Row],[Productividad (kg/TAS)]]*Tabla2[[#This Row],[Precio por kg]]-Tabla2[[#This Row],[Costos (En RD$/Tarea)]])</f>
        <v>4617.21037071213</v>
      </c>
      <c r="O1495" s="9" t="n">
        <f aca="false">IF(Tabla2[[#This Row],[Costos (En RD$/Tarea)]]=0,0,Tabla2[[#This Row],[Beneficio Neto  (En RD$/Tarea)]]/Tabla2[[#This Row],[Costos (En RD$/Tarea)]])</f>
        <v>0.701745883442995</v>
      </c>
      <c r="P1495" s="7" t="n">
        <f aca="false">Tabla2[[#This Row],[Rentabilidad (%)]]/12</f>
        <v>0.0584788236202496</v>
      </c>
    </row>
    <row r="1496" customFormat="false" ht="14.25" hidden="false" customHeight="false" outlineLevel="0" collapsed="false">
      <c r="A1496" s="1" t="n">
        <v>40299</v>
      </c>
      <c r="B1496" s="2" t="s">
        <v>25</v>
      </c>
      <c r="C1496" s="3" t="n">
        <v>30226</v>
      </c>
      <c r="D1496" s="8" t="s">
        <v>17</v>
      </c>
      <c r="E1496" s="3" t="n">
        <f aca="false">IF(Tabla2[[#This Row],[Frecuencia]]="Annual", Tabla2[[#This Row],[Cosecha/Tarea]]/12,Tabla2[[#This Row],[Cosecha/Tarea]])</f>
        <v>30226</v>
      </c>
      <c r="F1496" s="3" t="n">
        <v>468564</v>
      </c>
      <c r="G1496" s="2" t="s">
        <v>18</v>
      </c>
      <c r="H1496" s="2" t="n">
        <f aca="false">F1496/Tabla2[[#This Row],[Cosecha Mensual]]</f>
        <v>15.5020181300867</v>
      </c>
      <c r="I1496" s="2" t="n">
        <f aca="false">H1496*_xlfn.XLOOKUP(Tabla2[[#This Row],[Unidad de producción]],Tabla3[Medida],Tabla3[Equivalencia en Kg],"ELVIS",0)</f>
        <v>703.171542380732</v>
      </c>
      <c r="J1496" s="2" t="n">
        <v>274.735178571429</v>
      </c>
      <c r="K1496" s="2" t="s">
        <v>18</v>
      </c>
      <c r="L1496" s="2" t="n">
        <f aca="false">J1496/_xlfn.XLOOKUP(Tabla2[[#This Row],[Unidad de precio]],Tabla3[Medida],Tabla3[Equivalencia en Kg],"ELVIS",0)</f>
        <v>6.05677201436131</v>
      </c>
      <c r="M1496" s="2" t="n">
        <v>3734.00643997985</v>
      </c>
      <c r="N1496" s="3" t="n">
        <f aca="false">(Tabla2[[#This Row],[Productividad (kg/TAS)]]*Tabla2[[#This Row],[Precio por kg]]-Tabla2[[#This Row],[Costos (En RD$/Tarea)]])</f>
        <v>524.943279207044</v>
      </c>
      <c r="O1496" s="9" t="n">
        <f aca="false">IF(Tabla2[[#This Row],[Costos (En RD$/Tarea)]]=0,0,Tabla2[[#This Row],[Beneficio Neto  (En RD$/Tarea)]]/Tabla2[[#This Row],[Costos (En RD$/Tarea)]])</f>
        <v>0.140584460055156</v>
      </c>
      <c r="P1496" s="7" t="n">
        <f aca="false">Tabla2[[#This Row],[Rentabilidad (%)]]/12</f>
        <v>0.011715371671263</v>
      </c>
    </row>
    <row r="1497" customFormat="false" ht="14.25" hidden="false" customHeight="false" outlineLevel="0" collapsed="false">
      <c r="A1497" s="1" t="n">
        <v>40299</v>
      </c>
      <c r="B1497" s="2" t="s">
        <v>26</v>
      </c>
      <c r="C1497" s="3" t="n">
        <v>12180</v>
      </c>
      <c r="D1497" s="8" t="s">
        <v>17</v>
      </c>
      <c r="E1497" s="3" t="n">
        <f aca="false">IF(Tabla2[[#This Row],[Frecuencia]]="Annual", Tabla2[[#This Row],[Cosecha/Tarea]]/12,Tabla2[[#This Row],[Cosecha/Tarea]])</f>
        <v>12180</v>
      </c>
      <c r="F1497" s="3" t="n">
        <v>75974</v>
      </c>
      <c r="G1497" s="2" t="s">
        <v>18</v>
      </c>
      <c r="H1497" s="2" t="n">
        <f aca="false">F1497/Tabla2[[#This Row],[Cosecha Mensual]]</f>
        <v>6.2376026272578</v>
      </c>
      <c r="I1497" s="2" t="n">
        <f aca="false">H1497*_xlfn.XLOOKUP(Tabla2[[#This Row],[Unidad de producción]],Tabla3[Medida],Tabla3[Equivalencia en Kg],"ELVIS",0)</f>
        <v>282.937655172414</v>
      </c>
      <c r="J1497" s="2" t="n">
        <v>656.423611111111</v>
      </c>
      <c r="K1497" s="2" t="s">
        <v>18</v>
      </c>
      <c r="L1497" s="2" t="n">
        <f aca="false">J1497/_xlfn.XLOOKUP(Tabla2[[#This Row],[Unidad de precio]],Tabla3[Medida],Tabla3[Equivalencia en Kg],"ELVIS",0)</f>
        <v>14.4714199980404</v>
      </c>
      <c r="M1497" s="2" t="n">
        <v>1771.21219288463</v>
      </c>
      <c r="N1497" s="3" t="n">
        <f aca="false">(Tabla2[[#This Row],[Productividad (kg/TAS)]]*Tabla2[[#This Row],[Precio por kg]]-Tabla2[[#This Row],[Costos (En RD$/Tarea)]])</f>
        <v>2323.29744837609</v>
      </c>
      <c r="O1497" s="9" t="n">
        <f aca="false">IF(Tabla2[[#This Row],[Costos (En RD$/Tarea)]]=0,0,Tabla2[[#This Row],[Beneficio Neto  (En RD$/Tarea)]]/Tabla2[[#This Row],[Costos (En RD$/Tarea)]])</f>
        <v>1.31169910511531</v>
      </c>
      <c r="P1497" s="7" t="n">
        <f aca="false">Tabla2[[#This Row],[Rentabilidad (%)]]/12</f>
        <v>0.109308258759609</v>
      </c>
    </row>
    <row r="1498" customFormat="false" ht="14.25" hidden="false" customHeight="false" outlineLevel="0" collapsed="false">
      <c r="A1498" s="1" t="n">
        <v>40299</v>
      </c>
      <c r="B1498" s="2" t="s">
        <v>27</v>
      </c>
      <c r="C1498" s="3" t="n">
        <v>6840</v>
      </c>
      <c r="D1498" s="8" t="s">
        <v>17</v>
      </c>
      <c r="E1498" s="3" t="n">
        <f aca="false">IF(Tabla2[[#This Row],[Frecuencia]]="Annual", Tabla2[[#This Row],[Cosecha/Tarea]]/12,Tabla2[[#This Row],[Cosecha/Tarea]])</f>
        <v>6840</v>
      </c>
      <c r="F1498" s="3" t="n">
        <v>53352</v>
      </c>
      <c r="G1498" s="2" t="s">
        <v>18</v>
      </c>
      <c r="H1498" s="2" t="n">
        <f aca="false">F1498/Tabla2[[#This Row],[Cosecha Mensual]]</f>
        <v>7.8</v>
      </c>
      <c r="I1498" s="2" t="n">
        <f aca="false">H1498*_xlfn.XLOOKUP(Tabla2[[#This Row],[Unidad de producción]],Tabla3[Medida],Tabla3[Equivalencia en Kg],"ELVIS",0)</f>
        <v>353.808</v>
      </c>
      <c r="J1498" s="2" t="n">
        <v>344.45</v>
      </c>
      <c r="K1498" s="2" t="s">
        <v>18</v>
      </c>
      <c r="L1498" s="2" t="n">
        <f aca="false">J1498/_xlfn.XLOOKUP(Tabla2[[#This Row],[Unidad de precio]],Tabla3[Medida],Tabla3[Equivalencia en Kg],"ELVIS",0)</f>
        <v>7.59369488536155</v>
      </c>
      <c r="M1498" s="2" t="n">
        <v>6142.39107464557</v>
      </c>
      <c r="N1498" s="3" t="n">
        <f aca="false">(Tabla2[[#This Row],[Productividad (kg/TAS)]]*Tabla2[[#This Row],[Precio por kg]]-Tabla2[[#This Row],[Costos (En RD$/Tarea)]])</f>
        <v>-3455.68107464557</v>
      </c>
      <c r="O1498" s="9" t="n">
        <f aca="false">IF(Tabla2[[#This Row],[Costos (En RD$/Tarea)]]=0,0,Tabla2[[#This Row],[Beneficio Neto  (En RD$/Tarea)]]/Tabla2[[#This Row],[Costos (En RD$/Tarea)]])</f>
        <v>-0.562595418079102</v>
      </c>
      <c r="P1498" s="7" t="n">
        <f aca="false">Tabla2[[#This Row],[Rentabilidad (%)]]/12</f>
        <v>-0.0468829515065919</v>
      </c>
    </row>
    <row r="1499" customFormat="false" ht="14.25" hidden="false" customHeight="false" outlineLevel="0" collapsed="false">
      <c r="A1499" s="1" t="n">
        <v>40299</v>
      </c>
      <c r="B1499" s="2" t="s">
        <v>28</v>
      </c>
      <c r="C1499" s="3" t="n">
        <v>542</v>
      </c>
      <c r="D1499" s="8" t="s">
        <v>17</v>
      </c>
      <c r="E1499" s="3" t="n">
        <f aca="false">IF(Tabla2[[#This Row],[Frecuencia]]="Annual", Tabla2[[#This Row],[Cosecha/Tarea]]/12,Tabla2[[#This Row],[Cosecha/Tarea]])</f>
        <v>542</v>
      </c>
      <c r="F1499" s="3" t="n">
        <v>1605</v>
      </c>
      <c r="G1499" s="2" t="s">
        <v>29</v>
      </c>
      <c r="H1499" s="2" t="n">
        <f aca="false">F1499/Tabla2[[#This Row],[Cosecha Mensual]]</f>
        <v>2.96125461254613</v>
      </c>
      <c r="I1499" s="2" t="n">
        <f aca="false">H1499*_xlfn.XLOOKUP(Tabla2[[#This Row],[Unidad de producción]],Tabla3[Medida],Tabla3[Equivalencia en Kg],"ELVIS",0)</f>
        <v>1665.23191881919</v>
      </c>
      <c r="J1499" s="2" t="n">
        <v>6000</v>
      </c>
      <c r="K1499" s="2" t="s">
        <v>29</v>
      </c>
      <c r="L1499" s="2" t="n">
        <f aca="false">J1499/_xlfn.XLOOKUP(Tabla2[[#This Row],[Unidad de precio]],Tabla3[Medida],Tabla3[Equivalencia en Kg],"ELVIS",0)</f>
        <v>10.6697016040118</v>
      </c>
      <c r="M1499" s="2" t="n">
        <v>6158.11903089474</v>
      </c>
      <c r="N1499" s="3" t="n">
        <f aca="false">(Tabla2[[#This Row],[Productividad (kg/TAS)]]*Tabla2[[#This Row],[Precio por kg]]-Tabla2[[#This Row],[Costos (En RD$/Tarea)]])</f>
        <v>11609.408644382</v>
      </c>
      <c r="O1499" s="9" t="n">
        <f aca="false">IF(Tabla2[[#This Row],[Costos (En RD$/Tarea)]]=0,0,Tabla2[[#This Row],[Beneficio Neto  (En RD$/Tarea)]]/Tabla2[[#This Row],[Costos (En RD$/Tarea)]])</f>
        <v>1.88521991636385</v>
      </c>
      <c r="P1499" s="7" t="n">
        <f aca="false">Tabla2[[#This Row],[Rentabilidad (%)]]/12</f>
        <v>0.157101659696987</v>
      </c>
    </row>
    <row r="1500" customFormat="false" ht="14.25" hidden="false" customHeight="false" outlineLevel="0" collapsed="false">
      <c r="A1500" s="1" t="n">
        <v>40299</v>
      </c>
      <c r="B1500" s="2" t="s">
        <v>30</v>
      </c>
      <c r="C1500" s="3" t="n">
        <v>324561</v>
      </c>
      <c r="D1500" s="3" t="s">
        <v>31</v>
      </c>
      <c r="E1500" s="3" t="n">
        <f aca="false">IF(Tabla2[[#This Row],[Frecuencia]]="Annual", Tabla2[[#This Row],[Cosecha/Tarea]]/12,Tabla2[[#This Row],[Cosecha/Tarea]])</f>
        <v>27046.75</v>
      </c>
      <c r="F1500" s="3" t="n">
        <v>2548820</v>
      </c>
      <c r="G1500" s="2" t="s">
        <v>32</v>
      </c>
      <c r="H1500" s="2" t="n">
        <f aca="false">F1500/Tabla2[[#This Row],[Cosecha Mensual]]</f>
        <v>94.2375701331953</v>
      </c>
      <c r="I1500" s="2" t="n">
        <f aca="false">H1500*_xlfn.XLOOKUP(Tabla2[[#This Row],[Unidad de producción]],Tabla3[Medida],Tabla3[Equivalencia en Kg],"ELVIS",0)</f>
        <v>2564.20428332424</v>
      </c>
      <c r="J1500" s="2" t="n">
        <v>107.497222222222</v>
      </c>
      <c r="K1500" s="2" t="s">
        <v>32</v>
      </c>
      <c r="L1500" s="2" t="n">
        <f aca="false">J1500/_xlfn.XLOOKUP(Tabla2[[#This Row],[Unidad de precio]],Tabla3[Medida],Tabla3[Equivalencia en Kg],"ELVIS",0)</f>
        <v>3.95065131283433</v>
      </c>
      <c r="M1500" s="3" t="n">
        <v>10497.9114219602</v>
      </c>
      <c r="N1500" s="3" t="n">
        <f aca="false">(Tabla2[[#This Row],[Productividad (kg/TAS)]]*Tabla2[[#This Row],[Precio por kg]]-Tabla2[[#This Row],[Costos (En RD$/Tarea)]])</f>
        <v>-367.634403669872</v>
      </c>
      <c r="O1500" s="9" t="n">
        <f aca="false">IF(Tabla2[[#This Row],[Costos (En RD$/Tarea)]]=0,0,Tabla2[[#This Row],[Beneficio Neto  (En RD$/Tarea)]]/Tabla2[[#This Row],[Costos (En RD$/Tarea)]])</f>
        <v>-0.0350197662080508</v>
      </c>
      <c r="P1500" s="7" t="n">
        <f aca="false">Tabla2[[#This Row],[Rentabilidad (%)]]/12</f>
        <v>-0.0029183138506709</v>
      </c>
    </row>
    <row r="1501" customFormat="false" ht="14.25" hidden="false" customHeight="false" outlineLevel="0" collapsed="false">
      <c r="A1501" s="1" t="n">
        <v>40299</v>
      </c>
      <c r="B1501" s="2" t="s">
        <v>33</v>
      </c>
      <c r="C1501" s="3" t="n">
        <v>659214</v>
      </c>
      <c r="D1501" s="3" t="s">
        <v>31</v>
      </c>
      <c r="E1501" s="3" t="n">
        <f aca="false">IF(Tabla2[[#This Row],[Frecuencia]]="Annual", Tabla2[[#This Row],[Cosecha/Tarea]]/12,Tabla2[[#This Row],[Cosecha/Tarea]])</f>
        <v>54934.5</v>
      </c>
      <c r="F1501" s="3" t="n">
        <v>135450</v>
      </c>
      <c r="G1501" s="2" t="s">
        <v>34</v>
      </c>
      <c r="H1501" s="2" t="n">
        <f aca="false">F1501/Tabla2[[#This Row],[Cosecha Mensual]]</f>
        <v>2.46566365398793</v>
      </c>
      <c r="I1501" s="2" t="n">
        <f aca="false">H1501*_xlfn.XLOOKUP(Tabla2[[#This Row],[Unidad de producción]],Tabla3[Medida],Tabla3[Equivalencia en Kg],"ELVIS",0)</f>
        <v>1006.36062037517</v>
      </c>
      <c r="J1501" s="2" t="n">
        <v>3397.58333333333</v>
      </c>
      <c r="K1501" s="2" t="s">
        <v>34</v>
      </c>
      <c r="L1501" s="2" t="n">
        <f aca="false">J1501/_xlfn.XLOOKUP(Tabla2[[#This Row],[Unidad de precio]],Tabla3[Medida],Tabla3[Equivalencia en Kg],"ELVIS",0)</f>
        <v>8.32434970803217</v>
      </c>
      <c r="M1501" s="3" t="n">
        <v>9292.97349690822</v>
      </c>
      <c r="N1501" s="3" t="n">
        <f aca="false">(Tabla2[[#This Row],[Productividad (kg/TAS)]]*Tabla2[[#This Row],[Precio por kg]]-Tabla2[[#This Row],[Costos (En RD$/Tarea)]])</f>
        <v>-915.675760513068</v>
      </c>
      <c r="O1501" s="9" t="n">
        <f aca="false">IF(Tabla2[[#This Row],[Costos (En RD$/Tarea)]]=0,0,Tabla2[[#This Row],[Beneficio Neto  (En RD$/Tarea)]]/Tabla2[[#This Row],[Costos (En RD$/Tarea)]])</f>
        <v>-0.0985342055282643</v>
      </c>
      <c r="P1501" s="7" t="n">
        <f aca="false">Tabla2[[#This Row],[Rentabilidad (%)]]/12</f>
        <v>-0.00821118379402203</v>
      </c>
    </row>
    <row r="1502" customFormat="false" ht="14.25" hidden="false" customHeight="false" outlineLevel="0" collapsed="false">
      <c r="A1502" s="1" t="n">
        <v>40330</v>
      </c>
      <c r="B1502" s="2" t="s">
        <v>16</v>
      </c>
      <c r="C1502" s="3" t="n">
        <v>247443</v>
      </c>
      <c r="D1502" s="8" t="s">
        <v>17</v>
      </c>
      <c r="E1502" s="3" t="n">
        <f aca="false">IF(Tabla2[[#This Row],[Frecuencia]]="Annual", Tabla2[[#This Row],[Cosecha/Tarea]]/12,Tabla2[[#This Row],[Cosecha/Tarea]])</f>
        <v>247443</v>
      </c>
      <c r="F1502" s="3" t="n">
        <v>1245622</v>
      </c>
      <c r="G1502" s="2" t="s">
        <v>18</v>
      </c>
      <c r="H1502" s="2" t="n">
        <f aca="false">F1502/Tabla2[[#This Row],[Cosecha Mensual]]</f>
        <v>5.03397550142861</v>
      </c>
      <c r="I1502" s="2" t="n">
        <f aca="false">H1502*_xlfn.XLOOKUP(Tabla2[[#This Row],[Unidad de producción]],Tabla3[Medida],Tabla3[Equivalencia en Kg],"ELVIS",0)</f>
        <v>228.341128744802</v>
      </c>
      <c r="J1502" s="2" t="n">
        <v>1906.55714285714</v>
      </c>
      <c r="K1502" s="2" t="s">
        <v>19</v>
      </c>
      <c r="L1502" s="2" t="n">
        <f aca="false">J1502/_xlfn.XLOOKUP(Tabla2[[#This Row],[Unidad de precio]],Tabla3[Medida],Tabla3[Equivalencia en Kg],"ELVIS",0)</f>
        <v>17.3323376623376</v>
      </c>
      <c r="M1502" s="2" t="n">
        <v>7449.80873820933</v>
      </c>
      <c r="N1502" s="3" t="n">
        <f aca="false">(Tabla2[[#This Row],[Productividad (kg/TAS)]]*Tabla2[[#This Row],[Precio por kg]]-Tabla2[[#This Row],[Costos (En RD$/Tarea)]])</f>
        <v>-3492.12319260511</v>
      </c>
      <c r="O1502" s="9" t="n">
        <f aca="false">IF(Tabla2[[#This Row],[Costos (En RD$/Tarea)]]=0,0,Tabla2[[#This Row],[Beneficio Neto  (En RD$/Tarea)]]/Tabla2[[#This Row],[Costos (En RD$/Tarea)]])</f>
        <v>-0.468753402311439</v>
      </c>
      <c r="P1502" s="7" t="n">
        <f aca="false">Tabla2[[#This Row],[Rentabilidad (%)]]/12</f>
        <v>-0.0390627835259533</v>
      </c>
    </row>
    <row r="1503" customFormat="false" ht="14.25" hidden="false" customHeight="false" outlineLevel="0" collapsed="false">
      <c r="A1503" s="1" t="n">
        <v>40330</v>
      </c>
      <c r="B1503" s="2" t="s">
        <v>20</v>
      </c>
      <c r="C1503" s="3" t="n">
        <v>17034</v>
      </c>
      <c r="D1503" s="8" t="s">
        <v>17</v>
      </c>
      <c r="E1503" s="3" t="n">
        <f aca="false">IF(Tabla2[[#This Row],[Frecuencia]]="Annual", Tabla2[[#This Row],[Cosecha/Tarea]]/12,Tabla2[[#This Row],[Cosecha/Tarea]])</f>
        <v>17034</v>
      </c>
      <c r="F1503" s="3" t="n">
        <v>80559</v>
      </c>
      <c r="G1503" s="2" t="s">
        <v>18</v>
      </c>
      <c r="H1503" s="2" t="n">
        <f aca="false">F1503/Tabla2[[#This Row],[Cosecha Mensual]]</f>
        <v>4.72930609369496</v>
      </c>
      <c r="I1503" s="2" t="n">
        <f aca="false">H1503*_xlfn.XLOOKUP(Tabla2[[#This Row],[Unidad de producción]],Tabla3[Medida],Tabla3[Equivalencia en Kg],"ELVIS",0)</f>
        <v>214.521324410004</v>
      </c>
      <c r="J1503" s="2" t="n">
        <v>592.041666666667</v>
      </c>
      <c r="K1503" s="2" t="s">
        <v>18</v>
      </c>
      <c r="L1503" s="2" t="n">
        <f aca="false">J1503/_xlfn.XLOOKUP(Tabla2[[#This Row],[Unidad de precio]],Tabla3[Medida],Tabla3[Equivalencia en Kg],"ELVIS",0)</f>
        <v>13.0520649617872</v>
      </c>
      <c r="M1503" s="2" t="n">
        <v>2162.02023182316</v>
      </c>
      <c r="N1503" s="3" t="n">
        <f aca="false">(Tabla2[[#This Row],[Productividad (kg/TAS)]]*Tabla2[[#This Row],[Precio por kg]]-Tabla2[[#This Row],[Costos (En RD$/Tarea)]])</f>
        <v>637.92603006483</v>
      </c>
      <c r="O1503" s="9" t="n">
        <f aca="false">IF(Tabla2[[#This Row],[Costos (En RD$/Tarea)]]=0,0,Tabla2[[#This Row],[Beneficio Neto  (En RD$/Tarea)]]/Tabla2[[#This Row],[Costos (En RD$/Tarea)]])</f>
        <v>0.295060157474516</v>
      </c>
      <c r="P1503" s="7" t="n">
        <f aca="false">Tabla2[[#This Row],[Rentabilidad (%)]]/12</f>
        <v>0.0245883464562096</v>
      </c>
    </row>
    <row r="1504" customFormat="false" ht="14.25" hidden="false" customHeight="false" outlineLevel="0" collapsed="false">
      <c r="A1504" s="1" t="n">
        <v>40330</v>
      </c>
      <c r="B1504" s="2" t="s">
        <v>21</v>
      </c>
      <c r="C1504" s="3" t="n">
        <v>13159</v>
      </c>
      <c r="D1504" s="8" t="s">
        <v>17</v>
      </c>
      <c r="E1504" s="3" t="n">
        <f aca="false">IF(Tabla2[[#This Row],[Frecuencia]]="Annual", Tabla2[[#This Row],[Cosecha/Tarea]]/12,Tabla2[[#This Row],[Cosecha/Tarea]])</f>
        <v>13159</v>
      </c>
      <c r="F1504" s="3" t="n">
        <v>148828</v>
      </c>
      <c r="G1504" s="2" t="s">
        <v>18</v>
      </c>
      <c r="H1504" s="2" t="n">
        <f aca="false">F1504/Tabla2[[#This Row],[Cosecha Mensual]]</f>
        <v>11.3099779618512</v>
      </c>
      <c r="I1504" s="2" t="n">
        <f aca="false">H1504*_xlfn.XLOOKUP(Tabla2[[#This Row],[Unidad de producción]],Tabla3[Medida],Tabla3[Equivalencia en Kg],"ELVIS",0)</f>
        <v>513.020600349571</v>
      </c>
      <c r="J1504" s="2" t="n">
        <v>369.5</v>
      </c>
      <c r="K1504" s="2" t="s">
        <v>18</v>
      </c>
      <c r="L1504" s="2" t="n">
        <f aca="false">J1504/_xlfn.XLOOKUP(Tabla2[[#This Row],[Unidad de precio]],Tabla3[Medida],Tabla3[Equivalencia en Kg],"ELVIS",0)</f>
        <v>8.14594356261023</v>
      </c>
      <c r="M1504" s="2" t="n">
        <v>4521.4268875</v>
      </c>
      <c r="N1504" s="3" t="n">
        <f aca="false">(Tabla2[[#This Row],[Productividad (kg/TAS)]]*Tabla2[[#This Row],[Precio por kg]]-Tabla2[[#This Row],[Costos (En RD$/Tarea)]])</f>
        <v>-342.39003059598</v>
      </c>
      <c r="O1504" s="9" t="n">
        <f aca="false">IF(Tabla2[[#This Row],[Costos (En RD$/Tarea)]]=0,0,Tabla2[[#This Row],[Beneficio Neto  (En RD$/Tarea)]]/Tabla2[[#This Row],[Costos (En RD$/Tarea)]])</f>
        <v>-0.0757261013204827</v>
      </c>
      <c r="P1504" s="7" t="n">
        <f aca="false">Tabla2[[#This Row],[Rentabilidad (%)]]/12</f>
        <v>-0.00631050844337356</v>
      </c>
    </row>
    <row r="1505" customFormat="false" ht="14.25" hidden="false" customHeight="false" outlineLevel="0" collapsed="false">
      <c r="A1505" s="1" t="n">
        <v>40330</v>
      </c>
      <c r="B1505" s="2" t="s">
        <v>22</v>
      </c>
      <c r="C1505" s="3" t="n">
        <v>4217</v>
      </c>
      <c r="D1505" s="8" t="s">
        <v>17</v>
      </c>
      <c r="E1505" s="3" t="n">
        <f aca="false">IF(Tabla2[[#This Row],[Frecuencia]]="Annual", Tabla2[[#This Row],[Cosecha/Tarea]]/12,Tabla2[[#This Row],[Cosecha/Tarea]])</f>
        <v>4217</v>
      </c>
      <c r="F1505" s="3" t="n">
        <v>46387</v>
      </c>
      <c r="G1505" s="2" t="s">
        <v>18</v>
      </c>
      <c r="H1505" s="2" t="n">
        <f aca="false">F1505/Tabla2[[#This Row],[Cosecha Mensual]]</f>
        <v>11</v>
      </c>
      <c r="I1505" s="2" t="n">
        <f aca="false">H1505*_xlfn.XLOOKUP(Tabla2[[#This Row],[Unidad de producción]],Tabla3[Medida],Tabla3[Equivalencia en Kg],"ELVIS",0)</f>
        <v>498.96</v>
      </c>
      <c r="J1505" s="2" t="n">
        <v>1254.375</v>
      </c>
      <c r="K1505" s="2" t="s">
        <v>18</v>
      </c>
      <c r="L1505" s="2" t="n">
        <f aca="false">J1505/_xlfn.XLOOKUP(Tabla2[[#This Row],[Unidad de precio]],Tabla3[Medida],Tabla3[Equivalencia en Kg],"ELVIS",0)</f>
        <v>27.6537698412698</v>
      </c>
      <c r="M1505" s="2" t="n">
        <v>7599.7694060736</v>
      </c>
      <c r="N1505" s="3" t="n">
        <f aca="false">(Tabla2[[#This Row],[Productividad (kg/TAS)]]*Tabla2[[#This Row],[Precio por kg]]-Tabla2[[#This Row],[Costos (En RD$/Tarea)]])</f>
        <v>6198.3555939264</v>
      </c>
      <c r="O1505" s="9" t="n">
        <f aca="false">IF(Tabla2[[#This Row],[Costos (En RD$/Tarea)]]=0,0,Tabla2[[#This Row],[Beneficio Neto  (En RD$/Tarea)]]/Tabla2[[#This Row],[Costos (En RD$/Tarea)]])</f>
        <v>0.815597850768049</v>
      </c>
      <c r="P1505" s="7" t="n">
        <f aca="false">Tabla2[[#This Row],[Rentabilidad (%)]]/12</f>
        <v>0.0679664875640041</v>
      </c>
    </row>
    <row r="1506" customFormat="false" ht="14.25" hidden="false" customHeight="false" outlineLevel="0" collapsed="false">
      <c r="A1506" s="1" t="n">
        <v>40330</v>
      </c>
      <c r="B1506" s="2" t="s">
        <v>23</v>
      </c>
      <c r="C1506" s="3" t="n">
        <v>2840</v>
      </c>
      <c r="D1506" s="8" t="s">
        <v>17</v>
      </c>
      <c r="E1506" s="3" t="n">
        <f aca="false">IF(Tabla2[[#This Row],[Frecuencia]]="Annual", Tabla2[[#This Row],[Cosecha/Tarea]]/12,Tabla2[[#This Row],[Cosecha/Tarea]])</f>
        <v>2840</v>
      </c>
      <c r="F1506" s="3" t="n">
        <v>99264</v>
      </c>
      <c r="G1506" s="2" t="s">
        <v>18</v>
      </c>
      <c r="H1506" s="2" t="n">
        <f aca="false">F1506/Tabla2[[#This Row],[Cosecha Mensual]]</f>
        <v>34.9521126760563</v>
      </c>
      <c r="I1506" s="2" t="n">
        <f aca="false">H1506*_xlfn.XLOOKUP(Tabla2[[#This Row],[Unidad de producción]],Tabla3[Medida],Tabla3[Equivalencia en Kg],"ELVIS",0)</f>
        <v>1585.42783098592</v>
      </c>
      <c r="J1506" s="2" t="n">
        <v>800</v>
      </c>
      <c r="K1506" s="2" t="s">
        <v>18</v>
      </c>
      <c r="L1506" s="2" t="n">
        <f aca="false">J1506/_xlfn.XLOOKUP(Tabla2[[#This Row],[Unidad de precio]],Tabla3[Medida],Tabla3[Equivalencia en Kg],"ELVIS",0)</f>
        <v>17.636684303351</v>
      </c>
      <c r="M1506" s="2" t="n">
        <v>20327.21</v>
      </c>
      <c r="N1506" s="3" t="n">
        <f aca="false">(Tabla2[[#This Row],[Productividad (kg/TAS)]]*Tabla2[[#This Row],[Precio por kg]]-Tabla2[[#This Row],[Costos (En RD$/Tarea)]])</f>
        <v>7634.48014084507</v>
      </c>
      <c r="O1506" s="9" t="n">
        <f aca="false">IF(Tabla2[[#This Row],[Costos (En RD$/Tarea)]]=0,0,Tabla2[[#This Row],[Beneficio Neto  (En RD$/Tarea)]]/Tabla2[[#This Row],[Costos (En RD$/Tarea)]])</f>
        <v>0.375579341230059</v>
      </c>
      <c r="P1506" s="7" t="n">
        <f aca="false">Tabla2[[#This Row],[Rentabilidad (%)]]/12</f>
        <v>0.0312982784358383</v>
      </c>
    </row>
    <row r="1507" customFormat="false" ht="14.25" hidden="false" customHeight="false" outlineLevel="0" collapsed="false">
      <c r="A1507" s="1" t="n">
        <v>40330</v>
      </c>
      <c r="B1507" s="2" t="s">
        <v>24</v>
      </c>
      <c r="C1507" s="3" t="n">
        <v>5370</v>
      </c>
      <c r="D1507" s="8" t="s">
        <v>17</v>
      </c>
      <c r="E1507" s="3" t="n">
        <f aca="false">IF(Tabla2[[#This Row],[Frecuencia]]="Annual", Tabla2[[#This Row],[Cosecha/Tarea]]/12,Tabla2[[#This Row],[Cosecha/Tarea]])</f>
        <v>5370</v>
      </c>
      <c r="F1507" s="3" t="n">
        <v>51015</v>
      </c>
      <c r="G1507" s="2" t="s">
        <v>18</v>
      </c>
      <c r="H1507" s="2" t="n">
        <f aca="false">F1507/Tabla2[[#This Row],[Cosecha Mensual]]</f>
        <v>9.5</v>
      </c>
      <c r="I1507" s="2" t="n">
        <f aca="false">H1507*_xlfn.XLOOKUP(Tabla2[[#This Row],[Unidad de producción]],Tabla3[Medida],Tabla3[Equivalencia en Kg],"ELVIS",0)</f>
        <v>430.92</v>
      </c>
      <c r="J1507" s="2" t="n">
        <v>1312.14285714286</v>
      </c>
      <c r="K1507" s="2" t="s">
        <v>18</v>
      </c>
      <c r="L1507" s="2" t="n">
        <f aca="false">J1507/_xlfn.XLOOKUP(Tabla2[[#This Row],[Unidad de precio]],Tabla3[Medida],Tabla3[Equivalencia en Kg],"ELVIS",0)</f>
        <v>28.927311665407</v>
      </c>
      <c r="M1507" s="2" t="n">
        <v>6579.6044973696</v>
      </c>
      <c r="N1507" s="3" t="n">
        <f aca="false">(Tabla2[[#This Row],[Productividad (kg/TAS)]]*Tabla2[[#This Row],[Precio por kg]]-Tabla2[[#This Row],[Costos (En RD$/Tarea)]])</f>
        <v>5885.75264548757</v>
      </c>
      <c r="O1507" s="9" t="n">
        <f aca="false">IF(Tabla2[[#This Row],[Costos (En RD$/Tarea)]]=0,0,Tabla2[[#This Row],[Beneficio Neto  (En RD$/Tarea)]]/Tabla2[[#This Row],[Costos (En RD$/Tarea)]])</f>
        <v>0.894545051733821</v>
      </c>
      <c r="P1507" s="7" t="n">
        <f aca="false">Tabla2[[#This Row],[Rentabilidad (%)]]/12</f>
        <v>0.0745454209778184</v>
      </c>
    </row>
    <row r="1508" customFormat="false" ht="14.25" hidden="false" customHeight="false" outlineLevel="0" collapsed="false">
      <c r="A1508" s="1" t="n">
        <v>40330</v>
      </c>
      <c r="B1508" s="2" t="s">
        <v>25</v>
      </c>
      <c r="C1508" s="3" t="n">
        <v>24780</v>
      </c>
      <c r="D1508" s="8" t="s">
        <v>17</v>
      </c>
      <c r="E1508" s="3" t="n">
        <f aca="false">IF(Tabla2[[#This Row],[Frecuencia]]="Annual", Tabla2[[#This Row],[Cosecha/Tarea]]/12,Tabla2[[#This Row],[Cosecha/Tarea]])</f>
        <v>24780</v>
      </c>
      <c r="F1508" s="3" t="n">
        <v>282287</v>
      </c>
      <c r="G1508" s="2" t="s">
        <v>18</v>
      </c>
      <c r="H1508" s="2" t="n">
        <f aca="false">F1508/Tabla2[[#This Row],[Cosecha Mensual]]</f>
        <v>11.3917271993543</v>
      </c>
      <c r="I1508" s="2" t="n">
        <f aca="false">H1508*_xlfn.XLOOKUP(Tabla2[[#This Row],[Unidad de producción]],Tabla3[Medida],Tabla3[Equivalencia en Kg],"ELVIS",0)</f>
        <v>516.728745762712</v>
      </c>
      <c r="J1508" s="2" t="n">
        <v>254.165625</v>
      </c>
      <c r="K1508" s="2" t="s">
        <v>18</v>
      </c>
      <c r="L1508" s="2" t="n">
        <f aca="false">J1508/_xlfn.XLOOKUP(Tabla2[[#This Row],[Unidad de precio]],Tabla3[Medida],Tabla3[Equivalencia en Kg],"ELVIS",0)</f>
        <v>5.60329861111111</v>
      </c>
      <c r="M1508" s="2" t="n">
        <v>3734.00643997985</v>
      </c>
      <c r="N1508" s="3" t="n">
        <f aca="false">(Tabla2[[#This Row],[Productividad (kg/TAS)]]*Tabla2[[#This Row],[Precio por kg]]-Tabla2[[#This Row],[Costos (En RD$/Tarea)]])</f>
        <v>-838.62097652646</v>
      </c>
      <c r="O1508" s="9" t="n">
        <f aca="false">IF(Tabla2[[#This Row],[Costos (En RD$/Tarea)]]=0,0,Tabla2[[#This Row],[Beneficio Neto  (En RD$/Tarea)]]/Tabla2[[#This Row],[Costos (En RD$/Tarea)]])</f>
        <v>-0.224590125916062</v>
      </c>
      <c r="P1508" s="7" t="n">
        <f aca="false">Tabla2[[#This Row],[Rentabilidad (%)]]/12</f>
        <v>-0.0187158438263385</v>
      </c>
    </row>
    <row r="1509" customFormat="false" ht="14.25" hidden="false" customHeight="false" outlineLevel="0" collapsed="false">
      <c r="A1509" s="1" t="n">
        <v>40330</v>
      </c>
      <c r="B1509" s="2" t="s">
        <v>26</v>
      </c>
      <c r="C1509" s="3" t="n">
        <v>9587</v>
      </c>
      <c r="D1509" s="8" t="s">
        <v>17</v>
      </c>
      <c r="E1509" s="3" t="n">
        <f aca="false">IF(Tabla2[[#This Row],[Frecuencia]]="Annual", Tabla2[[#This Row],[Cosecha/Tarea]]/12,Tabla2[[#This Row],[Cosecha/Tarea]])</f>
        <v>9587</v>
      </c>
      <c r="F1509" s="3" t="n">
        <v>59439</v>
      </c>
      <c r="G1509" s="2" t="s">
        <v>18</v>
      </c>
      <c r="H1509" s="2" t="n">
        <f aca="false">F1509/Tabla2[[#This Row],[Cosecha Mensual]]</f>
        <v>6.19995827683321</v>
      </c>
      <c r="I1509" s="2" t="n">
        <f aca="false">H1509*_xlfn.XLOOKUP(Tabla2[[#This Row],[Unidad de producción]],Tabla3[Medida],Tabla3[Equivalencia en Kg],"ELVIS",0)</f>
        <v>281.230107437155</v>
      </c>
      <c r="J1509" s="2" t="n">
        <v>643.166666666667</v>
      </c>
      <c r="K1509" s="2" t="s">
        <v>18</v>
      </c>
      <c r="L1509" s="2" t="n">
        <f aca="false">J1509/_xlfn.XLOOKUP(Tabla2[[#This Row],[Unidad de precio]],Tabla3[Medida],Tabla3[Equivalencia en Kg],"ELVIS",0)</f>
        <v>14.1791593180482</v>
      </c>
      <c r="M1509" s="2" t="n">
        <v>1771.21219288463</v>
      </c>
      <c r="N1509" s="3" t="n">
        <f aca="false">(Tabla2[[#This Row],[Productividad (kg/TAS)]]*Tabla2[[#This Row],[Precio por kg]]-Tabla2[[#This Row],[Costos (En RD$/Tarea)]])</f>
        <v>2216.3943054986</v>
      </c>
      <c r="O1509" s="9" t="n">
        <f aca="false">IF(Tabla2[[#This Row],[Costos (En RD$/Tarea)]]=0,0,Tabla2[[#This Row],[Beneficio Neto  (En RD$/Tarea)]]/Tabla2[[#This Row],[Costos (En RD$/Tarea)]])</f>
        <v>1.25134318429061</v>
      </c>
      <c r="P1509" s="7" t="n">
        <f aca="false">Tabla2[[#This Row],[Rentabilidad (%)]]/12</f>
        <v>0.104278598690884</v>
      </c>
    </row>
    <row r="1510" customFormat="false" ht="14.25" hidden="false" customHeight="false" outlineLevel="0" collapsed="false">
      <c r="A1510" s="1" t="n">
        <v>40330</v>
      </c>
      <c r="B1510" s="2" t="s">
        <v>27</v>
      </c>
      <c r="C1510" s="3" t="n">
        <v>7664</v>
      </c>
      <c r="D1510" s="8" t="s">
        <v>17</v>
      </c>
      <c r="E1510" s="3" t="n">
        <f aca="false">IF(Tabla2[[#This Row],[Frecuencia]]="Annual", Tabla2[[#This Row],[Cosecha/Tarea]]/12,Tabla2[[#This Row],[Cosecha/Tarea]])</f>
        <v>7664</v>
      </c>
      <c r="F1510" s="3" t="n">
        <v>57526</v>
      </c>
      <c r="G1510" s="2" t="s">
        <v>18</v>
      </c>
      <c r="H1510" s="2" t="n">
        <f aca="false">F1510/Tabla2[[#This Row],[Cosecha Mensual]]</f>
        <v>7.50600208768267</v>
      </c>
      <c r="I1510" s="2" t="n">
        <f aca="false">H1510*_xlfn.XLOOKUP(Tabla2[[#This Row],[Unidad de producción]],Tabla3[Medida],Tabla3[Equivalencia en Kg],"ELVIS",0)</f>
        <v>340.472254697286</v>
      </c>
      <c r="J1510" s="2" t="n">
        <v>562.298611111111</v>
      </c>
      <c r="K1510" s="2" t="s">
        <v>18</v>
      </c>
      <c r="L1510" s="2" t="n">
        <f aca="false">J1510/_xlfn.XLOOKUP(Tabla2[[#This Row],[Unidad de precio]],Tabla3[Medida],Tabla3[Equivalencia en Kg],"ELVIS",0)</f>
        <v>12.3963538604742</v>
      </c>
      <c r="M1510" s="2" t="n">
        <v>6142.39107464557</v>
      </c>
      <c r="N1510" s="3" t="n">
        <f aca="false">(Tabla2[[#This Row],[Productividad (kg/TAS)]]*Tabla2[[#This Row],[Precio por kg]]-Tabla2[[#This Row],[Costos (En RD$/Tarea)]])</f>
        <v>-1921.7765257445</v>
      </c>
      <c r="O1510" s="9" t="n">
        <f aca="false">IF(Tabla2[[#This Row],[Costos (En RD$/Tarea)]]=0,0,Tabla2[[#This Row],[Beneficio Neto  (En RD$/Tarea)]]/Tabla2[[#This Row],[Costos (En RD$/Tarea)]])</f>
        <v>-0.31287107942006</v>
      </c>
      <c r="P1510" s="7" t="n">
        <f aca="false">Tabla2[[#This Row],[Rentabilidad (%)]]/12</f>
        <v>-0.0260725899516717</v>
      </c>
    </row>
    <row r="1511" customFormat="false" ht="14.25" hidden="false" customHeight="false" outlineLevel="0" collapsed="false">
      <c r="A1511" s="1" t="n">
        <v>40330</v>
      </c>
      <c r="B1511" s="2" t="s">
        <v>28</v>
      </c>
      <c r="C1511" s="3" t="n">
        <v>689</v>
      </c>
      <c r="D1511" s="8" t="s">
        <v>17</v>
      </c>
      <c r="E1511" s="3" t="n">
        <f aca="false">IF(Tabla2[[#This Row],[Frecuencia]]="Annual", Tabla2[[#This Row],[Cosecha/Tarea]]/12,Tabla2[[#This Row],[Cosecha/Tarea]])</f>
        <v>689</v>
      </c>
      <c r="F1511" s="3" t="n">
        <v>1229</v>
      </c>
      <c r="G1511" s="2" t="s">
        <v>29</v>
      </c>
      <c r="H1511" s="2" t="n">
        <f aca="false">F1511/Tabla2[[#This Row],[Cosecha Mensual]]</f>
        <v>1.78374455732946</v>
      </c>
      <c r="I1511" s="2" t="n">
        <f aca="false">H1511*_xlfn.XLOOKUP(Tabla2[[#This Row],[Unidad de producción]],Tabla3[Medida],Tabla3[Equivalencia en Kg],"ELVIS",0)</f>
        <v>1003.07091436865</v>
      </c>
      <c r="J1511" s="2" t="n">
        <v>8354.25</v>
      </c>
      <c r="K1511" s="2" t="s">
        <v>29</v>
      </c>
      <c r="L1511" s="2" t="n">
        <f aca="false">J1511/_xlfn.XLOOKUP(Tabla2[[#This Row],[Unidad de precio]],Tabla3[Medida],Tabla3[Equivalencia en Kg],"ELVIS",0)</f>
        <v>14.8562257708859</v>
      </c>
      <c r="M1511" s="2" t="n">
        <v>6158.11903089474</v>
      </c>
      <c r="N1511" s="3" t="n">
        <f aca="false">(Tabla2[[#This Row],[Productividad (kg/TAS)]]*Tabla2[[#This Row],[Precio por kg]]-Tabla2[[#This Row],[Costos (En RD$/Tarea)]])</f>
        <v>8743.72893717493</v>
      </c>
      <c r="O1511" s="9" t="n">
        <f aca="false">IF(Tabla2[[#This Row],[Costos (En RD$/Tarea)]]=0,0,Tabla2[[#This Row],[Beneficio Neto  (En RD$/Tarea)]]/Tabla2[[#This Row],[Costos (En RD$/Tarea)]])</f>
        <v>1.41987007612364</v>
      </c>
      <c r="P1511" s="7" t="n">
        <f aca="false">Tabla2[[#This Row],[Rentabilidad (%)]]/12</f>
        <v>0.118322506343636</v>
      </c>
    </row>
    <row r="1512" customFormat="false" ht="14.25" hidden="false" customHeight="false" outlineLevel="0" collapsed="false">
      <c r="A1512" s="1" t="n">
        <v>40330</v>
      </c>
      <c r="B1512" s="2" t="s">
        <v>30</v>
      </c>
      <c r="C1512" s="3" t="n">
        <v>327581</v>
      </c>
      <c r="D1512" s="3" t="s">
        <v>31</v>
      </c>
      <c r="E1512" s="3" t="n">
        <f aca="false">IF(Tabla2[[#This Row],[Frecuencia]]="Annual", Tabla2[[#This Row],[Cosecha/Tarea]]/12,Tabla2[[#This Row],[Cosecha/Tarea]])</f>
        <v>27298.4166666667</v>
      </c>
      <c r="F1512" s="3" t="n">
        <v>3068332</v>
      </c>
      <c r="G1512" s="2" t="s">
        <v>32</v>
      </c>
      <c r="H1512" s="2" t="n">
        <f aca="false">F1512/Tabla2[[#This Row],[Cosecha Mensual]]</f>
        <v>112.399632457316</v>
      </c>
      <c r="I1512" s="2" t="n">
        <f aca="false">H1512*_xlfn.XLOOKUP(Tabla2[[#This Row],[Unidad de producción]],Tabla3[Medida],Tabla3[Equivalencia en Kg],"ELVIS",0)</f>
        <v>3058.39399916357</v>
      </c>
      <c r="J1512" s="2" t="n">
        <v>105.001041666667</v>
      </c>
      <c r="K1512" s="2" t="s">
        <v>32</v>
      </c>
      <c r="L1512" s="2" t="n">
        <f aca="false">J1512/_xlfn.XLOOKUP(Tabla2[[#This Row],[Unidad de precio]],Tabla3[Medida],Tabla3[Equivalencia en Kg],"ELVIS",0)</f>
        <v>3.85891369594513</v>
      </c>
      <c r="M1512" s="3" t="n">
        <v>10497.9114219602</v>
      </c>
      <c r="N1512" s="3" t="n">
        <f aca="false">(Tabla2[[#This Row],[Productividad (kg/TAS)]]*Tabla2[[#This Row],[Precio por kg]]-Tabla2[[#This Row],[Costos (En RD$/Tarea)]])</f>
        <v>1304.16706900848</v>
      </c>
      <c r="O1512" s="9" t="n">
        <f aca="false">IF(Tabla2[[#This Row],[Costos (En RD$/Tarea)]]=0,0,Tabla2[[#This Row],[Beneficio Neto  (En RD$/Tarea)]]/Tabla2[[#This Row],[Costos (En RD$/Tarea)]])</f>
        <v>0.124231098605037</v>
      </c>
      <c r="P1512" s="7" t="n">
        <f aca="false">Tabla2[[#This Row],[Rentabilidad (%)]]/12</f>
        <v>0.0103525915504198</v>
      </c>
    </row>
    <row r="1513" customFormat="false" ht="14.25" hidden="false" customHeight="false" outlineLevel="0" collapsed="false">
      <c r="A1513" s="1" t="n">
        <v>40330</v>
      </c>
      <c r="B1513" s="2" t="s">
        <v>33</v>
      </c>
      <c r="C1513" s="3" t="n">
        <v>666721</v>
      </c>
      <c r="D1513" s="3" t="s">
        <v>31</v>
      </c>
      <c r="E1513" s="11" t="n">
        <f aca="false">IF(Tabla2[[#This Row],[Frecuencia]]="Annual", Tabla2[[#This Row],[Cosecha/Tarea]]/12,Tabla2[[#This Row],[Cosecha/Tarea]])</f>
        <v>55560.0833333333</v>
      </c>
      <c r="F1513" s="3" t="n">
        <v>158098</v>
      </c>
      <c r="G1513" s="2" t="s">
        <v>34</v>
      </c>
      <c r="H1513" s="2" t="n">
        <f aca="false">F1513/Tabla2[[#This Row],[Cosecha Mensual]]</f>
        <v>2.84553208913474</v>
      </c>
      <c r="I1513" s="2" t="n">
        <f aca="false">H1513*_xlfn.XLOOKUP(Tabla2[[#This Row],[Unidad de producción]],Tabla3[Medida],Tabla3[Equivalencia en Kg],"ELVIS",0)</f>
        <v>1161.40392218034</v>
      </c>
      <c r="J1513" s="2" t="n">
        <v>3290.21875</v>
      </c>
      <c r="K1513" s="2" t="s">
        <v>34</v>
      </c>
      <c r="L1513" s="2" t="n">
        <f aca="false">J1513/_xlfn.XLOOKUP(Tabla2[[#This Row],[Unidad de precio]],Tabla3[Medida],Tabla3[Equivalencia en Kg],"ELVIS",0)</f>
        <v>8.06129792968272</v>
      </c>
      <c r="M1513" s="3" t="n">
        <v>9292.97349690822</v>
      </c>
      <c r="N1513" s="3" t="n">
        <f aca="false">(Tabla2[[#This Row],[Productividad (kg/TAS)]]*Tabla2[[#This Row],[Precio por kg]]-Tabla2[[#This Row],[Costos (En RD$/Tarea)]])</f>
        <v>69.4495364895574</v>
      </c>
      <c r="O1513" s="9" t="n">
        <f aca="false">IF(Tabla2[[#This Row],[Costos (En RD$/Tarea)]]=0,0,Tabla2[[#This Row],[Beneficio Neto  (En RD$/Tarea)]]/Tabla2[[#This Row],[Costos (En RD$/Tarea)]])</f>
        <v>0.00747333848661716</v>
      </c>
      <c r="P1513" s="7" t="n">
        <f aca="false">Tabla2[[#This Row],[Rentabilidad (%)]]/12</f>
        <v>0.000622778207218097</v>
      </c>
    </row>
    <row r="1514" customFormat="false" ht="14.25" hidden="false" customHeight="false" outlineLevel="0" collapsed="false">
      <c r="A1514" s="1" t="n">
        <v>40360</v>
      </c>
      <c r="B1514" s="2" t="s">
        <v>16</v>
      </c>
      <c r="C1514" s="3" t="n">
        <v>196803</v>
      </c>
      <c r="D1514" s="8" t="s">
        <v>17</v>
      </c>
      <c r="E1514" s="3" t="n">
        <f aca="false">IF(Tabla2[[#This Row],[Frecuencia]]="Annual", Tabla2[[#This Row],[Cosecha/Tarea]]/12,Tabla2[[#This Row],[Cosecha/Tarea]])</f>
        <v>196803</v>
      </c>
      <c r="F1514" s="3" t="n">
        <v>1028010</v>
      </c>
      <c r="G1514" s="2" t="s">
        <v>18</v>
      </c>
      <c r="H1514" s="2" t="n">
        <f aca="false">F1514/Tabla2[[#This Row],[Cosecha Mensual]]</f>
        <v>5.22354842151797</v>
      </c>
      <c r="I1514" s="2" t="n">
        <f aca="false">H1514*_xlfn.XLOOKUP(Tabla2[[#This Row],[Unidad de producción]],Tabla3[Medida],Tabla3[Equivalencia en Kg],"ELVIS",0)</f>
        <v>236.940156400055</v>
      </c>
      <c r="J1514" s="2" t="n">
        <v>1738.50277777778</v>
      </c>
      <c r="K1514" s="2" t="s">
        <v>19</v>
      </c>
      <c r="L1514" s="2" t="n">
        <f aca="false">J1514/_xlfn.XLOOKUP(Tabla2[[#This Row],[Unidad de precio]],Tabla3[Medida],Tabla3[Equivalencia en Kg],"ELVIS",0)</f>
        <v>15.8045707070707</v>
      </c>
      <c r="M1514" s="2" t="n">
        <v>7449.80873820933</v>
      </c>
      <c r="N1514" s="3" t="n">
        <f aca="false">(Tabla2[[#This Row],[Productividad (kg/TAS)]]*Tabla2[[#This Row],[Precio por kg]]-Tabla2[[#This Row],[Costos (En RD$/Tarea)]])</f>
        <v>-3705.07128304027</v>
      </c>
      <c r="O1514" s="9" t="n">
        <f aca="false">IF(Tabla2[[#This Row],[Costos (En RD$/Tarea)]]=0,0,Tabla2[[#This Row],[Beneficio Neto  (En RD$/Tarea)]]/Tabla2[[#This Row],[Costos (En RD$/Tarea)]])</f>
        <v>-0.497337772450093</v>
      </c>
      <c r="P1514" s="7" t="n">
        <f aca="false">Tabla2[[#This Row],[Rentabilidad (%)]]/12</f>
        <v>-0.0414448143708411</v>
      </c>
    </row>
    <row r="1515" customFormat="false" ht="14.25" hidden="false" customHeight="false" outlineLevel="0" collapsed="false">
      <c r="A1515" s="1" t="n">
        <v>40360</v>
      </c>
      <c r="B1515" s="2" t="s">
        <v>20</v>
      </c>
      <c r="C1515" s="3" t="n">
        <v>20567</v>
      </c>
      <c r="D1515" s="8" t="s">
        <v>17</v>
      </c>
      <c r="E1515" s="3" t="n">
        <f aca="false">IF(Tabla2[[#This Row],[Frecuencia]]="Annual", Tabla2[[#This Row],[Cosecha/Tarea]]/12,Tabla2[[#This Row],[Cosecha/Tarea]])</f>
        <v>20567</v>
      </c>
      <c r="F1515" s="3" t="n">
        <v>49349</v>
      </c>
      <c r="G1515" s="2" t="s">
        <v>18</v>
      </c>
      <c r="H1515" s="2" t="n">
        <f aca="false">F1515/Tabla2[[#This Row],[Cosecha Mensual]]</f>
        <v>2.39942626537657</v>
      </c>
      <c r="I1515" s="2" t="n">
        <f aca="false">H1515*_xlfn.XLOOKUP(Tabla2[[#This Row],[Unidad de producción]],Tabla3[Medida],Tabla3[Equivalencia en Kg],"ELVIS",0)</f>
        <v>108.837975397481</v>
      </c>
      <c r="J1515" s="2" t="n">
        <v>607.480952380952</v>
      </c>
      <c r="K1515" s="2" t="s">
        <v>18</v>
      </c>
      <c r="L1515" s="2" t="n">
        <f aca="false">J1515/_xlfn.XLOOKUP(Tabla2[[#This Row],[Unidad de precio]],Tabla3[Medida],Tabla3[Equivalencia en Kg],"ELVIS",0)</f>
        <v>13.3924372218023</v>
      </c>
      <c r="M1515" s="2" t="n">
        <v>2162.02023182316</v>
      </c>
      <c r="N1515" s="3" t="n">
        <f aca="false">(Tabla2[[#This Row],[Productividad (kg/TAS)]]*Tabla2[[#This Row],[Precio por kg]]-Tabla2[[#This Row],[Costos (En RD$/Tarea)]])</f>
        <v>-704.414478964328</v>
      </c>
      <c r="O1515" s="9" t="n">
        <f aca="false">IF(Tabla2[[#This Row],[Costos (En RD$/Tarea)]]=0,0,Tabla2[[#This Row],[Beneficio Neto  (En RD$/Tarea)]]/Tabla2[[#This Row],[Costos (En RD$/Tarea)]])</f>
        <v>-0.325813083798165</v>
      </c>
      <c r="P1515" s="7" t="n">
        <f aca="false">Tabla2[[#This Row],[Rentabilidad (%)]]/12</f>
        <v>-0.0271510903165138</v>
      </c>
    </row>
    <row r="1516" customFormat="false" ht="14.25" hidden="false" customHeight="false" outlineLevel="0" collapsed="false">
      <c r="A1516" s="1" t="n">
        <v>40360</v>
      </c>
      <c r="B1516" s="2" t="s">
        <v>21</v>
      </c>
      <c r="C1516" s="3" t="n">
        <v>4896</v>
      </c>
      <c r="D1516" s="8" t="s">
        <v>17</v>
      </c>
      <c r="E1516" s="3" t="n">
        <f aca="false">IF(Tabla2[[#This Row],[Frecuencia]]="Annual", Tabla2[[#This Row],[Cosecha/Tarea]]/12,Tabla2[[#This Row],[Cosecha/Tarea]])</f>
        <v>4896</v>
      </c>
      <c r="F1516" s="3" t="n">
        <v>50889</v>
      </c>
      <c r="G1516" s="2" t="s">
        <v>18</v>
      </c>
      <c r="H1516" s="2" t="n">
        <f aca="false">F1516/Tabla2[[#This Row],[Cosecha Mensual]]</f>
        <v>10.3939950980392</v>
      </c>
      <c r="I1516" s="2" t="n">
        <f aca="false">H1516*_xlfn.XLOOKUP(Tabla2[[#This Row],[Unidad de producción]],Tabla3[Medida],Tabla3[Equivalencia en Kg],"ELVIS",0)</f>
        <v>471.471617647059</v>
      </c>
      <c r="J1516" s="2" t="n">
        <v>352.60625</v>
      </c>
      <c r="K1516" s="2" t="s">
        <v>18</v>
      </c>
      <c r="L1516" s="2" t="n">
        <f aca="false">J1516/_xlfn.XLOOKUP(Tabla2[[#This Row],[Unidad de precio]],Tabla3[Medida],Tabla3[Equivalencia en Kg],"ELVIS",0)</f>
        <v>7.77350639329806</v>
      </c>
      <c r="M1516" s="2" t="n">
        <v>4521.4268875</v>
      </c>
      <c r="N1516" s="3" t="n">
        <f aca="false">(Tabla2[[#This Row],[Productividad (kg/TAS)]]*Tabla2[[#This Row],[Precio por kg]]-Tabla2[[#This Row],[Costos (En RD$/Tarea)]])</f>
        <v>-856.439253462009</v>
      </c>
      <c r="O1516" s="9" t="n">
        <f aca="false">IF(Tabla2[[#This Row],[Costos (En RD$/Tarea)]]=0,0,Tabla2[[#This Row],[Beneficio Neto  (En RD$/Tarea)]]/Tabla2[[#This Row],[Costos (En RD$/Tarea)]])</f>
        <v>-0.189417914913041</v>
      </c>
      <c r="P1516" s="7" t="n">
        <f aca="false">Tabla2[[#This Row],[Rentabilidad (%)]]/12</f>
        <v>-0.0157848262427534</v>
      </c>
    </row>
    <row r="1517" customFormat="false" ht="14.25" hidden="false" customHeight="false" outlineLevel="0" collapsed="false">
      <c r="A1517" s="1" t="n">
        <v>40360</v>
      </c>
      <c r="B1517" s="2" t="s">
        <v>22</v>
      </c>
      <c r="C1517" s="3" t="n">
        <v>2884</v>
      </c>
      <c r="D1517" s="8" t="s">
        <v>17</v>
      </c>
      <c r="E1517" s="3" t="n">
        <f aca="false">IF(Tabla2[[#This Row],[Frecuencia]]="Annual", Tabla2[[#This Row],[Cosecha/Tarea]]/12,Tabla2[[#This Row],[Cosecha/Tarea]])</f>
        <v>2884</v>
      </c>
      <c r="F1517" s="3" t="n">
        <v>25186</v>
      </c>
      <c r="G1517" s="2" t="s">
        <v>18</v>
      </c>
      <c r="H1517" s="2" t="n">
        <f aca="false">F1517/Tabla2[[#This Row],[Cosecha Mensual]]</f>
        <v>8.73300970873786</v>
      </c>
      <c r="I1517" s="2" t="n">
        <f aca="false">H1517*_xlfn.XLOOKUP(Tabla2[[#This Row],[Unidad de producción]],Tabla3[Medida],Tabla3[Equivalencia en Kg],"ELVIS",0)</f>
        <v>396.12932038835</v>
      </c>
      <c r="J1517" s="2" t="n">
        <v>1395.13333333333</v>
      </c>
      <c r="K1517" s="2" t="s">
        <v>18</v>
      </c>
      <c r="L1517" s="2" t="n">
        <f aca="false">J1517/_xlfn.XLOOKUP(Tabla2[[#This Row],[Unidad de precio]],Tabla3[Medida],Tabla3[Equivalencia en Kg],"ELVIS",0)</f>
        <v>30.7569077013521</v>
      </c>
      <c r="M1517" s="2" t="n">
        <v>7599.7694060736</v>
      </c>
      <c r="N1517" s="3" t="n">
        <f aca="false">(Tabla2[[#This Row],[Productividad (kg/TAS)]]*Tabla2[[#This Row],[Precio por kg]]-Tabla2[[#This Row],[Costos (En RD$/Tarea)]])</f>
        <v>4583.94353891019</v>
      </c>
      <c r="O1517" s="9" t="n">
        <f aca="false">IF(Tabla2[[#This Row],[Costos (En RD$/Tarea)]]=0,0,Tabla2[[#This Row],[Beneficio Neto  (En RD$/Tarea)]]/Tabla2[[#This Row],[Costos (En RD$/Tarea)]])</f>
        <v>0.603168766574257</v>
      </c>
      <c r="P1517" s="7" t="n">
        <f aca="false">Tabla2[[#This Row],[Rentabilidad (%)]]/12</f>
        <v>0.0502640638811881</v>
      </c>
    </row>
    <row r="1518" customFormat="false" ht="14.25" hidden="false" customHeight="false" outlineLevel="0" collapsed="false">
      <c r="A1518" s="1" t="n">
        <v>40360</v>
      </c>
      <c r="B1518" s="2" t="s">
        <v>23</v>
      </c>
      <c r="C1518" s="3" t="n">
        <v>2217</v>
      </c>
      <c r="D1518" s="8" t="s">
        <v>17</v>
      </c>
      <c r="E1518" s="3" t="n">
        <f aca="false">IF(Tabla2[[#This Row],[Frecuencia]]="Annual", Tabla2[[#This Row],[Cosecha/Tarea]]/12,Tabla2[[#This Row],[Cosecha/Tarea]])</f>
        <v>2217</v>
      </c>
      <c r="F1518" s="3" t="n">
        <v>71681</v>
      </c>
      <c r="G1518" s="2" t="s">
        <v>18</v>
      </c>
      <c r="H1518" s="2" t="n">
        <f aca="false">F1518/Tabla2[[#This Row],[Cosecha Mensual]]</f>
        <v>32.3324312133514</v>
      </c>
      <c r="I1518" s="2" t="n">
        <f aca="false">H1518*_xlfn.XLOOKUP(Tabla2[[#This Row],[Unidad de producción]],Tabla3[Medida],Tabla3[Equivalencia en Kg],"ELVIS",0)</f>
        <v>1466.59907983762</v>
      </c>
      <c r="J1518" s="2" t="n">
        <v>862.5</v>
      </c>
      <c r="K1518" s="2" t="s">
        <v>18</v>
      </c>
      <c r="L1518" s="2" t="n">
        <f aca="false">J1518/_xlfn.XLOOKUP(Tabla2[[#This Row],[Unidad de precio]],Tabla3[Medida],Tabla3[Equivalencia en Kg],"ELVIS",0)</f>
        <v>19.0145502645503</v>
      </c>
      <c r="M1518" s="2" t="n">
        <v>20327.21</v>
      </c>
      <c r="N1518" s="3" t="n">
        <f aca="false">(Tabla2[[#This Row],[Productividad (kg/TAS)]]*Tabla2[[#This Row],[Precio por kg]]-Tabla2[[#This Row],[Costos (En RD$/Tarea)]])</f>
        <v>7559.51192151557</v>
      </c>
      <c r="O1518" s="9" t="n">
        <f aca="false">IF(Tabla2[[#This Row],[Costos (En RD$/Tarea)]]=0,0,Tabla2[[#This Row],[Beneficio Neto  (En RD$/Tarea)]]/Tabla2[[#This Row],[Costos (En RD$/Tarea)]])</f>
        <v>0.371891268969798</v>
      </c>
      <c r="P1518" s="7" t="n">
        <f aca="false">Tabla2[[#This Row],[Rentabilidad (%)]]/12</f>
        <v>0.0309909390808165</v>
      </c>
    </row>
    <row r="1519" customFormat="false" ht="14.25" hidden="false" customHeight="false" outlineLevel="0" collapsed="false">
      <c r="A1519" s="1" t="n">
        <v>40360</v>
      </c>
      <c r="B1519" s="2" t="s">
        <v>24</v>
      </c>
      <c r="C1519" s="3" t="n">
        <v>4625</v>
      </c>
      <c r="D1519" s="8" t="s">
        <v>17</v>
      </c>
      <c r="E1519" s="3" t="n">
        <f aca="false">IF(Tabla2[[#This Row],[Frecuencia]]="Annual", Tabla2[[#This Row],[Cosecha/Tarea]]/12,Tabla2[[#This Row],[Cosecha/Tarea]])</f>
        <v>4625</v>
      </c>
      <c r="F1519" s="3" t="n">
        <v>43396</v>
      </c>
      <c r="G1519" s="2" t="s">
        <v>18</v>
      </c>
      <c r="H1519" s="2" t="n">
        <f aca="false">F1519/Tabla2[[#This Row],[Cosecha Mensual]]</f>
        <v>9.38291891891892</v>
      </c>
      <c r="I1519" s="2" t="n">
        <f aca="false">H1519*_xlfn.XLOOKUP(Tabla2[[#This Row],[Unidad de producción]],Tabla3[Medida],Tabla3[Equivalencia en Kg],"ELVIS",0)</f>
        <v>425.609202162162</v>
      </c>
      <c r="J1519" s="2" t="n">
        <v>1184.04857142857</v>
      </c>
      <c r="K1519" s="2" t="s">
        <v>18</v>
      </c>
      <c r="L1519" s="2" t="n">
        <f aca="false">J1519/_xlfn.XLOOKUP(Tabla2[[#This Row],[Unidad de precio]],Tabla3[Medida],Tabla3[Equivalencia en Kg],"ELVIS",0)</f>
        <v>26.1033635676493</v>
      </c>
      <c r="M1519" s="2" t="n">
        <v>6579.6044973696</v>
      </c>
      <c r="N1519" s="3" t="n">
        <f aca="false">(Tabla2[[#This Row],[Productividad (kg/TAS)]]*Tabla2[[#This Row],[Precio por kg]]-Tabla2[[#This Row],[Costos (En RD$/Tarea)]])</f>
        <v>4530.22724440645</v>
      </c>
      <c r="O1519" s="9" t="n">
        <f aca="false">IF(Tabla2[[#This Row],[Costos (En RD$/Tarea)]]=0,0,Tabla2[[#This Row],[Beneficio Neto  (En RD$/Tarea)]]/Tabla2[[#This Row],[Costos (En RD$/Tarea)]])</f>
        <v>0.688525768717185</v>
      </c>
      <c r="P1519" s="7" t="n">
        <f aca="false">Tabla2[[#This Row],[Rentabilidad (%)]]/12</f>
        <v>0.0573771473930988</v>
      </c>
    </row>
    <row r="1520" customFormat="false" ht="14.25" hidden="false" customHeight="false" outlineLevel="0" collapsed="false">
      <c r="A1520" s="1" t="n">
        <v>40360</v>
      </c>
      <c r="B1520" s="2" t="s">
        <v>25</v>
      </c>
      <c r="C1520" s="3" t="n">
        <v>22096</v>
      </c>
      <c r="D1520" s="8" t="s">
        <v>17</v>
      </c>
      <c r="E1520" s="3" t="n">
        <f aca="false">IF(Tabla2[[#This Row],[Frecuencia]]="Annual", Tabla2[[#This Row],[Cosecha/Tarea]]/12,Tabla2[[#This Row],[Cosecha/Tarea]])</f>
        <v>22096</v>
      </c>
      <c r="F1520" s="3" t="n">
        <v>249567</v>
      </c>
      <c r="G1520" s="2" t="s">
        <v>18</v>
      </c>
      <c r="H1520" s="2" t="n">
        <f aca="false">F1520/Tabla2[[#This Row],[Cosecha Mensual]]</f>
        <v>11.2946687183201</v>
      </c>
      <c r="I1520" s="2" t="n">
        <f aca="false">H1520*_xlfn.XLOOKUP(Tabla2[[#This Row],[Unidad de producción]],Tabla3[Medida],Tabla3[Equivalencia en Kg],"ELVIS",0)</f>
        <v>512.326173062998</v>
      </c>
      <c r="J1520" s="2" t="n">
        <v>254.737142857143</v>
      </c>
      <c r="K1520" s="2" t="s">
        <v>18</v>
      </c>
      <c r="L1520" s="2" t="n">
        <f aca="false">J1520/_xlfn.XLOOKUP(Tabla2[[#This Row],[Unidad de precio]],Tabla3[Medida],Tabla3[Equivalencia en Kg],"ELVIS",0)</f>
        <v>5.61589821113631</v>
      </c>
      <c r="M1520" s="2" t="n">
        <v>3734.00643997985</v>
      </c>
      <c r="N1520" s="3" t="n">
        <f aca="false">(Tabla2[[#This Row],[Productividad (kg/TAS)]]*Tabla2[[#This Row],[Precio por kg]]-Tabla2[[#This Row],[Costos (En RD$/Tarea)]])</f>
        <v>-856.834801157049</v>
      </c>
      <c r="O1520" s="9" t="n">
        <f aca="false">IF(Tabla2[[#This Row],[Costos (En RD$/Tarea)]]=0,0,Tabla2[[#This Row],[Beneficio Neto  (En RD$/Tarea)]]/Tabla2[[#This Row],[Costos (En RD$/Tarea)]])</f>
        <v>-0.22946794948797</v>
      </c>
      <c r="P1520" s="7" t="n">
        <f aca="false">Tabla2[[#This Row],[Rentabilidad (%)]]/12</f>
        <v>-0.0191223291239975</v>
      </c>
    </row>
    <row r="1521" customFormat="false" ht="14.25" hidden="false" customHeight="false" outlineLevel="0" collapsed="false">
      <c r="A1521" s="1" t="n">
        <v>40360</v>
      </c>
      <c r="B1521" s="2" t="s">
        <v>26</v>
      </c>
      <c r="C1521" s="3" t="n">
        <v>8429</v>
      </c>
      <c r="D1521" s="8" t="s">
        <v>17</v>
      </c>
      <c r="E1521" s="3" t="n">
        <f aca="false">IF(Tabla2[[#This Row],[Frecuencia]]="Annual", Tabla2[[#This Row],[Cosecha/Tarea]]/12,Tabla2[[#This Row],[Cosecha/Tarea]])</f>
        <v>8429</v>
      </c>
      <c r="F1521" s="3" t="n">
        <v>46161</v>
      </c>
      <c r="G1521" s="2" t="s">
        <v>18</v>
      </c>
      <c r="H1521" s="2" t="n">
        <f aca="false">F1521/Tabla2[[#This Row],[Cosecha Mensual]]</f>
        <v>5.4764503499822</v>
      </c>
      <c r="I1521" s="2" t="n">
        <f aca="false">H1521*_xlfn.XLOOKUP(Tabla2[[#This Row],[Unidad de producción]],Tabla3[Medida],Tabla3[Equivalencia en Kg],"ELVIS",0)</f>
        <v>248.411787875193</v>
      </c>
      <c r="J1521" s="2" t="n">
        <v>652.990476190476</v>
      </c>
      <c r="K1521" s="2" t="s">
        <v>18</v>
      </c>
      <c r="L1521" s="2" t="n">
        <f aca="false">J1521/_xlfn.XLOOKUP(Tabla2[[#This Row],[Unidad de precio]],Tabla3[Medida],Tabla3[Equivalencia en Kg],"ELVIS",0)</f>
        <v>14.3957336020828</v>
      </c>
      <c r="M1521" s="2" t="n">
        <v>1771.21219288463</v>
      </c>
      <c r="N1521" s="3" t="n">
        <f aca="false">(Tabla2[[#This Row],[Productividad (kg/TAS)]]*Tabla2[[#This Row],[Precio por kg]]-Tabla2[[#This Row],[Costos (En RD$/Tarea)]])</f>
        <v>1804.85772898375</v>
      </c>
      <c r="O1521" s="9" t="n">
        <f aca="false">IF(Tabla2[[#This Row],[Costos (En RD$/Tarea)]]=0,0,Tabla2[[#This Row],[Beneficio Neto  (En RD$/Tarea)]]/Tabla2[[#This Row],[Costos (En RD$/Tarea)]])</f>
        <v>1.01899576811535</v>
      </c>
      <c r="P1521" s="7" t="n">
        <f aca="false">Tabla2[[#This Row],[Rentabilidad (%)]]/12</f>
        <v>0.0849163140096126</v>
      </c>
    </row>
    <row r="1522" customFormat="false" ht="14.25" hidden="false" customHeight="false" outlineLevel="0" collapsed="false">
      <c r="A1522" s="1" t="n">
        <v>40360</v>
      </c>
      <c r="B1522" s="2" t="s">
        <v>27</v>
      </c>
      <c r="C1522" s="3" t="n">
        <v>5256</v>
      </c>
      <c r="D1522" s="8" t="s">
        <v>17</v>
      </c>
      <c r="E1522" s="3" t="n">
        <f aca="false">IF(Tabla2[[#This Row],[Frecuencia]]="Annual", Tabla2[[#This Row],[Cosecha/Tarea]]/12,Tabla2[[#This Row],[Cosecha/Tarea]])</f>
        <v>5256</v>
      </c>
      <c r="F1522" s="3" t="n">
        <v>24832</v>
      </c>
      <c r="G1522" s="2" t="s">
        <v>18</v>
      </c>
      <c r="H1522" s="2" t="n">
        <f aca="false">F1522/Tabla2[[#This Row],[Cosecha Mensual]]</f>
        <v>4.72450532724505</v>
      </c>
      <c r="I1522" s="2" t="n">
        <f aca="false">H1522*_xlfn.XLOOKUP(Tabla2[[#This Row],[Unidad de producción]],Tabla3[Medida],Tabla3[Equivalencia en Kg],"ELVIS",0)</f>
        <v>214.303561643836</v>
      </c>
      <c r="J1522" s="2" t="n">
        <v>640.333333333333</v>
      </c>
      <c r="K1522" s="2" t="s">
        <v>18</v>
      </c>
      <c r="L1522" s="2" t="n">
        <f aca="false">J1522/_xlfn.XLOOKUP(Tabla2[[#This Row],[Unidad de precio]],Tabla3[Medida],Tabla3[Equivalencia en Kg],"ELVIS",0)</f>
        <v>14.1166960611405</v>
      </c>
      <c r="M1522" s="2" t="n">
        <v>6142.39107464557</v>
      </c>
      <c r="N1522" s="3" t="n">
        <f aca="false">(Tabla2[[#This Row],[Productividad (kg/TAS)]]*Tabla2[[#This Row],[Precio por kg]]-Tabla2[[#This Row],[Costos (En RD$/Tarea)]])</f>
        <v>-3117.13283009966</v>
      </c>
      <c r="O1522" s="9" t="n">
        <f aca="false">IF(Tabla2[[#This Row],[Costos (En RD$/Tarea)]]=0,0,Tabla2[[#This Row],[Beneficio Neto  (En RD$/Tarea)]]/Tabla2[[#This Row],[Costos (En RD$/Tarea)]])</f>
        <v>-0.507478731363506</v>
      </c>
      <c r="P1522" s="7" t="n">
        <f aca="false">Tabla2[[#This Row],[Rentabilidad (%)]]/12</f>
        <v>-0.0422898942802922</v>
      </c>
    </row>
    <row r="1523" customFormat="false" ht="14.25" hidden="false" customHeight="false" outlineLevel="0" collapsed="false">
      <c r="A1523" s="1" t="n">
        <v>40360</v>
      </c>
      <c r="B1523" s="2" t="s">
        <v>28</v>
      </c>
      <c r="C1523" s="3" t="n">
        <v>1298</v>
      </c>
      <c r="D1523" s="8" t="s">
        <v>17</v>
      </c>
      <c r="E1523" s="3" t="n">
        <f aca="false">IF(Tabla2[[#This Row],[Frecuencia]]="Annual", Tabla2[[#This Row],[Cosecha/Tarea]]/12,Tabla2[[#This Row],[Cosecha/Tarea]])</f>
        <v>1298</v>
      </c>
      <c r="F1523" s="3" t="n">
        <v>1016</v>
      </c>
      <c r="G1523" s="2" t="s">
        <v>29</v>
      </c>
      <c r="H1523" s="2" t="n">
        <f aca="false">F1523/Tabla2[[#This Row],[Cosecha Mensual]]</f>
        <v>0.782742681047766</v>
      </c>
      <c r="I1523" s="2" t="n">
        <f aca="false">H1523*_xlfn.XLOOKUP(Tabla2[[#This Row],[Unidad de producción]],Tabla3[Medida],Tabla3[Equivalencia en Kg],"ELVIS",0)</f>
        <v>440.167519260401</v>
      </c>
      <c r="J1523" s="2" t="n">
        <v>6708.33333333333</v>
      </c>
      <c r="K1523" s="2" t="s">
        <v>29</v>
      </c>
      <c r="L1523" s="2" t="n">
        <f aca="false">J1523/_xlfn.XLOOKUP(Tabla2[[#This Row],[Unidad de precio]],Tabla3[Medida],Tabla3[Equivalencia en Kg],"ELVIS",0)</f>
        <v>11.9293191544854</v>
      </c>
      <c r="M1523" s="2" t="n">
        <v>6158.11903089474</v>
      </c>
      <c r="N1523" s="3" t="n">
        <f aca="false">(Tabla2[[#This Row],[Productividad (kg/TAS)]]*Tabla2[[#This Row],[Precio por kg]]-Tabla2[[#This Row],[Costos (En RD$/Tarea)]])</f>
        <v>-907.220212199313</v>
      </c>
      <c r="O1523" s="9" t="n">
        <f aca="false">IF(Tabla2[[#This Row],[Costos (En RD$/Tarea)]]=0,0,Tabla2[[#This Row],[Beneficio Neto  (En RD$/Tarea)]]/Tabla2[[#This Row],[Costos (En RD$/Tarea)]])</f>
        <v>-0.147320993252626</v>
      </c>
      <c r="P1523" s="7" t="n">
        <f aca="false">Tabla2[[#This Row],[Rentabilidad (%)]]/12</f>
        <v>-0.0122767494377189</v>
      </c>
    </row>
    <row r="1524" customFormat="false" ht="14.25" hidden="false" customHeight="false" outlineLevel="0" collapsed="false">
      <c r="A1524" s="1" t="n">
        <v>40360</v>
      </c>
      <c r="B1524" s="2" t="s">
        <v>30</v>
      </c>
      <c r="C1524" s="3" t="n">
        <v>333439</v>
      </c>
      <c r="D1524" s="3" t="s">
        <v>31</v>
      </c>
      <c r="E1524" s="3" t="n">
        <f aca="false">IF(Tabla2[[#This Row],[Frecuencia]]="Annual", Tabla2[[#This Row],[Cosecha/Tarea]]/12,Tabla2[[#This Row],[Cosecha/Tarea]])</f>
        <v>27786.5833333333</v>
      </c>
      <c r="F1524" s="3" t="n">
        <v>2656347</v>
      </c>
      <c r="G1524" s="2" t="s">
        <v>32</v>
      </c>
      <c r="H1524" s="2" t="n">
        <f aca="false">F1524/Tabla2[[#This Row],[Cosecha Mensual]]</f>
        <v>95.5981873746023</v>
      </c>
      <c r="I1524" s="2" t="n">
        <f aca="false">H1524*_xlfn.XLOOKUP(Tabla2[[#This Row],[Unidad de producción]],Tabla3[Medida],Tabla3[Equivalencia en Kg],"ELVIS",0)</f>
        <v>2601.22667846293</v>
      </c>
      <c r="J1524" s="2" t="n">
        <v>106.326388888889</v>
      </c>
      <c r="K1524" s="2" t="s">
        <v>32</v>
      </c>
      <c r="L1524" s="2" t="n">
        <f aca="false">J1524/_xlfn.XLOOKUP(Tabla2[[#This Row],[Unidad de precio]],Tabla3[Medida],Tabla3[Equivalencia en Kg],"ELVIS",0)</f>
        <v>3.90762178937483</v>
      </c>
      <c r="M1524" s="3" t="n">
        <v>10497.9114219602</v>
      </c>
      <c r="N1524" s="3" t="n">
        <f aca="false">(Tabla2[[#This Row],[Productividad (kg/TAS)]]*Tabla2[[#This Row],[Precio por kg]]-Tabla2[[#This Row],[Costos (En RD$/Tarea)]])</f>
        <v>-333.301374095361</v>
      </c>
      <c r="O1524" s="9" t="n">
        <f aca="false">IF(Tabla2[[#This Row],[Costos (En RD$/Tarea)]]=0,0,Tabla2[[#This Row],[Beneficio Neto  (En RD$/Tarea)]]/Tabla2[[#This Row],[Costos (En RD$/Tarea)]])</f>
        <v>-0.0317493033326744</v>
      </c>
      <c r="P1524" s="7" t="n">
        <f aca="false">Tabla2[[#This Row],[Rentabilidad (%)]]/12</f>
        <v>-0.00264577527772286</v>
      </c>
    </row>
    <row r="1525" customFormat="false" ht="14.25" hidden="false" customHeight="false" outlineLevel="0" collapsed="false">
      <c r="A1525" s="1" t="n">
        <v>40360</v>
      </c>
      <c r="B1525" s="2" t="s">
        <v>33</v>
      </c>
      <c r="C1525" s="3" t="n">
        <v>697721</v>
      </c>
      <c r="D1525" s="3" t="s">
        <v>31</v>
      </c>
      <c r="E1525" s="11" t="n">
        <f aca="false">IF(Tabla2[[#This Row],[Frecuencia]]="Annual", Tabla2[[#This Row],[Cosecha/Tarea]]/12,Tabla2[[#This Row],[Cosecha/Tarea]])</f>
        <v>58143.4166666667</v>
      </c>
      <c r="F1525" s="3" t="n">
        <v>163689</v>
      </c>
      <c r="G1525" s="2" t="s">
        <v>34</v>
      </c>
      <c r="H1525" s="2" t="n">
        <f aca="false">F1525/Tabla2[[#This Row],[Cosecha Mensual]]</f>
        <v>2.81526283428476</v>
      </c>
      <c r="I1525" s="2" t="n">
        <f aca="false">H1525*_xlfn.XLOOKUP(Tabla2[[#This Row],[Unidad de producción]],Tabla3[Medida],Tabla3[Equivalencia en Kg],"ELVIS",0)</f>
        <v>1149.04952581333</v>
      </c>
      <c r="J1525" s="2" t="n">
        <v>3303.59523809524</v>
      </c>
      <c r="K1525" s="2" t="s">
        <v>34</v>
      </c>
      <c r="L1525" s="2" t="n">
        <f aca="false">J1525/_xlfn.XLOOKUP(Tabla2[[#This Row],[Unidad de precio]],Tabla3[Medida],Tabla3[Equivalencia en Kg],"ELVIS",0)</f>
        <v>8.09407139065353</v>
      </c>
      <c r="M1525" s="3" t="n">
        <v>9292.97349690822</v>
      </c>
      <c r="N1525" s="3" t="n">
        <f aca="false">(Tabla2[[#This Row],[Productividad (kg/TAS)]]*Tabla2[[#This Row],[Precio por kg]]-Tabla2[[#This Row],[Costos (En RD$/Tarea)]])</f>
        <v>7.51539642143689</v>
      </c>
      <c r="O1525" s="9" t="n">
        <f aca="false">IF(Tabla2[[#This Row],[Costos (En RD$/Tarea)]]=0,0,Tabla2[[#This Row],[Beneficio Neto  (En RD$/Tarea)]]/Tabla2[[#This Row],[Costos (En RD$/Tarea)]])</f>
        <v>0.000808718159363875</v>
      </c>
      <c r="P1525" s="7" t="n">
        <f aca="false">Tabla2[[#This Row],[Rentabilidad (%)]]/12</f>
        <v>6.73931799469896E-005</v>
      </c>
    </row>
    <row r="1526" customFormat="false" ht="14.25" hidden="false" customHeight="false" outlineLevel="0" collapsed="false">
      <c r="A1526" s="1" t="n">
        <v>40391</v>
      </c>
      <c r="B1526" s="2" t="s">
        <v>16</v>
      </c>
      <c r="C1526" s="3" t="n">
        <v>102792</v>
      </c>
      <c r="D1526" s="8" t="s">
        <v>17</v>
      </c>
      <c r="E1526" s="3" t="n">
        <f aca="false">IF(Tabla2[[#This Row],[Frecuencia]]="Annual", Tabla2[[#This Row],[Cosecha/Tarea]]/12,Tabla2[[#This Row],[Cosecha/Tarea]])</f>
        <v>102792</v>
      </c>
      <c r="F1526" s="3" t="n">
        <v>421044</v>
      </c>
      <c r="G1526" s="2" t="s">
        <v>18</v>
      </c>
      <c r="H1526" s="2" t="n">
        <f aca="false">F1526/Tabla2[[#This Row],[Cosecha Mensual]]</f>
        <v>4.09607751575998</v>
      </c>
      <c r="I1526" s="2" t="n">
        <f aca="false">H1526*_xlfn.XLOOKUP(Tabla2[[#This Row],[Unidad de producción]],Tabla3[Medida],Tabla3[Equivalencia en Kg],"ELVIS",0)</f>
        <v>185.798076114873</v>
      </c>
      <c r="J1526" s="2" t="n">
        <v>1825.35333333333</v>
      </c>
      <c r="K1526" s="2" t="s">
        <v>19</v>
      </c>
      <c r="L1526" s="2" t="n">
        <f aca="false">J1526/_xlfn.XLOOKUP(Tabla2[[#This Row],[Unidad de precio]],Tabla3[Medida],Tabla3[Equivalencia en Kg],"ELVIS",0)</f>
        <v>16.5941212121212</v>
      </c>
      <c r="M1526" s="2" t="n">
        <v>7449.80873820933</v>
      </c>
      <c r="N1526" s="3" t="n">
        <f aca="false">(Tabla2[[#This Row],[Productividad (kg/TAS)]]*Tabla2[[#This Row],[Precio por kg]]-Tabla2[[#This Row],[Costos (En RD$/Tarea)]])</f>
        <v>-4366.65294218021</v>
      </c>
      <c r="O1526" s="9" t="n">
        <f aca="false">IF(Tabla2[[#This Row],[Costos (En RD$/Tarea)]]=0,0,Tabla2[[#This Row],[Beneficio Neto  (En RD$/Tarea)]]/Tabla2[[#This Row],[Costos (En RD$/Tarea)]])</f>
        <v>-0.586142959588222</v>
      </c>
      <c r="P1526" s="7" t="n">
        <f aca="false">Tabla2[[#This Row],[Rentabilidad (%)]]/12</f>
        <v>-0.0488452466323518</v>
      </c>
    </row>
    <row r="1527" customFormat="false" ht="14.25" hidden="false" customHeight="false" outlineLevel="0" collapsed="false">
      <c r="A1527" s="1" t="n">
        <v>40391</v>
      </c>
      <c r="B1527" s="2" t="s">
        <v>20</v>
      </c>
      <c r="C1527" s="3" t="n">
        <v>33529</v>
      </c>
      <c r="D1527" s="8" t="s">
        <v>17</v>
      </c>
      <c r="E1527" s="3" t="n">
        <f aca="false">IF(Tabla2[[#This Row],[Frecuencia]]="Annual", Tabla2[[#This Row],[Cosecha/Tarea]]/12,Tabla2[[#This Row],[Cosecha/Tarea]])</f>
        <v>33529</v>
      </c>
      <c r="F1527" s="3" t="n">
        <v>94536</v>
      </c>
      <c r="G1527" s="2" t="s">
        <v>18</v>
      </c>
      <c r="H1527" s="2" t="n">
        <f aca="false">F1527/Tabla2[[#This Row],[Cosecha Mensual]]</f>
        <v>2.8195293626413</v>
      </c>
      <c r="I1527" s="2" t="n">
        <f aca="false">H1527*_xlfn.XLOOKUP(Tabla2[[#This Row],[Unidad de producción]],Tabla3[Medida],Tabla3[Equivalencia en Kg],"ELVIS",0)</f>
        <v>127.893851889409</v>
      </c>
      <c r="J1527" s="2" t="n">
        <v>675.027777777778</v>
      </c>
      <c r="K1527" s="2" t="s">
        <v>18</v>
      </c>
      <c r="L1527" s="2" t="n">
        <f aca="false">J1527/_xlfn.XLOOKUP(Tabla2[[#This Row],[Unidad de precio]],Tabla3[Medida],Tabla3[Equivalencia en Kg],"ELVIS",0)</f>
        <v>14.881564765824</v>
      </c>
      <c r="M1527" s="2" t="n">
        <v>2162.02023182316</v>
      </c>
      <c r="N1527" s="3" t="n">
        <f aca="false">(Tabla2[[#This Row],[Productividad (kg/TAS)]]*Tabla2[[#This Row],[Precio por kg]]-Tabla2[[#This Row],[Costos (En RD$/Tarea)]])</f>
        <v>-258.759591780211</v>
      </c>
      <c r="O1527" s="9" t="n">
        <f aca="false">IF(Tabla2[[#This Row],[Costos (En RD$/Tarea)]]=0,0,Tabla2[[#This Row],[Beneficio Neto  (En RD$/Tarea)]]/Tabla2[[#This Row],[Costos (En RD$/Tarea)]])</f>
        <v>-0.119684167600045</v>
      </c>
      <c r="P1527" s="7" t="n">
        <f aca="false">Tabla2[[#This Row],[Rentabilidad (%)]]/12</f>
        <v>-0.00997368063333709</v>
      </c>
    </row>
    <row r="1528" customFormat="false" ht="14.25" hidden="false" customHeight="false" outlineLevel="0" collapsed="false">
      <c r="A1528" s="1" t="n">
        <v>40391</v>
      </c>
      <c r="B1528" s="2" t="s">
        <v>21</v>
      </c>
      <c r="C1528" s="3" t="n">
        <v>6231</v>
      </c>
      <c r="D1528" s="8" t="s">
        <v>17</v>
      </c>
      <c r="E1528" s="3" t="n">
        <f aca="false">IF(Tabla2[[#This Row],[Frecuencia]]="Annual", Tabla2[[#This Row],[Cosecha/Tarea]]/12,Tabla2[[#This Row],[Cosecha/Tarea]])</f>
        <v>6231</v>
      </c>
      <c r="F1528" s="3" t="n">
        <v>74031</v>
      </c>
      <c r="G1528" s="2" t="s">
        <v>18</v>
      </c>
      <c r="H1528" s="2" t="n">
        <f aca="false">F1528/Tabla2[[#This Row],[Cosecha Mensual]]</f>
        <v>11.8810784785749</v>
      </c>
      <c r="I1528" s="2" t="n">
        <f aca="false">H1528*_xlfn.XLOOKUP(Tabla2[[#This Row],[Unidad de producción]],Tabla3[Medida],Tabla3[Equivalencia en Kg],"ELVIS",0)</f>
        <v>538.925719788156</v>
      </c>
      <c r="J1528" s="2" t="n">
        <v>402.525</v>
      </c>
      <c r="K1528" s="2" t="s">
        <v>18</v>
      </c>
      <c r="L1528" s="2" t="n">
        <f aca="false">J1528/_xlfn.XLOOKUP(Tabla2[[#This Row],[Unidad de precio]],Tabla3[Medida],Tabla3[Equivalencia en Kg],"ELVIS",0)</f>
        <v>8.87400793650794</v>
      </c>
      <c r="M1528" s="2" t="n">
        <v>4521.4268875</v>
      </c>
      <c r="N1528" s="3" t="n">
        <f aca="false">(Tabla2[[#This Row],[Productividad (kg/TAS)]]*Tabla2[[#This Row],[Precio por kg]]-Tabla2[[#This Row],[Costos (En RD$/Tarea)]])</f>
        <v>261.004227088349</v>
      </c>
      <c r="O1528" s="9" t="n">
        <f aca="false">IF(Tabla2[[#This Row],[Costos (En RD$/Tarea)]]=0,0,Tabla2[[#This Row],[Beneficio Neto  (En RD$/Tarea)]]/Tabla2[[#This Row],[Costos (En RD$/Tarea)]])</f>
        <v>0.057726074883556</v>
      </c>
      <c r="P1528" s="7" t="n">
        <f aca="false">Tabla2[[#This Row],[Rentabilidad (%)]]/12</f>
        <v>0.00481050624029634</v>
      </c>
    </row>
    <row r="1529" customFormat="false" ht="14.25" hidden="false" customHeight="false" outlineLevel="0" collapsed="false">
      <c r="A1529" s="1" t="n">
        <v>40391</v>
      </c>
      <c r="B1529" s="2" t="s">
        <v>22</v>
      </c>
      <c r="C1529" s="3" t="n">
        <v>2537</v>
      </c>
      <c r="D1529" s="8" t="s">
        <v>17</v>
      </c>
      <c r="E1529" s="3" t="n">
        <f aca="false">IF(Tabla2[[#This Row],[Frecuencia]]="Annual", Tabla2[[#This Row],[Cosecha/Tarea]]/12,Tabla2[[#This Row],[Cosecha/Tarea]])</f>
        <v>2537</v>
      </c>
      <c r="F1529" s="3" t="n">
        <v>22710</v>
      </c>
      <c r="G1529" s="2" t="s">
        <v>18</v>
      </c>
      <c r="H1529" s="2" t="n">
        <f aca="false">F1529/Tabla2[[#This Row],[Cosecha Mensual]]</f>
        <v>8.95151754040205</v>
      </c>
      <c r="I1529" s="2" t="n">
        <f aca="false">H1529*_xlfn.XLOOKUP(Tabla2[[#This Row],[Unidad de producción]],Tabla3[Medida],Tabla3[Equivalencia en Kg],"ELVIS",0)</f>
        <v>406.040835632637</v>
      </c>
      <c r="J1529" s="2" t="n">
        <v>1166.97916666667</v>
      </c>
      <c r="K1529" s="2" t="s">
        <v>18</v>
      </c>
      <c r="L1529" s="2" t="n">
        <f aca="false">J1529/_xlfn.XLOOKUP(Tabla2[[#This Row],[Unidad de precio]],Tabla3[Medida],Tabla3[Equivalencia en Kg],"ELVIS",0)</f>
        <v>25.7270539388596</v>
      </c>
      <c r="M1529" s="2" t="n">
        <v>7599.7694060736</v>
      </c>
      <c r="N1529" s="3" t="n">
        <f aca="false">(Tabla2[[#This Row],[Productividad (kg/TAS)]]*Tabla2[[#This Row],[Precio por kg]]-Tabla2[[#This Row],[Costos (En RD$/Tarea)]])</f>
        <v>2846.46507362686</v>
      </c>
      <c r="O1529" s="9" t="n">
        <f aca="false">IF(Tabla2[[#This Row],[Costos (En RD$/Tarea)]]=0,0,Tabla2[[#This Row],[Beneficio Neto  (En RD$/Tarea)]]/Tabla2[[#This Row],[Costos (En RD$/Tarea)]])</f>
        <v>0.374546242330987</v>
      </c>
      <c r="P1529" s="7" t="n">
        <f aca="false">Tabla2[[#This Row],[Rentabilidad (%)]]/12</f>
        <v>0.0312121868609156</v>
      </c>
    </row>
    <row r="1530" customFormat="false" ht="14.25" hidden="false" customHeight="false" outlineLevel="0" collapsed="false">
      <c r="A1530" s="1" t="n">
        <v>40391</v>
      </c>
      <c r="B1530" s="2" t="s">
        <v>23</v>
      </c>
      <c r="C1530" s="3" t="n">
        <v>2501</v>
      </c>
      <c r="D1530" s="8" t="s">
        <v>17</v>
      </c>
      <c r="E1530" s="3" t="n">
        <f aca="false">IF(Tabla2[[#This Row],[Frecuencia]]="Annual", Tabla2[[#This Row],[Cosecha/Tarea]]/12,Tabla2[[#This Row],[Cosecha/Tarea]])</f>
        <v>2501</v>
      </c>
      <c r="F1530" s="3" t="n">
        <v>82741</v>
      </c>
      <c r="G1530" s="2" t="s">
        <v>18</v>
      </c>
      <c r="H1530" s="2" t="n">
        <f aca="false">F1530/Tabla2[[#This Row],[Cosecha Mensual]]</f>
        <v>33.0831667333067</v>
      </c>
      <c r="I1530" s="2" t="n">
        <f aca="false">H1530*_xlfn.XLOOKUP(Tabla2[[#This Row],[Unidad de producción]],Tabla3[Medida],Tabla3[Equivalencia en Kg],"ELVIS",0)</f>
        <v>1500.65244302279</v>
      </c>
      <c r="J1530" s="2" t="n">
        <v>764.444444444445</v>
      </c>
      <c r="K1530" s="2" t="s">
        <v>18</v>
      </c>
      <c r="L1530" s="2" t="n">
        <f aca="false">J1530/_xlfn.XLOOKUP(Tabla2[[#This Row],[Unidad de precio]],Tabla3[Medida],Tabla3[Equivalencia en Kg],"ELVIS",0)</f>
        <v>16.8528316676465</v>
      </c>
      <c r="M1530" s="2" t="n">
        <v>20327.21</v>
      </c>
      <c r="N1530" s="3" t="n">
        <f aca="false">(Tabla2[[#This Row],[Productividad (kg/TAS)]]*Tabla2[[#This Row],[Precio por kg]]-Tabla2[[#This Row],[Costos (En RD$/Tarea)]])</f>
        <v>4963.03301390557</v>
      </c>
      <c r="O1530" s="9" t="n">
        <f aca="false">IF(Tabla2[[#This Row],[Costos (En RD$/Tarea)]]=0,0,Tabla2[[#This Row],[Beneficio Neto  (En RD$/Tarea)]]/Tabla2[[#This Row],[Costos (En RD$/Tarea)]])</f>
        <v>0.244157118163563</v>
      </c>
      <c r="P1530" s="7" t="n">
        <f aca="false">Tabla2[[#This Row],[Rentabilidad (%)]]/12</f>
        <v>0.0203464265136303</v>
      </c>
    </row>
    <row r="1531" customFormat="false" ht="14.25" hidden="false" customHeight="false" outlineLevel="0" collapsed="false">
      <c r="A1531" s="1" t="n">
        <v>40391</v>
      </c>
      <c r="B1531" s="2" t="s">
        <v>24</v>
      </c>
      <c r="C1531" s="3" t="n">
        <v>3945</v>
      </c>
      <c r="D1531" s="8" t="s">
        <v>17</v>
      </c>
      <c r="E1531" s="3" t="n">
        <f aca="false">IF(Tabla2[[#This Row],[Frecuencia]]="Annual", Tabla2[[#This Row],[Cosecha/Tarea]]/12,Tabla2[[#This Row],[Cosecha/Tarea]])</f>
        <v>3945</v>
      </c>
      <c r="F1531" s="3" t="n">
        <v>32808</v>
      </c>
      <c r="G1531" s="2" t="s">
        <v>18</v>
      </c>
      <c r="H1531" s="2" t="n">
        <f aca="false">F1531/Tabla2[[#This Row],[Cosecha Mensual]]</f>
        <v>8.31634980988593</v>
      </c>
      <c r="I1531" s="2" t="n">
        <f aca="false">H1531*_xlfn.XLOOKUP(Tabla2[[#This Row],[Unidad de producción]],Tabla3[Medida],Tabla3[Equivalencia en Kg],"ELVIS",0)</f>
        <v>377.229627376426</v>
      </c>
      <c r="J1531" s="2" t="n">
        <v>1334.25</v>
      </c>
      <c r="K1531" s="2" t="s">
        <v>18</v>
      </c>
      <c r="L1531" s="2" t="n">
        <f aca="false">J1531/_xlfn.XLOOKUP(Tabla2[[#This Row],[Unidad de precio]],Tabla3[Medida],Tabla3[Equivalencia en Kg],"ELVIS",0)</f>
        <v>29.4146825396825</v>
      </c>
      <c r="M1531" s="2" t="n">
        <v>6579.6044973696</v>
      </c>
      <c r="N1531" s="3" t="n">
        <f aca="false">(Tabla2[[#This Row],[Productividad (kg/TAS)]]*Tabla2[[#This Row],[Precio por kg]]-Tabla2[[#This Row],[Costos (En RD$/Tarea)]])</f>
        <v>4516.48523647071</v>
      </c>
      <c r="O1531" s="9" t="n">
        <f aca="false">IF(Tabla2[[#This Row],[Costos (En RD$/Tarea)]]=0,0,Tabla2[[#This Row],[Beneficio Neto  (En RD$/Tarea)]]/Tabla2[[#This Row],[Costos (En RD$/Tarea)]])</f>
        <v>0.686437192125501</v>
      </c>
      <c r="P1531" s="7" t="n">
        <f aca="false">Tabla2[[#This Row],[Rentabilidad (%)]]/12</f>
        <v>0.0572030993437917</v>
      </c>
    </row>
    <row r="1532" customFormat="false" ht="14.25" hidden="false" customHeight="false" outlineLevel="0" collapsed="false">
      <c r="A1532" s="1" t="n">
        <v>40391</v>
      </c>
      <c r="B1532" s="2" t="s">
        <v>25</v>
      </c>
      <c r="C1532" s="3" t="n">
        <v>21884</v>
      </c>
      <c r="D1532" s="8" t="s">
        <v>17</v>
      </c>
      <c r="E1532" s="3" t="n">
        <f aca="false">IF(Tabla2[[#This Row],[Frecuencia]]="Annual", Tabla2[[#This Row],[Cosecha/Tarea]]/12,Tabla2[[#This Row],[Cosecha/Tarea]])</f>
        <v>21884</v>
      </c>
      <c r="F1532" s="3" t="n">
        <v>264037</v>
      </c>
      <c r="G1532" s="2" t="s">
        <v>18</v>
      </c>
      <c r="H1532" s="2" t="n">
        <f aca="false">F1532/Tabla2[[#This Row],[Cosecha Mensual]]</f>
        <v>12.0652988484738</v>
      </c>
      <c r="I1532" s="2" t="n">
        <f aca="false">H1532*_xlfn.XLOOKUP(Tabla2[[#This Row],[Unidad de producción]],Tabla3[Medida],Tabla3[Equivalencia en Kg],"ELVIS",0)</f>
        <v>547.28195576677</v>
      </c>
      <c r="J1532" s="2" t="n">
        <v>242.618333333333</v>
      </c>
      <c r="K1532" s="2" t="s">
        <v>18</v>
      </c>
      <c r="L1532" s="2" t="n">
        <f aca="false">J1532/_xlfn.XLOOKUP(Tabla2[[#This Row],[Unidad de precio]],Tabla3[Medida],Tabla3[Equivalencia en Kg],"ELVIS",0)</f>
        <v>5.34872868900646</v>
      </c>
      <c r="M1532" s="2" t="n">
        <v>3734.00643997985</v>
      </c>
      <c r="N1532" s="3" t="n">
        <f aca="false">(Tabla2[[#This Row],[Productividad (kg/TAS)]]*Tabla2[[#This Row],[Precio por kg]]-Tabla2[[#This Row],[Costos (En RD$/Tarea)]])</f>
        <v>-806.743742194562</v>
      </c>
      <c r="O1532" s="9" t="n">
        <f aca="false">IF(Tabla2[[#This Row],[Costos (En RD$/Tarea)]]=0,0,Tabla2[[#This Row],[Beneficio Neto  (En RD$/Tarea)]]/Tabla2[[#This Row],[Costos (En RD$/Tarea)]])</f>
        <v>-0.216053120197328</v>
      </c>
      <c r="P1532" s="7" t="n">
        <f aca="false">Tabla2[[#This Row],[Rentabilidad (%)]]/12</f>
        <v>-0.0180044266831106</v>
      </c>
    </row>
    <row r="1533" customFormat="false" ht="14.25" hidden="false" customHeight="false" outlineLevel="0" collapsed="false">
      <c r="A1533" s="1" t="n">
        <v>40391</v>
      </c>
      <c r="B1533" s="2" t="s">
        <v>26</v>
      </c>
      <c r="C1533" s="3" t="n">
        <v>8508</v>
      </c>
      <c r="D1533" s="8" t="s">
        <v>17</v>
      </c>
      <c r="E1533" s="3" t="n">
        <f aca="false">IF(Tabla2[[#This Row],[Frecuencia]]="Annual", Tabla2[[#This Row],[Cosecha/Tarea]]/12,Tabla2[[#This Row],[Cosecha/Tarea]])</f>
        <v>8508</v>
      </c>
      <c r="F1533" s="3" t="n">
        <v>45127</v>
      </c>
      <c r="G1533" s="2" t="s">
        <v>18</v>
      </c>
      <c r="H1533" s="2" t="n">
        <f aca="false">F1533/Tabla2[[#This Row],[Cosecha Mensual]]</f>
        <v>5.30406676069582</v>
      </c>
      <c r="I1533" s="2" t="n">
        <f aca="false">H1533*_xlfn.XLOOKUP(Tabla2[[#This Row],[Unidad de producción]],Tabla3[Medida],Tabla3[Equivalencia en Kg],"ELVIS",0)</f>
        <v>240.592468265162</v>
      </c>
      <c r="J1533" s="2" t="n">
        <v>648.884166666667</v>
      </c>
      <c r="K1533" s="2" t="s">
        <v>18</v>
      </c>
      <c r="L1533" s="2" t="n">
        <f aca="false">J1533/_xlfn.XLOOKUP(Tabla2[[#This Row],[Unidad de precio]],Tabla3[Medida],Tabla3[Equivalencia en Kg],"ELVIS",0)</f>
        <v>14.3052064961787</v>
      </c>
      <c r="M1533" s="2" t="n">
        <v>1771.21219288463</v>
      </c>
      <c r="N1533" s="3" t="n">
        <f aca="false">(Tabla2[[#This Row],[Productividad (kg/TAS)]]*Tabla2[[#This Row],[Precio por kg]]-Tabla2[[#This Row],[Costos (En RD$/Tarea)]])</f>
        <v>1670.51274707384</v>
      </c>
      <c r="O1533" s="9" t="n">
        <f aca="false">IF(Tabla2[[#This Row],[Costos (En RD$/Tarea)]]=0,0,Tabla2[[#This Row],[Beneficio Neto  (En RD$/Tarea)]]/Tabla2[[#This Row],[Costos (En RD$/Tarea)]])</f>
        <v>0.943146594058396</v>
      </c>
      <c r="P1533" s="7" t="n">
        <f aca="false">Tabla2[[#This Row],[Rentabilidad (%)]]/12</f>
        <v>0.0785955495048664</v>
      </c>
    </row>
    <row r="1534" customFormat="false" ht="14.25" hidden="false" customHeight="false" outlineLevel="0" collapsed="false">
      <c r="A1534" s="1" t="n">
        <v>40391</v>
      </c>
      <c r="B1534" s="2" t="s">
        <v>27</v>
      </c>
      <c r="C1534" s="3" t="n">
        <v>4589</v>
      </c>
      <c r="D1534" s="8" t="s">
        <v>17</v>
      </c>
      <c r="E1534" s="3" t="n">
        <f aca="false">IF(Tabla2[[#This Row],[Frecuencia]]="Annual", Tabla2[[#This Row],[Cosecha/Tarea]]/12,Tabla2[[#This Row],[Cosecha/Tarea]])</f>
        <v>4589</v>
      </c>
      <c r="F1534" s="3" t="n">
        <v>27687</v>
      </c>
      <c r="G1534" s="2" t="s">
        <v>18</v>
      </c>
      <c r="H1534" s="2" t="n">
        <f aca="false">F1534/Tabla2[[#This Row],[Cosecha Mensual]]</f>
        <v>6.03334059707997</v>
      </c>
      <c r="I1534" s="2" t="n">
        <f aca="false">H1534*_xlfn.XLOOKUP(Tabla2[[#This Row],[Unidad de producción]],Tabla3[Medida],Tabla3[Equivalencia en Kg],"ELVIS",0)</f>
        <v>273.672329483548</v>
      </c>
      <c r="J1534" s="2" t="n">
        <v>603.3</v>
      </c>
      <c r="K1534" s="2" t="s">
        <v>18</v>
      </c>
      <c r="L1534" s="2" t="n">
        <f aca="false">J1534/_xlfn.XLOOKUP(Tabla2[[#This Row],[Unidad de precio]],Tabla3[Medida],Tabla3[Equivalencia en Kg],"ELVIS",0)</f>
        <v>13.3002645502645</v>
      </c>
      <c r="M1534" s="2" t="n">
        <v>6142.39107464557</v>
      </c>
      <c r="N1534" s="3" t="n">
        <f aca="false">(Tabla2[[#This Row],[Productividad (kg/TAS)]]*Tabla2[[#This Row],[Precio por kg]]-Tabla2[[#This Row],[Costos (En RD$/Tarea)]])</f>
        <v>-2502.47669242722</v>
      </c>
      <c r="O1534" s="9" t="n">
        <f aca="false">IF(Tabla2[[#This Row],[Costos (En RD$/Tarea)]]=0,0,Tabla2[[#This Row],[Beneficio Neto  (En RD$/Tarea)]]/Tabla2[[#This Row],[Costos (En RD$/Tarea)]])</f>
        <v>-0.407410837573806</v>
      </c>
      <c r="P1534" s="7" t="n">
        <f aca="false">Tabla2[[#This Row],[Rentabilidad (%)]]/12</f>
        <v>-0.0339509031311505</v>
      </c>
    </row>
    <row r="1535" customFormat="false" ht="14.25" hidden="false" customHeight="false" outlineLevel="0" collapsed="false">
      <c r="A1535" s="1" t="n">
        <v>40391</v>
      </c>
      <c r="B1535" s="2" t="s">
        <v>28</v>
      </c>
      <c r="C1535" s="3" t="n">
        <v>66607</v>
      </c>
      <c r="D1535" s="8" t="s">
        <v>17</v>
      </c>
      <c r="E1535" s="3" t="n">
        <f aca="false">IF(Tabla2[[#This Row],[Frecuencia]]="Annual", Tabla2[[#This Row],[Cosecha/Tarea]]/12,Tabla2[[#This Row],[Cosecha/Tarea]])</f>
        <v>66607</v>
      </c>
      <c r="F1535" s="3" t="n">
        <v>178249</v>
      </c>
      <c r="G1535" s="2" t="s">
        <v>29</v>
      </c>
      <c r="H1535" s="2" t="n">
        <f aca="false">F1535/Tabla2[[#This Row],[Cosecha Mensual]]</f>
        <v>2.67613013647214</v>
      </c>
      <c r="I1535" s="2" t="n">
        <f aca="false">H1535*_xlfn.XLOOKUP(Tabla2[[#This Row],[Unidad de producción]],Tabla3[Medida],Tabla3[Equivalencia en Kg],"ELVIS",0)</f>
        <v>1504.89502094374</v>
      </c>
      <c r="J1535" s="2" t="n">
        <v>5065.625</v>
      </c>
      <c r="K1535" s="2" t="s">
        <v>29</v>
      </c>
      <c r="L1535" s="2" t="n">
        <f aca="false">J1535/_xlfn.XLOOKUP(Tabla2[[#This Row],[Unidad de precio]],Tabla3[Medida],Tabla3[Equivalencia en Kg],"ELVIS",0)</f>
        <v>9.00811786463705</v>
      </c>
      <c r="M1535" s="2" t="n">
        <v>6158.11903089474</v>
      </c>
      <c r="N1535" s="3" t="n">
        <f aca="false">(Tabla2[[#This Row],[Productividad (kg/TAS)]]*Tabla2[[#This Row],[Precio por kg]]-Tabla2[[#This Row],[Costos (En RD$/Tarea)]])</f>
        <v>7398.15269167196</v>
      </c>
      <c r="O1535" s="9" t="n">
        <f aca="false">IF(Tabla2[[#This Row],[Costos (En RD$/Tarea)]]=0,0,Tabla2[[#This Row],[Beneficio Neto  (En RD$/Tarea)]]/Tabla2[[#This Row],[Costos (En RD$/Tarea)]])</f>
        <v>1.20136565314118</v>
      </c>
      <c r="P1535" s="7" t="n">
        <f aca="false">Tabla2[[#This Row],[Rentabilidad (%)]]/12</f>
        <v>0.100113804428431</v>
      </c>
    </row>
    <row r="1536" customFormat="false" ht="14.25" hidden="false" customHeight="false" outlineLevel="0" collapsed="false">
      <c r="A1536" s="1" t="n">
        <v>40391</v>
      </c>
      <c r="B1536" s="2" t="s">
        <v>30</v>
      </c>
      <c r="C1536" s="3" t="n">
        <v>344111</v>
      </c>
      <c r="D1536" s="3" t="s">
        <v>31</v>
      </c>
      <c r="E1536" s="3" t="n">
        <f aca="false">IF(Tabla2[[#This Row],[Frecuencia]]="Annual", Tabla2[[#This Row],[Cosecha/Tarea]]/12,Tabla2[[#This Row],[Cosecha/Tarea]])</f>
        <v>28675.9166666667</v>
      </c>
      <c r="F1536" s="3" t="n">
        <v>3203592</v>
      </c>
      <c r="G1536" s="2" t="s">
        <v>32</v>
      </c>
      <c r="H1536" s="2" t="n">
        <f aca="false">F1536/Tabla2[[#This Row],[Cosecha Mensual]]</f>
        <v>111.717161032341</v>
      </c>
      <c r="I1536" s="2" t="n">
        <f aca="false">H1536*_xlfn.XLOOKUP(Tabla2[[#This Row],[Unidad de producción]],Tabla3[Medida],Tabla3[Equivalencia en Kg],"ELVIS",0)</f>
        <v>3039.82395169001</v>
      </c>
      <c r="J1536" s="2" t="n">
        <v>98.338</v>
      </c>
      <c r="K1536" s="2" t="s">
        <v>32</v>
      </c>
      <c r="L1536" s="2" t="n">
        <f aca="false">J1536/_xlfn.XLOOKUP(Tabla2[[#This Row],[Unidad de precio]],Tabla3[Medida],Tabla3[Equivalencia en Kg],"ELVIS",0)</f>
        <v>3.61403895626608</v>
      </c>
      <c r="M1536" s="3" t="n">
        <v>10497.9114219602</v>
      </c>
      <c r="N1536" s="3" t="n">
        <f aca="false">(Tabla2[[#This Row],[Productividad (kg/TAS)]]*Tabla2[[#This Row],[Precio por kg]]-Tabla2[[#This Row],[Costos (En RD$/Tarea)]])</f>
        <v>488.130759638179</v>
      </c>
      <c r="O1536" s="9" t="n">
        <f aca="false">IF(Tabla2[[#This Row],[Costos (En RD$/Tarea)]]=0,0,Tabla2[[#This Row],[Beneficio Neto  (En RD$/Tarea)]]/Tabla2[[#This Row],[Costos (En RD$/Tarea)]])</f>
        <v>0.0464978927729449</v>
      </c>
      <c r="P1536" s="7" t="n">
        <f aca="false">Tabla2[[#This Row],[Rentabilidad (%)]]/12</f>
        <v>0.00387482439774541</v>
      </c>
    </row>
    <row r="1537" customFormat="false" ht="14.25" hidden="false" customHeight="false" outlineLevel="0" collapsed="false">
      <c r="A1537" s="1" t="n">
        <v>40391</v>
      </c>
      <c r="B1537" s="2" t="s">
        <v>33</v>
      </c>
      <c r="C1537" s="3" t="n">
        <v>680055</v>
      </c>
      <c r="D1537" s="3" t="s">
        <v>31</v>
      </c>
      <c r="E1537" s="11" t="n">
        <f aca="false">IF(Tabla2[[#This Row],[Frecuencia]]="Annual", Tabla2[[#This Row],[Cosecha/Tarea]]/12,Tabla2[[#This Row],[Cosecha/Tarea]])</f>
        <v>56671.25</v>
      </c>
      <c r="F1537" s="3" t="n">
        <v>165959</v>
      </c>
      <c r="G1537" s="2" t="s">
        <v>34</v>
      </c>
      <c r="H1537" s="2" t="n">
        <f aca="false">F1537/Tabla2[[#This Row],[Cosecha Mensual]]</f>
        <v>2.92845137525641</v>
      </c>
      <c r="I1537" s="2" t="n">
        <f aca="false">H1537*_xlfn.XLOOKUP(Tabla2[[#This Row],[Unidad de producción]],Tabla3[Medida],Tabla3[Equivalencia en Kg],"ELVIS",0)</f>
        <v>1195.24742881091</v>
      </c>
      <c r="J1537" s="2" t="n">
        <v>3285.075</v>
      </c>
      <c r="K1537" s="2" t="s">
        <v>34</v>
      </c>
      <c r="L1537" s="2" t="n">
        <f aca="false">J1537/_xlfn.XLOOKUP(Tabla2[[#This Row],[Unidad de precio]],Tabla3[Medida],Tabla3[Equivalencia en Kg],"ELVIS",0)</f>
        <v>8.04869533259831</v>
      </c>
      <c r="M1537" s="3" t="n">
        <v>9292.97349690822</v>
      </c>
      <c r="N1537" s="3" t="n">
        <f aca="false">(Tabla2[[#This Row],[Productividad (kg/TAS)]]*Tabla2[[#This Row],[Precio por kg]]-Tabla2[[#This Row],[Costos (En RD$/Tarea)]])</f>
        <v>327.20890466224</v>
      </c>
      <c r="O1537" s="9" t="n">
        <f aca="false">IF(Tabla2[[#This Row],[Costos (En RD$/Tarea)]]=0,0,Tabla2[[#This Row],[Beneficio Neto  (En RD$/Tarea)]]/Tabla2[[#This Row],[Costos (En RD$/Tarea)]])</f>
        <v>0.0352103559502352</v>
      </c>
      <c r="P1537" s="7" t="n">
        <f aca="false">Tabla2[[#This Row],[Rentabilidad (%)]]/12</f>
        <v>0.00293419632918627</v>
      </c>
    </row>
    <row r="1538" customFormat="false" ht="14.25" hidden="false" customHeight="false" outlineLevel="0" collapsed="false">
      <c r="A1538" s="1" t="n">
        <v>40422</v>
      </c>
      <c r="B1538" s="2" t="s">
        <v>16</v>
      </c>
      <c r="C1538" s="3" t="n">
        <v>226018</v>
      </c>
      <c r="D1538" s="8" t="s">
        <v>17</v>
      </c>
      <c r="E1538" s="3" t="n">
        <f aca="false">IF(Tabla2[[#This Row],[Frecuencia]]="Annual", Tabla2[[#This Row],[Cosecha/Tarea]]/12,Tabla2[[#This Row],[Cosecha/Tarea]])</f>
        <v>226018</v>
      </c>
      <c r="F1538" s="3" t="n">
        <v>1087356</v>
      </c>
      <c r="G1538" s="2" t="s">
        <v>18</v>
      </c>
      <c r="H1538" s="2" t="n">
        <f aca="false">F1538/Tabla2[[#This Row],[Cosecha Mensual]]</f>
        <v>4.81092656337106</v>
      </c>
      <c r="I1538" s="2" t="n">
        <f aca="false">H1538*_xlfn.XLOOKUP(Tabla2[[#This Row],[Unidad de producción]],Tabla3[Medida],Tabla3[Equivalencia en Kg],"ELVIS",0)</f>
        <v>218.223628914511</v>
      </c>
      <c r="J1538" s="2" t="n">
        <v>1682.3</v>
      </c>
      <c r="K1538" s="2" t="s">
        <v>19</v>
      </c>
      <c r="L1538" s="2" t="n">
        <f aca="false">J1538/_xlfn.XLOOKUP(Tabla2[[#This Row],[Unidad de precio]],Tabla3[Medida],Tabla3[Equivalencia en Kg],"ELVIS",0)</f>
        <v>15.2936363636364</v>
      </c>
      <c r="M1538" s="2" t="n">
        <v>7449.80873820933</v>
      </c>
      <c r="N1538" s="3" t="n">
        <f aca="false">(Tabla2[[#This Row],[Productividad (kg/TAS)]]*Tabla2[[#This Row],[Precio por kg]]-Tabla2[[#This Row],[Costos (En RD$/Tarea)]])</f>
        <v>-4112.37591163767</v>
      </c>
      <c r="O1538" s="9" t="n">
        <f aca="false">IF(Tabla2[[#This Row],[Costos (En RD$/Tarea)]]=0,0,Tabla2[[#This Row],[Beneficio Neto  (En RD$/Tarea)]]/Tabla2[[#This Row],[Costos (En RD$/Tarea)]])</f>
        <v>-0.552010938287007</v>
      </c>
      <c r="P1538" s="7" t="n">
        <f aca="false">Tabla2[[#This Row],[Rentabilidad (%)]]/12</f>
        <v>-0.0460009115239172</v>
      </c>
    </row>
    <row r="1539" customFormat="false" ht="14.25" hidden="false" customHeight="false" outlineLevel="0" collapsed="false">
      <c r="A1539" s="1" t="n">
        <v>40422</v>
      </c>
      <c r="B1539" s="2" t="s">
        <v>20</v>
      </c>
      <c r="C1539" s="3" t="n">
        <v>54003</v>
      </c>
      <c r="D1539" s="8" t="s">
        <v>17</v>
      </c>
      <c r="E1539" s="3" t="n">
        <f aca="false">IF(Tabla2[[#This Row],[Frecuencia]]="Annual", Tabla2[[#This Row],[Cosecha/Tarea]]/12,Tabla2[[#This Row],[Cosecha/Tarea]])</f>
        <v>54003</v>
      </c>
      <c r="F1539" s="3" t="n">
        <v>105246</v>
      </c>
      <c r="G1539" s="2" t="s">
        <v>18</v>
      </c>
      <c r="H1539" s="2" t="n">
        <f aca="false">F1539/Tabla2[[#This Row],[Cosecha Mensual]]</f>
        <v>1.94889172823732</v>
      </c>
      <c r="I1539" s="2" t="n">
        <f aca="false">H1539*_xlfn.XLOOKUP(Tabla2[[#This Row],[Unidad de producción]],Tabla3[Medida],Tabla3[Equivalencia en Kg],"ELVIS",0)</f>
        <v>88.4017287928448</v>
      </c>
      <c r="J1539" s="2" t="n">
        <v>577.5455</v>
      </c>
      <c r="K1539" s="2" t="s">
        <v>18</v>
      </c>
      <c r="L1539" s="2" t="n">
        <f aca="false">J1539/_xlfn.XLOOKUP(Tabla2[[#This Row],[Unidad de precio]],Tabla3[Medida],Tabla3[Equivalencia en Kg],"ELVIS",0)</f>
        <v>12.7324845679012</v>
      </c>
      <c r="M1539" s="2" t="n">
        <v>2162.02023182316</v>
      </c>
      <c r="N1539" s="3" t="n">
        <f aca="false">(Tabla2[[#This Row],[Productividad (kg/TAS)]]*Tabla2[[#This Row],[Precio por kg]]-Tabla2[[#This Row],[Costos (En RD$/Tarea)]])</f>
        <v>-1036.44658419247</v>
      </c>
      <c r="O1539" s="9" t="n">
        <f aca="false">IF(Tabla2[[#This Row],[Costos (En RD$/Tarea)]]=0,0,Tabla2[[#This Row],[Beneficio Neto  (En RD$/Tarea)]]/Tabla2[[#This Row],[Costos (En RD$/Tarea)]])</f>
        <v>-0.479388013551784</v>
      </c>
      <c r="P1539" s="7" t="n">
        <f aca="false">Tabla2[[#This Row],[Rentabilidad (%)]]/12</f>
        <v>-0.0399490011293154</v>
      </c>
    </row>
    <row r="1540" customFormat="false" ht="14.25" hidden="false" customHeight="false" outlineLevel="0" collapsed="false">
      <c r="A1540" s="1" t="n">
        <v>40422</v>
      </c>
      <c r="B1540" s="2" t="s">
        <v>21</v>
      </c>
      <c r="C1540" s="3" t="n">
        <v>5904</v>
      </c>
      <c r="D1540" s="8" t="s">
        <v>17</v>
      </c>
      <c r="E1540" s="3" t="n">
        <f aca="false">IF(Tabla2[[#This Row],[Frecuencia]]="Annual", Tabla2[[#This Row],[Cosecha/Tarea]]/12,Tabla2[[#This Row],[Cosecha/Tarea]])</f>
        <v>5904</v>
      </c>
      <c r="F1540" s="3" t="n">
        <v>72002</v>
      </c>
      <c r="G1540" s="2" t="s">
        <v>18</v>
      </c>
      <c r="H1540" s="2" t="n">
        <f aca="false">F1540/Tabla2[[#This Row],[Cosecha Mensual]]</f>
        <v>12.195460704607</v>
      </c>
      <c r="I1540" s="2" t="n">
        <f aca="false">H1540*_xlfn.XLOOKUP(Tabla2[[#This Row],[Unidad de producción]],Tabla3[Medida],Tabla3[Equivalencia en Kg],"ELVIS",0)</f>
        <v>553.186097560976</v>
      </c>
      <c r="J1540" s="2" t="n">
        <v>375.349642857143</v>
      </c>
      <c r="K1540" s="2" t="s">
        <v>18</v>
      </c>
      <c r="L1540" s="2" t="n">
        <f aca="false">J1540/_xlfn.XLOOKUP(Tabla2[[#This Row],[Unidad de precio]],Tabla3[Medida],Tabla3[Equivalencia en Kg],"ELVIS",0)</f>
        <v>8.27490394305871</v>
      </c>
      <c r="M1540" s="2" t="n">
        <v>4521.4268875</v>
      </c>
      <c r="N1540" s="3" t="n">
        <f aca="false">(Tabla2[[#This Row],[Productividad (kg/TAS)]]*Tabla2[[#This Row],[Precio por kg]]-Tabla2[[#This Row],[Costos (En RD$/Tarea)]])</f>
        <v>56.1349324525763</v>
      </c>
      <c r="O1540" s="9" t="n">
        <f aca="false">IF(Tabla2[[#This Row],[Costos (En RD$/Tarea)]]=0,0,Tabla2[[#This Row],[Beneficio Neto  (En RD$/Tarea)]]/Tabla2[[#This Row],[Costos (En RD$/Tarea)]])</f>
        <v>0.0124153135391325</v>
      </c>
      <c r="P1540" s="7" t="n">
        <f aca="false">Tabla2[[#This Row],[Rentabilidad (%)]]/12</f>
        <v>0.00103460946159437</v>
      </c>
    </row>
    <row r="1541" customFormat="false" ht="14.25" hidden="false" customHeight="false" outlineLevel="0" collapsed="false">
      <c r="A1541" s="1" t="n">
        <v>40422</v>
      </c>
      <c r="B1541" s="2" t="s">
        <v>22</v>
      </c>
      <c r="C1541" s="3" t="n">
        <v>2507</v>
      </c>
      <c r="D1541" s="8" t="s">
        <v>17</v>
      </c>
      <c r="E1541" s="3" t="n">
        <f aca="false">IF(Tabla2[[#This Row],[Frecuencia]]="Annual", Tabla2[[#This Row],[Cosecha/Tarea]]/12,Tabla2[[#This Row],[Cosecha/Tarea]])</f>
        <v>2507</v>
      </c>
      <c r="F1541" s="3" t="n">
        <v>25583</v>
      </c>
      <c r="G1541" s="2" t="s">
        <v>18</v>
      </c>
      <c r="H1541" s="2" t="n">
        <f aca="false">F1541/Tabla2[[#This Row],[Cosecha Mensual]]</f>
        <v>10.204627044276</v>
      </c>
      <c r="I1541" s="2" t="n">
        <f aca="false">H1541*_xlfn.XLOOKUP(Tabla2[[#This Row],[Unidad de producción]],Tabla3[Medida],Tabla3[Equivalencia en Kg],"ELVIS",0)</f>
        <v>462.881882728361</v>
      </c>
      <c r="J1541" s="2" t="n">
        <v>1361.5</v>
      </c>
      <c r="K1541" s="2" t="s">
        <v>18</v>
      </c>
      <c r="L1541" s="2" t="n">
        <f aca="false">J1541/_xlfn.XLOOKUP(Tabla2[[#This Row],[Unidad de precio]],Tabla3[Medida],Tabla3[Equivalencia en Kg],"ELVIS",0)</f>
        <v>30.0154320987654</v>
      </c>
      <c r="M1541" s="2" t="n">
        <v>7599.7694060736</v>
      </c>
      <c r="N1541" s="3" t="n">
        <f aca="false">(Tabla2[[#This Row],[Productividad (kg/TAS)]]*Tabla2[[#This Row],[Precio por kg]]-Tabla2[[#This Row],[Costos (En RD$/Tarea)]])</f>
        <v>6293.83031470821</v>
      </c>
      <c r="O1541" s="9" t="n">
        <f aca="false">IF(Tabla2[[#This Row],[Costos (En RD$/Tarea)]]=0,0,Tabla2[[#This Row],[Beneficio Neto  (En RD$/Tarea)]]/Tabla2[[#This Row],[Costos (En RD$/Tarea)]])</f>
        <v>0.828160695201922</v>
      </c>
      <c r="P1541" s="7" t="n">
        <f aca="false">Tabla2[[#This Row],[Rentabilidad (%)]]/12</f>
        <v>0.0690133912668268</v>
      </c>
    </row>
    <row r="1542" customFormat="false" ht="14.25" hidden="false" customHeight="false" outlineLevel="0" collapsed="false">
      <c r="A1542" s="1" t="n">
        <v>40422</v>
      </c>
      <c r="B1542" s="2" t="s">
        <v>23</v>
      </c>
      <c r="C1542" s="3" t="n">
        <v>1892</v>
      </c>
      <c r="D1542" s="8" t="s">
        <v>17</v>
      </c>
      <c r="E1542" s="3" t="n">
        <f aca="false">IF(Tabla2[[#This Row],[Frecuencia]]="Annual", Tabla2[[#This Row],[Cosecha/Tarea]]/12,Tabla2[[#This Row],[Cosecha/Tarea]])</f>
        <v>1892</v>
      </c>
      <c r="F1542" s="3" t="n">
        <v>72170</v>
      </c>
      <c r="G1542" s="2" t="s">
        <v>18</v>
      </c>
      <c r="H1542" s="2" t="n">
        <f aca="false">F1542/Tabla2[[#This Row],[Cosecha Mensual]]</f>
        <v>38.1448202959831</v>
      </c>
      <c r="I1542" s="2" t="n">
        <f aca="false">H1542*_xlfn.XLOOKUP(Tabla2[[#This Row],[Unidad de producción]],Tabla3[Medida],Tabla3[Equivalencia en Kg],"ELVIS",0)</f>
        <v>1730.24904862579</v>
      </c>
      <c r="J1542" s="2" t="n">
        <v>718.75</v>
      </c>
      <c r="K1542" s="2" t="s">
        <v>18</v>
      </c>
      <c r="L1542" s="2" t="n">
        <f aca="false">J1542/_xlfn.XLOOKUP(Tabla2[[#This Row],[Unidad de precio]],Tabla3[Medida],Tabla3[Equivalencia en Kg],"ELVIS",0)</f>
        <v>15.8454585537919</v>
      </c>
      <c r="M1542" s="2" t="n">
        <v>20327.21</v>
      </c>
      <c r="N1542" s="3" t="n">
        <f aca="false">(Tabla2[[#This Row],[Productividad (kg/TAS)]]*Tabla2[[#This Row],[Precio por kg]]-Tabla2[[#This Row],[Costos (En RD$/Tarea)]])</f>
        <v>7089.37958773784</v>
      </c>
      <c r="O1542" s="9" t="n">
        <f aca="false">IF(Tabla2[[#This Row],[Costos (En RD$/Tarea)]]=0,0,Tabla2[[#This Row],[Beneficio Neto  (En RD$/Tarea)]]/Tabla2[[#This Row],[Costos (En RD$/Tarea)]])</f>
        <v>0.348763041644074</v>
      </c>
      <c r="P1542" s="7" t="n">
        <f aca="false">Tabla2[[#This Row],[Rentabilidad (%)]]/12</f>
        <v>0.0290635868036729</v>
      </c>
    </row>
    <row r="1543" customFormat="false" ht="14.25" hidden="false" customHeight="false" outlineLevel="0" collapsed="false">
      <c r="A1543" s="1" t="n">
        <v>40422</v>
      </c>
      <c r="B1543" s="2" t="s">
        <v>24</v>
      </c>
      <c r="C1543" s="3" t="n">
        <v>3800</v>
      </c>
      <c r="D1543" s="8" t="s">
        <v>17</v>
      </c>
      <c r="E1543" s="3" t="n">
        <f aca="false">IF(Tabla2[[#This Row],[Frecuencia]]="Annual", Tabla2[[#This Row],[Cosecha/Tarea]]/12,Tabla2[[#This Row],[Cosecha/Tarea]])</f>
        <v>3800</v>
      </c>
      <c r="F1543" s="3" t="n">
        <v>36286</v>
      </c>
      <c r="G1543" s="2" t="s">
        <v>18</v>
      </c>
      <c r="H1543" s="2" t="n">
        <f aca="false">F1543/Tabla2[[#This Row],[Cosecha Mensual]]</f>
        <v>9.54894736842105</v>
      </c>
      <c r="I1543" s="2" t="n">
        <f aca="false">H1543*_xlfn.XLOOKUP(Tabla2[[#This Row],[Unidad de producción]],Tabla3[Medida],Tabla3[Equivalencia en Kg],"ELVIS",0)</f>
        <v>433.140252631579</v>
      </c>
      <c r="J1543" s="2" t="n">
        <v>1335.195</v>
      </c>
      <c r="K1543" s="2" t="s">
        <v>18</v>
      </c>
      <c r="L1543" s="2" t="n">
        <f aca="false">J1543/_xlfn.XLOOKUP(Tabla2[[#This Row],[Unidad de precio]],Tabla3[Medida],Tabla3[Equivalencia en Kg],"ELVIS",0)</f>
        <v>29.4355158730159</v>
      </c>
      <c r="M1543" s="2" t="n">
        <v>6579.6044973696</v>
      </c>
      <c r="N1543" s="3" t="n">
        <f aca="false">(Tabla2[[#This Row],[Productividad (kg/TAS)]]*Tabla2[[#This Row],[Precio por kg]]-Tabla2[[#This Row],[Costos (En RD$/Tarea)]])</f>
        <v>6170.10228420935</v>
      </c>
      <c r="O1543" s="9" t="n">
        <f aca="false">IF(Tabla2[[#This Row],[Costos (En RD$/Tarea)]]=0,0,Tabla2[[#This Row],[Beneficio Neto  (En RD$/Tarea)]]/Tabla2[[#This Row],[Costos (En RD$/Tarea)]])</f>
        <v>0.937761880167119</v>
      </c>
      <c r="P1543" s="7" t="n">
        <f aca="false">Tabla2[[#This Row],[Rentabilidad (%)]]/12</f>
        <v>0.0781468233472599</v>
      </c>
    </row>
    <row r="1544" customFormat="false" ht="14.25" hidden="false" customHeight="false" outlineLevel="0" collapsed="false">
      <c r="A1544" s="1" t="n">
        <v>40422</v>
      </c>
      <c r="B1544" s="2" t="s">
        <v>25</v>
      </c>
      <c r="C1544" s="3" t="n">
        <v>23732</v>
      </c>
      <c r="D1544" s="8" t="s">
        <v>17</v>
      </c>
      <c r="E1544" s="3" t="n">
        <f aca="false">IF(Tabla2[[#This Row],[Frecuencia]]="Annual", Tabla2[[#This Row],[Cosecha/Tarea]]/12,Tabla2[[#This Row],[Cosecha/Tarea]])</f>
        <v>23732</v>
      </c>
      <c r="F1544" s="3" t="n">
        <v>293225</v>
      </c>
      <c r="G1544" s="2" t="s">
        <v>18</v>
      </c>
      <c r="H1544" s="2" t="n">
        <f aca="false">F1544/Tabla2[[#This Row],[Cosecha Mensual]]</f>
        <v>12.3556800943873</v>
      </c>
      <c r="I1544" s="2" t="n">
        <f aca="false">H1544*_xlfn.XLOOKUP(Tabla2[[#This Row],[Unidad de producción]],Tabla3[Medida],Tabla3[Equivalencia en Kg],"ELVIS",0)</f>
        <v>560.453649081409</v>
      </c>
      <c r="J1544" s="2" t="n">
        <v>256.05375</v>
      </c>
      <c r="K1544" s="2" t="s">
        <v>18</v>
      </c>
      <c r="L1544" s="2" t="n">
        <f aca="false">J1544/_xlfn.XLOOKUP(Tabla2[[#This Row],[Unidad de precio]],Tabla3[Medida],Tabla3[Equivalencia en Kg],"ELVIS",0)</f>
        <v>5.64492394179894</v>
      </c>
      <c r="M1544" s="2" t="n">
        <v>3734.00643997985</v>
      </c>
      <c r="N1544" s="3" t="n">
        <f aca="false">(Tabla2[[#This Row],[Productividad (kg/TAS)]]*Tabla2[[#This Row],[Precio por kg]]-Tabla2[[#This Row],[Costos (En RD$/Tarea)]])</f>
        <v>-570.288218011621</v>
      </c>
      <c r="O1544" s="9" t="n">
        <f aca="false">IF(Tabla2[[#This Row],[Costos (En RD$/Tarea)]]=0,0,Tabla2[[#This Row],[Beneficio Neto  (En RD$/Tarea)]]/Tabla2[[#This Row],[Costos (En RD$/Tarea)]])</f>
        <v>-0.152728236326957</v>
      </c>
      <c r="P1544" s="7" t="n">
        <f aca="false">Tabla2[[#This Row],[Rentabilidad (%)]]/12</f>
        <v>-0.0127273530272464</v>
      </c>
    </row>
    <row r="1545" customFormat="false" ht="14.25" hidden="false" customHeight="false" outlineLevel="0" collapsed="false">
      <c r="A1545" s="1" t="n">
        <v>40422</v>
      </c>
      <c r="B1545" s="2" t="s">
        <v>26</v>
      </c>
      <c r="C1545" s="3" t="n">
        <v>9160</v>
      </c>
      <c r="D1545" s="8" t="s">
        <v>17</v>
      </c>
      <c r="E1545" s="3" t="n">
        <f aca="false">IF(Tabla2[[#This Row],[Frecuencia]]="Annual", Tabla2[[#This Row],[Cosecha/Tarea]]/12,Tabla2[[#This Row],[Cosecha/Tarea]])</f>
        <v>9160</v>
      </c>
      <c r="F1545" s="3" t="n">
        <v>47885</v>
      </c>
      <c r="G1545" s="2" t="s">
        <v>18</v>
      </c>
      <c r="H1545" s="2" t="n">
        <f aca="false">F1545/Tabla2[[#This Row],[Cosecha Mensual]]</f>
        <v>5.22762008733625</v>
      </c>
      <c r="I1545" s="2" t="n">
        <f aca="false">H1545*_xlfn.XLOOKUP(Tabla2[[#This Row],[Unidad de producción]],Tabla3[Medida],Tabla3[Equivalencia en Kg],"ELVIS",0)</f>
        <v>237.124847161572</v>
      </c>
      <c r="J1545" s="2" t="n">
        <v>644.690476190476</v>
      </c>
      <c r="K1545" s="2" t="s">
        <v>18</v>
      </c>
      <c r="L1545" s="2" t="n">
        <f aca="false">J1545/_xlfn.XLOOKUP(Tabla2[[#This Row],[Unidad de precio]],Tabla3[Medida],Tabla3[Equivalencia en Kg],"ELVIS",0)</f>
        <v>14.2127530024355</v>
      </c>
      <c r="M1545" s="2" t="n">
        <v>1771.21219288463</v>
      </c>
      <c r="N1545" s="3" t="n">
        <f aca="false">(Tabla2[[#This Row],[Productividad (kg/TAS)]]*Tabla2[[#This Row],[Precio por kg]]-Tabla2[[#This Row],[Costos (En RD$/Tarea)]])</f>
        <v>1598.98469056307</v>
      </c>
      <c r="O1545" s="9" t="n">
        <f aca="false">IF(Tabla2[[#This Row],[Costos (En RD$/Tarea)]]=0,0,Tabla2[[#This Row],[Beneficio Neto  (En RD$/Tarea)]]/Tabla2[[#This Row],[Costos (En RD$/Tarea)]])</f>
        <v>0.9027629196471</v>
      </c>
      <c r="P1545" s="7" t="n">
        <f aca="false">Tabla2[[#This Row],[Rentabilidad (%)]]/12</f>
        <v>0.075230243303925</v>
      </c>
    </row>
    <row r="1546" customFormat="false" ht="14.25" hidden="false" customHeight="false" outlineLevel="0" collapsed="false">
      <c r="A1546" s="1" t="n">
        <v>40422</v>
      </c>
      <c r="B1546" s="2" t="s">
        <v>27</v>
      </c>
      <c r="C1546" s="3" t="n">
        <v>4213</v>
      </c>
      <c r="D1546" s="8" t="s">
        <v>17</v>
      </c>
      <c r="E1546" s="3" t="n">
        <f aca="false">IF(Tabla2[[#This Row],[Frecuencia]]="Annual", Tabla2[[#This Row],[Cosecha/Tarea]]/12,Tabla2[[#This Row],[Cosecha/Tarea]])</f>
        <v>4213</v>
      </c>
      <c r="F1546" s="3" t="n">
        <v>19191</v>
      </c>
      <c r="G1546" s="2" t="s">
        <v>18</v>
      </c>
      <c r="H1546" s="2" t="n">
        <f aca="false">F1546/Tabla2[[#This Row],[Cosecha Mensual]]</f>
        <v>4.55518632803228</v>
      </c>
      <c r="I1546" s="2" t="n">
        <f aca="false">H1546*_xlfn.XLOOKUP(Tabla2[[#This Row],[Unidad de producción]],Tabla3[Medida],Tabla3[Equivalencia en Kg],"ELVIS",0)</f>
        <v>206.623251839544</v>
      </c>
      <c r="J1546" s="2" t="n">
        <v>624.964285714286</v>
      </c>
      <c r="K1546" s="2" t="s">
        <v>18</v>
      </c>
      <c r="L1546" s="2" t="n">
        <f aca="false">J1546/_xlfn.XLOOKUP(Tabla2[[#This Row],[Unidad de precio]],Tabla3[Medida],Tabla3[Equivalencia en Kg],"ELVIS",0)</f>
        <v>13.7778722600151</v>
      </c>
      <c r="M1546" s="2" t="n">
        <v>6142.39107464557</v>
      </c>
      <c r="N1546" s="3" t="n">
        <f aca="false">(Tabla2[[#This Row],[Productividad (kg/TAS)]]*Tabla2[[#This Row],[Precio por kg]]-Tabla2[[#This Row],[Costos (En RD$/Tarea)]])</f>
        <v>-3295.56230485139</v>
      </c>
      <c r="O1546" s="9" t="n">
        <f aca="false">IF(Tabla2[[#This Row],[Costos (En RD$/Tarea)]]=0,0,Tabla2[[#This Row],[Beneficio Neto  (En RD$/Tarea)]]/Tabla2[[#This Row],[Costos (En RD$/Tarea)]])</f>
        <v>-0.536527594026819</v>
      </c>
      <c r="P1546" s="7" t="n">
        <f aca="false">Tabla2[[#This Row],[Rentabilidad (%)]]/12</f>
        <v>-0.0447106328355683</v>
      </c>
    </row>
    <row r="1547" customFormat="false" ht="14.25" hidden="false" customHeight="false" outlineLevel="0" collapsed="false">
      <c r="A1547" s="1" t="n">
        <v>40422</v>
      </c>
      <c r="B1547" s="2" t="s">
        <v>28</v>
      </c>
      <c r="C1547" s="3" t="n">
        <v>48516</v>
      </c>
      <c r="D1547" s="8" t="s">
        <v>17</v>
      </c>
      <c r="E1547" s="3" t="n">
        <f aca="false">IF(Tabla2[[#This Row],[Frecuencia]]="Annual", Tabla2[[#This Row],[Cosecha/Tarea]]/12,Tabla2[[#This Row],[Cosecha/Tarea]])</f>
        <v>48516</v>
      </c>
      <c r="F1547" s="3" t="n">
        <v>104524</v>
      </c>
      <c r="G1547" s="2" t="s">
        <v>29</v>
      </c>
      <c r="H1547" s="2" t="n">
        <f aca="false">F1547/Tabla2[[#This Row],[Cosecha Mensual]]</f>
        <v>2.15442328304065</v>
      </c>
      <c r="I1547" s="2" t="n">
        <f aca="false">H1547*_xlfn.XLOOKUP(Tabla2[[#This Row],[Unidad de producción]],Tabla3[Medida],Tabla3[Equivalencia en Kg],"ELVIS",0)</f>
        <v>1211.51838898508</v>
      </c>
      <c r="J1547" s="2" t="n">
        <v>3146.6875</v>
      </c>
      <c r="K1547" s="2" t="s">
        <v>29</v>
      </c>
      <c r="L1547" s="2" t="n">
        <f aca="false">J1547/_xlfn.XLOOKUP(Tabla2[[#This Row],[Unidad de precio]],Tabla3[Medida],Tabla3[Equivalencia en Kg],"ELVIS",0)</f>
        <v>5.59570277767898</v>
      </c>
      <c r="M1547" s="2" t="n">
        <v>6158.11903089474</v>
      </c>
      <c r="N1547" s="3" t="n">
        <f aca="false">(Tabla2[[#This Row],[Productividad (kg/TAS)]]*Tabla2[[#This Row],[Precio por kg]]-Tabla2[[#This Row],[Costos (En RD$/Tarea)]])</f>
        <v>621.177783558224</v>
      </c>
      <c r="O1547" s="9" t="n">
        <f aca="false">IF(Tabla2[[#This Row],[Costos (En RD$/Tarea)]]=0,0,Tabla2[[#This Row],[Beneficio Neto  (En RD$/Tarea)]]/Tabla2[[#This Row],[Costos (En RD$/Tarea)]])</f>
        <v>0.100871350560428</v>
      </c>
      <c r="P1547" s="7" t="n">
        <f aca="false">Tabla2[[#This Row],[Rentabilidad (%)]]/12</f>
        <v>0.00840594588003564</v>
      </c>
    </row>
    <row r="1548" customFormat="false" ht="14.25" hidden="false" customHeight="false" outlineLevel="0" collapsed="false">
      <c r="A1548" s="1" t="n">
        <v>40422</v>
      </c>
      <c r="B1548" s="2" t="s">
        <v>30</v>
      </c>
      <c r="C1548" s="3" t="n">
        <v>338309</v>
      </c>
      <c r="D1548" s="3" t="s">
        <v>31</v>
      </c>
      <c r="E1548" s="3" t="n">
        <f aca="false">IF(Tabla2[[#This Row],[Frecuencia]]="Annual", Tabla2[[#This Row],[Cosecha/Tarea]]/12,Tabla2[[#This Row],[Cosecha/Tarea]])</f>
        <v>28192.4166666667</v>
      </c>
      <c r="F1548" s="3" t="n">
        <v>2824640</v>
      </c>
      <c r="G1548" s="2" t="s">
        <v>32</v>
      </c>
      <c r="H1548" s="2" t="n">
        <f aca="false">F1548/Tabla2[[#This Row],[Cosecha Mensual]]</f>
        <v>100.19148175189</v>
      </c>
      <c r="I1548" s="2" t="n">
        <f aca="false">H1548*_xlfn.XLOOKUP(Tabla2[[#This Row],[Unidad de producción]],Tabla3[Medida],Tabla3[Equivalencia en Kg],"ELVIS",0)</f>
        <v>2726.21021846891</v>
      </c>
      <c r="J1548" s="2" t="n">
        <v>104.510416666667</v>
      </c>
      <c r="K1548" s="2" t="s">
        <v>32</v>
      </c>
      <c r="L1548" s="2" t="n">
        <f aca="false">J1548/_xlfn.XLOOKUP(Tabla2[[#This Row],[Unidad de precio]],Tabla3[Medida],Tabla3[Equivalencia en Kg],"ELVIS",0)</f>
        <v>3.84088264118585</v>
      </c>
      <c r="M1548" s="3" t="n">
        <v>10497.9114219602</v>
      </c>
      <c r="N1548" s="3" t="n">
        <f aca="false">(Tabla2[[#This Row],[Productividad (kg/TAS)]]*Tabla2[[#This Row],[Precio por kg]]-Tabla2[[#This Row],[Costos (En RD$/Tarea)]])</f>
        <v>-26.8579176194617</v>
      </c>
      <c r="O1548" s="9" t="n">
        <f aca="false">IF(Tabla2[[#This Row],[Costos (En RD$/Tarea)]]=0,0,Tabla2[[#This Row],[Beneficio Neto  (En RD$/Tarea)]]/Tabla2[[#This Row],[Costos (En RD$/Tarea)]])</f>
        <v>-0.00255840581425354</v>
      </c>
      <c r="P1548" s="7" t="n">
        <f aca="false">Tabla2[[#This Row],[Rentabilidad (%)]]/12</f>
        <v>-0.000213200484521129</v>
      </c>
    </row>
    <row r="1549" customFormat="false" ht="14.25" hidden="false" customHeight="false" outlineLevel="0" collapsed="false">
      <c r="A1549" s="1" t="n">
        <v>40422</v>
      </c>
      <c r="B1549" s="2" t="s">
        <v>33</v>
      </c>
      <c r="C1549" s="3" t="n">
        <v>696338</v>
      </c>
      <c r="D1549" s="3" t="s">
        <v>31</v>
      </c>
      <c r="E1549" s="3" t="n">
        <f aca="false">IF(Tabla2[[#This Row],[Frecuencia]]="Annual", Tabla2[[#This Row],[Cosecha/Tarea]]/12,Tabla2[[#This Row],[Cosecha/Tarea]])</f>
        <v>58028.1666666667</v>
      </c>
      <c r="F1549" s="3" t="n">
        <v>147333</v>
      </c>
      <c r="G1549" s="2" t="s">
        <v>34</v>
      </c>
      <c r="H1549" s="2" t="n">
        <f aca="false">F1549/Tabla2[[#This Row],[Cosecha Mensual]]</f>
        <v>2.53899112212747</v>
      </c>
      <c r="I1549" s="2" t="n">
        <f aca="false">H1549*_xlfn.XLOOKUP(Tabla2[[#This Row],[Unidad de producción]],Tabla3[Medida],Tabla3[Equivalencia en Kg],"ELVIS",0)</f>
        <v>1036.28922649633</v>
      </c>
      <c r="J1549" s="2" t="n">
        <v>3468.93541666667</v>
      </c>
      <c r="K1549" s="2" t="s">
        <v>34</v>
      </c>
      <c r="L1549" s="2" t="n">
        <f aca="false">J1549/_xlfn.XLOOKUP(Tabla2[[#This Row],[Unidad de precio]],Tabla3[Medida],Tabla3[Equivalencia en Kg],"ELVIS",0)</f>
        <v>8.49916799379314</v>
      </c>
      <c r="M1549" s="3" t="n">
        <v>9292.97349690822</v>
      </c>
      <c r="N1549" s="3" t="n">
        <f aca="false">(Tabla2[[#This Row],[Productividad (kg/TAS)]]*Tabla2[[#This Row],[Precio por kg]]-Tabla2[[#This Row],[Costos (En RD$/Tarea)]])</f>
        <v>-485.377270757979</v>
      </c>
      <c r="O1549" s="9" t="n">
        <f aca="false">IF(Tabla2[[#This Row],[Costos (En RD$/Tarea)]]=0,0,Tabla2[[#This Row],[Beneficio Neto  (En RD$/Tarea)]]/Tabla2[[#This Row],[Costos (En RD$/Tarea)]])</f>
        <v>-0.052230566558644</v>
      </c>
      <c r="P1549" s="7" t="n">
        <f aca="false">Tabla2[[#This Row],[Rentabilidad (%)]]/12</f>
        <v>-0.00435254721322033</v>
      </c>
    </row>
    <row r="1550" customFormat="false" ht="14.25" hidden="false" customHeight="false" outlineLevel="0" collapsed="false">
      <c r="A1550" s="1" t="n">
        <v>40452</v>
      </c>
      <c r="B1550" s="2" t="s">
        <v>16</v>
      </c>
      <c r="C1550" s="3" t="n">
        <v>573490</v>
      </c>
      <c r="D1550" s="8" t="s">
        <v>17</v>
      </c>
      <c r="E1550" s="3" t="n">
        <f aca="false">IF(Tabla2[[#This Row],[Frecuencia]]="Annual", Tabla2[[#This Row],[Cosecha/Tarea]]/12,Tabla2[[#This Row],[Cosecha/Tarea]])</f>
        <v>573490</v>
      </c>
      <c r="F1550" s="3" t="n">
        <v>2358911</v>
      </c>
      <c r="G1550" s="2" t="s">
        <v>18</v>
      </c>
      <c r="H1550" s="2" t="n">
        <f aca="false">F1550/Tabla2[[#This Row],[Cosecha Mensual]]</f>
        <v>4.11325568013392</v>
      </c>
      <c r="I1550" s="2" t="n">
        <f aca="false">H1550*_xlfn.XLOOKUP(Tabla2[[#This Row],[Unidad de producción]],Tabla3[Medida],Tabla3[Equivalencia en Kg],"ELVIS",0)</f>
        <v>186.577277650874</v>
      </c>
      <c r="J1550" s="2" t="n">
        <v>1865.43055555556</v>
      </c>
      <c r="K1550" s="2" t="s">
        <v>19</v>
      </c>
      <c r="L1550" s="2" t="n">
        <f aca="false">J1550/_xlfn.XLOOKUP(Tabla2[[#This Row],[Unidad de precio]],Tabla3[Medida],Tabla3[Equivalencia en Kg],"ELVIS",0)</f>
        <v>16.9584595959596</v>
      </c>
      <c r="M1550" s="2" t="n">
        <v>7449.80873820933</v>
      </c>
      <c r="N1550" s="3" t="n">
        <f aca="false">(Tabla2[[#This Row],[Productividad (kg/TAS)]]*Tabla2[[#This Row],[Precio por kg]]-Tabla2[[#This Row],[Costos (En RD$/Tarea)]])</f>
        <v>-4285.74551364283</v>
      </c>
      <c r="O1550" s="9" t="n">
        <f aca="false">IF(Tabla2[[#This Row],[Costos (En RD$/Tarea)]]=0,0,Tabla2[[#This Row],[Beneficio Neto  (En RD$/Tarea)]]/Tabla2[[#This Row],[Costos (En RD$/Tarea)]])</f>
        <v>-0.575282623252013</v>
      </c>
      <c r="P1550" s="7" t="n">
        <f aca="false">Tabla2[[#This Row],[Rentabilidad (%)]]/12</f>
        <v>-0.0479402186043344</v>
      </c>
    </row>
    <row r="1551" customFormat="false" ht="14.25" hidden="false" customHeight="false" outlineLevel="0" collapsed="false">
      <c r="A1551" s="1" t="n">
        <v>40452</v>
      </c>
      <c r="B1551" s="2" t="s">
        <v>20</v>
      </c>
      <c r="C1551" s="3" t="n">
        <v>33312</v>
      </c>
      <c r="D1551" s="8" t="s">
        <v>17</v>
      </c>
      <c r="E1551" s="3" t="n">
        <f aca="false">IF(Tabla2[[#This Row],[Frecuencia]]="Annual", Tabla2[[#This Row],[Cosecha/Tarea]]/12,Tabla2[[#This Row],[Cosecha/Tarea]])</f>
        <v>33312</v>
      </c>
      <c r="F1551" s="3" t="n">
        <v>62532</v>
      </c>
      <c r="G1551" s="2" t="s">
        <v>18</v>
      </c>
      <c r="H1551" s="2" t="n">
        <f aca="false">F1551/Tabla2[[#This Row],[Cosecha Mensual]]</f>
        <v>1.8771613832853</v>
      </c>
      <c r="I1551" s="2" t="n">
        <f aca="false">H1551*_xlfn.XLOOKUP(Tabla2[[#This Row],[Unidad de producción]],Tabla3[Medida],Tabla3[Equivalencia en Kg],"ELVIS",0)</f>
        <v>85.1480403458213</v>
      </c>
      <c r="J1551" s="2" t="n">
        <v>531.6872155</v>
      </c>
      <c r="K1551" s="2" t="s">
        <v>18</v>
      </c>
      <c r="L1551" s="2" t="n">
        <f aca="false">J1551/_xlfn.XLOOKUP(Tabla2[[#This Row],[Unidad de precio]],Tabla3[Medida],Tabla3[Equivalencia en Kg],"ELVIS",0)</f>
        <v>11.7214994598765</v>
      </c>
      <c r="M1551" s="2" t="n">
        <v>2162.02023182316</v>
      </c>
      <c r="N1551" s="3" t="n">
        <f aca="false">(Tabla2[[#This Row],[Productividad (kg/TAS)]]*Tabla2[[#This Row],[Precio por kg]]-Tabla2[[#This Row],[Costos (En RD$/Tarea)]])</f>
        <v>-1163.95752290007</v>
      </c>
      <c r="O1551" s="9" t="n">
        <f aca="false">IF(Tabla2[[#This Row],[Costos (En RD$/Tarea)]]=0,0,Tabla2[[#This Row],[Beneficio Neto  (En RD$/Tarea)]]/Tabla2[[#This Row],[Costos (En RD$/Tarea)]])</f>
        <v>-0.538365694163066</v>
      </c>
      <c r="P1551" s="7" t="n">
        <f aca="false">Tabla2[[#This Row],[Rentabilidad (%)]]/12</f>
        <v>-0.0448638078469222</v>
      </c>
    </row>
    <row r="1552" customFormat="false" ht="14.25" hidden="false" customHeight="false" outlineLevel="0" collapsed="false">
      <c r="A1552" s="1" t="n">
        <v>40452</v>
      </c>
      <c r="B1552" s="2" t="s">
        <v>21</v>
      </c>
      <c r="C1552" s="3" t="n">
        <v>8040</v>
      </c>
      <c r="D1552" s="8" t="s">
        <v>17</v>
      </c>
      <c r="E1552" s="3" t="n">
        <f aca="false">IF(Tabla2[[#This Row],[Frecuencia]]="Annual", Tabla2[[#This Row],[Cosecha/Tarea]]/12,Tabla2[[#This Row],[Cosecha/Tarea]])</f>
        <v>8040</v>
      </c>
      <c r="F1552" s="3" t="n">
        <v>91911</v>
      </c>
      <c r="G1552" s="2" t="s">
        <v>18</v>
      </c>
      <c r="H1552" s="2" t="n">
        <f aca="false">F1552/Tabla2[[#This Row],[Cosecha Mensual]]</f>
        <v>11.4317164179104</v>
      </c>
      <c r="I1552" s="2" t="n">
        <f aca="false">H1552*_xlfn.XLOOKUP(Tabla2[[#This Row],[Unidad de producción]],Tabla3[Medida],Tabla3[Equivalencia en Kg],"ELVIS",0)</f>
        <v>518.542656716418</v>
      </c>
      <c r="J1552" s="2" t="n">
        <v>243.90625</v>
      </c>
      <c r="K1552" s="2" t="s">
        <v>18</v>
      </c>
      <c r="L1552" s="2" t="n">
        <f aca="false">J1552/_xlfn.XLOOKUP(Tabla2[[#This Row],[Unidad de precio]],Tabla3[Medida],Tabla3[Equivalencia en Kg],"ELVIS",0)</f>
        <v>5.37712191358025</v>
      </c>
      <c r="M1552" s="2" t="n">
        <v>4521.4268875</v>
      </c>
      <c r="N1552" s="3" t="n">
        <f aca="false">(Tabla2[[#This Row],[Productividad (kg/TAS)]]*Tabla2[[#This Row],[Precio por kg]]-Tabla2[[#This Row],[Costos (En RD$/Tarea)]])</f>
        <v>-1733.15980494403</v>
      </c>
      <c r="O1552" s="9" t="n">
        <f aca="false">IF(Tabla2[[#This Row],[Costos (En RD$/Tarea)]]=0,0,Tabla2[[#This Row],[Beneficio Neto  (En RD$/Tarea)]]/Tabla2[[#This Row],[Costos (En RD$/Tarea)]])</f>
        <v>-0.383321426635372</v>
      </c>
      <c r="P1552" s="7" t="n">
        <f aca="false">Tabla2[[#This Row],[Rentabilidad (%)]]/12</f>
        <v>-0.0319434522196143</v>
      </c>
    </row>
    <row r="1553" customFormat="false" ht="14.25" hidden="false" customHeight="false" outlineLevel="0" collapsed="false">
      <c r="A1553" s="1" t="n">
        <v>40452</v>
      </c>
      <c r="B1553" s="2" t="s">
        <v>22</v>
      </c>
      <c r="C1553" s="3" t="n">
        <v>5103</v>
      </c>
      <c r="D1553" s="8" t="s">
        <v>17</v>
      </c>
      <c r="E1553" s="3" t="n">
        <f aca="false">IF(Tabla2[[#This Row],[Frecuencia]]="Annual", Tabla2[[#This Row],[Cosecha/Tarea]]/12,Tabla2[[#This Row],[Cosecha/Tarea]])</f>
        <v>5103</v>
      </c>
      <c r="F1553" s="3" t="n">
        <v>48836</v>
      </c>
      <c r="G1553" s="2" t="s">
        <v>18</v>
      </c>
      <c r="H1553" s="2" t="n">
        <f aca="false">F1553/Tabla2[[#This Row],[Cosecha Mensual]]</f>
        <v>9.57005682931609</v>
      </c>
      <c r="I1553" s="2" t="n">
        <f aca="false">H1553*_xlfn.XLOOKUP(Tabla2[[#This Row],[Unidad de producción]],Tabla3[Medida],Tabla3[Equivalencia en Kg],"ELVIS",0)</f>
        <v>434.097777777778</v>
      </c>
      <c r="J1553" s="2" t="n">
        <v>1198.4375</v>
      </c>
      <c r="K1553" s="2" t="s">
        <v>18</v>
      </c>
      <c r="L1553" s="2" t="n">
        <f aca="false">J1553/_xlfn.XLOOKUP(Tabla2[[#This Row],[Unidad de precio]],Tabla3[Medida],Tabla3[Equivalencia en Kg],"ELVIS",0)</f>
        <v>26.4205798059965</v>
      </c>
      <c r="M1553" s="2" t="n">
        <v>7599.7694060736</v>
      </c>
      <c r="N1553" s="3" t="n">
        <f aca="false">(Tabla2[[#This Row],[Productividad (kg/TAS)]]*Tabla2[[#This Row],[Precio por kg]]-Tabla2[[#This Row],[Costos (En RD$/Tarea)]])</f>
        <v>3869.3455753099</v>
      </c>
      <c r="O1553" s="9" t="n">
        <f aca="false">IF(Tabla2[[#This Row],[Costos (En RD$/Tarea)]]=0,0,Tabla2[[#This Row],[Beneficio Neto  (En RD$/Tarea)]]/Tabla2[[#This Row],[Costos (En RD$/Tarea)]])</f>
        <v>0.509139865772452</v>
      </c>
      <c r="P1553" s="7" t="n">
        <f aca="false">Tabla2[[#This Row],[Rentabilidad (%)]]/12</f>
        <v>0.0424283221477043</v>
      </c>
    </row>
    <row r="1554" customFormat="false" ht="14.25" hidden="false" customHeight="false" outlineLevel="0" collapsed="false">
      <c r="A1554" s="1" t="n">
        <v>40452</v>
      </c>
      <c r="B1554" s="2" t="s">
        <v>23</v>
      </c>
      <c r="C1554" s="3" t="n">
        <v>2312</v>
      </c>
      <c r="D1554" s="8" t="s">
        <v>17</v>
      </c>
      <c r="E1554" s="3" t="n">
        <f aca="false">IF(Tabla2[[#This Row],[Frecuencia]]="Annual", Tabla2[[#This Row],[Cosecha/Tarea]]/12,Tabla2[[#This Row],[Cosecha/Tarea]])</f>
        <v>2312</v>
      </c>
      <c r="F1554" s="3" t="n">
        <v>83116</v>
      </c>
      <c r="G1554" s="2" t="s">
        <v>18</v>
      </c>
      <c r="H1554" s="2" t="n">
        <f aca="false">F1554/Tabla2[[#This Row],[Cosecha Mensual]]</f>
        <v>35.9498269896194</v>
      </c>
      <c r="I1554" s="2" t="n">
        <f aca="false">H1554*_xlfn.XLOOKUP(Tabla2[[#This Row],[Unidad de producción]],Tabla3[Medida],Tabla3[Equivalencia en Kg],"ELVIS",0)</f>
        <v>1630.68415224913</v>
      </c>
      <c r="J1554" s="2" t="n">
        <v>850</v>
      </c>
      <c r="K1554" s="2" t="s">
        <v>18</v>
      </c>
      <c r="L1554" s="2" t="n">
        <f aca="false">J1554/_xlfn.XLOOKUP(Tabla2[[#This Row],[Unidad de precio]],Tabla3[Medida],Tabla3[Equivalencia en Kg],"ELVIS",0)</f>
        <v>18.7389770723104</v>
      </c>
      <c r="M1554" s="2" t="n">
        <v>20327.21</v>
      </c>
      <c r="N1554" s="3" t="n">
        <f aca="false">(Tabla2[[#This Row],[Productividad (kg/TAS)]]*Tabla2[[#This Row],[Precio por kg]]-Tabla2[[#This Row],[Costos (En RD$/Tarea)]])</f>
        <v>10230.1429411765</v>
      </c>
      <c r="O1554" s="9" t="n">
        <f aca="false">IF(Tabla2[[#This Row],[Costos (En RD$/Tarea)]]=0,0,Tabla2[[#This Row],[Beneficio Neto  (En RD$/Tarea)]]/Tabla2[[#This Row],[Costos (En RD$/Tarea)]])</f>
        <v>0.50327334352213</v>
      </c>
      <c r="P1554" s="7" t="n">
        <f aca="false">Tabla2[[#This Row],[Rentabilidad (%)]]/12</f>
        <v>0.0419394452935108</v>
      </c>
    </row>
    <row r="1555" customFormat="false" ht="14.25" hidden="false" customHeight="false" outlineLevel="0" collapsed="false">
      <c r="A1555" s="1" t="n">
        <v>40452</v>
      </c>
      <c r="B1555" s="2" t="s">
        <v>24</v>
      </c>
      <c r="C1555" s="3" t="n">
        <v>4978</v>
      </c>
      <c r="D1555" s="8" t="s">
        <v>17</v>
      </c>
      <c r="E1555" s="3" t="n">
        <f aca="false">IF(Tabla2[[#This Row],[Frecuencia]]="Annual", Tabla2[[#This Row],[Cosecha/Tarea]]/12,Tabla2[[#This Row],[Cosecha/Tarea]])</f>
        <v>4978</v>
      </c>
      <c r="F1555" s="3" t="n">
        <v>58541</v>
      </c>
      <c r="G1555" s="2" t="s">
        <v>18</v>
      </c>
      <c r="H1555" s="2" t="n">
        <f aca="false">F1555/Tabla2[[#This Row],[Cosecha Mensual]]</f>
        <v>11.759943752511</v>
      </c>
      <c r="I1555" s="2" t="n">
        <f aca="false">H1555*_xlfn.XLOOKUP(Tabla2[[#This Row],[Unidad de producción]],Tabla3[Medida],Tabla3[Equivalencia en Kg],"ELVIS",0)</f>
        <v>533.431048613901</v>
      </c>
      <c r="J1555" s="2" t="n">
        <v>1240.16666666667</v>
      </c>
      <c r="K1555" s="2" t="s">
        <v>18</v>
      </c>
      <c r="L1555" s="2" t="n">
        <f aca="false">J1555/_xlfn.XLOOKUP(Tabla2[[#This Row],[Unidad de precio]],Tabla3[Medida],Tabla3[Equivalencia en Kg],"ELVIS",0)</f>
        <v>27.3405349794239</v>
      </c>
      <c r="M1555" s="2" t="n">
        <v>6579.6044973696</v>
      </c>
      <c r="N1555" s="3" t="n">
        <f aca="false">(Tabla2[[#This Row],[Productividad (kg/TAS)]]*Tabla2[[#This Row],[Precio por kg]]-Tabla2[[#This Row],[Costos (En RD$/Tarea)]])</f>
        <v>8004.68574636956</v>
      </c>
      <c r="O1555" s="9" t="n">
        <f aca="false">IF(Tabla2[[#This Row],[Costos (En RD$/Tarea)]]=0,0,Tabla2[[#This Row],[Beneficio Neto  (En RD$/Tarea)]]/Tabla2[[#This Row],[Costos (En RD$/Tarea)]])</f>
        <v>1.21659071598752</v>
      </c>
      <c r="P1555" s="7" t="n">
        <f aca="false">Tabla2[[#This Row],[Rentabilidad (%)]]/12</f>
        <v>0.101382559665626</v>
      </c>
    </row>
    <row r="1556" customFormat="false" ht="14.25" hidden="false" customHeight="false" outlineLevel="0" collapsed="false">
      <c r="A1556" s="1" t="n">
        <v>40452</v>
      </c>
      <c r="B1556" s="2" t="s">
        <v>25</v>
      </c>
      <c r="C1556" s="3" t="n">
        <v>28140</v>
      </c>
      <c r="D1556" s="8" t="s">
        <v>17</v>
      </c>
      <c r="E1556" s="3" t="n">
        <f aca="false">IF(Tabla2[[#This Row],[Frecuencia]]="Annual", Tabla2[[#This Row],[Cosecha/Tarea]]/12,Tabla2[[#This Row],[Cosecha/Tarea]])</f>
        <v>28140</v>
      </c>
      <c r="F1556" s="3" t="n">
        <v>329519</v>
      </c>
      <c r="G1556" s="2" t="s">
        <v>18</v>
      </c>
      <c r="H1556" s="2" t="n">
        <f aca="false">F1556/Tabla2[[#This Row],[Cosecha Mensual]]</f>
        <v>11.7099857853589</v>
      </c>
      <c r="I1556" s="2" t="n">
        <f aca="false">H1556*_xlfn.XLOOKUP(Tabla2[[#This Row],[Unidad de producción]],Tabla3[Medida],Tabla3[Equivalencia en Kg],"ELVIS",0)</f>
        <v>531.164955223881</v>
      </c>
      <c r="J1556" s="2" t="n">
        <v>234.364285714286</v>
      </c>
      <c r="K1556" s="2" t="s">
        <v>18</v>
      </c>
      <c r="L1556" s="2" t="n">
        <f aca="false">J1556/_xlfn.XLOOKUP(Tabla2[[#This Row],[Unidad de precio]],Tabla3[Medida],Tabla3[Equivalencia en Kg],"ELVIS",0)</f>
        <v>5.16676114890401</v>
      </c>
      <c r="M1556" s="2" t="n">
        <v>3734.00643997985</v>
      </c>
      <c r="N1556" s="3" t="n">
        <f aca="false">(Tabla2[[#This Row],[Productividad (kg/TAS)]]*Tabla2[[#This Row],[Precio por kg]]-Tabla2[[#This Row],[Costos (En RD$/Tarea)]])</f>
        <v>-989.603985669764</v>
      </c>
      <c r="O1556" s="9" t="n">
        <f aca="false">IF(Tabla2[[#This Row],[Costos (En RD$/Tarea)]]=0,0,Tabla2[[#This Row],[Beneficio Neto  (En RD$/Tarea)]]/Tabla2[[#This Row],[Costos (En RD$/Tarea)]])</f>
        <v>-0.26502471315371</v>
      </c>
      <c r="P1556" s="7" t="n">
        <f aca="false">Tabla2[[#This Row],[Rentabilidad (%)]]/12</f>
        <v>-0.0220853927628091</v>
      </c>
    </row>
    <row r="1557" customFormat="false" ht="14.25" hidden="false" customHeight="false" outlineLevel="0" collapsed="false">
      <c r="A1557" s="1" t="n">
        <v>40452</v>
      </c>
      <c r="B1557" s="2" t="s">
        <v>26</v>
      </c>
      <c r="C1557" s="3" t="n">
        <v>10853</v>
      </c>
      <c r="D1557" s="8" t="s">
        <v>17</v>
      </c>
      <c r="E1557" s="3" t="n">
        <f aca="false">IF(Tabla2[[#This Row],[Frecuencia]]="Annual", Tabla2[[#This Row],[Cosecha/Tarea]]/12,Tabla2[[#This Row],[Cosecha/Tarea]])</f>
        <v>10853</v>
      </c>
      <c r="F1557" s="3" t="n">
        <v>66997</v>
      </c>
      <c r="G1557" s="2" t="s">
        <v>18</v>
      </c>
      <c r="H1557" s="2" t="n">
        <f aca="false">F1557/Tabla2[[#This Row],[Cosecha Mensual]]</f>
        <v>6.17313185294389</v>
      </c>
      <c r="I1557" s="2" t="n">
        <f aca="false">H1557*_xlfn.XLOOKUP(Tabla2[[#This Row],[Unidad de producción]],Tabla3[Medida],Tabla3[Equivalencia en Kg],"ELVIS",0)</f>
        <v>280.013260849535</v>
      </c>
      <c r="J1557" s="2" t="n">
        <v>503.055555555556</v>
      </c>
      <c r="K1557" s="2" t="s">
        <v>18</v>
      </c>
      <c r="L1557" s="2" t="n">
        <f aca="false">J1557/_xlfn.XLOOKUP(Tabla2[[#This Row],[Unidad de precio]],Tabla3[Medida],Tabla3[Equivalencia en Kg],"ELVIS",0)</f>
        <v>11.0902900254752</v>
      </c>
      <c r="M1557" s="2" t="n">
        <v>1771.21219288463</v>
      </c>
      <c r="N1557" s="3" t="n">
        <f aca="false">(Tabla2[[#This Row],[Productividad (kg/TAS)]]*Tabla2[[#This Row],[Precio por kg]]-Tabla2[[#This Row],[Costos (En RD$/Tarea)]])</f>
        <v>1334.21608091576</v>
      </c>
      <c r="O1557" s="9" t="n">
        <f aca="false">IF(Tabla2[[#This Row],[Costos (En RD$/Tarea)]]=0,0,Tabla2[[#This Row],[Beneficio Neto  (En RD$/Tarea)]]/Tabla2[[#This Row],[Costos (En RD$/Tarea)]])</f>
        <v>0.753278509641934</v>
      </c>
      <c r="P1557" s="7" t="n">
        <f aca="false">Tabla2[[#This Row],[Rentabilidad (%)]]/12</f>
        <v>0.0627732091368278</v>
      </c>
    </row>
    <row r="1558" customFormat="false" ht="14.25" hidden="false" customHeight="false" outlineLevel="0" collapsed="false">
      <c r="A1558" s="1" t="n">
        <v>40452</v>
      </c>
      <c r="B1558" s="2" t="s">
        <v>27</v>
      </c>
      <c r="C1558" s="3" t="n">
        <v>7910</v>
      </c>
      <c r="D1558" s="8" t="s">
        <v>17</v>
      </c>
      <c r="E1558" s="3" t="n">
        <f aca="false">IF(Tabla2[[#This Row],[Frecuencia]]="Annual", Tabla2[[#This Row],[Cosecha/Tarea]]/12,Tabla2[[#This Row],[Cosecha/Tarea]])</f>
        <v>7910</v>
      </c>
      <c r="F1558" s="3" t="n">
        <v>41528</v>
      </c>
      <c r="G1558" s="2" t="s">
        <v>18</v>
      </c>
      <c r="H1558" s="2" t="n">
        <f aca="false">F1558/Tabla2[[#This Row],[Cosecha Mensual]]</f>
        <v>5.25006321112516</v>
      </c>
      <c r="I1558" s="2" t="n">
        <f aca="false">H1558*_xlfn.XLOOKUP(Tabla2[[#This Row],[Unidad de producción]],Tabla3[Medida],Tabla3[Equivalencia en Kg],"ELVIS",0)</f>
        <v>238.142867256637</v>
      </c>
      <c r="J1558" s="2" t="n">
        <v>671.840277777778</v>
      </c>
      <c r="K1558" s="2" t="s">
        <v>18</v>
      </c>
      <c r="L1558" s="2" t="n">
        <f aca="false">J1558/_xlfn.XLOOKUP(Tabla2[[#This Row],[Unidad de precio]],Tabla3[Medida],Tabla3[Equivalencia en Kg],"ELVIS",0)</f>
        <v>14.8112936018029</v>
      </c>
      <c r="M1558" s="2" t="n">
        <v>6142.39107464557</v>
      </c>
      <c r="N1558" s="3" t="n">
        <f aca="false">(Tabla2[[#This Row],[Productividad (kg/TAS)]]*Tabla2[[#This Row],[Precio por kg]]-Tabla2[[#This Row],[Costos (En RD$/Tarea)]])</f>
        <v>-2615.18714853235</v>
      </c>
      <c r="O1558" s="9" t="n">
        <f aca="false">IF(Tabla2[[#This Row],[Costos (En RD$/Tarea)]]=0,0,Tabla2[[#This Row],[Beneficio Neto  (En RD$/Tarea)]]/Tabla2[[#This Row],[Costos (En RD$/Tarea)]])</f>
        <v>-0.425760443571765</v>
      </c>
      <c r="P1558" s="7" t="n">
        <f aca="false">Tabla2[[#This Row],[Rentabilidad (%)]]/12</f>
        <v>-0.0354800369643138</v>
      </c>
    </row>
    <row r="1559" customFormat="false" ht="14.25" hidden="false" customHeight="false" outlineLevel="0" collapsed="false">
      <c r="A1559" s="1" t="n">
        <v>40452</v>
      </c>
      <c r="B1559" s="2" t="s">
        <v>28</v>
      </c>
      <c r="C1559" s="3" t="n">
        <v>68125</v>
      </c>
      <c r="D1559" s="8" t="s">
        <v>17</v>
      </c>
      <c r="E1559" s="3" t="n">
        <f aca="false">IF(Tabla2[[#This Row],[Frecuencia]]="Annual", Tabla2[[#This Row],[Cosecha/Tarea]]/12,Tabla2[[#This Row],[Cosecha/Tarea]])</f>
        <v>68125</v>
      </c>
      <c r="F1559" s="3" t="n">
        <v>85838</v>
      </c>
      <c r="G1559" s="2" t="s">
        <v>29</v>
      </c>
      <c r="H1559" s="2" t="n">
        <f aca="false">F1559/Tabla2[[#This Row],[Cosecha Mensual]]</f>
        <v>1.26000733944954</v>
      </c>
      <c r="I1559" s="2" t="n">
        <f aca="false">H1559*_xlfn.XLOOKUP(Tabla2[[#This Row],[Unidad de producción]],Tabla3[Medida],Tabla3[Equivalencia en Kg],"ELVIS",0)</f>
        <v>708.552527266055</v>
      </c>
      <c r="J1559" s="2" t="n">
        <v>3008.21666666667</v>
      </c>
      <c r="K1559" s="2" t="s">
        <v>29</v>
      </c>
      <c r="L1559" s="2" t="n">
        <f aca="false">J1559/_xlfn.XLOOKUP(Tabla2[[#This Row],[Unidad de precio]],Tabla3[Medida],Tabla3[Equivalencia en Kg],"ELVIS",0)</f>
        <v>5.3494623655914</v>
      </c>
      <c r="M1559" s="2" t="n">
        <v>6158.11903089474</v>
      </c>
      <c r="N1559" s="3" t="n">
        <f aca="false">(Tabla2[[#This Row],[Productividad (kg/TAS)]]*Tabla2[[#This Row],[Precio por kg]]-Tabla2[[#This Row],[Costos (En RD$/Tarea)]])</f>
        <v>-2367.7439522403</v>
      </c>
      <c r="O1559" s="9" t="n">
        <f aca="false">IF(Tabla2[[#This Row],[Costos (En RD$/Tarea)]]=0,0,Tabla2[[#This Row],[Beneficio Neto  (En RD$/Tarea)]]/Tabla2[[#This Row],[Costos (En RD$/Tarea)]])</f>
        <v>-0.384491423494989</v>
      </c>
      <c r="P1559" s="7" t="n">
        <f aca="false">Tabla2[[#This Row],[Rentabilidad (%)]]/12</f>
        <v>-0.0320409519579158</v>
      </c>
    </row>
    <row r="1560" customFormat="false" ht="14.25" hidden="false" customHeight="false" outlineLevel="0" collapsed="false">
      <c r="A1560" s="1" t="n">
        <v>40452</v>
      </c>
      <c r="B1560" s="2" t="s">
        <v>30</v>
      </c>
      <c r="C1560" s="3" t="n">
        <v>306938</v>
      </c>
      <c r="D1560" s="3" t="s">
        <v>31</v>
      </c>
      <c r="E1560" s="3" t="n">
        <f aca="false">IF(Tabla2[[#This Row],[Frecuencia]]="Annual", Tabla2[[#This Row],[Cosecha/Tarea]]/12,Tabla2[[#This Row],[Cosecha/Tarea]])</f>
        <v>25578.1666666667</v>
      </c>
      <c r="F1560" s="3" t="n">
        <v>2584624</v>
      </c>
      <c r="G1560" s="2" t="s">
        <v>32</v>
      </c>
      <c r="H1560" s="2" t="n">
        <f aca="false">F1560/Tabla2[[#This Row],[Cosecha Mensual]]</f>
        <v>101.048055307587</v>
      </c>
      <c r="I1560" s="2" t="n">
        <f aca="false">H1560*_xlfn.XLOOKUP(Tabla2[[#This Row],[Unidad de producción]],Tabla3[Medida],Tabla3[Equivalencia en Kg],"ELVIS",0)</f>
        <v>2749.51758491943</v>
      </c>
      <c r="J1560" s="2" t="n">
        <v>117.488095238095</v>
      </c>
      <c r="K1560" s="2" t="s">
        <v>32</v>
      </c>
      <c r="L1560" s="2" t="n">
        <f aca="false">J1560/_xlfn.XLOOKUP(Tabla2[[#This Row],[Unidad de precio]],Tabla3[Medida],Tabla3[Equivalencia en Kg],"ELVIS",0)</f>
        <v>4.31782782940445</v>
      </c>
      <c r="M1560" s="3" t="n">
        <v>10497.9114219602</v>
      </c>
      <c r="N1560" s="3" t="n">
        <f aca="false">(Tabla2[[#This Row],[Productividad (kg/TAS)]]*Tabla2[[#This Row],[Precio por kg]]-Tabla2[[#This Row],[Costos (En RD$/Tarea)]])</f>
        <v>1374.03212364182</v>
      </c>
      <c r="O1560" s="9" t="n">
        <f aca="false">IF(Tabla2[[#This Row],[Costos (En RD$/Tarea)]]=0,0,Tabla2[[#This Row],[Beneficio Neto  (En RD$/Tarea)]]/Tabla2[[#This Row],[Costos (En RD$/Tarea)]])</f>
        <v>0.130886237120227</v>
      </c>
      <c r="P1560" s="7" t="n">
        <f aca="false">Tabla2[[#This Row],[Rentabilidad (%)]]/12</f>
        <v>0.0109071864266856</v>
      </c>
    </row>
    <row r="1561" customFormat="false" ht="14.25" hidden="false" customHeight="false" outlineLevel="0" collapsed="false">
      <c r="A1561" s="1" t="n">
        <v>40452</v>
      </c>
      <c r="B1561" s="2" t="s">
        <v>33</v>
      </c>
      <c r="C1561" s="3" t="n">
        <v>622690</v>
      </c>
      <c r="D1561" s="3" t="s">
        <v>31</v>
      </c>
      <c r="E1561" s="3" t="n">
        <f aca="false">IF(Tabla2[[#This Row],[Frecuencia]]="Annual", Tabla2[[#This Row],[Cosecha/Tarea]]/12,Tabla2[[#This Row],[Cosecha/Tarea]])</f>
        <v>51890.8333333333</v>
      </c>
      <c r="F1561" s="3" t="n">
        <v>108900</v>
      </c>
      <c r="G1561" s="2" t="s">
        <v>34</v>
      </c>
      <c r="H1561" s="2" t="n">
        <f aca="false">F1561/Tabla2[[#This Row],[Cosecha Mensual]]</f>
        <v>2.09863656072845</v>
      </c>
      <c r="I1561" s="2" t="n">
        <f aca="false">H1561*_xlfn.XLOOKUP(Tabla2[[#This Row],[Unidad de producción]],Tabla3[Medida],Tabla3[Equivalencia en Kg],"ELVIS",0)</f>
        <v>856.558512261318</v>
      </c>
      <c r="J1561" s="2" t="n">
        <v>3602.13095238095</v>
      </c>
      <c r="K1561" s="2" t="s">
        <v>34</v>
      </c>
      <c r="L1561" s="2" t="n">
        <f aca="false">J1561/_xlfn.XLOOKUP(Tabla2[[#This Row],[Unidad de precio]],Tabla3[Medida],Tabla3[Equivalencia en Kg],"ELVIS",0)</f>
        <v>8.82550766233235</v>
      </c>
      <c r="M1561" s="3" t="n">
        <v>9292.97349690822</v>
      </c>
      <c r="N1561" s="3" t="n">
        <f aca="false">(Tabla2[[#This Row],[Productividad (kg/TAS)]]*Tabla2[[#This Row],[Precio por kg]]-Tabla2[[#This Row],[Costos (En RD$/Tarea)]])</f>
        <v>-1733.40978370996</v>
      </c>
      <c r="O1561" s="9" t="n">
        <f aca="false">IF(Tabla2[[#This Row],[Costos (En RD$/Tarea)]]=0,0,Tabla2[[#This Row],[Beneficio Neto  (En RD$/Tarea)]]/Tabla2[[#This Row],[Costos (En RD$/Tarea)]])</f>
        <v>-0.186529078586812</v>
      </c>
      <c r="P1561" s="7" t="n">
        <f aca="false">Tabla2[[#This Row],[Rentabilidad (%)]]/12</f>
        <v>-0.0155440898822344</v>
      </c>
    </row>
    <row r="1562" customFormat="false" ht="14.25" hidden="false" customHeight="false" outlineLevel="0" collapsed="false">
      <c r="A1562" s="1" t="n">
        <v>40483</v>
      </c>
      <c r="B1562" s="2" t="s">
        <v>16</v>
      </c>
      <c r="C1562" s="3" t="n">
        <v>429948</v>
      </c>
      <c r="D1562" s="8" t="s">
        <v>17</v>
      </c>
      <c r="E1562" s="3" t="n">
        <f aca="false">IF(Tabla2[[#This Row],[Frecuencia]]="Annual", Tabla2[[#This Row],[Cosecha/Tarea]]/12,Tabla2[[#This Row],[Cosecha/Tarea]])</f>
        <v>429948</v>
      </c>
      <c r="F1562" s="3" t="n">
        <v>1435121</v>
      </c>
      <c r="G1562" s="2" t="s">
        <v>18</v>
      </c>
      <c r="H1562" s="2" t="n">
        <f aca="false">F1562/Tabla2[[#This Row],[Cosecha Mensual]]</f>
        <v>3.33789435001442</v>
      </c>
      <c r="I1562" s="2" t="n">
        <f aca="false">H1562*_xlfn.XLOOKUP(Tabla2[[#This Row],[Unidad de producción]],Tabla3[Medida],Tabla3[Equivalencia en Kg],"ELVIS",0)</f>
        <v>151.406887716654</v>
      </c>
      <c r="J1562" s="2" t="n">
        <v>1829.2619047619</v>
      </c>
      <c r="K1562" s="2" t="s">
        <v>19</v>
      </c>
      <c r="L1562" s="2" t="n">
        <f aca="false">J1562/_xlfn.XLOOKUP(Tabla2[[#This Row],[Unidad de precio]],Tabla3[Medida],Tabla3[Equivalencia en Kg],"ELVIS",0)</f>
        <v>16.6296536796536</v>
      </c>
      <c r="M1562" s="2" t="n">
        <v>7449.80873820933</v>
      </c>
      <c r="N1562" s="3" t="n">
        <f aca="false">(Tabla2[[#This Row],[Productividad (kg/TAS)]]*Tabla2[[#This Row],[Precio por kg]]-Tabla2[[#This Row],[Costos (En RD$/Tarea)]])</f>
        <v>-4931.96463076717</v>
      </c>
      <c r="O1562" s="9" t="n">
        <f aca="false">IF(Tabla2[[#This Row],[Costos (En RD$/Tarea)]]=0,0,Tabla2[[#This Row],[Beneficio Neto  (En RD$/Tarea)]]/Tabla2[[#This Row],[Costos (En RD$/Tarea)]])</f>
        <v>-0.662025671272822</v>
      </c>
      <c r="P1562" s="7" t="n">
        <f aca="false">Tabla2[[#This Row],[Rentabilidad (%)]]/12</f>
        <v>-0.0551688059394019</v>
      </c>
    </row>
    <row r="1563" customFormat="false" ht="14.25" hidden="false" customHeight="false" outlineLevel="0" collapsed="false">
      <c r="A1563" s="1" t="n">
        <v>40483</v>
      </c>
      <c r="B1563" s="2" t="s">
        <v>20</v>
      </c>
      <c r="C1563" s="3" t="n">
        <v>30660</v>
      </c>
      <c r="D1563" s="8" t="s">
        <v>17</v>
      </c>
      <c r="E1563" s="3" t="n">
        <f aca="false">IF(Tabla2[[#This Row],[Frecuencia]]="Annual", Tabla2[[#This Row],[Cosecha/Tarea]]/12,Tabla2[[#This Row],[Cosecha/Tarea]])</f>
        <v>30660</v>
      </c>
      <c r="F1563" s="3" t="n">
        <v>63338</v>
      </c>
      <c r="G1563" s="2" t="s">
        <v>18</v>
      </c>
      <c r="H1563" s="2" t="n">
        <f aca="false">F1563/Tabla2[[#This Row],[Cosecha Mensual]]</f>
        <v>2.06581865622962</v>
      </c>
      <c r="I1563" s="2" t="n">
        <f aca="false">H1563*_xlfn.XLOOKUP(Tabla2[[#This Row],[Unidad de producción]],Tabla3[Medida],Tabla3[Equivalencia en Kg],"ELVIS",0)</f>
        <v>93.7055342465753</v>
      </c>
      <c r="J1563" s="2" t="n">
        <v>567.45</v>
      </c>
      <c r="K1563" s="2" t="s">
        <v>18</v>
      </c>
      <c r="L1563" s="2" t="n">
        <f aca="false">J1563/_xlfn.XLOOKUP(Tabla2[[#This Row],[Unidad de precio]],Tabla3[Medida],Tabla3[Equivalencia en Kg],"ELVIS",0)</f>
        <v>12.5099206349206</v>
      </c>
      <c r="M1563" s="2" t="n">
        <v>2162.02023182316</v>
      </c>
      <c r="N1563" s="3" t="n">
        <f aca="false">(Tabla2[[#This Row],[Productividad (kg/TAS)]]*Tabla2[[#This Row],[Precio por kg]]-Tabla2[[#This Row],[Costos (En RD$/Tarea)]])</f>
        <v>-989.771435345665</v>
      </c>
      <c r="O1563" s="9" t="n">
        <f aca="false">IF(Tabla2[[#This Row],[Costos (En RD$/Tarea)]]=0,0,Tabla2[[#This Row],[Beneficio Neto  (En RD$/Tarea)]]/Tabla2[[#This Row],[Costos (En RD$/Tarea)]])</f>
        <v>-0.457799340069553</v>
      </c>
      <c r="P1563" s="7" t="n">
        <f aca="false">Tabla2[[#This Row],[Rentabilidad (%)]]/12</f>
        <v>-0.0381499450057961</v>
      </c>
    </row>
    <row r="1564" customFormat="false" ht="14.25" hidden="false" customHeight="false" outlineLevel="0" collapsed="false">
      <c r="A1564" s="1" t="n">
        <v>40483</v>
      </c>
      <c r="B1564" s="2" t="s">
        <v>21</v>
      </c>
      <c r="C1564" s="3" t="n">
        <v>8067</v>
      </c>
      <c r="D1564" s="8" t="s">
        <v>17</v>
      </c>
      <c r="E1564" s="3" t="n">
        <f aca="false">IF(Tabla2[[#This Row],[Frecuencia]]="Annual", Tabla2[[#This Row],[Cosecha/Tarea]]/12,Tabla2[[#This Row],[Cosecha/Tarea]])</f>
        <v>8067</v>
      </c>
      <c r="F1564" s="3" t="n">
        <v>95484</v>
      </c>
      <c r="G1564" s="2" t="s">
        <v>18</v>
      </c>
      <c r="H1564" s="2" t="n">
        <f aca="false">F1564/Tabla2[[#This Row],[Cosecha Mensual]]</f>
        <v>11.8363703979174</v>
      </c>
      <c r="I1564" s="2" t="n">
        <f aca="false">H1564*_xlfn.XLOOKUP(Tabla2[[#This Row],[Unidad de producción]],Tabla3[Medida],Tabla3[Equivalencia en Kg],"ELVIS",0)</f>
        <v>536.897761249535</v>
      </c>
      <c r="J1564" s="2" t="n">
        <v>353.923611111111</v>
      </c>
      <c r="K1564" s="2" t="s">
        <v>18</v>
      </c>
      <c r="L1564" s="2" t="n">
        <f aca="false">J1564/_xlfn.XLOOKUP(Tabla2[[#This Row],[Unidad de precio]],Tabla3[Medida],Tabla3[Equivalencia en Kg],"ELVIS",0)</f>
        <v>7.80254874583578</v>
      </c>
      <c r="M1564" s="2" t="n">
        <v>4521.4268875</v>
      </c>
      <c r="N1564" s="3" t="n">
        <f aca="false">(Tabla2[[#This Row],[Productividad (kg/TAS)]]*Tabla2[[#This Row],[Precio por kg]]-Tabla2[[#This Row],[Costos (En RD$/Tarea)]])</f>
        <v>-332.255933820401</v>
      </c>
      <c r="O1564" s="9" t="n">
        <f aca="false">IF(Tabla2[[#This Row],[Costos (En RD$/Tarea)]]=0,0,Tabla2[[#This Row],[Beneficio Neto  (En RD$/Tarea)]]/Tabla2[[#This Row],[Costos (En RD$/Tarea)]])</f>
        <v>-0.0734847520677511</v>
      </c>
      <c r="P1564" s="7" t="n">
        <f aca="false">Tabla2[[#This Row],[Rentabilidad (%)]]/12</f>
        <v>-0.00612372933897926</v>
      </c>
    </row>
    <row r="1565" customFormat="false" ht="14.25" hidden="false" customHeight="false" outlineLevel="0" collapsed="false">
      <c r="A1565" s="1" t="n">
        <v>40483</v>
      </c>
      <c r="B1565" s="2" t="s">
        <v>22</v>
      </c>
      <c r="C1565" s="3" t="n">
        <v>5932</v>
      </c>
      <c r="D1565" s="8" t="s">
        <v>17</v>
      </c>
      <c r="E1565" s="3" t="n">
        <f aca="false">IF(Tabla2[[#This Row],[Frecuencia]]="Annual", Tabla2[[#This Row],[Cosecha/Tarea]]/12,Tabla2[[#This Row],[Cosecha/Tarea]])</f>
        <v>5932</v>
      </c>
      <c r="F1565" s="3" t="n">
        <v>44087</v>
      </c>
      <c r="G1565" s="2" t="s">
        <v>18</v>
      </c>
      <c r="H1565" s="2" t="n">
        <f aca="false">F1565/Tabla2[[#This Row],[Cosecha Mensual]]</f>
        <v>7.43206338503034</v>
      </c>
      <c r="I1565" s="2" t="n">
        <f aca="false">H1565*_xlfn.XLOOKUP(Tabla2[[#This Row],[Unidad de producción]],Tabla3[Medida],Tabla3[Equivalencia en Kg],"ELVIS",0)</f>
        <v>337.118395144976</v>
      </c>
      <c r="J1565" s="2" t="n">
        <v>1152.1</v>
      </c>
      <c r="K1565" s="2" t="s">
        <v>18</v>
      </c>
      <c r="L1565" s="2" t="n">
        <f aca="false">J1565/_xlfn.XLOOKUP(Tabla2[[#This Row],[Unidad de precio]],Tabla3[Medida],Tabla3[Equivalencia en Kg],"ELVIS",0)</f>
        <v>25.3990299823633</v>
      </c>
      <c r="M1565" s="2" t="n">
        <v>7599.7694060736</v>
      </c>
      <c r="N1565" s="3" t="n">
        <f aca="false">(Tabla2[[#This Row],[Productividad (kg/TAS)]]*Tabla2[[#This Row],[Precio por kg]]-Tabla2[[#This Row],[Costos (En RD$/Tarea)]])</f>
        <v>962.710819819858</v>
      </c>
      <c r="O1565" s="9" t="n">
        <f aca="false">IF(Tabla2[[#This Row],[Costos (En RD$/Tarea)]]=0,0,Tabla2[[#This Row],[Beneficio Neto  (En RD$/Tarea)]]/Tabla2[[#This Row],[Costos (En RD$/Tarea)]])</f>
        <v>0.126676319817082</v>
      </c>
      <c r="P1565" s="7" t="n">
        <f aca="false">Tabla2[[#This Row],[Rentabilidad (%)]]/12</f>
        <v>0.0105563599847569</v>
      </c>
    </row>
    <row r="1566" customFormat="false" ht="14.25" hidden="false" customHeight="false" outlineLevel="0" collapsed="false">
      <c r="A1566" s="1" t="n">
        <v>40483</v>
      </c>
      <c r="B1566" s="2" t="s">
        <v>23</v>
      </c>
      <c r="C1566" s="3" t="n">
        <v>3553</v>
      </c>
      <c r="D1566" s="8" t="s">
        <v>17</v>
      </c>
      <c r="E1566" s="3" t="n">
        <f aca="false">IF(Tabla2[[#This Row],[Frecuencia]]="Annual", Tabla2[[#This Row],[Cosecha/Tarea]]/12,Tabla2[[#This Row],[Cosecha/Tarea]])</f>
        <v>3553</v>
      </c>
      <c r="F1566" s="3" t="n">
        <v>116055</v>
      </c>
      <c r="G1566" s="2" t="s">
        <v>18</v>
      </c>
      <c r="H1566" s="2" t="n">
        <f aca="false">F1566/Tabla2[[#This Row],[Cosecha Mensual]]</f>
        <v>32.6639459611596</v>
      </c>
      <c r="I1566" s="2" t="n">
        <f aca="false">H1566*_xlfn.XLOOKUP(Tabla2[[#This Row],[Unidad de producción]],Tabla3[Medida],Tabla3[Equivalencia en Kg],"ELVIS",0)</f>
        <v>1481.6365887982</v>
      </c>
      <c r="J1566" s="2" t="n">
        <v>606.25</v>
      </c>
      <c r="K1566" s="2" t="s">
        <v>18</v>
      </c>
      <c r="L1566" s="2" t="n">
        <f aca="false">J1566/_xlfn.XLOOKUP(Tabla2[[#This Row],[Unidad de precio]],Tabla3[Medida],Tabla3[Equivalencia en Kg],"ELVIS",0)</f>
        <v>13.3652998236332</v>
      </c>
      <c r="M1566" s="2" t="n">
        <v>20327.21</v>
      </c>
      <c r="N1566" s="3" t="n">
        <f aca="false">(Tabla2[[#This Row],[Productividad (kg/TAS)]]*Tabla2[[#This Row],[Precio por kg]]-Tabla2[[#This Row],[Costos (En RD$/Tarea)]])</f>
        <v>-524.692761047001</v>
      </c>
      <c r="O1566" s="9" t="n">
        <f aca="false">IF(Tabla2[[#This Row],[Costos (En RD$/Tarea)]]=0,0,Tabla2[[#This Row],[Beneficio Neto  (En RD$/Tarea)]]/Tabla2[[#This Row],[Costos (En RD$/Tarea)]])</f>
        <v>-0.0258123353400197</v>
      </c>
      <c r="P1566" s="7" t="n">
        <f aca="false">Tabla2[[#This Row],[Rentabilidad (%)]]/12</f>
        <v>-0.00215102794500164</v>
      </c>
    </row>
    <row r="1567" customFormat="false" ht="14.25" hidden="false" customHeight="false" outlineLevel="0" collapsed="false">
      <c r="A1567" s="1" t="n">
        <v>40483</v>
      </c>
      <c r="B1567" s="2" t="s">
        <v>24</v>
      </c>
      <c r="C1567" s="3" t="n">
        <v>6099</v>
      </c>
      <c r="D1567" s="8" t="s">
        <v>17</v>
      </c>
      <c r="E1567" s="3" t="n">
        <f aca="false">IF(Tabla2[[#This Row],[Frecuencia]]="Annual", Tabla2[[#This Row],[Cosecha/Tarea]]/12,Tabla2[[#This Row],[Cosecha/Tarea]])</f>
        <v>6099</v>
      </c>
      <c r="F1567" s="3" t="n">
        <v>58144</v>
      </c>
      <c r="G1567" s="2" t="s">
        <v>18</v>
      </c>
      <c r="H1567" s="2" t="n">
        <f aca="false">F1567/Tabla2[[#This Row],[Cosecha Mensual]]</f>
        <v>9.53336612559436</v>
      </c>
      <c r="I1567" s="2" t="n">
        <f aca="false">H1567*_xlfn.XLOOKUP(Tabla2[[#This Row],[Unidad de producción]],Tabla3[Medida],Tabla3[Equivalencia en Kg],"ELVIS",0)</f>
        <v>432.43348745696</v>
      </c>
      <c r="J1567" s="2" t="n">
        <v>1191.0625</v>
      </c>
      <c r="K1567" s="2" t="s">
        <v>18</v>
      </c>
      <c r="L1567" s="2" t="n">
        <f aca="false">J1567/_xlfn.XLOOKUP(Tabla2[[#This Row],[Unidad de precio]],Tabla3[Medida],Tabla3[Equivalencia en Kg],"ELVIS",0)</f>
        <v>26.257991622575</v>
      </c>
      <c r="M1567" s="2" t="n">
        <v>6579.6044973696</v>
      </c>
      <c r="N1567" s="3" t="n">
        <f aca="false">(Tabla2[[#This Row],[Productividad (kg/TAS)]]*Tabla2[[#This Row],[Precio por kg]]-Tabla2[[#This Row],[Costos (En RD$/Tarea)]])</f>
        <v>4775.23039359613</v>
      </c>
      <c r="O1567" s="9" t="n">
        <f aca="false">IF(Tabla2[[#This Row],[Costos (En RD$/Tarea)]]=0,0,Tabla2[[#This Row],[Beneficio Neto  (En RD$/Tarea)]]/Tabla2[[#This Row],[Costos (En RD$/Tarea)]])</f>
        <v>0.725762528052435</v>
      </c>
      <c r="P1567" s="7" t="n">
        <f aca="false">Tabla2[[#This Row],[Rentabilidad (%)]]/12</f>
        <v>0.0604802106710362</v>
      </c>
    </row>
    <row r="1568" customFormat="false" ht="14.25" hidden="false" customHeight="false" outlineLevel="0" collapsed="false">
      <c r="A1568" s="1" t="n">
        <v>40483</v>
      </c>
      <c r="B1568" s="2" t="s">
        <v>25</v>
      </c>
      <c r="C1568" s="3" t="n">
        <v>43224</v>
      </c>
      <c r="D1568" s="8" t="s">
        <v>17</v>
      </c>
      <c r="E1568" s="3" t="n">
        <f aca="false">IF(Tabla2[[#This Row],[Frecuencia]]="Annual", Tabla2[[#This Row],[Cosecha/Tarea]]/12,Tabla2[[#This Row],[Cosecha/Tarea]])</f>
        <v>43224</v>
      </c>
      <c r="F1568" s="3" t="n">
        <v>414950</v>
      </c>
      <c r="G1568" s="2" t="s">
        <v>18</v>
      </c>
      <c r="H1568" s="2" t="n">
        <f aca="false">F1568/Tabla2[[#This Row],[Cosecha Mensual]]</f>
        <v>9.59999074588192</v>
      </c>
      <c r="I1568" s="2" t="n">
        <f aca="false">H1568*_xlfn.XLOOKUP(Tabla2[[#This Row],[Unidad de producción]],Tabla3[Medida],Tabla3[Equivalencia en Kg],"ELVIS",0)</f>
        <v>435.455580233204</v>
      </c>
      <c r="J1568" s="2" t="n">
        <v>247.178125</v>
      </c>
      <c r="K1568" s="2" t="s">
        <v>18</v>
      </c>
      <c r="L1568" s="2" t="n">
        <f aca="false">J1568/_xlfn.XLOOKUP(Tabla2[[#This Row],[Unidad de precio]],Tabla3[Medida],Tabla3[Equivalencia en Kg],"ELVIS",0)</f>
        <v>5.44925319664903</v>
      </c>
      <c r="M1568" s="2" t="n">
        <v>3734.00643997985</v>
      </c>
      <c r="N1568" s="3" t="n">
        <f aca="false">(Tabla2[[#This Row],[Productividad (kg/TAS)]]*Tabla2[[#This Row],[Precio por kg]]-Tabla2[[#This Row],[Costos (En RD$/Tarea)]])</f>
        <v>-1361.09872739541</v>
      </c>
      <c r="O1568" s="9" t="n">
        <f aca="false">IF(Tabla2[[#This Row],[Costos (En RD$/Tarea)]]=0,0,Tabla2[[#This Row],[Beneficio Neto  (En RD$/Tarea)]]/Tabla2[[#This Row],[Costos (En RD$/Tarea)]])</f>
        <v>-0.364514295642926</v>
      </c>
      <c r="P1568" s="7" t="n">
        <f aca="false">Tabla2[[#This Row],[Rentabilidad (%)]]/12</f>
        <v>-0.0303761913035772</v>
      </c>
    </row>
    <row r="1569" customFormat="false" ht="14.25" hidden="false" customHeight="false" outlineLevel="0" collapsed="false">
      <c r="A1569" s="1" t="n">
        <v>40483</v>
      </c>
      <c r="B1569" s="2" t="s">
        <v>26</v>
      </c>
      <c r="C1569" s="3" t="n">
        <v>10594</v>
      </c>
      <c r="D1569" s="8" t="s">
        <v>17</v>
      </c>
      <c r="E1569" s="3" t="n">
        <f aca="false">IF(Tabla2[[#This Row],[Frecuencia]]="Annual", Tabla2[[#This Row],[Cosecha/Tarea]]/12,Tabla2[[#This Row],[Cosecha/Tarea]])</f>
        <v>10594</v>
      </c>
      <c r="F1569" s="3" t="n">
        <v>57762</v>
      </c>
      <c r="G1569" s="2" t="s">
        <v>18</v>
      </c>
      <c r="H1569" s="2" t="n">
        <f aca="false">F1569/Tabla2[[#This Row],[Cosecha Mensual]]</f>
        <v>5.45233150840098</v>
      </c>
      <c r="I1569" s="2" t="n">
        <f aca="false">H1569*_xlfn.XLOOKUP(Tabla2[[#This Row],[Unidad de producción]],Tabla3[Medida],Tabla3[Equivalencia en Kg],"ELVIS",0)</f>
        <v>247.317757221069</v>
      </c>
      <c r="J1569" s="2" t="n">
        <v>546.392857142857</v>
      </c>
      <c r="K1569" s="2" t="s">
        <v>18</v>
      </c>
      <c r="L1569" s="2" t="n">
        <f aca="false">J1569/_xlfn.XLOOKUP(Tabla2[[#This Row],[Unidad de precio]],Tabla3[Medida],Tabla3[Equivalencia en Kg],"ELVIS",0)</f>
        <v>12.0456979087931</v>
      </c>
      <c r="M1569" s="2" t="n">
        <v>1771.21219288463</v>
      </c>
      <c r="N1569" s="3" t="n">
        <f aca="false">(Tabla2[[#This Row],[Productividad (kg/TAS)]]*Tabla2[[#This Row],[Precio por kg]]-Tabla2[[#This Row],[Costos (En RD$/Tarea)]])</f>
        <v>1207.90279808061</v>
      </c>
      <c r="O1569" s="9" t="n">
        <f aca="false">IF(Tabla2[[#This Row],[Costos (En RD$/Tarea)]]=0,0,Tabla2[[#This Row],[Beneficio Neto  (En RD$/Tarea)]]/Tabla2[[#This Row],[Costos (En RD$/Tarea)]])</f>
        <v>0.681963913151135</v>
      </c>
      <c r="P1569" s="7" t="n">
        <f aca="false">Tabla2[[#This Row],[Rentabilidad (%)]]/12</f>
        <v>0.056830326095928</v>
      </c>
    </row>
    <row r="1570" customFormat="false" ht="14.25" hidden="false" customHeight="false" outlineLevel="0" collapsed="false">
      <c r="A1570" s="1" t="n">
        <v>40483</v>
      </c>
      <c r="B1570" s="2" t="s">
        <v>27</v>
      </c>
      <c r="C1570" s="3" t="n">
        <v>7204</v>
      </c>
      <c r="D1570" s="8" t="s">
        <v>17</v>
      </c>
      <c r="E1570" s="3" t="n">
        <f aca="false">IF(Tabla2[[#This Row],[Frecuencia]]="Annual", Tabla2[[#This Row],[Cosecha/Tarea]]/12,Tabla2[[#This Row],[Cosecha/Tarea]])</f>
        <v>7204</v>
      </c>
      <c r="F1570" s="3" t="n">
        <v>42432</v>
      </c>
      <c r="G1570" s="2" t="s">
        <v>18</v>
      </c>
      <c r="H1570" s="2" t="n">
        <f aca="false">F1570/Tabla2[[#This Row],[Cosecha Mensual]]</f>
        <v>5.89006107717935</v>
      </c>
      <c r="I1570" s="2" t="n">
        <f aca="false">H1570*_xlfn.XLOOKUP(Tabla2[[#This Row],[Unidad de producción]],Tabla3[Medida],Tabla3[Equivalencia en Kg],"ELVIS",0)</f>
        <v>267.173170460855</v>
      </c>
      <c r="J1570" s="2" t="n">
        <v>601.047619047619</v>
      </c>
      <c r="K1570" s="2" t="s">
        <v>18</v>
      </c>
      <c r="L1570" s="2" t="n">
        <f aca="false">J1570/_xlfn.XLOOKUP(Tabla2[[#This Row],[Unidad de precio]],Tabla3[Medida],Tabla3[Equivalencia en Kg],"ELVIS",0)</f>
        <v>13.2506088855295</v>
      </c>
      <c r="M1570" s="2" t="n">
        <v>6142.39107464557</v>
      </c>
      <c r="N1570" s="3" t="n">
        <f aca="false">(Tabla2[[#This Row],[Productividad (kg/TAS)]]*Tabla2[[#This Row],[Precio por kg]]-Tabla2[[#This Row],[Costos (En RD$/Tarea)]])</f>
        <v>-2602.18388816187</v>
      </c>
      <c r="O1570" s="9" t="n">
        <f aca="false">IF(Tabla2[[#This Row],[Costos (En RD$/Tarea)]]=0,0,Tabla2[[#This Row],[Beneficio Neto  (En RD$/Tarea)]]/Tabla2[[#This Row],[Costos (En RD$/Tarea)]])</f>
        <v>-0.423643473126143</v>
      </c>
      <c r="P1570" s="7" t="n">
        <f aca="false">Tabla2[[#This Row],[Rentabilidad (%)]]/12</f>
        <v>-0.0353036227605119</v>
      </c>
    </row>
    <row r="1571" customFormat="false" ht="14.25" hidden="false" customHeight="false" outlineLevel="0" collapsed="false">
      <c r="A1571" s="1" t="n">
        <v>40483</v>
      </c>
      <c r="B1571" s="2" t="s">
        <v>28</v>
      </c>
      <c r="C1571" s="3" t="n">
        <v>30380</v>
      </c>
      <c r="D1571" s="8" t="s">
        <v>17</v>
      </c>
      <c r="E1571" s="3" t="n">
        <f aca="false">IF(Tabla2[[#This Row],[Frecuencia]]="Annual", Tabla2[[#This Row],[Cosecha/Tarea]]/12,Tabla2[[#This Row],[Cosecha/Tarea]])</f>
        <v>30380</v>
      </c>
      <c r="F1571" s="3" t="n">
        <v>55180</v>
      </c>
      <c r="G1571" s="2" t="s">
        <v>29</v>
      </c>
      <c r="H1571" s="2" t="n">
        <f aca="false">F1571/Tabla2[[#This Row],[Cosecha Mensual]]</f>
        <v>1.81632653061225</v>
      </c>
      <c r="I1571" s="2" t="n">
        <f aca="false">H1571*_xlfn.XLOOKUP(Tabla2[[#This Row],[Unidad de producción]],Tabla3[Medida],Tabla3[Equivalencia en Kg],"ELVIS",0)</f>
        <v>1021.39306122449</v>
      </c>
      <c r="J1571" s="2" t="n">
        <v>4361.55</v>
      </c>
      <c r="K1571" s="2" t="s">
        <v>29</v>
      </c>
      <c r="L1571" s="2" t="n">
        <f aca="false">J1571/_xlfn.XLOOKUP(Tabla2[[#This Row],[Unidad de precio]],Tabla3[Medida],Tabla3[Equivalencia en Kg],"ELVIS",0)</f>
        <v>7.75607283849628</v>
      </c>
      <c r="M1571" s="2" t="n">
        <v>6158.11903089474</v>
      </c>
      <c r="N1571" s="3" t="n">
        <f aca="false">(Tabla2[[#This Row],[Productividad (kg/TAS)]]*Tabla2[[#This Row],[Precio por kg]]-Tabla2[[#This Row],[Costos (En RD$/Tarea)]])</f>
        <v>1763.8799486971</v>
      </c>
      <c r="O1571" s="9" t="n">
        <f aca="false">IF(Tabla2[[#This Row],[Costos (En RD$/Tarea)]]=0,0,Tabla2[[#This Row],[Beneficio Neto  (En RD$/Tarea)]]/Tabla2[[#This Row],[Costos (En RD$/Tarea)]])</f>
        <v>0.286431610017258</v>
      </c>
      <c r="P1571" s="7" t="n">
        <f aca="false">Tabla2[[#This Row],[Rentabilidad (%)]]/12</f>
        <v>0.0238693008347715</v>
      </c>
    </row>
    <row r="1572" customFormat="false" ht="14.25" hidden="false" customHeight="false" outlineLevel="0" collapsed="false">
      <c r="A1572" s="1" t="n">
        <v>40483</v>
      </c>
      <c r="B1572" s="2" t="s">
        <v>30</v>
      </c>
      <c r="C1572" s="3" t="n">
        <v>341438</v>
      </c>
      <c r="D1572" s="3" t="s">
        <v>31</v>
      </c>
      <c r="E1572" s="3" t="n">
        <f aca="false">IF(Tabla2[[#This Row],[Frecuencia]]="Annual", Tabla2[[#This Row],[Cosecha/Tarea]]/12,Tabla2[[#This Row],[Cosecha/Tarea]])</f>
        <v>28453.1666666667</v>
      </c>
      <c r="F1572" s="3" t="n">
        <v>2731504</v>
      </c>
      <c r="G1572" s="2" t="s">
        <v>32</v>
      </c>
      <c r="H1572" s="2" t="n">
        <f aca="false">F1572/Tabla2[[#This Row],[Cosecha Mensual]]</f>
        <v>96</v>
      </c>
      <c r="I1572" s="2" t="n">
        <f aca="false">H1572*_xlfn.XLOOKUP(Tabla2[[#This Row],[Unidad de producción]],Tabla3[Medida],Tabla3[Equivalencia en Kg],"ELVIS",0)</f>
        <v>2612.16</v>
      </c>
      <c r="J1572" s="2" t="n">
        <v>111.118055555556</v>
      </c>
      <c r="K1572" s="2" t="s">
        <v>32</v>
      </c>
      <c r="L1572" s="2" t="n">
        <f aca="false">J1572/_xlfn.XLOOKUP(Tabla2[[#This Row],[Unidad de precio]],Tabla3[Medida],Tabla3[Equivalencia en Kg],"ELVIS",0)</f>
        <v>4.08372126260772</v>
      </c>
      <c r="M1572" s="3" t="n">
        <v>10497.9114219602</v>
      </c>
      <c r="N1572" s="3" t="n">
        <f aca="false">(Tabla2[[#This Row],[Productividad (kg/TAS)]]*Tabla2[[#This Row],[Precio por kg]]-Tabla2[[#This Row],[Costos (En RD$/Tarea)]])</f>
        <v>169.421911373174</v>
      </c>
      <c r="O1572" s="9" t="n">
        <f aca="false">IF(Tabla2[[#This Row],[Costos (En RD$/Tarea)]]=0,0,Tabla2[[#This Row],[Beneficio Neto  (En RD$/Tarea)]]/Tabla2[[#This Row],[Costos (En RD$/Tarea)]])</f>
        <v>0.0161386303011442</v>
      </c>
      <c r="P1572" s="7" t="n">
        <f aca="false">Tabla2[[#This Row],[Rentabilidad (%)]]/12</f>
        <v>0.00134488585842868</v>
      </c>
    </row>
    <row r="1573" customFormat="false" ht="14.25" hidden="false" customHeight="false" outlineLevel="0" collapsed="false">
      <c r="A1573" s="1" t="n">
        <v>40483</v>
      </c>
      <c r="B1573" s="2" t="s">
        <v>33</v>
      </c>
      <c r="C1573" s="3" t="n">
        <v>696022</v>
      </c>
      <c r="D1573" s="3" t="s">
        <v>31</v>
      </c>
      <c r="E1573" s="3" t="n">
        <f aca="false">IF(Tabla2[[#This Row],[Frecuencia]]="Annual", Tabla2[[#This Row],[Cosecha/Tarea]]/12,Tabla2[[#This Row],[Cosecha/Tarea]])</f>
        <v>58001.8333333333</v>
      </c>
      <c r="F1573" s="3" t="n">
        <v>123957</v>
      </c>
      <c r="G1573" s="2" t="s">
        <v>34</v>
      </c>
      <c r="H1573" s="2" t="n">
        <f aca="false">F1573/Tabla2[[#This Row],[Cosecha Mensual]]</f>
        <v>2.13712210246228</v>
      </c>
      <c r="I1573" s="2" t="n">
        <f aca="false">H1573*_xlfn.XLOOKUP(Tabla2[[#This Row],[Unidad de producción]],Tabla3[Medida],Tabla3[Equivalencia en Kg],"ELVIS",0)</f>
        <v>872.266386119979</v>
      </c>
      <c r="J1573" s="2" t="n">
        <v>3563.36979166667</v>
      </c>
      <c r="K1573" s="2" t="s">
        <v>34</v>
      </c>
      <c r="L1573" s="2" t="n">
        <f aca="false">J1573/_xlfn.XLOOKUP(Tabla2[[#This Row],[Unidad de precio]],Tabla3[Medida],Tabla3[Equivalencia en Kg],"ELVIS",0)</f>
        <v>8.73053973212464</v>
      </c>
      <c r="M1573" s="3" t="n">
        <v>9292.97349690822</v>
      </c>
      <c r="N1573" s="3" t="n">
        <f aca="false">(Tabla2[[#This Row],[Productividad (kg/TAS)]]*Tabla2[[#This Row],[Precio por kg]]-Tabla2[[#This Row],[Costos (En RD$/Tarea)]])</f>
        <v>-1677.61715589098</v>
      </c>
      <c r="O1573" s="9" t="n">
        <f aca="false">IF(Tabla2[[#This Row],[Costos (En RD$/Tarea)]]=0,0,Tabla2[[#This Row],[Beneficio Neto  (En RD$/Tarea)]]/Tabla2[[#This Row],[Costos (En RD$/Tarea)]])</f>
        <v>-0.180525335238406</v>
      </c>
      <c r="P1573" s="7" t="n">
        <f aca="false">Tabla2[[#This Row],[Rentabilidad (%)]]/12</f>
        <v>-0.0150437779365338</v>
      </c>
    </row>
    <row r="1574" customFormat="false" ht="14.25" hidden="false" customHeight="false" outlineLevel="0" collapsed="false">
      <c r="A1574" s="1" t="n">
        <v>40513</v>
      </c>
      <c r="B1574" s="2" t="s">
        <v>16</v>
      </c>
      <c r="C1574" s="3" t="n">
        <v>143785</v>
      </c>
      <c r="D1574" s="8" t="s">
        <v>17</v>
      </c>
      <c r="E1574" s="3" t="n">
        <f aca="false">IF(Tabla2[[#This Row],[Frecuencia]]="Annual", Tabla2[[#This Row],[Cosecha/Tarea]]/12,Tabla2[[#This Row],[Cosecha/Tarea]])</f>
        <v>143785</v>
      </c>
      <c r="F1574" s="3" t="n">
        <v>515175</v>
      </c>
      <c r="G1574" s="2" t="s">
        <v>18</v>
      </c>
      <c r="H1574" s="2" t="n">
        <f aca="false">F1574/Tabla2[[#This Row],[Cosecha Mensual]]</f>
        <v>3.58295371561707</v>
      </c>
      <c r="I1574" s="2" t="n">
        <f aca="false">H1574*_xlfn.XLOOKUP(Tabla2[[#This Row],[Unidad de producción]],Tabla3[Medida],Tabla3[Equivalencia en Kg],"ELVIS",0)</f>
        <v>162.52278054039</v>
      </c>
      <c r="J1574" s="2" t="n">
        <v>1979.49066666667</v>
      </c>
      <c r="K1574" s="2" t="s">
        <v>19</v>
      </c>
      <c r="L1574" s="2" t="n">
        <f aca="false">J1574/_xlfn.XLOOKUP(Tabla2[[#This Row],[Unidad de precio]],Tabla3[Medida],Tabla3[Equivalencia en Kg],"ELVIS",0)</f>
        <v>17.9953696969697</v>
      </c>
      <c r="M1574" s="2" t="n">
        <v>7449.80873820933</v>
      </c>
      <c r="N1574" s="3" t="n">
        <f aca="false">(Tabla2[[#This Row],[Productividad (kg/TAS)]]*Tabla2[[#This Row],[Precio por kg]]-Tabla2[[#This Row],[Costos (En RD$/Tarea)]])</f>
        <v>-4525.15121820553</v>
      </c>
      <c r="O1574" s="9" t="n">
        <f aca="false">IF(Tabla2[[#This Row],[Costos (En RD$/Tarea)]]=0,0,Tabla2[[#This Row],[Beneficio Neto  (En RD$/Tarea)]]/Tabla2[[#This Row],[Costos (En RD$/Tarea)]])</f>
        <v>-0.607418442167042</v>
      </c>
      <c r="P1574" s="7" t="n">
        <f aca="false">Tabla2[[#This Row],[Rentabilidad (%)]]/12</f>
        <v>-0.0506182035139202</v>
      </c>
    </row>
    <row r="1575" customFormat="false" ht="14.25" hidden="false" customHeight="false" outlineLevel="0" collapsed="false">
      <c r="A1575" s="1" t="n">
        <v>40513</v>
      </c>
      <c r="B1575" s="2" t="s">
        <v>20</v>
      </c>
      <c r="C1575" s="3" t="n">
        <v>25426</v>
      </c>
      <c r="D1575" s="8" t="s">
        <v>17</v>
      </c>
      <c r="E1575" s="3" t="n">
        <f aca="false">IF(Tabla2[[#This Row],[Frecuencia]]="Annual", Tabla2[[#This Row],[Cosecha/Tarea]]/12,Tabla2[[#This Row],[Cosecha/Tarea]])</f>
        <v>25426</v>
      </c>
      <c r="F1575" s="3" t="n">
        <v>46285</v>
      </c>
      <c r="G1575" s="2" t="s">
        <v>18</v>
      </c>
      <c r="H1575" s="2" t="n">
        <f aca="false">F1575/Tabla2[[#This Row],[Cosecha Mensual]]</f>
        <v>1.82038071265634</v>
      </c>
      <c r="I1575" s="2" t="n">
        <f aca="false">H1575*_xlfn.XLOOKUP(Tabla2[[#This Row],[Unidad de producción]],Tabla3[Medida],Tabla3[Equivalencia en Kg],"ELVIS",0)</f>
        <v>82.5724691260914</v>
      </c>
      <c r="J1575" s="2" t="n">
        <v>565.062722222222</v>
      </c>
      <c r="K1575" s="2" t="s">
        <v>18</v>
      </c>
      <c r="L1575" s="2" t="n">
        <f aca="false">J1575/_xlfn.XLOOKUP(Tabla2[[#This Row],[Unidad de precio]],Tabla3[Medida],Tabla3[Equivalencia en Kg],"ELVIS",0)</f>
        <v>12.4572910542818</v>
      </c>
      <c r="M1575" s="2" t="n">
        <v>2162.02023182316</v>
      </c>
      <c r="N1575" s="3" t="n">
        <f aca="false">(Tabla2[[#This Row],[Productividad (kg/TAS)]]*Tabla2[[#This Row],[Precio por kg]]-Tabla2[[#This Row],[Costos (En RD$/Tarea)]])</f>
        <v>-1133.39095084874</v>
      </c>
      <c r="O1575" s="9" t="n">
        <f aca="false">IF(Tabla2[[#This Row],[Costos (En RD$/Tarea)]]=0,0,Tabla2[[#This Row],[Beneficio Neto  (En RD$/Tarea)]]/Tabla2[[#This Row],[Costos (En RD$/Tarea)]])</f>
        <v>-0.524227726533804</v>
      </c>
      <c r="P1575" s="7" t="n">
        <f aca="false">Tabla2[[#This Row],[Rentabilidad (%)]]/12</f>
        <v>-0.043685643877817</v>
      </c>
    </row>
    <row r="1576" customFormat="false" ht="14.25" hidden="false" customHeight="false" outlineLevel="0" collapsed="false">
      <c r="A1576" s="1" t="n">
        <v>40513</v>
      </c>
      <c r="B1576" s="2" t="s">
        <v>21</v>
      </c>
      <c r="C1576" s="3" t="n">
        <v>7332</v>
      </c>
      <c r="D1576" s="8" t="s">
        <v>17</v>
      </c>
      <c r="E1576" s="3" t="n">
        <f aca="false">IF(Tabla2[[#This Row],[Frecuencia]]="Annual", Tabla2[[#This Row],[Cosecha/Tarea]]/12,Tabla2[[#This Row],[Cosecha/Tarea]])</f>
        <v>7332</v>
      </c>
      <c r="F1576" s="3" t="n">
        <v>71117</v>
      </c>
      <c r="G1576" s="2" t="s">
        <v>18</v>
      </c>
      <c r="H1576" s="2" t="n">
        <f aca="false">F1576/Tabla2[[#This Row],[Cosecha Mensual]]</f>
        <v>9.69953627932351</v>
      </c>
      <c r="I1576" s="2" t="n">
        <f aca="false">H1576*_xlfn.XLOOKUP(Tabla2[[#This Row],[Unidad de producción]],Tabla3[Medida],Tabla3[Equivalencia en Kg],"ELVIS",0)</f>
        <v>439.970965630115</v>
      </c>
      <c r="J1576" s="2" t="n">
        <v>387.816666666667</v>
      </c>
      <c r="K1576" s="2" t="s">
        <v>18</v>
      </c>
      <c r="L1576" s="2" t="n">
        <f aca="false">J1576/_xlfn.XLOOKUP(Tabla2[[#This Row],[Unidad de precio]],Tabla3[Medida],Tabla3[Equivalencia en Kg],"ELVIS",0)</f>
        <v>8.54975014697238</v>
      </c>
      <c r="M1576" s="2" t="n">
        <v>4521.4268875</v>
      </c>
      <c r="N1576" s="3" t="n">
        <f aca="false">(Tabla2[[#This Row],[Productividad (kg/TAS)]]*Tabla2[[#This Row],[Precio por kg]]-Tabla2[[#This Row],[Costos (En RD$/Tarea)]])</f>
        <v>-759.785059440349</v>
      </c>
      <c r="O1576" s="9" t="n">
        <f aca="false">IF(Tabla2[[#This Row],[Costos (En RD$/Tarea)]]=0,0,Tabla2[[#This Row],[Beneficio Neto  (En RD$/Tarea)]]/Tabla2[[#This Row],[Costos (En RD$/Tarea)]])</f>
        <v>-0.168040992002074</v>
      </c>
      <c r="P1576" s="7" t="n">
        <f aca="false">Tabla2[[#This Row],[Rentabilidad (%)]]/12</f>
        <v>-0.0140034160001728</v>
      </c>
    </row>
    <row r="1577" customFormat="false" ht="14.25" hidden="false" customHeight="false" outlineLevel="0" collapsed="false">
      <c r="A1577" s="1" t="n">
        <v>40513</v>
      </c>
      <c r="B1577" s="2" t="s">
        <v>22</v>
      </c>
      <c r="C1577" s="3" t="n">
        <v>4227</v>
      </c>
      <c r="D1577" s="8" t="s">
        <v>17</v>
      </c>
      <c r="E1577" s="3" t="n">
        <f aca="false">IF(Tabla2[[#This Row],[Frecuencia]]="Annual", Tabla2[[#This Row],[Cosecha/Tarea]]/12,Tabla2[[#This Row],[Cosecha/Tarea]])</f>
        <v>4227</v>
      </c>
      <c r="F1577" s="3" t="n">
        <v>41611</v>
      </c>
      <c r="G1577" s="2" t="s">
        <v>18</v>
      </c>
      <c r="H1577" s="2" t="n">
        <f aca="false">F1577/Tabla2[[#This Row],[Cosecha Mensual]]</f>
        <v>9.84409746865389</v>
      </c>
      <c r="I1577" s="2" t="n">
        <f aca="false">H1577*_xlfn.XLOOKUP(Tabla2[[#This Row],[Unidad de producción]],Tabla3[Medida],Tabla3[Equivalencia en Kg],"ELVIS",0)</f>
        <v>446.528261178141</v>
      </c>
      <c r="J1577" s="2" t="n">
        <v>1022.178125</v>
      </c>
      <c r="K1577" s="2" t="s">
        <v>18</v>
      </c>
      <c r="L1577" s="2" t="n">
        <f aca="false">J1577/_xlfn.XLOOKUP(Tabla2[[#This Row],[Unidad de precio]],Tabla3[Medida],Tabla3[Equivalencia en Kg],"ELVIS",0)</f>
        <v>22.5347911155203</v>
      </c>
      <c r="M1577" s="2" t="n">
        <v>7599.7694060736</v>
      </c>
      <c r="N1577" s="3" t="n">
        <f aca="false">(Tabla2[[#This Row],[Productividad (kg/TAS)]]*Tabla2[[#This Row],[Precio por kg]]-Tabla2[[#This Row],[Costos (En RD$/Tarea)]])</f>
        <v>2462.65168675228</v>
      </c>
      <c r="O1577" s="9" t="n">
        <f aca="false">IF(Tabla2[[#This Row],[Costos (En RD$/Tarea)]]=0,0,Tabla2[[#This Row],[Beneficio Neto  (En RD$/Tarea)]]/Tabla2[[#This Row],[Costos (En RD$/Tarea)]])</f>
        <v>0.324042948564225</v>
      </c>
      <c r="P1577" s="7" t="n">
        <f aca="false">Tabla2[[#This Row],[Rentabilidad (%)]]/12</f>
        <v>0.0270035790470188</v>
      </c>
    </row>
    <row r="1578" customFormat="false" ht="14.25" hidden="false" customHeight="false" outlineLevel="0" collapsed="false">
      <c r="A1578" s="1" t="n">
        <v>40513</v>
      </c>
      <c r="B1578" s="2" t="s">
        <v>23</v>
      </c>
      <c r="C1578" s="3" t="n">
        <v>2417</v>
      </c>
      <c r="D1578" s="8" t="s">
        <v>17</v>
      </c>
      <c r="E1578" s="3" t="n">
        <f aca="false">IF(Tabla2[[#This Row],[Frecuencia]]="Annual", Tabla2[[#This Row],[Cosecha/Tarea]]/12,Tabla2[[#This Row],[Cosecha/Tarea]])</f>
        <v>2417</v>
      </c>
      <c r="F1578" s="3" t="n">
        <v>88055</v>
      </c>
      <c r="G1578" s="2" t="s">
        <v>18</v>
      </c>
      <c r="H1578" s="2" t="n">
        <f aca="false">F1578/Tabla2[[#This Row],[Cosecha Mensual]]</f>
        <v>36.4315266859744</v>
      </c>
      <c r="I1578" s="2" t="n">
        <f aca="false">H1578*_xlfn.XLOOKUP(Tabla2[[#This Row],[Unidad de producción]],Tabla3[Medida],Tabla3[Equivalencia en Kg],"ELVIS",0)</f>
        <v>1652.5340504758</v>
      </c>
      <c r="J1578" s="2" t="n">
        <v>993.75</v>
      </c>
      <c r="K1578" s="2" t="s">
        <v>18</v>
      </c>
      <c r="L1578" s="2" t="n">
        <f aca="false">J1578/_xlfn.XLOOKUP(Tabla2[[#This Row],[Unidad de precio]],Tabla3[Medida],Tabla3[Equivalencia en Kg],"ELVIS",0)</f>
        <v>21.9080687830688</v>
      </c>
      <c r="M1578" s="2" t="n">
        <v>20327.21</v>
      </c>
      <c r="N1578" s="3" t="n">
        <f aca="false">(Tabla2[[#This Row],[Productividad (kg/TAS)]]*Tabla2[[#This Row],[Precio por kg]]-Tabla2[[#This Row],[Costos (En RD$/Tarea)]])</f>
        <v>15876.619644187</v>
      </c>
      <c r="O1578" s="9" t="n">
        <f aca="false">IF(Tabla2[[#This Row],[Costos (En RD$/Tarea)]]=0,0,Tabla2[[#This Row],[Beneficio Neto  (En RD$/Tarea)]]/Tabla2[[#This Row],[Costos (En RD$/Tarea)]])</f>
        <v>0.781052571611501</v>
      </c>
      <c r="P1578" s="7" t="n">
        <f aca="false">Tabla2[[#This Row],[Rentabilidad (%)]]/12</f>
        <v>0.0650877143009584</v>
      </c>
    </row>
    <row r="1579" customFormat="false" ht="14.25" hidden="false" customHeight="false" outlineLevel="0" collapsed="false">
      <c r="A1579" s="1" t="n">
        <v>40513</v>
      </c>
      <c r="B1579" s="2" t="s">
        <v>24</v>
      </c>
      <c r="C1579" s="3" t="n">
        <v>11267</v>
      </c>
      <c r="D1579" s="8" t="s">
        <v>17</v>
      </c>
      <c r="E1579" s="3" t="n">
        <f aca="false">IF(Tabla2[[#This Row],[Frecuencia]]="Annual", Tabla2[[#This Row],[Cosecha/Tarea]]/12,Tabla2[[#This Row],[Cosecha/Tarea]])</f>
        <v>11267</v>
      </c>
      <c r="F1579" s="3" t="n">
        <v>80612</v>
      </c>
      <c r="G1579" s="2" t="s">
        <v>18</v>
      </c>
      <c r="H1579" s="2" t="n">
        <f aca="false">F1579/Tabla2[[#This Row],[Cosecha Mensual]]</f>
        <v>7.15469956510162</v>
      </c>
      <c r="I1579" s="2" t="n">
        <f aca="false">H1579*_xlfn.XLOOKUP(Tabla2[[#This Row],[Unidad de producción]],Tabla3[Medida],Tabla3[Equivalencia en Kg],"ELVIS",0)</f>
        <v>324.53717227301</v>
      </c>
      <c r="J1579" s="2" t="n">
        <v>1334.1</v>
      </c>
      <c r="K1579" s="2" t="s">
        <v>18</v>
      </c>
      <c r="L1579" s="2" t="n">
        <f aca="false">J1579/_xlfn.XLOOKUP(Tabla2[[#This Row],[Unidad de precio]],Tabla3[Medida],Tabla3[Equivalencia en Kg],"ELVIS",0)</f>
        <v>29.4113756613757</v>
      </c>
      <c r="M1579" s="2" t="n">
        <v>6579.6044973696</v>
      </c>
      <c r="N1579" s="3" t="n">
        <f aca="false">(Tabla2[[#This Row],[Productividad (kg/TAS)]]*Tabla2[[#This Row],[Precio por kg]]-Tabla2[[#This Row],[Costos (En RD$/Tarea)]])</f>
        <v>2965.48019243248</v>
      </c>
      <c r="O1579" s="9" t="n">
        <f aca="false">IF(Tabla2[[#This Row],[Costos (En RD$/Tarea)]]=0,0,Tabla2[[#This Row],[Beneficio Neto  (En RD$/Tarea)]]/Tabla2[[#This Row],[Costos (En RD$/Tarea)]])</f>
        <v>0.450707970914972</v>
      </c>
      <c r="P1579" s="7" t="n">
        <f aca="false">Tabla2[[#This Row],[Rentabilidad (%)]]/12</f>
        <v>0.0375589975762477</v>
      </c>
    </row>
    <row r="1580" customFormat="false" ht="14.25" hidden="false" customHeight="false" outlineLevel="0" collapsed="false">
      <c r="A1580" s="1" t="n">
        <v>40513</v>
      </c>
      <c r="B1580" s="2" t="s">
        <v>25</v>
      </c>
      <c r="C1580" s="3" t="n">
        <v>28458</v>
      </c>
      <c r="D1580" s="8" t="s">
        <v>17</v>
      </c>
      <c r="E1580" s="3" t="n">
        <f aca="false">IF(Tabla2[[#This Row],[Frecuencia]]="Annual", Tabla2[[#This Row],[Cosecha/Tarea]]/12,Tabla2[[#This Row],[Cosecha/Tarea]])</f>
        <v>28458</v>
      </c>
      <c r="F1580" s="3" t="n">
        <v>400240</v>
      </c>
      <c r="G1580" s="2" t="s">
        <v>18</v>
      </c>
      <c r="H1580" s="2" t="n">
        <f aca="false">F1580/Tabla2[[#This Row],[Cosecha Mensual]]</f>
        <v>14.0642350130016</v>
      </c>
      <c r="I1580" s="2" t="n">
        <f aca="false">H1580*_xlfn.XLOOKUP(Tabla2[[#This Row],[Unidad de producción]],Tabla3[Medida],Tabla3[Equivalencia en Kg],"ELVIS",0)</f>
        <v>637.953700189753</v>
      </c>
      <c r="J1580" s="2" t="n">
        <v>278.02</v>
      </c>
      <c r="K1580" s="2" t="s">
        <v>18</v>
      </c>
      <c r="L1580" s="2" t="n">
        <f aca="false">J1580/_xlfn.XLOOKUP(Tabla2[[#This Row],[Unidad de precio]],Tabla3[Medida],Tabla3[Equivalencia en Kg],"ELVIS",0)</f>
        <v>6.12918871252205</v>
      </c>
      <c r="M1580" s="2" t="n">
        <v>3734.00643997985</v>
      </c>
      <c r="N1580" s="3" t="n">
        <f aca="false">(Tabla2[[#This Row],[Productividad (kg/TAS)]]*Tabla2[[#This Row],[Precio por kg]]-Tabla2[[#This Row],[Costos (En RD$/Tarea)]])</f>
        <v>176.132178334859</v>
      </c>
      <c r="O1580" s="9" t="n">
        <f aca="false">IF(Tabla2[[#This Row],[Costos (En RD$/Tarea)]]=0,0,Tabla2[[#This Row],[Beneficio Neto  (En RD$/Tarea)]]/Tabla2[[#This Row],[Costos (En RD$/Tarea)]])</f>
        <v>0.0471697575154181</v>
      </c>
      <c r="P1580" s="7" t="n">
        <f aca="false">Tabla2[[#This Row],[Rentabilidad (%)]]/12</f>
        <v>0.00393081312628484</v>
      </c>
    </row>
    <row r="1581" customFormat="false" ht="14.25" hidden="false" customHeight="false" outlineLevel="0" collapsed="false">
      <c r="A1581" s="1" t="n">
        <v>40513</v>
      </c>
      <c r="B1581" s="2" t="s">
        <v>26</v>
      </c>
      <c r="C1581" s="3" t="n">
        <v>12990</v>
      </c>
      <c r="D1581" s="8" t="s">
        <v>17</v>
      </c>
      <c r="E1581" s="3" t="n">
        <f aca="false">IF(Tabla2[[#This Row],[Frecuencia]]="Annual", Tabla2[[#This Row],[Cosecha/Tarea]]/12,Tabla2[[#This Row],[Cosecha/Tarea]])</f>
        <v>12990</v>
      </c>
      <c r="F1581" s="3" t="n">
        <v>72296</v>
      </c>
      <c r="G1581" s="2" t="s">
        <v>18</v>
      </c>
      <c r="H1581" s="2" t="n">
        <f aca="false">F1581/Tabla2[[#This Row],[Cosecha Mensual]]</f>
        <v>5.56551193225558</v>
      </c>
      <c r="I1581" s="2" t="n">
        <f aca="false">H1581*_xlfn.XLOOKUP(Tabla2[[#This Row],[Unidad de producción]],Tabla3[Medida],Tabla3[Equivalencia en Kg],"ELVIS",0)</f>
        <v>252.451621247113</v>
      </c>
      <c r="J1581" s="2" t="n">
        <v>540.954166666667</v>
      </c>
      <c r="K1581" s="2" t="s">
        <v>18</v>
      </c>
      <c r="L1581" s="2" t="n">
        <f aca="false">J1581/_xlfn.XLOOKUP(Tabla2[[#This Row],[Unidad de precio]],Tabla3[Medida],Tabla3[Equivalencia en Kg],"ELVIS",0)</f>
        <v>11.9257973251029</v>
      </c>
      <c r="M1581" s="2" t="n">
        <v>1771.21219288463</v>
      </c>
      <c r="N1581" s="3" t="n">
        <f aca="false">(Tabla2[[#This Row],[Productividad (kg/TAS)]]*Tabla2[[#This Row],[Precio por kg]]-Tabla2[[#This Row],[Costos (En RD$/Tarea)]])</f>
        <v>1239.47467650208</v>
      </c>
      <c r="O1581" s="9" t="n">
        <f aca="false">IF(Tabla2[[#This Row],[Costos (En RD$/Tarea)]]=0,0,Tabla2[[#This Row],[Beneficio Neto  (En RD$/Tarea)]]/Tabla2[[#This Row],[Costos (En RD$/Tarea)]])</f>
        <v>0.699788925054455</v>
      </c>
      <c r="P1581" s="7" t="n">
        <f aca="false">Tabla2[[#This Row],[Rentabilidad (%)]]/12</f>
        <v>0.0583157437545379</v>
      </c>
    </row>
    <row r="1582" customFormat="false" ht="14.25" hidden="false" customHeight="false" outlineLevel="0" collapsed="false">
      <c r="A1582" s="1" t="n">
        <v>40513</v>
      </c>
      <c r="B1582" s="2" t="s">
        <v>27</v>
      </c>
      <c r="C1582" s="3" t="n">
        <v>7044</v>
      </c>
      <c r="D1582" s="8" t="s">
        <v>17</v>
      </c>
      <c r="E1582" s="3" t="n">
        <f aca="false">IF(Tabla2[[#This Row],[Frecuencia]]="Annual", Tabla2[[#This Row],[Cosecha/Tarea]]/12,Tabla2[[#This Row],[Cosecha/Tarea]])</f>
        <v>7044</v>
      </c>
      <c r="F1582" s="3" t="n">
        <v>38200</v>
      </c>
      <c r="G1582" s="2" t="s">
        <v>18</v>
      </c>
      <c r="H1582" s="2" t="n">
        <f aca="false">F1582/Tabla2[[#This Row],[Cosecha Mensual]]</f>
        <v>5.42305508233958</v>
      </c>
      <c r="I1582" s="2" t="n">
        <f aca="false">H1582*_xlfn.XLOOKUP(Tabla2[[#This Row],[Unidad de producción]],Tabla3[Medida],Tabla3[Equivalencia en Kg],"ELVIS",0)</f>
        <v>245.989778534923</v>
      </c>
      <c r="J1582" s="2" t="n">
        <v>632.416666666667</v>
      </c>
      <c r="K1582" s="2" t="s">
        <v>18</v>
      </c>
      <c r="L1582" s="2" t="n">
        <f aca="false">J1582/_xlfn.XLOOKUP(Tabla2[[#This Row],[Unidad de precio]],Tabla3[Medida],Tabla3[Equivalencia en Kg],"ELVIS",0)</f>
        <v>13.9421663727219</v>
      </c>
      <c r="M1582" s="2" t="n">
        <v>6142.39107464557</v>
      </c>
      <c r="N1582" s="3" t="n">
        <f aca="false">(Tabla2[[#This Row],[Productividad (kg/TAS)]]*Tabla2[[#This Row],[Precio por kg]]-Tabla2[[#This Row],[Costos (En RD$/Tarea)]])</f>
        <v>-2712.76065632265</v>
      </c>
      <c r="O1582" s="9" t="n">
        <f aca="false">IF(Tabla2[[#This Row],[Costos (En RD$/Tarea)]]=0,0,Tabla2[[#This Row],[Beneficio Neto  (En RD$/Tarea)]]/Tabla2[[#This Row],[Costos (En RD$/Tarea)]])</f>
        <v>-0.441645708219446</v>
      </c>
      <c r="P1582" s="7" t="n">
        <f aca="false">Tabla2[[#This Row],[Rentabilidad (%)]]/12</f>
        <v>-0.0368038090182872</v>
      </c>
    </row>
    <row r="1583" customFormat="false" ht="14.25" hidden="false" customHeight="false" outlineLevel="0" collapsed="false">
      <c r="A1583" s="1" t="n">
        <v>40513</v>
      </c>
      <c r="B1583" s="2" t="s">
        <v>28</v>
      </c>
      <c r="C1583" s="3" t="n">
        <v>43310</v>
      </c>
      <c r="D1583" s="8" t="s">
        <v>17</v>
      </c>
      <c r="E1583" s="3" t="n">
        <f aca="false">IF(Tabla2[[#This Row],[Frecuencia]]="Annual", Tabla2[[#This Row],[Cosecha/Tarea]]/12,Tabla2[[#This Row],[Cosecha/Tarea]])</f>
        <v>43310</v>
      </c>
      <c r="F1583" s="3" t="n">
        <v>66988</v>
      </c>
      <c r="G1583" s="2" t="s">
        <v>29</v>
      </c>
      <c r="H1583" s="2" t="n">
        <f aca="false">F1583/Tabla2[[#This Row],[Cosecha Mensual]]</f>
        <v>1.54670976679751</v>
      </c>
      <c r="I1583" s="2" t="n">
        <f aca="false">H1583*_xlfn.XLOOKUP(Tabla2[[#This Row],[Unidad de producción]],Tabla3[Medida],Tabla3[Equivalencia en Kg],"ELVIS",0)</f>
        <v>869.77677026091</v>
      </c>
      <c r="J1583" s="2" t="n">
        <v>5500</v>
      </c>
      <c r="K1583" s="2" t="s">
        <v>29</v>
      </c>
      <c r="L1583" s="2" t="n">
        <f aca="false">J1583/_xlfn.XLOOKUP(Tabla2[[#This Row],[Unidad de precio]],Tabla3[Medida],Tabla3[Equivalencia en Kg],"ELVIS",0)</f>
        <v>9.78055980367749</v>
      </c>
      <c r="M1583" s="2" t="n">
        <v>6158.11903089474</v>
      </c>
      <c r="N1583" s="3" t="n">
        <f aca="false">(Tabla2[[#This Row],[Productividad (kg/TAS)]]*Tabla2[[#This Row],[Precio por kg]]-Tabla2[[#This Row],[Costos (En RD$/Tarea)]])</f>
        <v>2348.78468649154</v>
      </c>
      <c r="O1583" s="9" t="n">
        <f aca="false">IF(Tabla2[[#This Row],[Costos (En RD$/Tarea)]]=0,0,Tabla2[[#This Row],[Beneficio Neto  (En RD$/Tarea)]]/Tabla2[[#This Row],[Costos (En RD$/Tarea)]])</f>
        <v>0.381412680512978</v>
      </c>
      <c r="P1583" s="7" t="n">
        <f aca="false">Tabla2[[#This Row],[Rentabilidad (%)]]/12</f>
        <v>0.0317843900427482</v>
      </c>
    </row>
    <row r="1584" customFormat="false" ht="14.25" hidden="false" customHeight="false" outlineLevel="0" collapsed="false">
      <c r="A1584" s="1" t="n">
        <v>40513</v>
      </c>
      <c r="B1584" s="2" t="s">
        <v>30</v>
      </c>
      <c r="C1584" s="3" t="n">
        <v>338291</v>
      </c>
      <c r="D1584" s="3" t="s">
        <v>31</v>
      </c>
      <c r="E1584" s="3" t="n">
        <f aca="false">IF(Tabla2[[#This Row],[Frecuencia]]="Annual", Tabla2[[#This Row],[Cosecha/Tarea]]/12,Tabla2[[#This Row],[Cosecha/Tarea]])</f>
        <v>28190.9166666667</v>
      </c>
      <c r="F1584" s="3" t="n">
        <v>2368040</v>
      </c>
      <c r="G1584" s="2" t="s">
        <v>32</v>
      </c>
      <c r="H1584" s="2" t="n">
        <f aca="false">F1584/Tabla2[[#This Row],[Cosecha Mensual]]</f>
        <v>84.0001064172562</v>
      </c>
      <c r="I1584" s="2" t="n">
        <f aca="false">H1584*_xlfn.XLOOKUP(Tabla2[[#This Row],[Unidad de producción]],Tabla3[Medida],Tabla3[Equivalencia en Kg],"ELVIS",0)</f>
        <v>2285.64289561354</v>
      </c>
      <c r="J1584" s="2" t="n">
        <v>98.75</v>
      </c>
      <c r="K1584" s="2" t="s">
        <v>32</v>
      </c>
      <c r="L1584" s="2" t="n">
        <f aca="false">J1584/_xlfn.XLOOKUP(Tabla2[[#This Row],[Unidad de precio]],Tabla3[Medida],Tabla3[Equivalencia en Kg],"ELVIS",0)</f>
        <v>3.62918044836457</v>
      </c>
      <c r="M1584" s="3" t="n">
        <v>10497.9114219602</v>
      </c>
      <c r="N1584" s="3" t="n">
        <f aca="false">(Tabla2[[#This Row],[Productividad (kg/TAS)]]*Tabla2[[#This Row],[Precio por kg]]-Tabla2[[#This Row],[Costos (En RD$/Tarea)]])</f>
        <v>-2202.90091325616</v>
      </c>
      <c r="O1584" s="9" t="n">
        <f aca="false">IF(Tabla2[[#This Row],[Costos (En RD$/Tarea)]]=0,0,Tabla2[[#This Row],[Beneficio Neto  (En RD$/Tarea)]]/Tabla2[[#This Row],[Costos (En RD$/Tarea)]])</f>
        <v>-0.209841827075049</v>
      </c>
      <c r="P1584" s="7" t="n">
        <f aca="false">Tabla2[[#This Row],[Rentabilidad (%)]]/12</f>
        <v>-0.0174868189229208</v>
      </c>
    </row>
    <row r="1585" customFormat="false" ht="14.25" hidden="false" customHeight="false" outlineLevel="0" collapsed="false">
      <c r="A1585" s="1" t="n">
        <v>40513</v>
      </c>
      <c r="B1585" s="2" t="s">
        <v>33</v>
      </c>
      <c r="C1585" s="3" t="n">
        <v>694440</v>
      </c>
      <c r="D1585" s="3" t="s">
        <v>31</v>
      </c>
      <c r="E1585" s="11" t="n">
        <f aca="false">IF(Tabla2[[#This Row],[Frecuencia]]="Annual", Tabla2[[#This Row],[Cosecha/Tarea]]/12,Tabla2[[#This Row],[Cosecha/Tarea]])</f>
        <v>57870</v>
      </c>
      <c r="F1585" s="3" t="n">
        <v>250290</v>
      </c>
      <c r="G1585" s="2" t="s">
        <v>34</v>
      </c>
      <c r="H1585" s="2" t="n">
        <f aca="false">F1585/Tabla2[[#This Row],[Cosecha Mensual]]</f>
        <v>4.32503888024883</v>
      </c>
      <c r="I1585" s="2" t="n">
        <f aca="false">H1585*_xlfn.XLOOKUP(Tabla2[[#This Row],[Unidad de producción]],Tabla3[Medida],Tabla3[Equivalencia en Kg],"ELVIS",0)</f>
        <v>1765.26461897356</v>
      </c>
      <c r="J1585" s="2" t="n">
        <v>3559.35555555556</v>
      </c>
      <c r="K1585" s="2" t="s">
        <v>34</v>
      </c>
      <c r="L1585" s="2" t="n">
        <f aca="false">J1585/_xlfn.XLOOKUP(Tabla2[[#This Row],[Unidad de precio]],Tabla3[Medida],Tabla3[Equivalencia en Kg],"ELVIS",0)</f>
        <v>8.72070453400848</v>
      </c>
      <c r="M1585" s="3" t="n">
        <v>9292.97349690822</v>
      </c>
      <c r="N1585" s="3" t="n">
        <f aca="false">(Tabla2[[#This Row],[Productividad (kg/TAS)]]*Tabla2[[#This Row],[Precio por kg]]-Tabla2[[#This Row],[Costos (En RD$/Tarea)]])</f>
        <v>6101.37766949927</v>
      </c>
      <c r="O1585" s="9" t="n">
        <f aca="false">IF(Tabla2[[#This Row],[Costos (En RD$/Tarea)]]=0,0,Tabla2[[#This Row],[Beneficio Neto  (En RD$/Tarea)]]/Tabla2[[#This Row],[Costos (En RD$/Tarea)]])</f>
        <v>0.656558169624523</v>
      </c>
      <c r="P1585" s="7" t="n">
        <f aca="false">Tabla2[[#This Row],[Rentabilidad (%)]]/12</f>
        <v>0.0547131808020436</v>
      </c>
    </row>
    <row r="1586" customFormat="false" ht="14.25" hidden="false" customHeight="false" outlineLevel="0" collapsed="false">
      <c r="A1586" s="1" t="n">
        <v>40544</v>
      </c>
      <c r="B1586" s="2" t="s">
        <v>16</v>
      </c>
      <c r="C1586" s="3" t="n">
        <v>70085</v>
      </c>
      <c r="D1586" s="8" t="s">
        <v>17</v>
      </c>
      <c r="E1586" s="3" t="n">
        <f aca="false">IF(Tabla2[[#This Row],[Frecuencia]]="Annual", Tabla2[[#This Row],[Cosecha/Tarea]]/12,Tabla2[[#This Row],[Cosecha/Tarea]])</f>
        <v>70085</v>
      </c>
      <c r="F1586" s="3" t="n">
        <v>196212</v>
      </c>
      <c r="G1586" s="2" t="s">
        <v>18</v>
      </c>
      <c r="H1586" s="2" t="n">
        <f aca="false">F1586/Tabla2[[#This Row],[Cosecha Mensual]]</f>
        <v>2.79962902190198</v>
      </c>
      <c r="I1586" s="2" t="n">
        <f aca="false">H1586*_xlfn.XLOOKUP(Tabla2[[#This Row],[Unidad de producción]],Tabla3[Medida],Tabla3[Equivalencia en Kg],"ELVIS",0)</f>
        <v>126.991172433474</v>
      </c>
      <c r="J1586" s="2" t="n">
        <v>1840.835</v>
      </c>
      <c r="K1586" s="2" t="s">
        <v>19</v>
      </c>
      <c r="L1586" s="2" t="n">
        <f aca="false">J1586/_xlfn.XLOOKUP(Tabla2[[#This Row],[Unidad de precio]],Tabla3[Medida],Tabla3[Equivalencia en Kg],"ELVIS",0)</f>
        <v>16.7348636363636</v>
      </c>
      <c r="M1586" s="2" t="n">
        <v>7569</v>
      </c>
      <c r="N1586" s="3" t="n">
        <f aca="false">(Tabla2[[#This Row],[Productividad (kg/TAS)]]*Tabla2[[#This Row],[Precio por kg]]-Tabla2[[#This Row],[Costos (En RD$/Tarea)]])</f>
        <v>-5443.82004630388</v>
      </c>
      <c r="O1586" s="9" t="n">
        <f aca="false">IF(Tabla2[[#This Row],[Costos (En RD$/Tarea)]]=0,0,Tabla2[[#This Row],[Beneficio Neto  (En RD$/Tarea)]]/Tabla2[[#This Row],[Costos (En RD$/Tarea)]])</f>
        <v>-0.719225795521717</v>
      </c>
      <c r="P1586" s="7" t="n">
        <f aca="false">Tabla2[[#This Row],[Rentabilidad (%)]]/12</f>
        <v>-0.0599354829601431</v>
      </c>
    </row>
    <row r="1587" customFormat="false" ht="14.25" hidden="false" customHeight="false" outlineLevel="0" collapsed="false">
      <c r="A1587" s="1" t="n">
        <v>40544</v>
      </c>
      <c r="B1587" s="2" t="s">
        <v>20</v>
      </c>
      <c r="C1587" s="3" t="n">
        <v>29758</v>
      </c>
      <c r="D1587" s="8" t="s">
        <v>17</v>
      </c>
      <c r="E1587" s="3" t="n">
        <f aca="false">IF(Tabla2[[#This Row],[Frecuencia]]="Annual", Tabla2[[#This Row],[Cosecha/Tarea]]/12,Tabla2[[#This Row],[Cosecha/Tarea]])</f>
        <v>29758</v>
      </c>
      <c r="F1587" s="3" t="n">
        <v>49623</v>
      </c>
      <c r="G1587" s="2" t="s">
        <v>18</v>
      </c>
      <c r="H1587" s="2" t="n">
        <f aca="false">F1587/Tabla2[[#This Row],[Cosecha Mensual]]</f>
        <v>1.66755158276766</v>
      </c>
      <c r="I1587" s="2" t="n">
        <f aca="false">H1587*_xlfn.XLOOKUP(Tabla2[[#This Row],[Unidad de producción]],Tabla3[Medida],Tabla3[Equivalencia en Kg],"ELVIS",0)</f>
        <v>75.640139794341</v>
      </c>
      <c r="J1587" s="2" t="n">
        <v>552.5037</v>
      </c>
      <c r="K1587" s="2" t="s">
        <v>18</v>
      </c>
      <c r="L1587" s="2" t="n">
        <f aca="false">J1587/_xlfn.XLOOKUP(Tabla2[[#This Row],[Unidad de precio]],Tabla3[Medida],Tabla3[Equivalencia en Kg],"ELVIS",0)</f>
        <v>12.1804166666667</v>
      </c>
      <c r="M1587" s="2" t="n">
        <v>2249.6320342848</v>
      </c>
      <c r="N1587" s="3" t="n">
        <f aca="false">(Tabla2[[#This Row],[Productividad (kg/TAS)]]*Tabla2[[#This Row],[Precio por kg]]-Tabla2[[#This Row],[Costos (En RD$/Tarea)]])</f>
        <v>-1328.30361486481</v>
      </c>
      <c r="O1587" s="9" t="n">
        <f aca="false">IF(Tabla2[[#This Row],[Costos (En RD$/Tarea)]]=0,0,Tabla2[[#This Row],[Beneficio Neto  (En RD$/Tarea)]]/Tabla2[[#This Row],[Costos (En RD$/Tarea)]])</f>
        <v>-0.590453725152036</v>
      </c>
      <c r="P1587" s="7" t="n">
        <f aca="false">Tabla2[[#This Row],[Rentabilidad (%)]]/12</f>
        <v>-0.049204477096003</v>
      </c>
    </row>
    <row r="1588" customFormat="false" ht="14.25" hidden="false" customHeight="false" outlineLevel="0" collapsed="false">
      <c r="A1588" s="1" t="n">
        <v>40544</v>
      </c>
      <c r="B1588" s="2" t="s">
        <v>21</v>
      </c>
      <c r="C1588" s="3" t="n">
        <v>7236</v>
      </c>
      <c r="D1588" s="8" t="s">
        <v>17</v>
      </c>
      <c r="E1588" s="3" t="n">
        <f aca="false">IF(Tabla2[[#This Row],[Frecuencia]]="Annual", Tabla2[[#This Row],[Cosecha/Tarea]]/12,Tabla2[[#This Row],[Cosecha/Tarea]])</f>
        <v>7236</v>
      </c>
      <c r="F1588" s="3" t="n">
        <v>90099</v>
      </c>
      <c r="G1588" s="2" t="s">
        <v>18</v>
      </c>
      <c r="H1588" s="2" t="n">
        <f aca="false">F1588/Tabla2[[#This Row],[Cosecha Mensual]]</f>
        <v>12.4514925373134</v>
      </c>
      <c r="I1588" s="2" t="n">
        <f aca="false">H1588*_xlfn.XLOOKUP(Tabla2[[#This Row],[Unidad de producción]],Tabla3[Medida],Tabla3[Equivalencia en Kg],"ELVIS",0)</f>
        <v>564.799701492537</v>
      </c>
      <c r="J1588" s="2" t="n">
        <v>444.742</v>
      </c>
      <c r="K1588" s="2" t="s">
        <v>18</v>
      </c>
      <c r="L1588" s="2" t="n">
        <f aca="false">J1588/_xlfn.XLOOKUP(Tabla2[[#This Row],[Unidad de precio]],Tabla3[Medida],Tabla3[Equivalencia en Kg],"ELVIS",0)</f>
        <v>9.80471781305115</v>
      </c>
      <c r="M1588" s="2" t="n">
        <v>4921.44160075</v>
      </c>
      <c r="N1588" s="3" t="n">
        <f aca="false">(Tabla2[[#This Row],[Productividad (kg/TAS)]]*Tabla2[[#This Row],[Precio por kg]]-Tabla2[[#This Row],[Costos (En RD$/Tarea)]])</f>
        <v>616.260093279851</v>
      </c>
      <c r="O1588" s="9" t="n">
        <f aca="false">IF(Tabla2[[#This Row],[Costos (En RD$/Tarea)]]=0,0,Tabla2[[#This Row],[Beneficio Neto  (En RD$/Tarea)]]/Tabla2[[#This Row],[Costos (En RD$/Tarea)]])</f>
        <v>0.125219426191288</v>
      </c>
      <c r="P1588" s="7" t="n">
        <f aca="false">Tabla2[[#This Row],[Rentabilidad (%)]]/12</f>
        <v>0.0104349521826074</v>
      </c>
    </row>
    <row r="1589" customFormat="false" ht="14.25" hidden="false" customHeight="false" outlineLevel="0" collapsed="false">
      <c r="A1589" s="1" t="n">
        <v>40544</v>
      </c>
      <c r="B1589" s="2" t="s">
        <v>22</v>
      </c>
      <c r="C1589" s="3" t="n">
        <v>7100</v>
      </c>
      <c r="D1589" s="8" t="s">
        <v>17</v>
      </c>
      <c r="E1589" s="3" t="n">
        <f aca="false">IF(Tabla2[[#This Row],[Frecuencia]]="Annual", Tabla2[[#This Row],[Cosecha/Tarea]]/12,Tabla2[[#This Row],[Cosecha/Tarea]])</f>
        <v>7100</v>
      </c>
      <c r="F1589" s="3" t="n">
        <v>76001</v>
      </c>
      <c r="G1589" s="2" t="s">
        <v>18</v>
      </c>
      <c r="H1589" s="2" t="n">
        <f aca="false">F1589/Tabla2[[#This Row],[Cosecha Mensual]]</f>
        <v>10.7043661971831</v>
      </c>
      <c r="I1589" s="2" t="n">
        <f aca="false">H1589*_xlfn.XLOOKUP(Tabla2[[#This Row],[Unidad de producción]],Tabla3[Medida],Tabla3[Equivalencia en Kg],"ELVIS",0)</f>
        <v>485.550050704225</v>
      </c>
      <c r="J1589" s="2" t="n">
        <v>1019.15</v>
      </c>
      <c r="K1589" s="2" t="s">
        <v>18</v>
      </c>
      <c r="L1589" s="2" t="n">
        <f aca="false">J1589/_xlfn.XLOOKUP(Tabla2[[#This Row],[Unidad de precio]],Tabla3[Medida],Tabla3[Equivalencia en Kg],"ELVIS",0)</f>
        <v>22.4680335097002</v>
      </c>
      <c r="M1589" s="2" t="n">
        <v>8263.3527360768</v>
      </c>
      <c r="N1589" s="3" t="n">
        <f aca="false">(Tabla2[[#This Row],[Productividad (kg/TAS)]]*Tabla2[[#This Row],[Precio por kg]]-Tabla2[[#This Row],[Costos (En RD$/Tarea)]])</f>
        <v>2646.00207378235</v>
      </c>
      <c r="O1589" s="9" t="n">
        <f aca="false">IF(Tabla2[[#This Row],[Costos (En RD$/Tarea)]]=0,0,Tabla2[[#This Row],[Beneficio Neto  (En RD$/Tarea)]]/Tabla2[[#This Row],[Costos (En RD$/Tarea)]])</f>
        <v>0.320209261094498</v>
      </c>
      <c r="P1589" s="7" t="n">
        <f aca="false">Tabla2[[#This Row],[Rentabilidad (%)]]/12</f>
        <v>0.0266841050912082</v>
      </c>
    </row>
    <row r="1590" customFormat="false" ht="14.25" hidden="false" customHeight="false" outlineLevel="0" collapsed="false">
      <c r="A1590" s="1" t="n">
        <v>40544</v>
      </c>
      <c r="B1590" s="2" t="s">
        <v>23</v>
      </c>
      <c r="C1590" s="3" t="n">
        <v>2938</v>
      </c>
      <c r="D1590" s="8" t="s">
        <v>17</v>
      </c>
      <c r="E1590" s="3" t="n">
        <f aca="false">IF(Tabla2[[#This Row],[Frecuencia]]="Annual", Tabla2[[#This Row],[Cosecha/Tarea]]/12,Tabla2[[#This Row],[Cosecha/Tarea]])</f>
        <v>2938</v>
      </c>
      <c r="F1590" s="3" t="n">
        <v>125730</v>
      </c>
      <c r="G1590" s="2" t="s">
        <v>18</v>
      </c>
      <c r="H1590" s="2" t="n">
        <f aca="false">F1590/Tabla2[[#This Row],[Cosecha Mensual]]</f>
        <v>42.7944179714091</v>
      </c>
      <c r="I1590" s="2" t="n">
        <f aca="false">H1590*_xlfn.XLOOKUP(Tabla2[[#This Row],[Unidad de producción]],Tabla3[Medida],Tabla3[Equivalencia en Kg],"ELVIS",0)</f>
        <v>1941.15479918312</v>
      </c>
      <c r="J1590" s="2" t="n">
        <v>1008</v>
      </c>
      <c r="K1590" s="2" t="s">
        <v>18</v>
      </c>
      <c r="L1590" s="2" t="n">
        <f aca="false">J1590/_xlfn.XLOOKUP(Tabla2[[#This Row],[Unidad de precio]],Tabla3[Medida],Tabla3[Equivalencia en Kg],"ELVIS",0)</f>
        <v>22.2222222222222</v>
      </c>
      <c r="M1590" s="2" t="n">
        <v>22831.198995686</v>
      </c>
      <c r="N1590" s="3" t="n">
        <f aca="false">(Tabla2[[#This Row],[Productividad (kg/TAS)]]*Tabla2[[#This Row],[Precio por kg]]-Tabla2[[#This Row],[Costos (En RD$/Tarea)]])</f>
        <v>20305.5743194944</v>
      </c>
      <c r="O1590" s="9" t="n">
        <f aca="false">IF(Tabla2[[#This Row],[Costos (En RD$/Tarea)]]=0,0,Tabla2[[#This Row],[Beneficio Neto  (En RD$/Tarea)]]/Tabla2[[#This Row],[Costos (En RD$/Tarea)]])</f>
        <v>0.889378359994636</v>
      </c>
      <c r="P1590" s="7" t="n">
        <f aca="false">Tabla2[[#This Row],[Rentabilidad (%)]]/12</f>
        <v>0.0741148633328863</v>
      </c>
    </row>
    <row r="1591" customFormat="false" ht="14.25" hidden="false" customHeight="false" outlineLevel="0" collapsed="false">
      <c r="A1591" s="1" t="n">
        <v>40544</v>
      </c>
      <c r="B1591" s="2" t="s">
        <v>24</v>
      </c>
      <c r="C1591" s="3" t="n">
        <v>7592</v>
      </c>
      <c r="D1591" s="8" t="s">
        <v>17</v>
      </c>
      <c r="E1591" s="3" t="n">
        <f aca="false">IF(Tabla2[[#This Row],[Frecuencia]]="Annual", Tabla2[[#This Row],[Cosecha/Tarea]]/12,Tabla2[[#This Row],[Cosecha/Tarea]])</f>
        <v>7592</v>
      </c>
      <c r="F1591" s="3" t="n">
        <v>41359</v>
      </c>
      <c r="G1591" s="2" t="s">
        <v>18</v>
      </c>
      <c r="H1591" s="2" t="n">
        <f aca="false">F1591/Tabla2[[#This Row],[Cosecha Mensual]]</f>
        <v>5.447708113804</v>
      </c>
      <c r="I1591" s="2" t="n">
        <f aca="false">H1591*_xlfn.XLOOKUP(Tabla2[[#This Row],[Unidad de producción]],Tabla3[Medida],Tabla3[Equivalencia en Kg],"ELVIS",0)</f>
        <v>247.10804004215</v>
      </c>
      <c r="J1591" s="2" t="n">
        <v>1260.16666666667</v>
      </c>
      <c r="K1591" s="2" t="s">
        <v>18</v>
      </c>
      <c r="L1591" s="2" t="n">
        <f aca="false">J1591/_xlfn.XLOOKUP(Tabla2[[#This Row],[Unidad de precio]],Tabla3[Medida],Tabla3[Equivalencia en Kg],"ELVIS",0)</f>
        <v>27.7814520870077</v>
      </c>
      <c r="M1591" s="2" t="n">
        <v>6908.3833517736</v>
      </c>
      <c r="N1591" s="3" t="n">
        <f aca="false">(Tabla2[[#This Row],[Productividad (kg/TAS)]]*Tabla2[[#This Row],[Precio por kg]]-Tabla2[[#This Row],[Costos (En RD$/Tarea)]])</f>
        <v>-43.3631770282373</v>
      </c>
      <c r="O1591" s="9" t="n">
        <f aca="false">IF(Tabla2[[#This Row],[Costos (En RD$/Tarea)]]=0,0,Tabla2[[#This Row],[Beneficio Neto  (En RD$/Tarea)]]/Tabla2[[#This Row],[Costos (En RD$/Tarea)]])</f>
        <v>-0.00627689212080342</v>
      </c>
      <c r="P1591" s="7" t="n">
        <f aca="false">Tabla2[[#This Row],[Rentabilidad (%)]]/12</f>
        <v>-0.000523074343400285</v>
      </c>
    </row>
    <row r="1592" customFormat="false" ht="14.25" hidden="false" customHeight="false" outlineLevel="0" collapsed="false">
      <c r="A1592" s="1" t="n">
        <v>40544</v>
      </c>
      <c r="B1592" s="2" t="s">
        <v>25</v>
      </c>
      <c r="C1592" s="3" t="n">
        <v>36780</v>
      </c>
      <c r="D1592" s="8" t="s">
        <v>17</v>
      </c>
      <c r="E1592" s="3" t="n">
        <f aca="false">IF(Tabla2[[#This Row],[Frecuencia]]="Annual", Tabla2[[#This Row],[Cosecha/Tarea]]/12,Tabla2[[#This Row],[Cosecha/Tarea]])</f>
        <v>36780</v>
      </c>
      <c r="F1592" s="3" t="n">
        <v>335899</v>
      </c>
      <c r="G1592" s="2" t="s">
        <v>18</v>
      </c>
      <c r="H1592" s="2" t="n">
        <f aca="false">F1592/Tabla2[[#This Row],[Cosecha Mensual]]</f>
        <v>9.1326536160957</v>
      </c>
      <c r="I1592" s="2" t="n">
        <f aca="false">H1592*_xlfn.XLOOKUP(Tabla2[[#This Row],[Unidad de producción]],Tabla3[Medida],Tabla3[Equivalencia en Kg],"ELVIS",0)</f>
        <v>414.257168026101</v>
      </c>
      <c r="J1592" s="2" t="n">
        <v>363.31494</v>
      </c>
      <c r="K1592" s="2" t="s">
        <v>18</v>
      </c>
      <c r="L1592" s="2" t="n">
        <f aca="false">J1592/_xlfn.XLOOKUP(Tabla2[[#This Row],[Unidad de precio]],Tabla3[Medida],Tabla3[Equivalencia en Kg],"ELVIS",0)</f>
        <v>8.00958862433862</v>
      </c>
      <c r="M1592" s="2" t="n">
        <v>4283.98894113212</v>
      </c>
      <c r="N1592" s="3" t="n">
        <f aca="false">(Tabla2[[#This Row],[Productividad (kg/TAS)]]*Tabla2[[#This Row],[Precio por kg]]-Tabla2[[#This Row],[Costos (En RD$/Tarea)]])</f>
        <v>-965.959440559527</v>
      </c>
      <c r="O1592" s="9" t="n">
        <f aca="false">IF(Tabla2[[#This Row],[Costos (En RD$/Tarea)]]=0,0,Tabla2[[#This Row],[Beneficio Neto  (En RD$/Tarea)]]/Tabla2[[#This Row],[Costos (En RD$/Tarea)]])</f>
        <v>-0.22548131048729</v>
      </c>
      <c r="P1592" s="7" t="n">
        <f aca="false">Tabla2[[#This Row],[Rentabilidad (%)]]/12</f>
        <v>-0.0187901092072741</v>
      </c>
    </row>
    <row r="1593" customFormat="false" ht="14.25" hidden="false" customHeight="false" outlineLevel="0" collapsed="false">
      <c r="A1593" s="1" t="n">
        <v>40544</v>
      </c>
      <c r="B1593" s="2" t="s">
        <v>26</v>
      </c>
      <c r="C1593" s="3" t="n">
        <v>10301</v>
      </c>
      <c r="D1593" s="8" t="s">
        <v>17</v>
      </c>
      <c r="E1593" s="3" t="n">
        <f aca="false">IF(Tabla2[[#This Row],[Frecuencia]]="Annual", Tabla2[[#This Row],[Cosecha/Tarea]]/12,Tabla2[[#This Row],[Cosecha/Tarea]])</f>
        <v>10301</v>
      </c>
      <c r="F1593" s="3" t="n">
        <v>62830</v>
      </c>
      <c r="G1593" s="2" t="s">
        <v>18</v>
      </c>
      <c r="H1593" s="2" t="n">
        <f aca="false">F1593/Tabla2[[#This Row],[Cosecha Mensual]]</f>
        <v>6.09940782448306</v>
      </c>
      <c r="I1593" s="2" t="n">
        <f aca="false">H1593*_xlfn.XLOOKUP(Tabla2[[#This Row],[Unidad de producción]],Tabla3[Medida],Tabla3[Equivalencia en Kg],"ELVIS",0)</f>
        <v>276.669138918552</v>
      </c>
      <c r="J1593" s="2" t="n">
        <v>591.25</v>
      </c>
      <c r="K1593" s="2" t="s">
        <v>18</v>
      </c>
      <c r="L1593" s="2" t="n">
        <f aca="false">J1593/_xlfn.XLOOKUP(Tabla2[[#This Row],[Unidad de precio]],Tabla3[Medida],Tabla3[Equivalencia en Kg],"ELVIS",0)</f>
        <v>13.0346119929453</v>
      </c>
      <c r="M1593" s="2" t="n">
        <v>2009.79</v>
      </c>
      <c r="N1593" s="3" t="n">
        <f aca="false">(Tabla2[[#This Row],[Productividad (kg/TAS)]]*Tabla2[[#This Row],[Precio por kg]]-Tabla2[[#This Row],[Costos (En RD$/Tarea)]])</f>
        <v>1596.48487622561</v>
      </c>
      <c r="O1593" s="9" t="n">
        <f aca="false">IF(Tabla2[[#This Row],[Costos (En RD$/Tarea)]]=0,0,Tabla2[[#This Row],[Beneficio Neto  (En RD$/Tarea)]]/Tabla2[[#This Row],[Costos (En RD$/Tarea)]])</f>
        <v>0.79435407491609</v>
      </c>
      <c r="P1593" s="7" t="n">
        <f aca="false">Tabla2[[#This Row],[Rentabilidad (%)]]/12</f>
        <v>0.0661961729096742</v>
      </c>
    </row>
    <row r="1594" customFormat="false" ht="14.25" hidden="false" customHeight="false" outlineLevel="0" collapsed="false">
      <c r="A1594" s="1" t="n">
        <v>40544</v>
      </c>
      <c r="B1594" s="2" t="s">
        <v>27</v>
      </c>
      <c r="C1594" s="3" t="n">
        <v>6042</v>
      </c>
      <c r="D1594" s="8" t="s">
        <v>17</v>
      </c>
      <c r="E1594" s="3" t="n">
        <f aca="false">IF(Tabla2[[#This Row],[Frecuencia]]="Annual", Tabla2[[#This Row],[Cosecha/Tarea]]/12,Tabla2[[#This Row],[Cosecha/Tarea]])</f>
        <v>6042</v>
      </c>
      <c r="F1594" s="3" t="n">
        <v>39356</v>
      </c>
      <c r="G1594" s="2" t="s">
        <v>18</v>
      </c>
      <c r="H1594" s="2" t="n">
        <f aca="false">F1594/Tabla2[[#This Row],[Cosecha Mensual]]</f>
        <v>6.51373717312148</v>
      </c>
      <c r="I1594" s="2" t="n">
        <f aca="false">H1594*_xlfn.XLOOKUP(Tabla2[[#This Row],[Unidad de producción]],Tabla3[Medida],Tabla3[Equivalencia en Kg],"ELVIS",0)</f>
        <v>295.463118172791</v>
      </c>
      <c r="J1594" s="2" t="n">
        <v>403.854</v>
      </c>
      <c r="K1594" s="2" t="s">
        <v>18</v>
      </c>
      <c r="L1594" s="2" t="n">
        <f aca="false">J1594/_xlfn.XLOOKUP(Tabla2[[#This Row],[Unidad de precio]],Tabla3[Medida],Tabla3[Equivalencia en Kg],"ELVIS",0)</f>
        <v>8.90330687830688</v>
      </c>
      <c r="M1594" s="2" t="n">
        <v>6922.022</v>
      </c>
      <c r="N1594" s="3" t="n">
        <f aca="false">(Tabla2[[#This Row],[Productividad (kg/TAS)]]*Tabla2[[#This Row],[Precio por kg]]-Tabla2[[#This Row],[Costos (En RD$/Tarea)]])</f>
        <v>-4291.4231876862</v>
      </c>
      <c r="O1594" s="9" t="n">
        <f aca="false">IF(Tabla2[[#This Row],[Costos (En RD$/Tarea)]]=0,0,Tabla2[[#This Row],[Beneficio Neto  (En RD$/Tarea)]]/Tabla2[[#This Row],[Costos (En RD$/Tarea)]])</f>
        <v>-0.619966707370505</v>
      </c>
      <c r="P1594" s="7" t="n">
        <f aca="false">Tabla2[[#This Row],[Rentabilidad (%)]]/12</f>
        <v>-0.0516638922808754</v>
      </c>
    </row>
    <row r="1595" customFormat="false" ht="14.25" hidden="false" customHeight="false" outlineLevel="0" collapsed="false">
      <c r="A1595" s="1" t="n">
        <v>40544</v>
      </c>
      <c r="B1595" s="2" t="s">
        <v>28</v>
      </c>
      <c r="C1595" s="3" t="n">
        <v>75322</v>
      </c>
      <c r="D1595" s="8" t="s">
        <v>17</v>
      </c>
      <c r="E1595" s="3" t="n">
        <f aca="false">IF(Tabla2[[#This Row],[Frecuencia]]="Annual", Tabla2[[#This Row],[Cosecha/Tarea]]/12,Tabla2[[#This Row],[Cosecha/Tarea]])</f>
        <v>75322</v>
      </c>
      <c r="F1595" s="3" t="n">
        <v>43500</v>
      </c>
      <c r="G1595" s="2" t="s">
        <v>29</v>
      </c>
      <c r="H1595" s="2" t="n">
        <f aca="false">F1595/Tabla2[[#This Row],[Cosecha Mensual]]</f>
        <v>0.577520511935424</v>
      </c>
      <c r="I1595" s="2" t="n">
        <f aca="false">H1595*_xlfn.XLOOKUP(Tabla2[[#This Row],[Unidad de producción]],Tabla3[Medida],Tabla3[Equivalencia en Kg],"ELVIS",0)</f>
        <v>324.762884681766</v>
      </c>
      <c r="J1595" s="2" t="n">
        <v>6604.6</v>
      </c>
      <c r="K1595" s="2" t="s">
        <v>29</v>
      </c>
      <c r="L1595" s="2" t="n">
        <f aca="false">J1595/_xlfn.XLOOKUP(Tabla2[[#This Row],[Unidad de precio]],Tabla3[Medida],Tabla3[Equivalencia en Kg],"ELVIS",0)</f>
        <v>11.7448518689761</v>
      </c>
      <c r="M1595" s="2" t="n">
        <v>6816.05132473333</v>
      </c>
      <c r="N1595" s="3" t="n">
        <f aca="false">(Tabla2[[#This Row],[Productividad (kg/TAS)]]*Tabla2[[#This Row],[Precio por kg]]-Tabla2[[#This Row],[Costos (En RD$/Tarea)]])</f>
        <v>-3001.75935160463</v>
      </c>
      <c r="O1595" s="9" t="n">
        <f aca="false">IF(Tabla2[[#This Row],[Costos (En RD$/Tarea)]]=0,0,Tabla2[[#This Row],[Beneficio Neto  (En RD$/Tarea)]]/Tabla2[[#This Row],[Costos (En RD$/Tarea)]])</f>
        <v>-0.440395649708825</v>
      </c>
      <c r="P1595" s="7" t="n">
        <f aca="false">Tabla2[[#This Row],[Rentabilidad (%)]]/12</f>
        <v>-0.0366996374757354</v>
      </c>
    </row>
    <row r="1596" customFormat="false" ht="14.25" hidden="false" customHeight="false" outlineLevel="0" collapsed="false">
      <c r="A1596" s="1" t="n">
        <v>40544</v>
      </c>
      <c r="B1596" s="2" t="s">
        <v>30</v>
      </c>
      <c r="C1596" s="3" t="n">
        <v>340372</v>
      </c>
      <c r="D1596" s="3" t="s">
        <v>31</v>
      </c>
      <c r="E1596" s="3" t="n">
        <f aca="false">IF(Tabla2[[#This Row],[Frecuencia]]="Annual", Tabla2[[#This Row],[Cosecha/Tarea]]/12,Tabla2[[#This Row],[Cosecha/Tarea]])</f>
        <v>28364.3333333333</v>
      </c>
      <c r="F1596" s="3" t="n">
        <v>2437271</v>
      </c>
      <c r="G1596" s="2" t="s">
        <v>32</v>
      </c>
      <c r="H1596" s="2" t="n">
        <f aca="false">F1596/Tabla2[[#This Row],[Cosecha Mensual]]</f>
        <v>85.9273148202555</v>
      </c>
      <c r="I1596" s="2" t="n">
        <f aca="false">H1596*_xlfn.XLOOKUP(Tabla2[[#This Row],[Unidad de producción]],Tabla3[Medida],Tabla3[Equivalencia en Kg],"ELVIS",0)</f>
        <v>2338.08223625915</v>
      </c>
      <c r="J1596" s="2" t="n">
        <v>122.855</v>
      </c>
      <c r="K1596" s="2" t="s">
        <v>32</v>
      </c>
      <c r="L1596" s="2" t="n">
        <f aca="false">J1596/_xlfn.XLOOKUP(Tabla2[[#This Row],[Unidad de precio]],Tabla3[Medida],Tabla3[Equivalencia en Kg],"ELVIS",0)</f>
        <v>4.51506798970967</v>
      </c>
      <c r="M1596" s="3" t="n">
        <v>11259.713084354</v>
      </c>
      <c r="N1596" s="3" t="n">
        <f aca="false">(Tabla2[[#This Row],[Productividad (kg/TAS)]]*Tabla2[[#This Row],[Precio por kg]]-Tabla2[[#This Row],[Costos (En RD$/Tarea)]])</f>
        <v>-703.112822111511</v>
      </c>
      <c r="O1596" s="9" t="n">
        <f aca="false">IF(Tabla2[[#This Row],[Costos (En RD$/Tarea)]]=0,0,Tabla2[[#This Row],[Beneficio Neto  (En RD$/Tarea)]]/Tabla2[[#This Row],[Costos (En RD$/Tarea)]])</f>
        <v>-0.0624450034245122</v>
      </c>
      <c r="P1596" s="7" t="n">
        <f aca="false">Tabla2[[#This Row],[Rentabilidad (%)]]/12</f>
        <v>-0.00520375028537602</v>
      </c>
    </row>
    <row r="1597" customFormat="false" ht="14.25" hidden="false" customHeight="false" outlineLevel="0" collapsed="false">
      <c r="A1597" s="1" t="n">
        <v>40544</v>
      </c>
      <c r="B1597" s="2" t="s">
        <v>33</v>
      </c>
      <c r="C1597" s="3" t="n">
        <v>673917</v>
      </c>
      <c r="D1597" s="3" t="s">
        <v>31</v>
      </c>
      <c r="E1597" s="3" t="n">
        <f aca="false">IF(Tabla2[[#This Row],[Frecuencia]]="Annual", Tabla2[[#This Row],[Cosecha/Tarea]]/12,Tabla2[[#This Row],[Cosecha/Tarea]])</f>
        <v>56159.75</v>
      </c>
      <c r="F1597" s="3" t="n">
        <v>110083</v>
      </c>
      <c r="G1597" s="2" t="s">
        <v>34</v>
      </c>
      <c r="H1597" s="2" t="n">
        <f aca="false">F1597/Tabla2[[#This Row],[Cosecha Mensual]]</f>
        <v>1.96017610477255</v>
      </c>
      <c r="I1597" s="2" t="n">
        <f aca="false">H1597*_xlfn.XLOOKUP(Tabla2[[#This Row],[Unidad de producción]],Tabla3[Medida],Tabla3[Equivalencia en Kg],"ELVIS",0)</f>
        <v>800.045877162915</v>
      </c>
      <c r="J1597" s="2" t="n">
        <v>4897.48666666667</v>
      </c>
      <c r="K1597" s="2" t="s">
        <v>34</v>
      </c>
      <c r="L1597" s="2" t="n">
        <f aca="false">J1597/_xlfn.XLOOKUP(Tabla2[[#This Row],[Unidad de precio]],Tabla3[Medida],Tabla3[Equivalencia en Kg],"ELVIS",0)</f>
        <v>11.9992323083834</v>
      </c>
      <c r="M1597" s="3" t="n">
        <v>10868.0263728783</v>
      </c>
      <c r="N1597" s="3" t="n">
        <f aca="false">(Tabla2[[#This Row],[Productividad (kg/TAS)]]*Tabla2[[#This Row],[Precio por kg]]-Tabla2[[#This Row],[Costos (En RD$/Tarea)]])</f>
        <v>-1268.09003543614</v>
      </c>
      <c r="O1597" s="9" t="n">
        <f aca="false">IF(Tabla2[[#This Row],[Costos (En RD$/Tarea)]]=0,0,Tabla2[[#This Row],[Beneficio Neto  (En RD$/Tarea)]]/Tabla2[[#This Row],[Costos (En RD$/Tarea)]])</f>
        <v>-0.11668080219245</v>
      </c>
      <c r="P1597" s="7" t="n">
        <f aca="false">Tabla2[[#This Row],[Rentabilidad (%)]]/12</f>
        <v>-0.00972340018270418</v>
      </c>
    </row>
    <row r="1598" customFormat="false" ht="14.25" hidden="false" customHeight="false" outlineLevel="0" collapsed="false">
      <c r="A1598" s="1" t="n">
        <v>40575</v>
      </c>
      <c r="B1598" s="2" t="s">
        <v>16</v>
      </c>
      <c r="C1598" s="3" t="n">
        <v>7231</v>
      </c>
      <c r="D1598" s="8" t="s">
        <v>17</v>
      </c>
      <c r="E1598" s="3" t="n">
        <f aca="false">IF(Tabla2[[#This Row],[Frecuencia]]="Annual", Tabla2[[#This Row],[Cosecha/Tarea]]/12,Tabla2[[#This Row],[Cosecha/Tarea]])</f>
        <v>7231</v>
      </c>
      <c r="F1598" s="3" t="n">
        <v>18255</v>
      </c>
      <c r="G1598" s="2" t="s">
        <v>18</v>
      </c>
      <c r="H1598" s="2" t="n">
        <f aca="false">F1598/Tabla2[[#This Row],[Cosecha Mensual]]</f>
        <v>2.52454708892269</v>
      </c>
      <c r="I1598" s="2" t="n">
        <f aca="false">H1598*_xlfn.XLOOKUP(Tabla2[[#This Row],[Unidad de producción]],Tabla3[Medida],Tabla3[Equivalencia en Kg],"ELVIS",0)</f>
        <v>114.513455953533</v>
      </c>
      <c r="J1598" s="2" t="n">
        <v>1175</v>
      </c>
      <c r="K1598" s="2" t="s">
        <v>19</v>
      </c>
      <c r="L1598" s="2" t="n">
        <f aca="false">J1598/_xlfn.XLOOKUP(Tabla2[[#This Row],[Unidad de precio]],Tabla3[Medida],Tabla3[Equivalencia en Kg],"ELVIS",0)</f>
        <v>10.6818181818182</v>
      </c>
      <c r="M1598" s="2" t="n">
        <v>7569</v>
      </c>
      <c r="N1598" s="3" t="n">
        <f aca="false">(Tabla2[[#This Row],[Productividad (kg/TAS)]]*Tabla2[[#This Row],[Precio por kg]]-Tabla2[[#This Row],[Costos (En RD$/Tarea)]])</f>
        <v>-6345.78808413271</v>
      </c>
      <c r="O1598" s="9" t="n">
        <f aca="false">IF(Tabla2[[#This Row],[Costos (En RD$/Tarea)]]=0,0,Tabla2[[#This Row],[Beneficio Neto  (En RD$/Tarea)]]/Tabla2[[#This Row],[Costos (En RD$/Tarea)]])</f>
        <v>-0.838391872655927</v>
      </c>
      <c r="P1598" s="7" t="n">
        <f aca="false">Tabla2[[#This Row],[Rentabilidad (%)]]/12</f>
        <v>-0.0698659893879939</v>
      </c>
    </row>
    <row r="1599" customFormat="false" ht="14.25" hidden="false" customHeight="false" outlineLevel="0" collapsed="false">
      <c r="A1599" s="1" t="n">
        <v>40575</v>
      </c>
      <c r="B1599" s="2" t="s">
        <v>20</v>
      </c>
      <c r="C1599" s="3" t="n">
        <v>29767</v>
      </c>
      <c r="D1599" s="8" t="s">
        <v>17</v>
      </c>
      <c r="E1599" s="3" t="n">
        <f aca="false">IF(Tabla2[[#This Row],[Frecuencia]]="Annual", Tabla2[[#This Row],[Cosecha/Tarea]]/12,Tabla2[[#This Row],[Cosecha/Tarea]])</f>
        <v>29767</v>
      </c>
      <c r="F1599" s="3" t="n">
        <v>72080</v>
      </c>
      <c r="G1599" s="2" t="s">
        <v>18</v>
      </c>
      <c r="H1599" s="2" t="n">
        <f aca="false">F1599/Tabla2[[#This Row],[Cosecha Mensual]]</f>
        <v>2.42147344374643</v>
      </c>
      <c r="I1599" s="2" t="n">
        <f aca="false">H1599*_xlfn.XLOOKUP(Tabla2[[#This Row],[Unidad de producción]],Tabla3[Medida],Tabla3[Equivalencia en Kg],"ELVIS",0)</f>
        <v>109.838035408338</v>
      </c>
      <c r="J1599" s="2" t="n">
        <v>576.1036125</v>
      </c>
      <c r="K1599" s="2" t="s">
        <v>18</v>
      </c>
      <c r="L1599" s="2" t="n">
        <f aca="false">J1599/_xlfn.XLOOKUP(Tabla2[[#This Row],[Unidad de precio]],Tabla3[Medida],Tabla3[Equivalencia en Kg],"ELVIS",0)</f>
        <v>12.7006969246032</v>
      </c>
      <c r="M1599" s="2" t="n">
        <v>2249.6320342848</v>
      </c>
      <c r="N1599" s="3" t="n">
        <f aca="false">(Tabla2[[#This Row],[Productividad (kg/TAS)]]*Tabla2[[#This Row],[Precio por kg]]-Tabla2[[#This Row],[Costos (En RD$/Tarea)]])</f>
        <v>-854.612435769666</v>
      </c>
      <c r="O1599" s="9" t="n">
        <f aca="false">IF(Tabla2[[#This Row],[Costos (En RD$/Tarea)]]=0,0,Tabla2[[#This Row],[Beneficio Neto  (En RD$/Tarea)]]/Tabla2[[#This Row],[Costos (En RD$/Tarea)]])</f>
        <v>-0.379889876542127</v>
      </c>
      <c r="P1599" s="7" t="n">
        <f aca="false">Tabla2[[#This Row],[Rentabilidad (%)]]/12</f>
        <v>-0.0316574897118439</v>
      </c>
    </row>
    <row r="1600" customFormat="false" ht="14.25" hidden="false" customHeight="false" outlineLevel="0" collapsed="false">
      <c r="A1600" s="1" t="n">
        <v>40575</v>
      </c>
      <c r="B1600" s="2" t="s">
        <v>21</v>
      </c>
      <c r="C1600" s="3" t="n">
        <v>8954</v>
      </c>
      <c r="D1600" s="8" t="s">
        <v>17</v>
      </c>
      <c r="E1600" s="3" t="n">
        <f aca="false">IF(Tabla2[[#This Row],[Frecuencia]]="Annual", Tabla2[[#This Row],[Cosecha/Tarea]]/12,Tabla2[[#This Row],[Cosecha/Tarea]])</f>
        <v>8954</v>
      </c>
      <c r="F1600" s="3" t="n">
        <v>98782</v>
      </c>
      <c r="G1600" s="2" t="s">
        <v>18</v>
      </c>
      <c r="H1600" s="2" t="n">
        <f aca="false">F1600/Tabla2[[#This Row],[Cosecha Mensual]]</f>
        <v>11.0321643958008</v>
      </c>
      <c r="I1600" s="2" t="n">
        <f aca="false">H1600*_xlfn.XLOOKUP(Tabla2[[#This Row],[Unidad de producción]],Tabla3[Medida],Tabla3[Equivalencia en Kg],"ELVIS",0)</f>
        <v>500.418976993522</v>
      </c>
      <c r="J1600" s="2" t="n">
        <v>476.75</v>
      </c>
      <c r="K1600" s="2" t="s">
        <v>18</v>
      </c>
      <c r="L1600" s="2" t="n">
        <f aca="false">J1600/_xlfn.XLOOKUP(Tabla2[[#This Row],[Unidad de precio]],Tabla3[Medida],Tabla3[Equivalencia en Kg],"ELVIS",0)</f>
        <v>10.5103615520282</v>
      </c>
      <c r="M1600" s="2" t="n">
        <v>4921.44160075</v>
      </c>
      <c r="N1600" s="3" t="n">
        <f aca="false">(Tabla2[[#This Row],[Productividad (kg/TAS)]]*Tabla2[[#This Row],[Precio por kg]]-Tabla2[[#This Row],[Costos (En RD$/Tarea)]])</f>
        <v>338.142774948012</v>
      </c>
      <c r="O1600" s="9" t="n">
        <f aca="false">IF(Tabla2[[#This Row],[Costos (En RD$/Tarea)]]=0,0,Tabla2[[#This Row],[Beneficio Neto  (En RD$/Tarea)]]/Tabla2[[#This Row],[Costos (En RD$/Tarea)]])</f>
        <v>0.0687080742554134</v>
      </c>
      <c r="P1600" s="7" t="n">
        <f aca="false">Tabla2[[#This Row],[Rentabilidad (%)]]/12</f>
        <v>0.00572567285461779</v>
      </c>
    </row>
    <row r="1601" customFormat="false" ht="14.25" hidden="false" customHeight="false" outlineLevel="0" collapsed="false">
      <c r="A1601" s="1" t="n">
        <v>40575</v>
      </c>
      <c r="B1601" s="2" t="s">
        <v>22</v>
      </c>
      <c r="C1601" s="3" t="n">
        <v>10641</v>
      </c>
      <c r="D1601" s="8" t="s">
        <v>17</v>
      </c>
      <c r="E1601" s="3" t="n">
        <f aca="false">IF(Tabla2[[#This Row],[Frecuencia]]="Annual", Tabla2[[#This Row],[Cosecha/Tarea]]/12,Tabla2[[#This Row],[Cosecha/Tarea]])</f>
        <v>10641</v>
      </c>
      <c r="F1601" s="3" t="n">
        <v>83964</v>
      </c>
      <c r="G1601" s="2" t="s">
        <v>18</v>
      </c>
      <c r="H1601" s="2" t="n">
        <f aca="false">F1601/Tabla2[[#This Row],[Cosecha Mensual]]</f>
        <v>7.89061178460671</v>
      </c>
      <c r="I1601" s="2" t="n">
        <f aca="false">H1601*_xlfn.XLOOKUP(Tabla2[[#This Row],[Unidad de producción]],Tabla3[Medida],Tabla3[Equivalencia en Kg],"ELVIS",0)</f>
        <v>357.91815054976</v>
      </c>
      <c r="J1601" s="2" t="n">
        <v>1047.2</v>
      </c>
      <c r="K1601" s="2" t="s">
        <v>18</v>
      </c>
      <c r="L1601" s="2" t="n">
        <f aca="false">J1601/_xlfn.XLOOKUP(Tabla2[[#This Row],[Unidad de precio]],Tabla3[Medida],Tabla3[Equivalencia en Kg],"ELVIS",0)</f>
        <v>23.0864197530864</v>
      </c>
      <c r="M1601" s="2" t="n">
        <v>8263.3527360768</v>
      </c>
      <c r="N1601" s="3" t="n">
        <f aca="false">(Tabla2[[#This Row],[Productividad (kg/TAS)]]*Tabla2[[#This Row],[Precio por kg]]-Tabla2[[#This Row],[Costos (En RD$/Tarea)]])</f>
        <v>-0.304075236654171</v>
      </c>
      <c r="O1601" s="9" t="n">
        <f aca="false">IF(Tabla2[[#This Row],[Costos (En RD$/Tarea)]]=0,0,Tabla2[[#This Row],[Beneficio Neto  (En RD$/Tarea)]]/Tabla2[[#This Row],[Costos (En RD$/Tarea)]])</f>
        <v>-3.67980463095343E-005</v>
      </c>
      <c r="P1601" s="7" t="n">
        <f aca="false">Tabla2[[#This Row],[Rentabilidad (%)]]/12</f>
        <v>-3.06650385912786E-006</v>
      </c>
    </row>
    <row r="1602" customFormat="false" ht="14.25" hidden="false" customHeight="false" outlineLevel="0" collapsed="false">
      <c r="A1602" s="1" t="n">
        <v>40575</v>
      </c>
      <c r="B1602" s="2" t="s">
        <v>23</v>
      </c>
      <c r="C1602" s="3" t="n">
        <v>3842</v>
      </c>
      <c r="D1602" s="8" t="s">
        <v>17</v>
      </c>
      <c r="E1602" s="3" t="n">
        <f aca="false">IF(Tabla2[[#This Row],[Frecuencia]]="Annual", Tabla2[[#This Row],[Cosecha/Tarea]]/12,Tabla2[[#This Row],[Cosecha/Tarea]])</f>
        <v>3842</v>
      </c>
      <c r="F1602" s="3" t="n">
        <v>137889</v>
      </c>
      <c r="G1602" s="2" t="s">
        <v>18</v>
      </c>
      <c r="H1602" s="2" t="n">
        <f aca="false">F1602/Tabla2[[#This Row],[Cosecha Mensual]]</f>
        <v>35.8899010931806</v>
      </c>
      <c r="I1602" s="2" t="n">
        <f aca="false">H1602*_xlfn.XLOOKUP(Tabla2[[#This Row],[Unidad de producción]],Tabla3[Medida],Tabla3[Equivalencia en Kg],"ELVIS",0)</f>
        <v>1627.96591358667</v>
      </c>
      <c r="J1602" s="2" t="n">
        <v>1035</v>
      </c>
      <c r="K1602" s="2" t="s">
        <v>18</v>
      </c>
      <c r="L1602" s="2" t="n">
        <f aca="false">J1602/_xlfn.XLOOKUP(Tabla2[[#This Row],[Unidad de precio]],Tabla3[Medida],Tabla3[Equivalencia en Kg],"ELVIS",0)</f>
        <v>22.8174603174603</v>
      </c>
      <c r="M1602" s="2" t="n">
        <v>22831.198995686</v>
      </c>
      <c r="N1602" s="3" t="n">
        <f aca="false">(Tabla2[[#This Row],[Productividad (kg/TAS)]]*Tabla2[[#This Row],[Precio por kg]]-Tabla2[[#This Row],[Costos (En RD$/Tarea)]])</f>
        <v>14314.8486357559</v>
      </c>
      <c r="O1602" s="9" t="n">
        <f aca="false">IF(Tabla2[[#This Row],[Costos (En RD$/Tarea)]]=0,0,Tabla2[[#This Row],[Beneficio Neto  (En RD$/Tarea)]]/Tabla2[[#This Row],[Costos (En RD$/Tarea)]])</f>
        <v>0.626986284796553</v>
      </c>
      <c r="P1602" s="7" t="n">
        <f aca="false">Tabla2[[#This Row],[Rentabilidad (%)]]/12</f>
        <v>0.0522488570663794</v>
      </c>
    </row>
    <row r="1603" customFormat="false" ht="14.25" hidden="false" customHeight="false" outlineLevel="0" collapsed="false">
      <c r="A1603" s="1" t="n">
        <v>40575</v>
      </c>
      <c r="B1603" s="2" t="s">
        <v>24</v>
      </c>
      <c r="C1603" s="3" t="n">
        <v>7619</v>
      </c>
      <c r="D1603" s="8" t="s">
        <v>17</v>
      </c>
      <c r="E1603" s="3" t="n">
        <f aca="false">IF(Tabla2[[#This Row],[Frecuencia]]="Annual", Tabla2[[#This Row],[Cosecha/Tarea]]/12,Tabla2[[#This Row],[Cosecha/Tarea]])</f>
        <v>7619</v>
      </c>
      <c r="F1603" s="3" t="n">
        <v>64970</v>
      </c>
      <c r="G1603" s="2" t="s">
        <v>18</v>
      </c>
      <c r="H1603" s="2" t="n">
        <f aca="false">F1603/Tabla2[[#This Row],[Cosecha Mensual]]</f>
        <v>8.52736579603623</v>
      </c>
      <c r="I1603" s="2" t="n">
        <f aca="false">H1603*_xlfn.XLOOKUP(Tabla2[[#This Row],[Unidad de producción]],Tabla3[Medida],Tabla3[Equivalencia en Kg],"ELVIS",0)</f>
        <v>386.801312508203</v>
      </c>
      <c r="J1603" s="2" t="n">
        <v>1183.33333333333</v>
      </c>
      <c r="K1603" s="2" t="s">
        <v>18</v>
      </c>
      <c r="L1603" s="2" t="n">
        <f aca="false">J1603/_xlfn.XLOOKUP(Tabla2[[#This Row],[Unidad de precio]],Tabla3[Medida],Tabla3[Equivalencia en Kg],"ELVIS",0)</f>
        <v>26.0875955320399</v>
      </c>
      <c r="M1603" s="2" t="n">
        <v>6908.3833517736</v>
      </c>
      <c r="N1603" s="3" t="n">
        <f aca="false">(Tabla2[[#This Row],[Productividad (kg/TAS)]]*Tabla2[[#This Row],[Precio por kg]]-Tabla2[[#This Row],[Costos (En RD$/Tarea)]])</f>
        <v>3182.33284020257</v>
      </c>
      <c r="O1603" s="9" t="n">
        <f aca="false">IF(Tabla2[[#This Row],[Costos (En RD$/Tarea)]]=0,0,Tabla2[[#This Row],[Beneficio Neto  (En RD$/Tarea)]]/Tabla2[[#This Row],[Costos (En RD$/Tarea)]])</f>
        <v>0.460647980599624</v>
      </c>
      <c r="P1603" s="7" t="n">
        <f aca="false">Tabla2[[#This Row],[Rentabilidad (%)]]/12</f>
        <v>0.0383873317166354</v>
      </c>
    </row>
    <row r="1604" customFormat="false" ht="14.25" hidden="false" customHeight="false" outlineLevel="0" collapsed="false">
      <c r="A1604" s="1" t="n">
        <v>40575</v>
      </c>
      <c r="B1604" s="2" t="s">
        <v>25</v>
      </c>
      <c r="C1604" s="3" t="n">
        <v>68412</v>
      </c>
      <c r="D1604" s="8" t="s">
        <v>17</v>
      </c>
      <c r="E1604" s="3" t="n">
        <f aca="false">IF(Tabla2[[#This Row],[Frecuencia]]="Annual", Tabla2[[#This Row],[Cosecha/Tarea]]/12,Tabla2[[#This Row],[Cosecha/Tarea]])</f>
        <v>68412</v>
      </c>
      <c r="F1604" s="3" t="n">
        <v>515160</v>
      </c>
      <c r="G1604" s="2" t="s">
        <v>18</v>
      </c>
      <c r="H1604" s="2" t="n">
        <f aca="false">F1604/Tabla2[[#This Row],[Cosecha Mensual]]</f>
        <v>7.53025784950009</v>
      </c>
      <c r="I1604" s="2" t="n">
        <f aca="false">H1604*_xlfn.XLOOKUP(Tabla2[[#This Row],[Unidad de producción]],Tabla3[Medida],Tabla3[Equivalencia en Kg],"ELVIS",0)</f>
        <v>341.572496053324</v>
      </c>
      <c r="J1604" s="2" t="n">
        <v>369.75</v>
      </c>
      <c r="K1604" s="2" t="s">
        <v>18</v>
      </c>
      <c r="L1604" s="2" t="n">
        <f aca="false">J1604/_xlfn.XLOOKUP(Tabla2[[#This Row],[Unidad de precio]],Tabla3[Medida],Tabla3[Equivalencia en Kg],"ELVIS",0)</f>
        <v>8.15145502645503</v>
      </c>
      <c r="M1604" s="2" t="n">
        <v>4283.98894113212</v>
      </c>
      <c r="N1604" s="3" t="n">
        <f aca="false">(Tabla2[[#This Row],[Productividad (kg/TAS)]]*Tabla2[[#This Row],[Precio por kg]]-Tabla2[[#This Row],[Costos (En RD$/Tarea)]])</f>
        <v>-1499.67610127946</v>
      </c>
      <c r="O1604" s="9" t="n">
        <f aca="false">IF(Tabla2[[#This Row],[Costos (En RD$/Tarea)]]=0,0,Tabla2[[#This Row],[Beneficio Neto  (En RD$/Tarea)]]/Tabla2[[#This Row],[Costos (En RD$/Tarea)]])</f>
        <v>-0.350065353082622</v>
      </c>
      <c r="P1604" s="7" t="n">
        <f aca="false">Tabla2[[#This Row],[Rentabilidad (%)]]/12</f>
        <v>-0.0291721127568852</v>
      </c>
    </row>
    <row r="1605" customFormat="false" ht="14.25" hidden="false" customHeight="false" outlineLevel="0" collapsed="false">
      <c r="A1605" s="1" t="n">
        <v>40575</v>
      </c>
      <c r="B1605" s="2" t="s">
        <v>26</v>
      </c>
      <c r="C1605" s="3" t="n">
        <v>12016</v>
      </c>
      <c r="D1605" s="8" t="s">
        <v>17</v>
      </c>
      <c r="E1605" s="3" t="n">
        <f aca="false">IF(Tabla2[[#This Row],[Frecuencia]]="Annual", Tabla2[[#This Row],[Cosecha/Tarea]]/12,Tabla2[[#This Row],[Cosecha/Tarea]])</f>
        <v>12016</v>
      </c>
      <c r="F1605" s="3" t="n">
        <v>81703</v>
      </c>
      <c r="G1605" s="2" t="s">
        <v>18</v>
      </c>
      <c r="H1605" s="2" t="n">
        <f aca="false">F1605/Tabla2[[#This Row],[Cosecha Mensual]]</f>
        <v>6.799517310253</v>
      </c>
      <c r="I1605" s="2" t="n">
        <f aca="false">H1605*_xlfn.XLOOKUP(Tabla2[[#This Row],[Unidad de producción]],Tabla3[Medida],Tabla3[Equivalencia en Kg],"ELVIS",0)</f>
        <v>308.426105193076</v>
      </c>
      <c r="J1605" s="2" t="n">
        <v>592.5</v>
      </c>
      <c r="K1605" s="2" t="s">
        <v>18</v>
      </c>
      <c r="L1605" s="2" t="n">
        <f aca="false">J1605/_xlfn.XLOOKUP(Tabla2[[#This Row],[Unidad de precio]],Tabla3[Medida],Tabla3[Equivalencia en Kg],"ELVIS",0)</f>
        <v>13.0621693121693</v>
      </c>
      <c r="M1605" s="2" t="n">
        <v>2009.79</v>
      </c>
      <c r="N1605" s="3" t="n">
        <f aca="false">(Tabla2[[#This Row],[Productividad (kg/TAS)]]*Tabla2[[#This Row],[Precio por kg]]-Tabla2[[#This Row],[Costos (En RD$/Tarea)]])</f>
        <v>2018.9240063249</v>
      </c>
      <c r="O1605" s="9" t="n">
        <f aca="false">IF(Tabla2[[#This Row],[Costos (En RD$/Tarea)]]=0,0,Tabla2[[#This Row],[Beneficio Neto  (En RD$/Tarea)]]/Tabla2[[#This Row],[Costos (En RD$/Tarea)]])</f>
        <v>1.004544756579</v>
      </c>
      <c r="P1605" s="7" t="n">
        <f aca="false">Tabla2[[#This Row],[Rentabilidad (%)]]/12</f>
        <v>0.0837120630482496</v>
      </c>
    </row>
    <row r="1606" customFormat="false" ht="14.25" hidden="false" customHeight="false" outlineLevel="0" collapsed="false">
      <c r="A1606" s="1" t="n">
        <v>40575</v>
      </c>
      <c r="B1606" s="2" t="s">
        <v>27</v>
      </c>
      <c r="C1606" s="3" t="n">
        <v>6210</v>
      </c>
      <c r="D1606" s="8" t="s">
        <v>17</v>
      </c>
      <c r="E1606" s="3" t="n">
        <f aca="false">IF(Tabla2[[#This Row],[Frecuencia]]="Annual", Tabla2[[#This Row],[Cosecha/Tarea]]/12,Tabla2[[#This Row],[Cosecha/Tarea]])</f>
        <v>6210</v>
      </c>
      <c r="F1606" s="3" t="n">
        <v>40843</v>
      </c>
      <c r="G1606" s="2" t="s">
        <v>18</v>
      </c>
      <c r="H1606" s="2" t="n">
        <f aca="false">F1606/Tabla2[[#This Row],[Cosecha Mensual]]</f>
        <v>6.57697262479871</v>
      </c>
      <c r="I1606" s="2" t="n">
        <f aca="false">H1606*_xlfn.XLOOKUP(Tabla2[[#This Row],[Unidad de producción]],Tabla3[Medida],Tabla3[Equivalencia en Kg],"ELVIS",0)</f>
        <v>298.33147826087</v>
      </c>
      <c r="J1606" s="2" t="n">
        <v>507.608</v>
      </c>
      <c r="K1606" s="2" t="s">
        <v>18</v>
      </c>
      <c r="L1606" s="2" t="n">
        <f aca="false">J1606/_xlfn.XLOOKUP(Tabla2[[#This Row],[Unidad de precio]],Tabla3[Medida],Tabla3[Equivalencia en Kg],"ELVIS",0)</f>
        <v>11.1906525573192</v>
      </c>
      <c r="M1606" s="2" t="n">
        <v>6922.022</v>
      </c>
      <c r="N1606" s="3" t="n">
        <f aca="false">(Tabla2[[#This Row],[Productividad (kg/TAS)]]*Tabla2[[#This Row],[Precio por kg]]-Tabla2[[#This Row],[Costos (En RD$/Tarea)]])</f>
        <v>-3583.49807987118</v>
      </c>
      <c r="O1606" s="9" t="n">
        <f aca="false">IF(Tabla2[[#This Row],[Costos (En RD$/Tarea)]]=0,0,Tabla2[[#This Row],[Beneficio Neto  (En RD$/Tarea)]]/Tabla2[[#This Row],[Costos (En RD$/Tarea)]])</f>
        <v>-0.517695274570231</v>
      </c>
      <c r="P1606" s="7" t="n">
        <f aca="false">Tabla2[[#This Row],[Rentabilidad (%)]]/12</f>
        <v>-0.0431412728808525</v>
      </c>
    </row>
    <row r="1607" customFormat="false" ht="14.25" hidden="false" customHeight="false" outlineLevel="0" collapsed="false">
      <c r="A1607" s="1" t="n">
        <v>40575</v>
      </c>
      <c r="B1607" s="2" t="s">
        <v>28</v>
      </c>
      <c r="C1607" s="3" t="n">
        <v>70072</v>
      </c>
      <c r="D1607" s="8" t="s">
        <v>17</v>
      </c>
      <c r="E1607" s="3" t="n">
        <f aca="false">IF(Tabla2[[#This Row],[Frecuencia]]="Annual", Tabla2[[#This Row],[Cosecha/Tarea]]/12,Tabla2[[#This Row],[Cosecha/Tarea]])</f>
        <v>70072</v>
      </c>
      <c r="F1607" s="3" t="n">
        <v>42616</v>
      </c>
      <c r="G1607" s="2" t="s">
        <v>29</v>
      </c>
      <c r="H1607" s="2" t="n">
        <f aca="false">F1607/Tabla2[[#This Row],[Cosecha Mensual]]</f>
        <v>0.608174449138029</v>
      </c>
      <c r="I1607" s="2" t="n">
        <f aca="false">H1607*_xlfn.XLOOKUP(Tabla2[[#This Row],[Unidad de producción]],Tabla3[Medida],Tabla3[Equivalencia en Kg],"ELVIS",0)</f>
        <v>342.00081972828</v>
      </c>
      <c r="J1607" s="2" t="n">
        <v>8025</v>
      </c>
      <c r="K1607" s="2" t="s">
        <v>29</v>
      </c>
      <c r="L1607" s="2" t="n">
        <f aca="false">J1607/_xlfn.XLOOKUP(Tabla2[[#This Row],[Unidad de precio]],Tabla3[Medida],Tabla3[Equivalencia en Kg],"ELVIS",0)</f>
        <v>14.2707258953658</v>
      </c>
      <c r="M1607" s="2" t="n">
        <v>6816.05132473333</v>
      </c>
      <c r="N1607" s="3" t="n">
        <f aca="false">(Tabla2[[#This Row],[Productividad (kg/TAS)]]*Tabla2[[#This Row],[Precio por kg]]-Tabla2[[#This Row],[Costos (En RD$/Tarea)]])</f>
        <v>-1935.45137040064</v>
      </c>
      <c r="O1607" s="9" t="n">
        <f aca="false">IF(Tabla2[[#This Row],[Costos (En RD$/Tarea)]]=0,0,Tabla2[[#This Row],[Beneficio Neto  (En RD$/Tarea)]]/Tabla2[[#This Row],[Costos (En RD$/Tarea)]])</f>
        <v>-0.283954929062446</v>
      </c>
      <c r="P1607" s="7" t="n">
        <f aca="false">Tabla2[[#This Row],[Rentabilidad (%)]]/12</f>
        <v>-0.0236629107552038</v>
      </c>
    </row>
    <row r="1608" customFormat="false" ht="14.25" hidden="false" customHeight="false" outlineLevel="0" collapsed="false">
      <c r="A1608" s="1" t="n">
        <v>40575</v>
      </c>
      <c r="B1608" s="2" t="s">
        <v>30</v>
      </c>
      <c r="C1608" s="3" t="n">
        <v>335173</v>
      </c>
      <c r="D1608" s="3" t="s">
        <v>31</v>
      </c>
      <c r="E1608" s="3" t="n">
        <f aca="false">IF(Tabla2[[#This Row],[Frecuencia]]="Annual", Tabla2[[#This Row],[Cosecha/Tarea]]/12,Tabla2[[#This Row],[Cosecha/Tarea]])</f>
        <v>27931.0833333333</v>
      </c>
      <c r="F1608" s="3" t="n">
        <v>2200738</v>
      </c>
      <c r="G1608" s="2" t="s">
        <v>32</v>
      </c>
      <c r="H1608" s="2" t="n">
        <f aca="false">F1608/Tabla2[[#This Row],[Cosecha Mensual]]</f>
        <v>78.7917165165452</v>
      </c>
      <c r="I1608" s="2" t="n">
        <f aca="false">H1608*_xlfn.XLOOKUP(Tabla2[[#This Row],[Unidad de producción]],Tabla3[Medida],Tabla3[Equivalencia en Kg],"ELVIS",0)</f>
        <v>2143.9226064152</v>
      </c>
      <c r="J1608" s="2" t="n">
        <v>130.416666666667</v>
      </c>
      <c r="K1608" s="2" t="s">
        <v>32</v>
      </c>
      <c r="L1608" s="2" t="n">
        <f aca="false">J1608/_xlfn.XLOOKUP(Tabla2[[#This Row],[Unidad de precio]],Tabla3[Medida],Tabla3[Equivalencia en Kg],"ELVIS",0)</f>
        <v>4.79296827146884</v>
      </c>
      <c r="M1608" s="3" t="n">
        <v>11259.713084354</v>
      </c>
      <c r="N1608" s="3" t="n">
        <f aca="false">(Tabla2[[#This Row],[Productividad (kg/TAS)]]*Tabla2[[#This Row],[Precio por kg]]-Tabla2[[#This Row],[Costos (En RD$/Tarea)]])</f>
        <v>-983.960055321204</v>
      </c>
      <c r="O1608" s="9" t="n">
        <f aca="false">IF(Tabla2[[#This Row],[Costos (En RD$/Tarea)]]=0,0,Tabla2[[#This Row],[Beneficio Neto  (En RD$/Tarea)]]/Tabla2[[#This Row],[Costos (En RD$/Tarea)]])</f>
        <v>-0.0873876668037369</v>
      </c>
      <c r="P1608" s="7" t="n">
        <f aca="false">Tabla2[[#This Row],[Rentabilidad (%)]]/12</f>
        <v>-0.00728230556697808</v>
      </c>
    </row>
    <row r="1609" customFormat="false" ht="14.25" hidden="false" customHeight="false" outlineLevel="0" collapsed="false">
      <c r="A1609" s="1" t="n">
        <v>40575</v>
      </c>
      <c r="B1609" s="2" t="s">
        <v>33</v>
      </c>
      <c r="C1609" s="3" t="n">
        <v>690886</v>
      </c>
      <c r="D1609" s="3" t="s">
        <v>31</v>
      </c>
      <c r="E1609" s="11" t="n">
        <f aca="false">IF(Tabla2[[#This Row],[Frecuencia]]="Annual", Tabla2[[#This Row],[Cosecha/Tarea]]/12,Tabla2[[#This Row],[Cosecha/Tarea]])</f>
        <v>57573.8333333333</v>
      </c>
      <c r="F1609" s="3" t="n">
        <v>143400</v>
      </c>
      <c r="G1609" s="2" t="s">
        <v>34</v>
      </c>
      <c r="H1609" s="2" t="n">
        <f aca="false">F1609/Tabla2[[#This Row],[Cosecha Mensual]]</f>
        <v>2.4907148212585</v>
      </c>
      <c r="I1609" s="2" t="n">
        <f aca="false">H1609*_xlfn.XLOOKUP(Tabla2[[#This Row],[Unidad de producción]],Tabla3[Medida],Tabla3[Equivalencia en Kg],"ELVIS",0)</f>
        <v>1016.58525429666</v>
      </c>
      <c r="J1609" s="2" t="n">
        <v>4990</v>
      </c>
      <c r="K1609" s="2" t="s">
        <v>34</v>
      </c>
      <c r="L1609" s="2" t="n">
        <f aca="false">J1609/_xlfn.XLOOKUP(Tabla2[[#This Row],[Unidad de precio]],Tabla3[Medida],Tabla3[Equivalencia en Kg],"ELVIS",0)</f>
        <v>12.2258973416636</v>
      </c>
      <c r="M1609" s="3" t="n">
        <v>10868.0263728783</v>
      </c>
      <c r="N1609" s="3" t="n">
        <f aca="false">(Tabla2[[#This Row],[Productividad (kg/TAS)]]*Tabla2[[#This Row],[Precio por kg]]-Tabla2[[#This Row],[Costos (En RD$/Tarea)]])</f>
        <v>1560.64058520161</v>
      </c>
      <c r="O1609" s="9" t="n">
        <f aca="false">IF(Tabla2[[#This Row],[Costos (En RD$/Tarea)]]=0,0,Tabla2[[#This Row],[Beneficio Neto  (En RD$/Tarea)]]/Tabla2[[#This Row],[Costos (En RD$/Tarea)]])</f>
        <v>0.14359926371694</v>
      </c>
      <c r="P1609" s="7" t="n">
        <f aca="false">Tabla2[[#This Row],[Rentabilidad (%)]]/12</f>
        <v>0.011966605309745</v>
      </c>
    </row>
    <row r="1610" customFormat="false" ht="14.25" hidden="false" customHeight="false" outlineLevel="0" collapsed="false">
      <c r="A1610" s="1" t="n">
        <v>40603</v>
      </c>
      <c r="B1610" s="2" t="s">
        <v>16</v>
      </c>
      <c r="C1610" s="3" t="n">
        <v>5095</v>
      </c>
      <c r="D1610" s="8" t="s">
        <v>17</v>
      </c>
      <c r="E1610" s="3" t="n">
        <f aca="false">IF(Tabla2[[#This Row],[Frecuencia]]="Annual", Tabla2[[#This Row],[Cosecha/Tarea]]/12,Tabla2[[#This Row],[Cosecha/Tarea]])</f>
        <v>5095</v>
      </c>
      <c r="F1610" s="3" t="n">
        <v>19111</v>
      </c>
      <c r="G1610" s="2" t="s">
        <v>18</v>
      </c>
      <c r="H1610" s="2" t="n">
        <f aca="false">F1610/Tabla2[[#This Row],[Cosecha Mensual]]</f>
        <v>3.75093228655545</v>
      </c>
      <c r="I1610" s="2" t="n">
        <f aca="false">H1610*_xlfn.XLOOKUP(Tabla2[[#This Row],[Unidad de producción]],Tabla3[Medida],Tabla3[Equivalencia en Kg],"ELVIS",0)</f>
        <v>170.142288518155</v>
      </c>
      <c r="J1610" s="2" t="n">
        <v>1800</v>
      </c>
      <c r="K1610" s="2" t="s">
        <v>19</v>
      </c>
      <c r="L1610" s="2" t="n">
        <f aca="false">J1610/_xlfn.XLOOKUP(Tabla2[[#This Row],[Unidad de precio]],Tabla3[Medida],Tabla3[Equivalencia en Kg],"ELVIS",0)</f>
        <v>16.3636363636364</v>
      </c>
      <c r="M1610" s="2" t="n">
        <v>7569</v>
      </c>
      <c r="N1610" s="3" t="n">
        <f aca="false">(Tabla2[[#This Row],[Productividad (kg/TAS)]]*Tabla2[[#This Row],[Precio por kg]]-Tabla2[[#This Row],[Costos (En RD$/Tarea)]])</f>
        <v>-4784.85346061201</v>
      </c>
      <c r="O1610" s="9" t="n">
        <f aca="false">IF(Tabla2[[#This Row],[Costos (En RD$/Tarea)]]=0,0,Tabla2[[#This Row],[Beneficio Neto  (En RD$/Tarea)]]/Tabla2[[#This Row],[Costos (En RD$/Tarea)]])</f>
        <v>-0.632164547577224</v>
      </c>
      <c r="P1610" s="7" t="n">
        <f aca="false">Tabla2[[#This Row],[Rentabilidad (%)]]/12</f>
        <v>-0.0526803789647687</v>
      </c>
    </row>
    <row r="1611" customFormat="false" ht="14.25" hidden="false" customHeight="false" outlineLevel="0" collapsed="false">
      <c r="A1611" s="1" t="n">
        <v>40603</v>
      </c>
      <c r="B1611" s="2" t="s">
        <v>20</v>
      </c>
      <c r="C1611" s="3" t="n">
        <v>14294</v>
      </c>
      <c r="D1611" s="8" t="s">
        <v>17</v>
      </c>
      <c r="E1611" s="3" t="n">
        <f aca="false">IF(Tabla2[[#This Row],[Frecuencia]]="Annual", Tabla2[[#This Row],[Cosecha/Tarea]]/12,Tabla2[[#This Row],[Cosecha/Tarea]])</f>
        <v>14294</v>
      </c>
      <c r="F1611" s="3" t="n">
        <v>32143</v>
      </c>
      <c r="G1611" s="2" t="s">
        <v>18</v>
      </c>
      <c r="H1611" s="2" t="n">
        <f aca="false">F1611/Tabla2[[#This Row],[Cosecha Mensual]]</f>
        <v>2.24870575066461</v>
      </c>
      <c r="I1611" s="2" t="n">
        <f aca="false">H1611*_xlfn.XLOOKUP(Tabla2[[#This Row],[Unidad de producción]],Tabla3[Medida],Tabla3[Equivalencia en Kg],"ELVIS",0)</f>
        <v>102.001292850147</v>
      </c>
      <c r="J1611" s="2" t="n">
        <v>619.965</v>
      </c>
      <c r="K1611" s="2" t="s">
        <v>18</v>
      </c>
      <c r="L1611" s="2" t="n">
        <f aca="false">J1611/_xlfn.XLOOKUP(Tabla2[[#This Row],[Unidad de precio]],Tabla3[Medida],Tabla3[Equivalencia en Kg],"ELVIS",0)</f>
        <v>13.6676587301587</v>
      </c>
      <c r="M1611" s="2" t="n">
        <v>2249.6320342848</v>
      </c>
      <c r="N1611" s="3" t="n">
        <f aca="false">(Tabla2[[#This Row],[Productividad (kg/TAS)]]*Tabla2[[#This Row],[Precio por kg]]-Tabla2[[#This Row],[Costos (En RD$/Tarea)]])</f>
        <v>-855.513173574012</v>
      </c>
      <c r="O1611" s="9" t="n">
        <f aca="false">IF(Tabla2[[#This Row],[Costos (En RD$/Tarea)]]=0,0,Tabla2[[#This Row],[Beneficio Neto  (En RD$/Tarea)]]/Tabla2[[#This Row],[Costos (En RD$/Tarea)]])</f>
        <v>-0.380290269935632</v>
      </c>
      <c r="P1611" s="7" t="n">
        <f aca="false">Tabla2[[#This Row],[Rentabilidad (%)]]/12</f>
        <v>-0.0316908558279694</v>
      </c>
    </row>
    <row r="1612" customFormat="false" ht="14.25" hidden="false" customHeight="false" outlineLevel="0" collapsed="false">
      <c r="A1612" s="1" t="n">
        <v>40603</v>
      </c>
      <c r="B1612" s="2" t="s">
        <v>21</v>
      </c>
      <c r="C1612" s="3" t="n">
        <v>9164</v>
      </c>
      <c r="D1612" s="8" t="s">
        <v>17</v>
      </c>
      <c r="E1612" s="3" t="n">
        <f aca="false">IF(Tabla2[[#This Row],[Frecuencia]]="Annual", Tabla2[[#This Row],[Cosecha/Tarea]]/12,Tabla2[[#This Row],[Cosecha/Tarea]])</f>
        <v>9164</v>
      </c>
      <c r="F1612" s="3" t="n">
        <v>106841</v>
      </c>
      <c r="G1612" s="2" t="s">
        <v>18</v>
      </c>
      <c r="H1612" s="2" t="n">
        <f aca="false">F1612/Tabla2[[#This Row],[Cosecha Mensual]]</f>
        <v>11.6587734613706</v>
      </c>
      <c r="I1612" s="2" t="n">
        <f aca="false">H1612*_xlfn.XLOOKUP(Tabla2[[#This Row],[Unidad de producción]],Tabla3[Medida],Tabla3[Equivalencia en Kg],"ELVIS",0)</f>
        <v>528.84196420777</v>
      </c>
      <c r="J1612" s="2" t="n">
        <v>541.0425</v>
      </c>
      <c r="K1612" s="2" t="s">
        <v>18</v>
      </c>
      <c r="L1612" s="2" t="n">
        <f aca="false">J1612/_xlfn.XLOOKUP(Tabla2[[#This Row],[Unidad de precio]],Tabla3[Medida],Tabla3[Equivalencia en Kg],"ELVIS",0)</f>
        <v>11.9277447089947</v>
      </c>
      <c r="M1612" s="2" t="n">
        <v>4921.44160075</v>
      </c>
      <c r="N1612" s="3" t="n">
        <f aca="false">(Tabla2[[#This Row],[Productividad (kg/TAS)]]*Tabla2[[#This Row],[Precio por kg]]-Tabla2[[#This Row],[Costos (En RD$/Tarea)]])</f>
        <v>1386.45033972359</v>
      </c>
      <c r="O1612" s="9" t="n">
        <f aca="false">IF(Tabla2[[#This Row],[Costos (En RD$/Tarea)]]=0,0,Tabla2[[#This Row],[Beneficio Neto  (En RD$/Tarea)]]/Tabla2[[#This Row],[Costos (En RD$/Tarea)]])</f>
        <v>0.281716304326827</v>
      </c>
      <c r="P1612" s="7" t="n">
        <f aca="false">Tabla2[[#This Row],[Rentabilidad (%)]]/12</f>
        <v>0.0234763586939022</v>
      </c>
    </row>
    <row r="1613" customFormat="false" ht="14.25" hidden="false" customHeight="false" outlineLevel="0" collapsed="false">
      <c r="A1613" s="1" t="n">
        <v>40603</v>
      </c>
      <c r="B1613" s="2" t="s">
        <v>22</v>
      </c>
      <c r="C1613" s="3" t="n">
        <v>7978</v>
      </c>
      <c r="D1613" s="8" t="s">
        <v>17</v>
      </c>
      <c r="E1613" s="3" t="n">
        <f aca="false">IF(Tabla2[[#This Row],[Frecuencia]]="Annual", Tabla2[[#This Row],[Cosecha/Tarea]]/12,Tabla2[[#This Row],[Cosecha/Tarea]])</f>
        <v>7978</v>
      </c>
      <c r="F1613" s="3" t="n">
        <v>83878</v>
      </c>
      <c r="G1613" s="2" t="s">
        <v>18</v>
      </c>
      <c r="H1613" s="2" t="n">
        <f aca="false">F1613/Tabla2[[#This Row],[Cosecha Mensual]]</f>
        <v>10.5136625720732</v>
      </c>
      <c r="I1613" s="2" t="n">
        <f aca="false">H1613*_xlfn.XLOOKUP(Tabla2[[#This Row],[Unidad de producción]],Tabla3[Medida],Tabla3[Equivalencia en Kg],"ELVIS",0)</f>
        <v>476.89973426924</v>
      </c>
      <c r="J1613" s="2" t="n">
        <v>1188.5</v>
      </c>
      <c r="K1613" s="2" t="s">
        <v>18</v>
      </c>
      <c r="L1613" s="2" t="n">
        <f aca="false">J1613/_xlfn.XLOOKUP(Tabla2[[#This Row],[Unidad de precio]],Tabla3[Medida],Tabla3[Equivalencia en Kg],"ELVIS",0)</f>
        <v>26.2014991181658</v>
      </c>
      <c r="M1613" s="2" t="n">
        <v>8263.3527360768</v>
      </c>
      <c r="N1613" s="3" t="n">
        <f aca="false">(Tabla2[[#This Row],[Productividad (kg/TAS)]]*Tabla2[[#This Row],[Precio por kg]]-Tabla2[[#This Row],[Costos (En RD$/Tarea)]])</f>
        <v>4232.1352308322</v>
      </c>
      <c r="O1613" s="9" t="n">
        <f aca="false">IF(Tabla2[[#This Row],[Costos (En RD$/Tarea)]]=0,0,Tabla2[[#This Row],[Beneficio Neto  (En RD$/Tarea)]]/Tabla2[[#This Row],[Costos (En RD$/Tarea)]])</f>
        <v>0.512157155334203</v>
      </c>
      <c r="P1613" s="7" t="n">
        <f aca="false">Tabla2[[#This Row],[Rentabilidad (%)]]/12</f>
        <v>0.042679762944517</v>
      </c>
    </row>
    <row r="1614" customFormat="false" ht="14.25" hidden="false" customHeight="false" outlineLevel="0" collapsed="false">
      <c r="A1614" s="1" t="n">
        <v>40603</v>
      </c>
      <c r="B1614" s="2" t="s">
        <v>23</v>
      </c>
      <c r="C1614" s="3" t="n">
        <v>2528</v>
      </c>
      <c r="D1614" s="8" t="s">
        <v>17</v>
      </c>
      <c r="E1614" s="3" t="n">
        <f aca="false">IF(Tabla2[[#This Row],[Frecuencia]]="Annual", Tabla2[[#This Row],[Cosecha/Tarea]]/12,Tabla2[[#This Row],[Cosecha/Tarea]])</f>
        <v>2528</v>
      </c>
      <c r="F1614" s="3" t="n">
        <v>75998</v>
      </c>
      <c r="G1614" s="2" t="s">
        <v>18</v>
      </c>
      <c r="H1614" s="2" t="n">
        <f aca="false">F1614/Tabla2[[#This Row],[Cosecha Mensual]]</f>
        <v>30.0625</v>
      </c>
      <c r="I1614" s="2" t="n">
        <f aca="false">H1614*_xlfn.XLOOKUP(Tabla2[[#This Row],[Unidad de producción]],Tabla3[Medida],Tabla3[Equivalencia en Kg],"ELVIS",0)</f>
        <v>1363.635</v>
      </c>
      <c r="J1614" s="2" t="n">
        <v>911.25</v>
      </c>
      <c r="K1614" s="2" t="s">
        <v>18</v>
      </c>
      <c r="L1614" s="2" t="n">
        <f aca="false">J1614/_xlfn.XLOOKUP(Tabla2[[#This Row],[Unidad de precio]],Tabla3[Medida],Tabla3[Equivalencia en Kg],"ELVIS",0)</f>
        <v>20.0892857142857</v>
      </c>
      <c r="M1614" s="2" t="n">
        <v>22831.198995686</v>
      </c>
      <c r="N1614" s="3" t="n">
        <f aca="false">(Tabla2[[#This Row],[Productividad (kg/TAS)]]*Tabla2[[#This Row],[Precio por kg]]-Tabla2[[#This Row],[Costos (En RD$/Tarea)]])</f>
        <v>4563.254129314</v>
      </c>
      <c r="O1614" s="9" t="n">
        <f aca="false">IF(Tabla2[[#This Row],[Costos (En RD$/Tarea)]]=0,0,Tabla2[[#This Row],[Beneficio Neto  (En RD$/Tarea)]]/Tabla2[[#This Row],[Costos (En RD$/Tarea)]])</f>
        <v>0.199869228513852</v>
      </c>
      <c r="P1614" s="7" t="n">
        <f aca="false">Tabla2[[#This Row],[Rentabilidad (%)]]/12</f>
        <v>0.016655769042821</v>
      </c>
    </row>
    <row r="1615" customFormat="false" ht="14.25" hidden="false" customHeight="false" outlineLevel="0" collapsed="false">
      <c r="A1615" s="1" t="n">
        <v>40603</v>
      </c>
      <c r="B1615" s="2" t="s">
        <v>24</v>
      </c>
      <c r="C1615" s="3" t="n">
        <v>7719</v>
      </c>
      <c r="D1615" s="8" t="s">
        <v>17</v>
      </c>
      <c r="E1615" s="3" t="n">
        <f aca="false">IF(Tabla2[[#This Row],[Frecuencia]]="Annual", Tabla2[[#This Row],[Cosecha/Tarea]]/12,Tabla2[[#This Row],[Cosecha/Tarea]])</f>
        <v>7719</v>
      </c>
      <c r="F1615" s="3" t="n">
        <v>67236</v>
      </c>
      <c r="G1615" s="2" t="s">
        <v>18</v>
      </c>
      <c r="H1615" s="2" t="n">
        <f aca="false">F1615/Tabla2[[#This Row],[Cosecha Mensual]]</f>
        <v>8.71045472211426</v>
      </c>
      <c r="I1615" s="2" t="n">
        <f aca="false">H1615*_xlfn.XLOOKUP(Tabla2[[#This Row],[Unidad de producción]],Tabla3[Medida],Tabla3[Equivalencia en Kg],"ELVIS",0)</f>
        <v>395.106226195103</v>
      </c>
      <c r="J1615" s="2" t="n">
        <v>1115.325</v>
      </c>
      <c r="K1615" s="2" t="s">
        <v>18</v>
      </c>
      <c r="L1615" s="2" t="n">
        <f aca="false">J1615/_xlfn.XLOOKUP(Tabla2[[#This Row],[Unidad de precio]],Tabla3[Medida],Tabla3[Equivalencia en Kg],"ELVIS",0)</f>
        <v>24.5882936507937</v>
      </c>
      <c r="M1615" s="2" t="n">
        <v>6908.3833517736</v>
      </c>
      <c r="N1615" s="3" t="n">
        <f aca="false">(Tabla2[[#This Row],[Productividad (kg/TAS)]]*Tabla2[[#This Row],[Precio por kg]]-Tabla2[[#This Row],[Costos (En RD$/Tarea)]])</f>
        <v>2806.60456116849</v>
      </c>
      <c r="O1615" s="9" t="n">
        <f aca="false">IF(Tabla2[[#This Row],[Costos (En RD$/Tarea)]]=0,0,Tabla2[[#This Row],[Beneficio Neto  (En RD$/Tarea)]]/Tabla2[[#This Row],[Costos (En RD$/Tarea)]])</f>
        <v>0.406260686220887</v>
      </c>
      <c r="P1615" s="7" t="n">
        <f aca="false">Tabla2[[#This Row],[Rentabilidad (%)]]/12</f>
        <v>0.0338550571850739</v>
      </c>
    </row>
    <row r="1616" customFormat="false" ht="14.25" hidden="false" customHeight="false" outlineLevel="0" collapsed="false">
      <c r="A1616" s="1" t="n">
        <v>40603</v>
      </c>
      <c r="B1616" s="2" t="s">
        <v>25</v>
      </c>
      <c r="C1616" s="3" t="n">
        <v>26508</v>
      </c>
      <c r="D1616" s="8" t="s">
        <v>17</v>
      </c>
      <c r="E1616" s="3" t="n">
        <f aca="false">IF(Tabla2[[#This Row],[Frecuencia]]="Annual", Tabla2[[#This Row],[Cosecha/Tarea]]/12,Tabla2[[#This Row],[Cosecha/Tarea]])</f>
        <v>26508</v>
      </c>
      <c r="F1616" s="3" t="n">
        <v>269801</v>
      </c>
      <c r="G1616" s="2" t="s">
        <v>18</v>
      </c>
      <c r="H1616" s="2" t="n">
        <f aca="false">F1616/Tabla2[[#This Row],[Cosecha Mensual]]</f>
        <v>10.1780971782104</v>
      </c>
      <c r="I1616" s="2" t="n">
        <f aca="false">H1616*_xlfn.XLOOKUP(Tabla2[[#This Row],[Unidad de producción]],Tabla3[Medida],Tabla3[Equivalencia en Kg],"ELVIS",0)</f>
        <v>461.678488003622</v>
      </c>
      <c r="J1616" s="2" t="n">
        <v>421.113</v>
      </c>
      <c r="K1616" s="2" t="s">
        <v>18</v>
      </c>
      <c r="L1616" s="2" t="n">
        <f aca="false">J1616/_xlfn.XLOOKUP(Tabla2[[#This Row],[Unidad de precio]],Tabla3[Medida],Tabla3[Equivalencia en Kg],"ELVIS",0)</f>
        <v>9.2837962962963</v>
      </c>
      <c r="M1616" s="2" t="n">
        <v>4283.98894113212</v>
      </c>
      <c r="N1616" s="3" t="n">
        <f aca="false">(Tabla2[[#This Row],[Productividad (kg/TAS)]]*Tabla2[[#This Row],[Precio por kg]]-Tabla2[[#This Row],[Costos (En RD$/Tarea)]])</f>
        <v>2.14009587557575</v>
      </c>
      <c r="O1616" s="9" t="n">
        <f aca="false">IF(Tabla2[[#This Row],[Costos (En RD$/Tarea)]]=0,0,Tabla2[[#This Row],[Beneficio Neto  (En RD$/Tarea)]]/Tabla2[[#This Row],[Costos (En RD$/Tarea)]])</f>
        <v>0.000499556816085103</v>
      </c>
      <c r="P1616" s="7" t="n">
        <f aca="false">Tabla2[[#This Row],[Rentabilidad (%)]]/12</f>
        <v>4.16297346737586E-005</v>
      </c>
    </row>
    <row r="1617" customFormat="false" ht="14.25" hidden="false" customHeight="false" outlineLevel="0" collapsed="false">
      <c r="A1617" s="1" t="n">
        <v>40603</v>
      </c>
      <c r="B1617" s="2" t="s">
        <v>26</v>
      </c>
      <c r="C1617" s="3" t="n">
        <v>13240</v>
      </c>
      <c r="D1617" s="8" t="s">
        <v>17</v>
      </c>
      <c r="E1617" s="3" t="n">
        <f aca="false">IF(Tabla2[[#This Row],[Frecuencia]]="Annual", Tabla2[[#This Row],[Cosecha/Tarea]]/12,Tabla2[[#This Row],[Cosecha/Tarea]])</f>
        <v>13240</v>
      </c>
      <c r="F1617" s="3" t="n">
        <v>91668</v>
      </c>
      <c r="G1617" s="2" t="s">
        <v>18</v>
      </c>
      <c r="H1617" s="2" t="n">
        <f aca="false">F1617/Tabla2[[#This Row],[Cosecha Mensual]]</f>
        <v>6.92356495468278</v>
      </c>
      <c r="I1617" s="2" t="n">
        <f aca="false">H1617*_xlfn.XLOOKUP(Tabla2[[#This Row],[Unidad de producción]],Tabla3[Medida],Tabla3[Equivalencia en Kg],"ELVIS",0)</f>
        <v>314.052906344411</v>
      </c>
      <c r="J1617" s="2" t="n">
        <v>643.884</v>
      </c>
      <c r="K1617" s="2" t="s">
        <v>18</v>
      </c>
      <c r="L1617" s="2" t="n">
        <f aca="false">J1617/_xlfn.XLOOKUP(Tabla2[[#This Row],[Unidad de precio]],Tabla3[Medida],Tabla3[Equivalencia en Kg],"ELVIS",0)</f>
        <v>14.1949735449735</v>
      </c>
      <c r="M1617" s="2" t="n">
        <v>2009.79</v>
      </c>
      <c r="N1617" s="3" t="n">
        <f aca="false">(Tabla2[[#This Row],[Productividad (kg/TAS)]]*Tabla2[[#This Row],[Precio por kg]]-Tabla2[[#This Row],[Costos (En RD$/Tarea)]])</f>
        <v>2448.18269728097</v>
      </c>
      <c r="O1617" s="9" t="n">
        <f aca="false">IF(Tabla2[[#This Row],[Costos (En RD$/Tarea)]]=0,0,Tabla2[[#This Row],[Beneficio Neto  (En RD$/Tarea)]]/Tabla2[[#This Row],[Costos (En RD$/Tarea)]])</f>
        <v>1.21812860909894</v>
      </c>
      <c r="P1617" s="7" t="n">
        <f aca="false">Tabla2[[#This Row],[Rentabilidad (%)]]/12</f>
        <v>0.101510717424912</v>
      </c>
    </row>
    <row r="1618" customFormat="false" ht="14.25" hidden="false" customHeight="false" outlineLevel="0" collapsed="false">
      <c r="A1618" s="1" t="n">
        <v>40603</v>
      </c>
      <c r="B1618" s="2" t="s">
        <v>27</v>
      </c>
      <c r="C1618" s="3" t="n">
        <v>6468</v>
      </c>
      <c r="D1618" s="8" t="s">
        <v>17</v>
      </c>
      <c r="E1618" s="3" t="n">
        <f aca="false">IF(Tabla2[[#This Row],[Frecuencia]]="Annual", Tabla2[[#This Row],[Cosecha/Tarea]]/12,Tabla2[[#This Row],[Cosecha/Tarea]])</f>
        <v>6468</v>
      </c>
      <c r="F1618" s="3" t="n">
        <v>44876</v>
      </c>
      <c r="G1618" s="2" t="s">
        <v>18</v>
      </c>
      <c r="H1618" s="2" t="n">
        <f aca="false">F1618/Tabla2[[#This Row],[Cosecha Mensual]]</f>
        <v>6.93815708101422</v>
      </c>
      <c r="I1618" s="2" t="n">
        <f aca="false">H1618*_xlfn.XLOOKUP(Tabla2[[#This Row],[Unidad de producción]],Tabla3[Medida],Tabla3[Equivalencia en Kg],"ELVIS",0)</f>
        <v>314.714805194805</v>
      </c>
      <c r="J1618" s="2" t="n">
        <v>485.7544</v>
      </c>
      <c r="K1618" s="2" t="s">
        <v>18</v>
      </c>
      <c r="L1618" s="2" t="n">
        <f aca="false">J1618/_xlfn.XLOOKUP(Tabla2[[#This Row],[Unidad de precio]],Tabla3[Medida],Tabla3[Equivalencia en Kg],"ELVIS",0)</f>
        <v>10.7088712522046</v>
      </c>
      <c r="M1618" s="2" t="n">
        <v>6922.022</v>
      </c>
      <c r="N1618" s="3" t="n">
        <f aca="false">(Tabla2[[#This Row],[Productividad (kg/TAS)]]*Tabla2[[#This Row],[Precio por kg]]-Tabla2[[#This Row],[Costos (En RD$/Tarea)]])</f>
        <v>-3551.78167000618</v>
      </c>
      <c r="O1618" s="9" t="n">
        <f aca="false">IF(Tabla2[[#This Row],[Costos (En RD$/Tarea)]]=0,0,Tabla2[[#This Row],[Beneficio Neto  (En RD$/Tarea)]]/Tabla2[[#This Row],[Costos (En RD$/Tarea)]])</f>
        <v>-0.513113317179024</v>
      </c>
      <c r="P1618" s="7" t="n">
        <f aca="false">Tabla2[[#This Row],[Rentabilidad (%)]]/12</f>
        <v>-0.042759443098252</v>
      </c>
    </row>
    <row r="1619" customFormat="false" ht="14.25" hidden="false" customHeight="false" outlineLevel="0" collapsed="false">
      <c r="A1619" s="1" t="n">
        <v>40603</v>
      </c>
      <c r="B1619" s="2" t="s">
        <v>28</v>
      </c>
      <c r="C1619" s="3" t="n">
        <v>58987</v>
      </c>
      <c r="D1619" s="8" t="s">
        <v>17</v>
      </c>
      <c r="E1619" s="3" t="n">
        <f aca="false">IF(Tabla2[[#This Row],[Frecuencia]]="Annual", Tabla2[[#This Row],[Cosecha/Tarea]]/12,Tabla2[[#This Row],[Cosecha/Tarea]])</f>
        <v>58987</v>
      </c>
      <c r="F1619" s="3" t="n">
        <v>37350</v>
      </c>
      <c r="G1619" s="2" t="s">
        <v>29</v>
      </c>
      <c r="H1619" s="2" t="n">
        <f aca="false">F1619/Tabla2[[#This Row],[Cosecha Mensual]]</f>
        <v>0.633190363978504</v>
      </c>
      <c r="I1619" s="2" t="n">
        <f aca="false">H1619*_xlfn.XLOOKUP(Tabla2[[#This Row],[Unidad de producción]],Tabla3[Medida],Tabla3[Equivalencia en Kg],"ELVIS",0)</f>
        <v>356.068269279672</v>
      </c>
      <c r="J1619" s="2" t="n">
        <v>8000</v>
      </c>
      <c r="K1619" s="2" t="s">
        <v>29</v>
      </c>
      <c r="L1619" s="2" t="n">
        <f aca="false">J1619/_xlfn.XLOOKUP(Tabla2[[#This Row],[Unidad de precio]],Tabla3[Medida],Tabla3[Equivalencia en Kg],"ELVIS",0)</f>
        <v>14.2262688053491</v>
      </c>
      <c r="M1619" s="2" t="n">
        <v>6816.05132473333</v>
      </c>
      <c r="N1619" s="3" t="n">
        <f aca="false">(Tabla2[[#This Row],[Productividad (kg/TAS)]]*Tabla2[[#This Row],[Precio por kg]]-Tabla2[[#This Row],[Costos (En RD$/Tarea)]])</f>
        <v>-1750.5284129053</v>
      </c>
      <c r="O1619" s="9" t="n">
        <f aca="false">IF(Tabla2[[#This Row],[Costos (En RD$/Tarea)]]=0,0,Tabla2[[#This Row],[Beneficio Neto  (En RD$/Tarea)]]/Tabla2[[#This Row],[Costos (En RD$/Tarea)]])</f>
        <v>-0.25682441776123</v>
      </c>
      <c r="P1619" s="7" t="n">
        <f aca="false">Tabla2[[#This Row],[Rentabilidad (%)]]/12</f>
        <v>-0.0214020348134359</v>
      </c>
    </row>
    <row r="1620" customFormat="false" ht="14.25" hidden="false" customHeight="false" outlineLevel="0" collapsed="false">
      <c r="A1620" s="1" t="n">
        <v>40603</v>
      </c>
      <c r="B1620" s="2" t="s">
        <v>30</v>
      </c>
      <c r="C1620" s="3" t="n">
        <v>355438</v>
      </c>
      <c r="D1620" s="3" t="s">
        <v>31</v>
      </c>
      <c r="E1620" s="3" t="n">
        <f aca="false">IF(Tabla2[[#This Row],[Frecuencia]]="Annual", Tabla2[[#This Row],[Cosecha/Tarea]]/12,Tabla2[[#This Row],[Cosecha/Tarea]])</f>
        <v>29619.8333333333</v>
      </c>
      <c r="F1620" s="3" t="n">
        <v>2263180</v>
      </c>
      <c r="G1620" s="2" t="s">
        <v>32</v>
      </c>
      <c r="H1620" s="2" t="n">
        <f aca="false">F1620/Tabla2[[#This Row],[Cosecha Mensual]]</f>
        <v>76.4075872585374</v>
      </c>
      <c r="I1620" s="2" t="n">
        <f aca="false">H1620*_xlfn.XLOOKUP(Tabla2[[#This Row],[Unidad de producción]],Tabla3[Medida],Tabla3[Equivalencia en Kg],"ELVIS",0)</f>
        <v>2079.0504493048</v>
      </c>
      <c r="J1620" s="2" t="n">
        <v>113.85</v>
      </c>
      <c r="K1620" s="2" t="s">
        <v>32</v>
      </c>
      <c r="L1620" s="2" t="n">
        <f aca="false">J1620/_xlfn.XLOOKUP(Tabla2[[#This Row],[Unidad de precio]],Tabla3[Medida],Tabla3[Equivalencia en Kg],"ELVIS",0)</f>
        <v>4.18412348401323</v>
      </c>
      <c r="M1620" s="3" t="n">
        <v>11259.713084354</v>
      </c>
      <c r="N1620" s="3" t="n">
        <f aca="false">(Tabla2[[#This Row],[Productividad (kg/TAS)]]*Tabla2[[#This Row],[Precio por kg]]-Tabla2[[#This Row],[Costos (En RD$/Tarea)]])</f>
        <v>-2560.70927496952</v>
      </c>
      <c r="O1620" s="9" t="n">
        <f aca="false">IF(Tabla2[[#This Row],[Costos (En RD$/Tarea)]]=0,0,Tabla2[[#This Row],[Beneficio Neto  (En RD$/Tarea)]]/Tabla2[[#This Row],[Costos (En RD$/Tarea)]])</f>
        <v>-0.227422249198141</v>
      </c>
      <c r="P1620" s="7" t="n">
        <f aca="false">Tabla2[[#This Row],[Rentabilidad (%)]]/12</f>
        <v>-0.0189518540998451</v>
      </c>
    </row>
    <row r="1621" customFormat="false" ht="14.25" hidden="false" customHeight="false" outlineLevel="0" collapsed="false">
      <c r="A1621" s="1" t="n">
        <v>40603</v>
      </c>
      <c r="B1621" s="2" t="s">
        <v>33</v>
      </c>
      <c r="C1621" s="3" t="n">
        <v>672241</v>
      </c>
      <c r="D1621" s="3" t="s">
        <v>31</v>
      </c>
      <c r="E1621" s="11" t="n">
        <f aca="false">IF(Tabla2[[#This Row],[Frecuencia]]="Annual", Tabla2[[#This Row],[Cosecha/Tarea]]/12,Tabla2[[#This Row],[Cosecha/Tarea]])</f>
        <v>56020.0833333333</v>
      </c>
      <c r="F1621" s="3" t="n">
        <v>141162</v>
      </c>
      <c r="G1621" s="2" t="s">
        <v>34</v>
      </c>
      <c r="H1621" s="2" t="n">
        <f aca="false">F1621/Tabla2[[#This Row],[Cosecha Mensual]]</f>
        <v>2.51984630511974</v>
      </c>
      <c r="I1621" s="2" t="n">
        <f aca="false">H1621*_xlfn.XLOOKUP(Tabla2[[#This Row],[Unidad de producción]],Tabla3[Medida],Tabla3[Equivalencia en Kg],"ELVIS",0)</f>
        <v>1028.47526943462</v>
      </c>
      <c r="J1621" s="2" t="n">
        <v>4680.08333333333</v>
      </c>
      <c r="K1621" s="2" t="s">
        <v>34</v>
      </c>
      <c r="L1621" s="2" t="n">
        <f aca="false">J1621/_xlfn.XLOOKUP(Tabla2[[#This Row],[Unidad de precio]],Tabla3[Medida],Tabla3[Equivalencia en Kg],"ELVIS",0)</f>
        <v>11.4665768304136</v>
      </c>
      <c r="M1621" s="3" t="n">
        <v>10868.0263728783</v>
      </c>
      <c r="N1621" s="3" t="n">
        <f aca="false">(Tabla2[[#This Row],[Productividad (kg/TAS)]]*Tabla2[[#This Row],[Precio por kg]]-Tabla2[[#This Row],[Costos (En RD$/Tarea)]])</f>
        <v>925.064322274176</v>
      </c>
      <c r="O1621" s="9" t="n">
        <f aca="false">IF(Tabla2[[#This Row],[Costos (En RD$/Tarea)]]=0,0,Tabla2[[#This Row],[Beneficio Neto  (En RD$/Tarea)]]/Tabla2[[#This Row],[Costos (En RD$/Tarea)]])</f>
        <v>0.0851179681144978</v>
      </c>
      <c r="P1621" s="7" t="n">
        <f aca="false">Tabla2[[#This Row],[Rentabilidad (%)]]/12</f>
        <v>0.00709316400954149</v>
      </c>
    </row>
    <row r="1622" customFormat="false" ht="14.25" hidden="false" customHeight="false" outlineLevel="0" collapsed="false">
      <c r="A1622" s="1" t="n">
        <v>40634</v>
      </c>
      <c r="B1622" s="2" t="s">
        <v>16</v>
      </c>
      <c r="C1622" s="3" t="n">
        <v>139719</v>
      </c>
      <c r="D1622" s="8" t="s">
        <v>17</v>
      </c>
      <c r="E1622" s="3" t="n">
        <f aca="false">IF(Tabla2[[#This Row],[Frecuencia]]="Annual", Tabla2[[#This Row],[Cosecha/Tarea]]/12,Tabla2[[#This Row],[Cosecha/Tarea]])</f>
        <v>139719</v>
      </c>
      <c r="F1622" s="3" t="n">
        <v>647357</v>
      </c>
      <c r="G1622" s="2" t="s">
        <v>18</v>
      </c>
      <c r="H1622" s="2" t="n">
        <f aca="false">F1622/Tabla2[[#This Row],[Cosecha Mensual]]</f>
        <v>4.63327822271846</v>
      </c>
      <c r="I1622" s="2" t="n">
        <f aca="false">H1622*_xlfn.XLOOKUP(Tabla2[[#This Row],[Unidad de producción]],Tabla3[Medida],Tabla3[Equivalencia en Kg],"ELVIS",0)</f>
        <v>210.165500182509</v>
      </c>
      <c r="J1622" s="2" t="n">
        <v>1916.66666666667</v>
      </c>
      <c r="K1622" s="2" t="s">
        <v>19</v>
      </c>
      <c r="L1622" s="2" t="n">
        <f aca="false">J1622/_xlfn.XLOOKUP(Tabla2[[#This Row],[Unidad de precio]],Tabla3[Medida],Tabla3[Equivalencia en Kg],"ELVIS",0)</f>
        <v>17.4242424242425</v>
      </c>
      <c r="M1622" s="2" t="n">
        <v>7569</v>
      </c>
      <c r="N1622" s="3" t="n">
        <f aca="false">(Tabla2[[#This Row],[Productividad (kg/TAS)]]*Tabla2[[#This Row],[Precio por kg]]-Tabla2[[#This Row],[Costos (En RD$/Tarea)]])</f>
        <v>-3907.02537560779</v>
      </c>
      <c r="O1622" s="9" t="n">
        <f aca="false">IF(Tabla2[[#This Row],[Costos (En RD$/Tarea)]]=0,0,Tabla2[[#This Row],[Beneficio Neto  (En RD$/Tarea)]]/Tabla2[[#This Row],[Costos (En RD$/Tarea)]])</f>
        <v>-0.516187789088095</v>
      </c>
      <c r="P1622" s="7" t="n">
        <f aca="false">Tabla2[[#This Row],[Rentabilidad (%)]]/12</f>
        <v>-0.0430156490906746</v>
      </c>
    </row>
    <row r="1623" customFormat="false" ht="14.25" hidden="false" customHeight="false" outlineLevel="0" collapsed="false">
      <c r="A1623" s="1" t="n">
        <v>40634</v>
      </c>
      <c r="B1623" s="2" t="s">
        <v>20</v>
      </c>
      <c r="C1623" s="3" t="n">
        <v>31820</v>
      </c>
      <c r="D1623" s="8" t="s">
        <v>17</v>
      </c>
      <c r="E1623" s="3" t="n">
        <f aca="false">IF(Tabla2[[#This Row],[Frecuencia]]="Annual", Tabla2[[#This Row],[Cosecha/Tarea]]/12,Tabla2[[#This Row],[Cosecha/Tarea]])</f>
        <v>31820</v>
      </c>
      <c r="F1623" s="3" t="n">
        <v>83029</v>
      </c>
      <c r="G1623" s="2" t="s">
        <v>18</v>
      </c>
      <c r="H1623" s="2" t="n">
        <f aca="false">F1623/Tabla2[[#This Row],[Cosecha Mensual]]</f>
        <v>2.60933375235701</v>
      </c>
      <c r="I1623" s="2" t="n">
        <f aca="false">H1623*_xlfn.XLOOKUP(Tabla2[[#This Row],[Unidad de producción]],Tabla3[Medida],Tabla3[Equivalencia en Kg],"ELVIS",0)</f>
        <v>118.359379006914</v>
      </c>
      <c r="J1623" s="2" t="n">
        <v>695.833333333333</v>
      </c>
      <c r="K1623" s="2" t="s">
        <v>18</v>
      </c>
      <c r="L1623" s="2" t="n">
        <f aca="false">J1623/_xlfn.XLOOKUP(Tabla2[[#This Row],[Unidad de precio]],Tabla3[Medida],Tabla3[Equivalencia en Kg],"ELVIS",0)</f>
        <v>15.3402410346855</v>
      </c>
      <c r="M1623" s="2" t="n">
        <v>2249.6320342848</v>
      </c>
      <c r="N1623" s="3" t="n">
        <f aca="false">(Tabla2[[#This Row],[Productividad (kg/TAS)]]*Tabla2[[#This Row],[Precio por kg]]-Tabla2[[#This Row],[Costos (En RD$/Tarea)]])</f>
        <v>-433.970631603049</v>
      </c>
      <c r="O1623" s="9" t="n">
        <f aca="false">IF(Tabla2[[#This Row],[Costos (En RD$/Tarea)]]=0,0,Tabla2[[#This Row],[Beneficio Neto  (En RD$/Tarea)]]/Tabla2[[#This Row],[Costos (En RD$/Tarea)]])</f>
        <v>-0.192907384402986</v>
      </c>
      <c r="P1623" s="7" t="n">
        <f aca="false">Tabla2[[#This Row],[Rentabilidad (%)]]/12</f>
        <v>-0.0160756153669155</v>
      </c>
    </row>
    <row r="1624" customFormat="false" ht="14.25" hidden="false" customHeight="false" outlineLevel="0" collapsed="false">
      <c r="A1624" s="1" t="n">
        <v>40634</v>
      </c>
      <c r="B1624" s="2" t="s">
        <v>21</v>
      </c>
      <c r="C1624" s="3" t="n">
        <v>7848</v>
      </c>
      <c r="D1624" s="8" t="s">
        <v>17</v>
      </c>
      <c r="E1624" s="3" t="n">
        <f aca="false">IF(Tabla2[[#This Row],[Frecuencia]]="Annual", Tabla2[[#This Row],[Cosecha/Tarea]]/12,Tabla2[[#This Row],[Cosecha/Tarea]])</f>
        <v>7848</v>
      </c>
      <c r="F1624" s="3" t="n">
        <v>67944</v>
      </c>
      <c r="G1624" s="2" t="s">
        <v>18</v>
      </c>
      <c r="H1624" s="2" t="n">
        <f aca="false">F1624/Tabla2[[#This Row],[Cosecha Mensual]]</f>
        <v>8.65749235474006</v>
      </c>
      <c r="I1624" s="2" t="n">
        <f aca="false">H1624*_xlfn.XLOOKUP(Tabla2[[#This Row],[Unidad de producción]],Tabla3[Medida],Tabla3[Equivalencia en Kg],"ELVIS",0)</f>
        <v>392.703853211009</v>
      </c>
      <c r="J1624" s="2" t="n">
        <v>479.296875</v>
      </c>
      <c r="K1624" s="2" t="s">
        <v>18</v>
      </c>
      <c r="L1624" s="2" t="n">
        <f aca="false">J1624/_xlfn.XLOOKUP(Tabla2[[#This Row],[Unidad de precio]],Tabla3[Medida],Tabla3[Equivalencia en Kg],"ELVIS",0)</f>
        <v>10.5665095899471</v>
      </c>
      <c r="M1624" s="2" t="n">
        <v>4921.44160075</v>
      </c>
      <c r="N1624" s="3" t="n">
        <f aca="false">(Tabla2[[#This Row],[Productividad (kg/TAS)]]*Tabla2[[#This Row],[Precio por kg]]-Tabla2[[#This Row],[Costos (En RD$/Tarea)]])</f>
        <v>-771.932569786697</v>
      </c>
      <c r="O1624" s="9" t="n">
        <f aca="false">IF(Tabla2[[#This Row],[Costos (En RD$/Tarea)]]=0,0,Tabla2[[#This Row],[Beneficio Neto  (En RD$/Tarea)]]/Tabla2[[#This Row],[Costos (En RD$/Tarea)]])</f>
        <v>-0.15685090516345</v>
      </c>
      <c r="P1624" s="7" t="n">
        <f aca="false">Tabla2[[#This Row],[Rentabilidad (%)]]/12</f>
        <v>-0.0130709087636209</v>
      </c>
    </row>
    <row r="1625" customFormat="false" ht="14.25" hidden="false" customHeight="false" outlineLevel="0" collapsed="false">
      <c r="A1625" s="1" t="n">
        <v>40634</v>
      </c>
      <c r="B1625" s="2" t="s">
        <v>22</v>
      </c>
      <c r="C1625" s="3" t="n">
        <v>5571</v>
      </c>
      <c r="D1625" s="8" t="s">
        <v>17</v>
      </c>
      <c r="E1625" s="3" t="n">
        <f aca="false">IF(Tabla2[[#This Row],[Frecuencia]]="Annual", Tabla2[[#This Row],[Cosecha/Tarea]]/12,Tabla2[[#This Row],[Cosecha/Tarea]])</f>
        <v>5571</v>
      </c>
      <c r="F1625" s="3" t="n">
        <v>53666</v>
      </c>
      <c r="G1625" s="2" t="s">
        <v>18</v>
      </c>
      <c r="H1625" s="2" t="n">
        <f aca="false">F1625/Tabla2[[#This Row],[Cosecha Mensual]]</f>
        <v>9.6330999820499</v>
      </c>
      <c r="I1625" s="2" t="n">
        <f aca="false">H1625*_xlfn.XLOOKUP(Tabla2[[#This Row],[Unidad de producción]],Tabla3[Medida],Tabla3[Equivalencia en Kg],"ELVIS",0)</f>
        <v>436.957415185784</v>
      </c>
      <c r="J1625" s="2" t="n">
        <v>1039.125</v>
      </c>
      <c r="K1625" s="2" t="s">
        <v>18</v>
      </c>
      <c r="L1625" s="2" t="n">
        <f aca="false">J1625/_xlfn.XLOOKUP(Tabla2[[#This Row],[Unidad de precio]],Tabla3[Medida],Tabla3[Equivalencia en Kg],"ELVIS",0)</f>
        <v>22.9083994708995</v>
      </c>
      <c r="M1625" s="2" t="n">
        <v>8263.3527360768</v>
      </c>
      <c r="N1625" s="3" t="n">
        <f aca="false">(Tabla2[[#This Row],[Productividad (kg/TAS)]]*Tabla2[[#This Row],[Precio por kg]]-Tabla2[[#This Row],[Costos (En RD$/Tarea)]])</f>
        <v>1746.6422827708</v>
      </c>
      <c r="O1625" s="9" t="n">
        <f aca="false">IF(Tabla2[[#This Row],[Costos (En RD$/Tarea)]]=0,0,Tabla2[[#This Row],[Beneficio Neto  (En RD$/Tarea)]]/Tabla2[[#This Row],[Costos (En RD$/Tarea)]])</f>
        <v>0.211372107491572</v>
      </c>
      <c r="P1625" s="7" t="n">
        <f aca="false">Tabla2[[#This Row],[Rentabilidad (%)]]/12</f>
        <v>0.0176143422909644</v>
      </c>
    </row>
    <row r="1626" customFormat="false" ht="14.25" hidden="false" customHeight="false" outlineLevel="0" collapsed="false">
      <c r="A1626" s="1" t="n">
        <v>40634</v>
      </c>
      <c r="B1626" s="2" t="s">
        <v>23</v>
      </c>
      <c r="C1626" s="3" t="n">
        <v>4745</v>
      </c>
      <c r="D1626" s="8" t="s">
        <v>17</v>
      </c>
      <c r="E1626" s="3" t="n">
        <f aca="false">IF(Tabla2[[#This Row],[Frecuencia]]="Annual", Tabla2[[#This Row],[Cosecha/Tarea]]/12,Tabla2[[#This Row],[Cosecha/Tarea]])</f>
        <v>4745</v>
      </c>
      <c r="F1626" s="3" t="n">
        <v>119524</v>
      </c>
      <c r="G1626" s="2" t="s">
        <v>18</v>
      </c>
      <c r="H1626" s="2" t="n">
        <f aca="false">F1626/Tabla2[[#This Row],[Cosecha Mensual]]</f>
        <v>25.1894625922023</v>
      </c>
      <c r="I1626" s="2" t="n">
        <f aca="false">H1626*_xlfn.XLOOKUP(Tabla2[[#This Row],[Unidad de producción]],Tabla3[Medida],Tabla3[Equivalencia en Kg],"ELVIS",0)</f>
        <v>1142.5940231823</v>
      </c>
      <c r="J1626" s="2" t="n">
        <v>987.5</v>
      </c>
      <c r="K1626" s="2" t="s">
        <v>18</v>
      </c>
      <c r="L1626" s="2" t="n">
        <f aca="false">J1626/_xlfn.XLOOKUP(Tabla2[[#This Row],[Unidad de precio]],Tabla3[Medida],Tabla3[Equivalencia en Kg],"ELVIS",0)</f>
        <v>21.7702821869489</v>
      </c>
      <c r="M1626" s="2" t="n">
        <v>22831.198995686</v>
      </c>
      <c r="N1626" s="3" t="n">
        <f aca="false">(Tabla2[[#This Row],[Productividad (kg/TAS)]]*Tabla2[[#This Row],[Precio por kg]]-Tabla2[[#This Row],[Costos (En RD$/Tarea)]])</f>
        <v>2043.39531411379</v>
      </c>
      <c r="O1626" s="9" t="n">
        <f aca="false">IF(Tabla2[[#This Row],[Costos (En RD$/Tarea)]]=0,0,Tabla2[[#This Row],[Beneficio Neto  (En RD$/Tarea)]]/Tabla2[[#This Row],[Costos (En RD$/Tarea)]])</f>
        <v>0.089500131574338</v>
      </c>
      <c r="P1626" s="7" t="n">
        <f aca="false">Tabla2[[#This Row],[Rentabilidad (%)]]/12</f>
        <v>0.0074583442978615</v>
      </c>
    </row>
    <row r="1627" customFormat="false" ht="14.25" hidden="false" customHeight="false" outlineLevel="0" collapsed="false">
      <c r="A1627" s="1" t="n">
        <v>40634</v>
      </c>
      <c r="B1627" s="2" t="s">
        <v>24</v>
      </c>
      <c r="C1627" s="3" t="n">
        <v>6955</v>
      </c>
      <c r="D1627" s="8" t="s">
        <v>17</v>
      </c>
      <c r="E1627" s="3" t="n">
        <f aca="false">IF(Tabla2[[#This Row],[Frecuencia]]="Annual", Tabla2[[#This Row],[Cosecha/Tarea]]/12,Tabla2[[#This Row],[Cosecha/Tarea]])</f>
        <v>6955</v>
      </c>
      <c r="F1627" s="3" t="n">
        <v>62164</v>
      </c>
      <c r="G1627" s="2" t="s">
        <v>18</v>
      </c>
      <c r="H1627" s="2" t="n">
        <f aca="false">F1627/Tabla2[[#This Row],[Cosecha Mensual]]</f>
        <v>8.93803019410496</v>
      </c>
      <c r="I1627" s="2" t="n">
        <f aca="false">H1627*_xlfn.XLOOKUP(Tabla2[[#This Row],[Unidad de producción]],Tabla3[Medida],Tabla3[Equivalencia en Kg],"ELVIS",0)</f>
        <v>405.429049604601</v>
      </c>
      <c r="J1627" s="2" t="n">
        <v>1086.57</v>
      </c>
      <c r="K1627" s="2" t="s">
        <v>18</v>
      </c>
      <c r="L1627" s="2" t="n">
        <f aca="false">J1627/_xlfn.XLOOKUP(Tabla2[[#This Row],[Unidad de precio]],Tabla3[Medida],Tabla3[Equivalencia en Kg],"ELVIS",0)</f>
        <v>23.9543650793651</v>
      </c>
      <c r="M1627" s="2" t="n">
        <v>6908.3833517736</v>
      </c>
      <c r="N1627" s="3" t="n">
        <f aca="false">(Tabla2[[#This Row],[Productividad (kg/TAS)]]*Tabla2[[#This Row],[Precio por kg]]-Tabla2[[#This Row],[Costos (En RD$/Tarea)]])</f>
        <v>2803.41211623503</v>
      </c>
      <c r="O1627" s="9" t="n">
        <f aca="false">IF(Tabla2[[#This Row],[Costos (En RD$/Tarea)]]=0,0,Tabla2[[#This Row],[Beneficio Neto  (En RD$/Tarea)]]/Tabla2[[#This Row],[Costos (En RD$/Tarea)]])</f>
        <v>0.40579857449794</v>
      </c>
      <c r="P1627" s="7" t="n">
        <f aca="false">Tabla2[[#This Row],[Rentabilidad (%)]]/12</f>
        <v>0.0338165478748283</v>
      </c>
    </row>
    <row r="1628" customFormat="false" ht="14.25" hidden="false" customHeight="false" outlineLevel="0" collapsed="false">
      <c r="A1628" s="1" t="n">
        <v>40634</v>
      </c>
      <c r="B1628" s="2" t="s">
        <v>25</v>
      </c>
      <c r="C1628" s="3" t="n">
        <v>23206</v>
      </c>
      <c r="D1628" s="8" t="s">
        <v>17</v>
      </c>
      <c r="E1628" s="3" t="n">
        <f aca="false">IF(Tabla2[[#This Row],[Frecuencia]]="Annual", Tabla2[[#This Row],[Cosecha/Tarea]]/12,Tabla2[[#This Row],[Cosecha/Tarea]])</f>
        <v>23206</v>
      </c>
      <c r="F1628" s="3" t="n">
        <v>262478</v>
      </c>
      <c r="G1628" s="2" t="s">
        <v>18</v>
      </c>
      <c r="H1628" s="2" t="n">
        <f aca="false">F1628/Tabla2[[#This Row],[Cosecha Mensual]]</f>
        <v>11.3107816943894</v>
      </c>
      <c r="I1628" s="2" t="n">
        <f aca="false">H1628*_xlfn.XLOOKUP(Tabla2[[#This Row],[Unidad de producción]],Tabla3[Medida],Tabla3[Equivalencia en Kg],"ELVIS",0)</f>
        <v>513.057057657502</v>
      </c>
      <c r="J1628" s="2" t="n">
        <v>801.591428571429</v>
      </c>
      <c r="K1628" s="2" t="s">
        <v>18</v>
      </c>
      <c r="L1628" s="2" t="n">
        <f aca="false">J1628/_xlfn.XLOOKUP(Tabla2[[#This Row],[Unidad de precio]],Tabla3[Medida],Tabla3[Equivalencia en Kg],"ELVIS",0)</f>
        <v>17.671768707483</v>
      </c>
      <c r="M1628" s="2" t="n">
        <v>4283.98894113212</v>
      </c>
      <c r="N1628" s="3" t="n">
        <f aca="false">(Tabla2[[#This Row],[Productividad (kg/TAS)]]*Tabla2[[#This Row],[Precio por kg]]-Tabla2[[#This Row],[Costos (En RD$/Tarea)]])</f>
        <v>4782.63671553303</v>
      </c>
      <c r="O1628" s="9" t="n">
        <f aca="false">IF(Tabla2[[#This Row],[Costos (En RD$/Tarea)]]=0,0,Tabla2[[#This Row],[Beneficio Neto  (En RD$/Tarea)]]/Tabla2[[#This Row],[Costos (En RD$/Tarea)]])</f>
        <v>1.11639800691669</v>
      </c>
      <c r="P1628" s="7" t="n">
        <f aca="false">Tabla2[[#This Row],[Rentabilidad (%)]]/12</f>
        <v>0.0930331672430574</v>
      </c>
    </row>
    <row r="1629" customFormat="false" ht="14.25" hidden="false" customHeight="false" outlineLevel="0" collapsed="false">
      <c r="A1629" s="1" t="n">
        <v>40634</v>
      </c>
      <c r="B1629" s="2" t="s">
        <v>26</v>
      </c>
      <c r="C1629" s="3" t="n">
        <v>12099</v>
      </c>
      <c r="D1629" s="8" t="s">
        <v>17</v>
      </c>
      <c r="E1629" s="3" t="n">
        <f aca="false">IF(Tabla2[[#This Row],[Frecuencia]]="Annual", Tabla2[[#This Row],[Cosecha/Tarea]]/12,Tabla2[[#This Row],[Cosecha/Tarea]])</f>
        <v>12099</v>
      </c>
      <c r="F1629" s="3" t="n">
        <v>70884</v>
      </c>
      <c r="G1629" s="2" t="s">
        <v>18</v>
      </c>
      <c r="H1629" s="2" t="n">
        <f aca="false">F1629/Tabla2[[#This Row],[Cosecha Mensual]]</f>
        <v>5.858666005455</v>
      </c>
      <c r="I1629" s="2" t="n">
        <f aca="false">H1629*_xlfn.XLOOKUP(Tabla2[[#This Row],[Unidad de producción]],Tabla3[Medida],Tabla3[Equivalencia en Kg],"ELVIS",0)</f>
        <v>265.749090007439</v>
      </c>
      <c r="J1629" s="2" t="n">
        <v>742.5</v>
      </c>
      <c r="K1629" s="2" t="s">
        <v>18</v>
      </c>
      <c r="L1629" s="2" t="n">
        <f aca="false">J1629/_xlfn.XLOOKUP(Tabla2[[#This Row],[Unidad de precio]],Tabla3[Medida],Tabla3[Equivalencia en Kg],"ELVIS",0)</f>
        <v>16.3690476190476</v>
      </c>
      <c r="M1629" s="2" t="n">
        <v>2009.79</v>
      </c>
      <c r="N1629" s="3" t="n">
        <f aca="false">(Tabla2[[#This Row],[Productividad (kg/TAS)]]*Tabla2[[#This Row],[Precio por kg]]-Tabla2[[#This Row],[Costos (En RD$/Tarea)]])</f>
        <v>2340.26950905034</v>
      </c>
      <c r="O1629" s="9" t="n">
        <f aca="false">IF(Tabla2[[#This Row],[Costos (En RD$/Tarea)]]=0,0,Tabla2[[#This Row],[Beneficio Neto  (En RD$/Tarea)]]/Tabla2[[#This Row],[Costos (En RD$/Tarea)]])</f>
        <v>1.16443484595422</v>
      </c>
      <c r="P1629" s="7" t="n">
        <f aca="false">Tabla2[[#This Row],[Rentabilidad (%)]]/12</f>
        <v>0.0970362371628518</v>
      </c>
    </row>
    <row r="1630" customFormat="false" ht="14.25" hidden="false" customHeight="false" outlineLevel="0" collapsed="false">
      <c r="A1630" s="1" t="n">
        <v>40634</v>
      </c>
      <c r="B1630" s="2" t="s">
        <v>27</v>
      </c>
      <c r="C1630" s="3" t="n">
        <v>7540</v>
      </c>
      <c r="D1630" s="8" t="s">
        <v>17</v>
      </c>
      <c r="E1630" s="3" t="n">
        <f aca="false">IF(Tabla2[[#This Row],[Frecuencia]]="Annual", Tabla2[[#This Row],[Cosecha/Tarea]]/12,Tabla2[[#This Row],[Cosecha/Tarea]])</f>
        <v>7540</v>
      </c>
      <c r="F1630" s="3" t="n">
        <v>76706</v>
      </c>
      <c r="G1630" s="2" t="s">
        <v>18</v>
      </c>
      <c r="H1630" s="2" t="n">
        <f aca="false">F1630/Tabla2[[#This Row],[Cosecha Mensual]]</f>
        <v>10.1732095490716</v>
      </c>
      <c r="I1630" s="2" t="n">
        <f aca="false">H1630*_xlfn.XLOOKUP(Tabla2[[#This Row],[Unidad de producción]],Tabla3[Medida],Tabla3[Equivalencia en Kg],"ELVIS",0)</f>
        <v>461.456785145889</v>
      </c>
      <c r="J1630" s="2" t="n">
        <v>382.578285714286</v>
      </c>
      <c r="K1630" s="2" t="s">
        <v>18</v>
      </c>
      <c r="L1630" s="2" t="n">
        <f aca="false">J1630/_xlfn.XLOOKUP(Tabla2[[#This Row],[Unidad de precio]],Tabla3[Medida],Tabla3[Equivalencia en Kg],"ELVIS",0)</f>
        <v>8.43426555807509</v>
      </c>
      <c r="M1630" s="2" t="n">
        <v>6922.022</v>
      </c>
      <c r="N1630" s="3" t="n">
        <f aca="false">(Tabla2[[#This Row],[Productividad (kg/TAS)]]*Tabla2[[#This Row],[Precio por kg]]-Tabla2[[#This Row],[Costos (En RD$/Tarea)]])</f>
        <v>-3029.97293050398</v>
      </c>
      <c r="O1630" s="9" t="n">
        <f aca="false">IF(Tabla2[[#This Row],[Costos (En RD$/Tarea)]]=0,0,Tabla2[[#This Row],[Beneficio Neto  (En RD$/Tarea)]]/Tabla2[[#This Row],[Costos (En RD$/Tarea)]])</f>
        <v>-0.437729456870258</v>
      </c>
      <c r="P1630" s="7" t="n">
        <f aca="false">Tabla2[[#This Row],[Rentabilidad (%)]]/12</f>
        <v>-0.0364774547391882</v>
      </c>
    </row>
    <row r="1631" customFormat="false" ht="14.25" hidden="false" customHeight="false" outlineLevel="0" collapsed="false">
      <c r="A1631" s="1" t="n">
        <v>40634</v>
      </c>
      <c r="B1631" s="2" t="s">
        <v>28</v>
      </c>
      <c r="C1631" s="3" t="n">
        <v>1378</v>
      </c>
      <c r="D1631" s="8" t="s">
        <v>17</v>
      </c>
      <c r="E1631" s="3" t="n">
        <f aca="false">IF(Tabla2[[#This Row],[Frecuencia]]="Annual", Tabla2[[#This Row],[Cosecha/Tarea]]/12,Tabla2[[#This Row],[Cosecha/Tarea]])</f>
        <v>1378</v>
      </c>
      <c r="F1631" s="3" t="n">
        <v>1442</v>
      </c>
      <c r="G1631" s="2" t="s">
        <v>29</v>
      </c>
      <c r="H1631" s="2" t="n">
        <f aca="false">F1631/Tabla2[[#This Row],[Cosecha Mensual]]</f>
        <v>1.04644412191582</v>
      </c>
      <c r="I1631" s="2" t="n">
        <f aca="false">H1631*_xlfn.XLOOKUP(Tabla2[[#This Row],[Unidad de producción]],Tabla3[Medida],Tabla3[Equivalencia en Kg],"ELVIS",0)</f>
        <v>588.457387518142</v>
      </c>
      <c r="J1631" s="2" t="n">
        <v>10000</v>
      </c>
      <c r="K1631" s="2" t="s">
        <v>29</v>
      </c>
      <c r="L1631" s="2" t="n">
        <f aca="false">J1631/_xlfn.XLOOKUP(Tabla2[[#This Row],[Unidad de precio]],Tabla3[Medida],Tabla3[Equivalencia en Kg],"ELVIS",0)</f>
        <v>17.7828360066863</v>
      </c>
      <c r="M1631" s="2" t="n">
        <v>6816.05132473333</v>
      </c>
      <c r="N1631" s="3" t="n">
        <f aca="false">(Tabla2[[#This Row],[Productividad (kg/TAS)]]*Tabla2[[#This Row],[Precio por kg]]-Tabla2[[#This Row],[Costos (En RD$/Tarea)]])</f>
        <v>3648.38989442487</v>
      </c>
      <c r="O1631" s="9" t="n">
        <f aca="false">IF(Tabla2[[#This Row],[Costos (En RD$/Tarea)]]=0,0,Tabla2[[#This Row],[Beneficio Neto  (En RD$/Tarea)]]/Tabla2[[#This Row],[Costos (En RD$/Tarea)]])</f>
        <v>0.535264439865058</v>
      </c>
      <c r="P1631" s="7" t="n">
        <f aca="false">Tabla2[[#This Row],[Rentabilidad (%)]]/12</f>
        <v>0.0446053699887548</v>
      </c>
    </row>
    <row r="1632" customFormat="false" ht="14.25" hidden="false" customHeight="false" outlineLevel="0" collapsed="false">
      <c r="A1632" s="1" t="n">
        <v>40634</v>
      </c>
      <c r="B1632" s="2" t="s">
        <v>30</v>
      </c>
      <c r="C1632" s="3" t="n">
        <v>347113</v>
      </c>
      <c r="D1632" s="3" t="s">
        <v>31</v>
      </c>
      <c r="E1632" s="3" t="n">
        <f aca="false">IF(Tabla2[[#This Row],[Frecuencia]]="Annual", Tabla2[[#This Row],[Cosecha/Tarea]]/12,Tabla2[[#This Row],[Cosecha/Tarea]])</f>
        <v>28926.0833333333</v>
      </c>
      <c r="F1632" s="3" t="n">
        <v>3109223</v>
      </c>
      <c r="G1632" s="2" t="s">
        <v>32</v>
      </c>
      <c r="H1632" s="2" t="n">
        <f aca="false">F1632/Tabla2[[#This Row],[Cosecha Mensual]]</f>
        <v>107.488558480956</v>
      </c>
      <c r="I1632" s="2" t="n">
        <f aca="false">H1632*_xlfn.XLOOKUP(Tabla2[[#This Row],[Unidad de producción]],Tabla3[Medida],Tabla3[Equivalencia en Kg],"ELVIS",0)</f>
        <v>2924.76367626681</v>
      </c>
      <c r="J1632" s="2" t="n">
        <v>116.75</v>
      </c>
      <c r="K1632" s="2" t="s">
        <v>32</v>
      </c>
      <c r="L1632" s="2" t="n">
        <f aca="false">J1632/_xlfn.XLOOKUP(Tabla2[[#This Row],[Unidad de precio]],Tabla3[Medida],Tabla3[Equivalencia en Kg],"ELVIS",0)</f>
        <v>4.2907019478133</v>
      </c>
      <c r="M1632" s="3" t="n">
        <v>11259.713084354</v>
      </c>
      <c r="N1632" s="3" t="n">
        <f aca="false">(Tabla2[[#This Row],[Productividad (kg/TAS)]]*Tabla2[[#This Row],[Precio por kg]]-Tabla2[[#This Row],[Costos (En RD$/Tarea)]])</f>
        <v>1289.57611829759</v>
      </c>
      <c r="O1632" s="9" t="n">
        <f aca="false">IF(Tabla2[[#This Row],[Costos (En RD$/Tarea)]]=0,0,Tabla2[[#This Row],[Beneficio Neto  (En RD$/Tarea)]]/Tabla2[[#This Row],[Costos (En RD$/Tarea)]])</f>
        <v>0.114530104687083</v>
      </c>
      <c r="P1632" s="7" t="n">
        <f aca="false">Tabla2[[#This Row],[Rentabilidad (%)]]/12</f>
        <v>0.00954417539059028</v>
      </c>
    </row>
    <row r="1633" customFormat="false" ht="14.25" hidden="false" customHeight="false" outlineLevel="0" collapsed="false">
      <c r="A1633" s="1" t="n">
        <v>40634</v>
      </c>
      <c r="B1633" s="2" t="s">
        <v>33</v>
      </c>
      <c r="C1633" s="3" t="n">
        <v>678409</v>
      </c>
      <c r="D1633" s="3" t="s">
        <v>31</v>
      </c>
      <c r="E1633" s="3" t="n">
        <f aca="false">IF(Tabla2[[#This Row],[Frecuencia]]="Annual", Tabla2[[#This Row],[Cosecha/Tarea]]/12,Tabla2[[#This Row],[Cosecha/Tarea]])</f>
        <v>56534.0833333333</v>
      </c>
      <c r="F1633" s="3" t="n">
        <v>129111</v>
      </c>
      <c r="G1633" s="2" t="s">
        <v>34</v>
      </c>
      <c r="H1633" s="2" t="n">
        <f aca="false">F1633/Tabla2[[#This Row],[Cosecha Mensual]]</f>
        <v>2.28377276834476</v>
      </c>
      <c r="I1633" s="2" t="n">
        <f aca="false">H1633*_xlfn.XLOOKUP(Tabla2[[#This Row],[Unidad de producción]],Tabla3[Medida],Tabla3[Equivalencia en Kg],"ELVIS",0)</f>
        <v>932.121855399913</v>
      </c>
      <c r="J1633" s="2" t="n">
        <v>4661</v>
      </c>
      <c r="K1633" s="2" t="s">
        <v>34</v>
      </c>
      <c r="L1633" s="2" t="n">
        <f aca="false">J1633/_xlfn.XLOOKUP(Tabla2[[#This Row],[Unidad de precio]],Tabla3[Medida],Tabla3[Equivalencia en Kg],"ELVIS",0)</f>
        <v>11.4198211441872</v>
      </c>
      <c r="M1633" s="3" t="n">
        <v>10868.0263728783</v>
      </c>
      <c r="N1633" s="3" t="n">
        <f aca="false">(Tabla2[[#This Row],[Productividad (kg/TAS)]]*Tabla2[[#This Row],[Precio por kg]]-Tabla2[[#This Row],[Costos (En RD$/Tarea)]])</f>
        <v>-223.361499623376</v>
      </c>
      <c r="O1633" s="9" t="n">
        <f aca="false">IF(Tabla2[[#This Row],[Costos (En RD$/Tarea)]]=0,0,Tabla2[[#This Row],[Beneficio Neto  (En RD$/Tarea)]]/Tabla2[[#This Row],[Costos (En RD$/Tarea)]])</f>
        <v>-0.0205521676116636</v>
      </c>
      <c r="P1633" s="7" t="n">
        <f aca="false">Tabla2[[#This Row],[Rentabilidad (%)]]/12</f>
        <v>-0.0017126806343053</v>
      </c>
    </row>
    <row r="1634" customFormat="false" ht="14.25" hidden="false" customHeight="false" outlineLevel="0" collapsed="false">
      <c r="A1634" s="1" t="n">
        <v>40664</v>
      </c>
      <c r="B1634" s="2" t="s">
        <v>16</v>
      </c>
      <c r="C1634" s="3" t="n">
        <v>558778</v>
      </c>
      <c r="D1634" s="8" t="s">
        <v>17</v>
      </c>
      <c r="E1634" s="3" t="n">
        <f aca="false">IF(Tabla2[[#This Row],[Frecuencia]]="Annual", Tabla2[[#This Row],[Cosecha/Tarea]]/12,Tabla2[[#This Row],[Cosecha/Tarea]])</f>
        <v>558778</v>
      </c>
      <c r="F1634" s="3" t="n">
        <v>2551300</v>
      </c>
      <c r="G1634" s="2" t="s">
        <v>18</v>
      </c>
      <c r="H1634" s="2" t="n">
        <f aca="false">F1634/Tabla2[[#This Row],[Cosecha Mensual]]</f>
        <v>4.56585620765313</v>
      </c>
      <c r="I1634" s="2" t="n">
        <f aca="false">H1634*_xlfn.XLOOKUP(Tabla2[[#This Row],[Unidad de producción]],Tabla3[Medida],Tabla3[Equivalencia en Kg],"ELVIS",0)</f>
        <v>207.107237579146</v>
      </c>
      <c r="J1634" s="2" t="n">
        <v>1777.08333333333</v>
      </c>
      <c r="K1634" s="2" t="s">
        <v>19</v>
      </c>
      <c r="L1634" s="2" t="n">
        <f aca="false">J1634/_xlfn.XLOOKUP(Tabla2[[#This Row],[Unidad de precio]],Tabla3[Medida],Tabla3[Equivalencia en Kg],"ELVIS",0)</f>
        <v>16.155303030303</v>
      </c>
      <c r="M1634" s="2" t="n">
        <v>7569</v>
      </c>
      <c r="N1634" s="3" t="n">
        <f aca="false">(Tabla2[[#This Row],[Productividad (kg/TAS)]]*Tabla2[[#This Row],[Precio por kg]]-Tabla2[[#This Row],[Costos (En RD$/Tarea)]])</f>
        <v>-4223.11981713994</v>
      </c>
      <c r="O1634" s="9" t="n">
        <f aca="false">IF(Tabla2[[#This Row],[Costos (En RD$/Tarea)]]=0,0,Tabla2[[#This Row],[Beneficio Neto  (En RD$/Tarea)]]/Tabla2[[#This Row],[Costos (En RD$/Tarea)]])</f>
        <v>-0.557949506822558</v>
      </c>
      <c r="P1634" s="7" t="n">
        <f aca="false">Tabla2[[#This Row],[Rentabilidad (%)]]/12</f>
        <v>-0.0464957922352132</v>
      </c>
    </row>
    <row r="1635" customFormat="false" ht="14.25" hidden="false" customHeight="false" outlineLevel="0" collapsed="false">
      <c r="A1635" s="1" t="n">
        <v>40664</v>
      </c>
      <c r="B1635" s="2" t="s">
        <v>20</v>
      </c>
      <c r="C1635" s="3" t="n">
        <v>26300</v>
      </c>
      <c r="D1635" s="8" t="s">
        <v>17</v>
      </c>
      <c r="E1635" s="3" t="n">
        <f aca="false">IF(Tabla2[[#This Row],[Frecuencia]]="Annual", Tabla2[[#This Row],[Cosecha/Tarea]]/12,Tabla2[[#This Row],[Cosecha/Tarea]])</f>
        <v>26300</v>
      </c>
      <c r="F1635" s="3" t="n">
        <v>72300</v>
      </c>
      <c r="G1635" s="2" t="s">
        <v>18</v>
      </c>
      <c r="H1635" s="2" t="n">
        <f aca="false">F1635/Tabla2[[#This Row],[Cosecha Mensual]]</f>
        <v>2.74904942965779</v>
      </c>
      <c r="I1635" s="2" t="n">
        <f aca="false">H1635*_xlfn.XLOOKUP(Tabla2[[#This Row],[Unidad de producción]],Tabla3[Medida],Tabla3[Equivalencia en Kg],"ELVIS",0)</f>
        <v>124.696882129278</v>
      </c>
      <c r="J1635" s="2" t="n">
        <v>702.681111111111</v>
      </c>
      <c r="K1635" s="2" t="s">
        <v>18</v>
      </c>
      <c r="L1635" s="2" t="n">
        <f aca="false">J1635/_xlfn.XLOOKUP(Tabla2[[#This Row],[Unidad de precio]],Tabla3[Medida],Tabla3[Equivalencia en Kg],"ELVIS",0)</f>
        <v>15.4912061532432</v>
      </c>
      <c r="M1635" s="2" t="n">
        <v>2249.6320342848</v>
      </c>
      <c r="N1635" s="3" t="n">
        <f aca="false">(Tabla2[[#This Row],[Productividad (kg/TAS)]]*Tabla2[[#This Row],[Precio por kg]]-Tabla2[[#This Row],[Costos (En RD$/Tarea)]])</f>
        <v>-317.926926553495</v>
      </c>
      <c r="O1635" s="9" t="n">
        <f aca="false">IF(Tabla2[[#This Row],[Costos (En RD$/Tarea)]]=0,0,Tabla2[[#This Row],[Beneficio Neto  (En RD$/Tarea)]]/Tabla2[[#This Row],[Costos (En RD$/Tarea)]])</f>
        <v>-0.141323968412714</v>
      </c>
      <c r="P1635" s="7" t="n">
        <f aca="false">Tabla2[[#This Row],[Rentabilidad (%)]]/12</f>
        <v>-0.0117769973677262</v>
      </c>
    </row>
    <row r="1636" customFormat="false" ht="14.25" hidden="false" customHeight="false" outlineLevel="0" collapsed="false">
      <c r="A1636" s="1" t="n">
        <v>40664</v>
      </c>
      <c r="B1636" s="2" t="s">
        <v>21</v>
      </c>
      <c r="C1636" s="3" t="n">
        <v>8124</v>
      </c>
      <c r="D1636" s="8" t="s">
        <v>17</v>
      </c>
      <c r="E1636" s="3" t="n">
        <f aca="false">IF(Tabla2[[#This Row],[Frecuencia]]="Annual", Tabla2[[#This Row],[Cosecha/Tarea]]/12,Tabla2[[#This Row],[Cosecha/Tarea]])</f>
        <v>8124</v>
      </c>
      <c r="F1636" s="3" t="n">
        <v>93214</v>
      </c>
      <c r="G1636" s="2" t="s">
        <v>18</v>
      </c>
      <c r="H1636" s="2" t="n">
        <f aca="false">F1636/Tabla2[[#This Row],[Cosecha Mensual]]</f>
        <v>11.4739044805515</v>
      </c>
      <c r="I1636" s="2" t="n">
        <f aca="false">H1636*_xlfn.XLOOKUP(Tabla2[[#This Row],[Unidad de producción]],Tabla3[Medida],Tabla3[Equivalencia en Kg],"ELVIS",0)</f>
        <v>520.456307237814</v>
      </c>
      <c r="J1636" s="2" t="n">
        <v>396.41916</v>
      </c>
      <c r="K1636" s="2" t="s">
        <v>18</v>
      </c>
      <c r="L1636" s="2" t="n">
        <f aca="false">J1636/_xlfn.XLOOKUP(Tabla2[[#This Row],[Unidad de precio]],Tabla3[Medida],Tabla3[Equivalencia en Kg],"ELVIS",0)</f>
        <v>8.73939947089947</v>
      </c>
      <c r="M1636" s="2" t="n">
        <v>4921.44160075</v>
      </c>
      <c r="N1636" s="3" t="n">
        <f aca="false">(Tabla2[[#This Row],[Productividad (kg/TAS)]]*Tabla2[[#This Row],[Precio por kg]]-Tabla2[[#This Row],[Costos (En RD$/Tarea)]])</f>
        <v>-372.966024649558</v>
      </c>
      <c r="O1636" s="9" t="n">
        <f aca="false">IF(Tabla2[[#This Row],[Costos (En RD$/Tarea)]]=0,0,Tabla2[[#This Row],[Beneficio Neto  (En RD$/Tarea)]]/Tabla2[[#This Row],[Costos (En RD$/Tarea)]])</f>
        <v>-0.075783897261469</v>
      </c>
      <c r="P1636" s="7" t="n">
        <f aca="false">Tabla2[[#This Row],[Rentabilidad (%)]]/12</f>
        <v>-0.00631532477178909</v>
      </c>
    </row>
    <row r="1637" customFormat="false" ht="14.25" hidden="false" customHeight="false" outlineLevel="0" collapsed="false">
      <c r="A1637" s="1" t="n">
        <v>40664</v>
      </c>
      <c r="B1637" s="2" t="s">
        <v>22</v>
      </c>
      <c r="C1637" s="3" t="n">
        <v>6612</v>
      </c>
      <c r="D1637" s="8" t="s">
        <v>17</v>
      </c>
      <c r="E1637" s="3" t="n">
        <f aca="false">IF(Tabla2[[#This Row],[Frecuencia]]="Annual", Tabla2[[#This Row],[Cosecha/Tarea]]/12,Tabla2[[#This Row],[Cosecha/Tarea]])</f>
        <v>6612</v>
      </c>
      <c r="F1637" s="3" t="n">
        <v>65625</v>
      </c>
      <c r="G1637" s="2" t="s">
        <v>18</v>
      </c>
      <c r="H1637" s="2" t="n">
        <f aca="false">F1637/Tabla2[[#This Row],[Cosecha Mensual]]</f>
        <v>9.92513611615245</v>
      </c>
      <c r="I1637" s="2" t="n">
        <f aca="false">H1637*_xlfn.XLOOKUP(Tabla2[[#This Row],[Unidad de producción]],Tabla3[Medida],Tabla3[Equivalencia en Kg],"ELVIS",0)</f>
        <v>450.204174228675</v>
      </c>
      <c r="J1637" s="2" t="n">
        <v>1118.86</v>
      </c>
      <c r="K1637" s="2" t="s">
        <v>18</v>
      </c>
      <c r="L1637" s="2" t="n">
        <f aca="false">J1637/_xlfn.XLOOKUP(Tabla2[[#This Row],[Unidad de precio]],Tabla3[Medida],Tabla3[Equivalencia en Kg],"ELVIS",0)</f>
        <v>24.6662257495591</v>
      </c>
      <c r="M1637" s="2" t="n">
        <v>8263.3527360768</v>
      </c>
      <c r="N1637" s="3" t="n">
        <f aca="false">(Tabla2[[#This Row],[Productividad (kg/TAS)]]*Tabla2[[#This Row],[Precio por kg]]-Tabla2[[#This Row],[Costos (En RD$/Tarea)]])</f>
        <v>2841.48505884153</v>
      </c>
      <c r="O1637" s="9" t="n">
        <f aca="false">IF(Tabla2[[#This Row],[Costos (En RD$/Tarea)]]=0,0,Tabla2[[#This Row],[Beneficio Neto  (En RD$/Tarea)]]/Tabla2[[#This Row],[Costos (En RD$/Tarea)]])</f>
        <v>0.343865879818485</v>
      </c>
      <c r="P1637" s="7" t="n">
        <f aca="false">Tabla2[[#This Row],[Rentabilidad (%)]]/12</f>
        <v>0.0286554899848737</v>
      </c>
    </row>
    <row r="1638" customFormat="false" ht="14.25" hidden="false" customHeight="false" outlineLevel="0" collapsed="false">
      <c r="A1638" s="1" t="n">
        <v>40664</v>
      </c>
      <c r="B1638" s="2" t="s">
        <v>23</v>
      </c>
      <c r="C1638" s="3" t="n">
        <v>3257</v>
      </c>
      <c r="D1638" s="8" t="s">
        <v>17</v>
      </c>
      <c r="E1638" s="3" t="n">
        <f aca="false">IF(Tabla2[[#This Row],[Frecuencia]]="Annual", Tabla2[[#This Row],[Cosecha/Tarea]]/12,Tabla2[[#This Row],[Cosecha/Tarea]])</f>
        <v>3257</v>
      </c>
      <c r="F1638" s="3" t="n">
        <v>92925</v>
      </c>
      <c r="G1638" s="2" t="s">
        <v>18</v>
      </c>
      <c r="H1638" s="2" t="n">
        <f aca="false">F1638/Tabla2[[#This Row],[Cosecha Mensual]]</f>
        <v>28.5308566165183</v>
      </c>
      <c r="I1638" s="2" t="n">
        <f aca="false">H1638*_xlfn.XLOOKUP(Tabla2[[#This Row],[Unidad de producción]],Tabla3[Medida],Tabla3[Equivalencia en Kg],"ELVIS",0)</f>
        <v>1294.15965612527</v>
      </c>
      <c r="J1638" s="2" t="n">
        <v>735.3</v>
      </c>
      <c r="K1638" s="2" t="s">
        <v>18</v>
      </c>
      <c r="L1638" s="2" t="n">
        <f aca="false">J1638/_xlfn.XLOOKUP(Tabla2[[#This Row],[Unidad de precio]],Tabla3[Medida],Tabla3[Equivalencia en Kg],"ELVIS",0)</f>
        <v>16.2103174603175</v>
      </c>
      <c r="M1638" s="2" t="n">
        <v>22831.198995686</v>
      </c>
      <c r="N1638" s="3" t="n">
        <f aca="false">(Tabla2[[#This Row],[Productividad (kg/TAS)]]*Tabla2[[#This Row],[Precio por kg]]-Tabla2[[#This Row],[Costos (En RD$/Tarea)]])</f>
        <v>-1852.46012556012</v>
      </c>
      <c r="O1638" s="9" t="n">
        <f aca="false">IF(Tabla2[[#This Row],[Costos (En RD$/Tarea)]]=0,0,Tabla2[[#This Row],[Beneficio Neto  (En RD$/Tarea)]]/Tabla2[[#This Row],[Costos (En RD$/Tarea)]])</f>
        <v>-0.0811372248084802</v>
      </c>
      <c r="P1638" s="7" t="n">
        <f aca="false">Tabla2[[#This Row],[Rentabilidad (%)]]/12</f>
        <v>-0.00676143540070669</v>
      </c>
    </row>
    <row r="1639" customFormat="false" ht="14.25" hidden="false" customHeight="false" outlineLevel="0" collapsed="false">
      <c r="A1639" s="1" t="n">
        <v>40664</v>
      </c>
      <c r="B1639" s="2" t="s">
        <v>24</v>
      </c>
      <c r="C1639" s="3" t="n">
        <v>6532</v>
      </c>
      <c r="D1639" s="8" t="s">
        <v>17</v>
      </c>
      <c r="E1639" s="3" t="n">
        <f aca="false">IF(Tabla2[[#This Row],[Frecuencia]]="Annual", Tabla2[[#This Row],[Cosecha/Tarea]]/12,Tabla2[[#This Row],[Cosecha/Tarea]])</f>
        <v>6532</v>
      </c>
      <c r="F1639" s="3" t="n">
        <v>107911</v>
      </c>
      <c r="G1639" s="2" t="s">
        <v>18</v>
      </c>
      <c r="H1639" s="2" t="n">
        <f aca="false">F1639/Tabla2[[#This Row],[Cosecha Mensual]]</f>
        <v>16.5203612982241</v>
      </c>
      <c r="I1639" s="2" t="n">
        <f aca="false">H1639*_xlfn.XLOOKUP(Tabla2[[#This Row],[Unidad de producción]],Tabla3[Medida],Tabla3[Equivalencia en Kg],"ELVIS",0)</f>
        <v>749.363588487447</v>
      </c>
      <c r="J1639" s="2" t="n">
        <v>1120.3005</v>
      </c>
      <c r="K1639" s="2" t="s">
        <v>18</v>
      </c>
      <c r="L1639" s="2" t="n">
        <f aca="false">J1639/_xlfn.XLOOKUP(Tabla2[[#This Row],[Unidad de precio]],Tabla3[Medida],Tabla3[Equivalencia en Kg],"ELVIS",0)</f>
        <v>24.6979828042328</v>
      </c>
      <c r="M1639" s="2" t="n">
        <v>6908.3833517736</v>
      </c>
      <c r="N1639" s="3" t="n">
        <f aca="false">(Tabla2[[#This Row],[Productividad (kg/TAS)]]*Tabla2[[#This Row],[Precio por kg]]-Tabla2[[#This Row],[Costos (En RD$/Tarea)]])</f>
        <v>11599.3856708075</v>
      </c>
      <c r="O1639" s="9" t="n">
        <f aca="false">IF(Tabla2[[#This Row],[Costos (En RD$/Tarea)]]=0,0,Tabla2[[#This Row],[Beneficio Neto  (En RD$/Tarea)]]/Tabla2[[#This Row],[Costos (En RD$/Tarea)]])</f>
        <v>1.67903040120517</v>
      </c>
      <c r="P1639" s="7" t="n">
        <f aca="false">Tabla2[[#This Row],[Rentabilidad (%)]]/12</f>
        <v>0.139919200100431</v>
      </c>
    </row>
    <row r="1640" customFormat="false" ht="14.25" hidden="false" customHeight="false" outlineLevel="0" collapsed="false">
      <c r="A1640" s="1" t="n">
        <v>40664</v>
      </c>
      <c r="B1640" s="2" t="s">
        <v>25</v>
      </c>
      <c r="C1640" s="3" t="n">
        <v>27488</v>
      </c>
      <c r="D1640" s="8" t="s">
        <v>17</v>
      </c>
      <c r="E1640" s="3" t="n">
        <f aca="false">IF(Tabla2[[#This Row],[Frecuencia]]="Annual", Tabla2[[#This Row],[Cosecha/Tarea]]/12,Tabla2[[#This Row],[Cosecha/Tarea]])</f>
        <v>27488</v>
      </c>
      <c r="F1640" s="3" t="n">
        <v>495222</v>
      </c>
      <c r="G1640" s="2" t="s">
        <v>18</v>
      </c>
      <c r="H1640" s="2" t="n">
        <f aca="false">F1640/Tabla2[[#This Row],[Cosecha Mensual]]</f>
        <v>18.015934225844</v>
      </c>
      <c r="I1640" s="2" t="n">
        <f aca="false">H1640*_xlfn.XLOOKUP(Tabla2[[#This Row],[Unidad de producción]],Tabla3[Medida],Tabla3[Equivalencia en Kg],"ELVIS",0)</f>
        <v>817.202776484284</v>
      </c>
      <c r="J1640" s="2" t="n">
        <v>793.6123</v>
      </c>
      <c r="K1640" s="2" t="s">
        <v>18</v>
      </c>
      <c r="L1640" s="2" t="n">
        <f aca="false">J1640/_xlfn.XLOOKUP(Tabla2[[#This Row],[Unidad de precio]],Tabla3[Medida],Tabla3[Equivalencia en Kg],"ELVIS",0)</f>
        <v>17.4958619929453</v>
      </c>
      <c r="M1640" s="2" t="n">
        <v>4283.98894113212</v>
      </c>
      <c r="N1640" s="3" t="n">
        <f aca="false">(Tabla2[[#This Row],[Productividad (kg/TAS)]]*Tabla2[[#This Row],[Precio por kg]]-Tabla2[[#This Row],[Costos (En RD$/Tarea)]])</f>
        <v>10013.6780564887</v>
      </c>
      <c r="O1640" s="9" t="n">
        <f aca="false">IF(Tabla2[[#This Row],[Costos (En RD$/Tarea)]]=0,0,Tabla2[[#This Row],[Beneficio Neto  (En RD$/Tarea)]]/Tabla2[[#This Row],[Costos (En RD$/Tarea)]])</f>
        <v>2.33746589780934</v>
      </c>
      <c r="P1640" s="7" t="n">
        <f aca="false">Tabla2[[#This Row],[Rentabilidad (%)]]/12</f>
        <v>0.194788824817445</v>
      </c>
    </row>
    <row r="1641" customFormat="false" ht="14.25" hidden="false" customHeight="false" outlineLevel="0" collapsed="false">
      <c r="A1641" s="1" t="n">
        <v>40664</v>
      </c>
      <c r="B1641" s="2" t="s">
        <v>26</v>
      </c>
      <c r="C1641" s="3" t="n">
        <v>12615</v>
      </c>
      <c r="D1641" s="8" t="s">
        <v>17</v>
      </c>
      <c r="E1641" s="3" t="n">
        <f aca="false">IF(Tabla2[[#This Row],[Frecuencia]]="Annual", Tabla2[[#This Row],[Cosecha/Tarea]]/12,Tabla2[[#This Row],[Cosecha/Tarea]])</f>
        <v>12615</v>
      </c>
      <c r="F1641" s="3" t="n">
        <v>76625</v>
      </c>
      <c r="G1641" s="2" t="s">
        <v>18</v>
      </c>
      <c r="H1641" s="2" t="n">
        <f aca="false">F1641/Tabla2[[#This Row],[Cosecha Mensual]]</f>
        <v>6.07411811335711</v>
      </c>
      <c r="I1641" s="2" t="n">
        <f aca="false">H1641*_xlfn.XLOOKUP(Tabla2[[#This Row],[Unidad de producción]],Tabla3[Medida],Tabla3[Equivalencia en Kg],"ELVIS",0)</f>
        <v>275.521997621879</v>
      </c>
      <c r="J1641" s="2" t="n">
        <v>760.763333333333</v>
      </c>
      <c r="K1641" s="2" t="s">
        <v>18</v>
      </c>
      <c r="L1641" s="2" t="n">
        <f aca="false">J1641/_xlfn.XLOOKUP(Tabla2[[#This Row],[Unidad de precio]],Tabla3[Medida],Tabla3[Equivalencia en Kg],"ELVIS",0)</f>
        <v>16.7716784244562</v>
      </c>
      <c r="M1641" s="2" t="n">
        <v>2009.79</v>
      </c>
      <c r="N1641" s="3" t="n">
        <f aca="false">(Tabla2[[#This Row],[Productividad (kg/TAS)]]*Tabla2[[#This Row],[Precio por kg]]-Tabla2[[#This Row],[Costos (En RD$/Tarea)]])</f>
        <v>2611.17634297793</v>
      </c>
      <c r="O1641" s="9" t="n">
        <f aca="false">IF(Tabla2[[#This Row],[Costos (En RD$/Tarea)]]=0,0,Tabla2[[#This Row],[Beneficio Neto  (En RD$/Tarea)]]/Tabla2[[#This Row],[Costos (En RD$/Tarea)]])</f>
        <v>1.29922844823486</v>
      </c>
      <c r="P1641" s="7" t="n">
        <f aca="false">Tabla2[[#This Row],[Rentabilidad (%)]]/12</f>
        <v>0.108269037352905</v>
      </c>
    </row>
    <row r="1642" customFormat="false" ht="14.25" hidden="false" customHeight="false" outlineLevel="0" collapsed="false">
      <c r="A1642" s="1" t="n">
        <v>40664</v>
      </c>
      <c r="B1642" s="2" t="s">
        <v>27</v>
      </c>
      <c r="C1642" s="3" t="n">
        <v>7084</v>
      </c>
      <c r="D1642" s="8" t="s">
        <v>17</v>
      </c>
      <c r="E1642" s="3" t="n">
        <f aca="false">IF(Tabla2[[#This Row],[Frecuencia]]="Annual", Tabla2[[#This Row],[Cosecha/Tarea]]/12,Tabla2[[#This Row],[Cosecha/Tarea]])</f>
        <v>7084</v>
      </c>
      <c r="F1642" s="3" t="n">
        <v>53400</v>
      </c>
      <c r="G1642" s="2" t="s">
        <v>18</v>
      </c>
      <c r="H1642" s="2" t="n">
        <f aca="false">F1642/Tabla2[[#This Row],[Cosecha Mensual]]</f>
        <v>7.53811405985319</v>
      </c>
      <c r="I1642" s="2" t="n">
        <f aca="false">H1642*_xlfn.XLOOKUP(Tabla2[[#This Row],[Unidad de producción]],Tabla3[Medida],Tabla3[Equivalencia en Kg],"ELVIS",0)</f>
        <v>341.928853754941</v>
      </c>
      <c r="J1642" s="2" t="n">
        <v>434.583888888889</v>
      </c>
      <c r="K1642" s="2" t="s">
        <v>18</v>
      </c>
      <c r="L1642" s="2" t="n">
        <f aca="false">J1642/_xlfn.XLOOKUP(Tabla2[[#This Row],[Unidad de precio]],Tabla3[Medida],Tabla3[Equivalencia en Kg],"ELVIS",0)</f>
        <v>9.58077356456986</v>
      </c>
      <c r="M1642" s="2" t="n">
        <v>6922.022</v>
      </c>
      <c r="N1642" s="3" t="n">
        <f aca="false">(Tabla2[[#This Row],[Productividad (kg/TAS)]]*Tabla2[[#This Row],[Precio por kg]]-Tabla2[[#This Row],[Costos (En RD$/Tarea)]])</f>
        <v>-3646.07907698099</v>
      </c>
      <c r="O1642" s="9" t="n">
        <f aca="false">IF(Tabla2[[#This Row],[Costos (En RD$/Tarea)]]=0,0,Tabla2[[#This Row],[Beneficio Neto  (En RD$/Tarea)]]/Tabla2[[#This Row],[Costos (En RD$/Tarea)]])</f>
        <v>-0.526736129555929</v>
      </c>
      <c r="P1642" s="7" t="n">
        <f aca="false">Tabla2[[#This Row],[Rentabilidad (%)]]/12</f>
        <v>-0.0438946774629941</v>
      </c>
    </row>
    <row r="1643" customFormat="false" ht="14.25" hidden="false" customHeight="false" outlineLevel="0" collapsed="false">
      <c r="A1643" s="1" t="n">
        <v>40664</v>
      </c>
      <c r="B1643" s="2" t="s">
        <v>28</v>
      </c>
      <c r="C1643" s="3" t="n">
        <v>625</v>
      </c>
      <c r="D1643" s="8" t="s">
        <v>17</v>
      </c>
      <c r="E1643" s="3" t="n">
        <f aca="false">IF(Tabla2[[#This Row],[Frecuencia]]="Annual", Tabla2[[#This Row],[Cosecha/Tarea]]/12,Tabla2[[#This Row],[Cosecha/Tarea]])</f>
        <v>625</v>
      </c>
      <c r="F1643" s="3" t="n">
        <v>1985</v>
      </c>
      <c r="G1643" s="2" t="s">
        <v>29</v>
      </c>
      <c r="H1643" s="2" t="n">
        <f aca="false">F1643/Tabla2[[#This Row],[Cosecha Mensual]]</f>
        <v>3.176</v>
      </c>
      <c r="I1643" s="2" t="n">
        <f aca="false">H1643*_xlfn.XLOOKUP(Tabla2[[#This Row],[Unidad de producción]],Tabla3[Medida],Tabla3[Equivalencia en Kg],"ELVIS",0)</f>
        <v>1785.99184</v>
      </c>
      <c r="J1643" s="2" t="n">
        <v>8750</v>
      </c>
      <c r="K1643" s="2" t="s">
        <v>29</v>
      </c>
      <c r="L1643" s="2" t="n">
        <f aca="false">J1643/_xlfn.XLOOKUP(Tabla2[[#This Row],[Unidad de precio]],Tabla3[Medida],Tabla3[Equivalencia en Kg],"ELVIS",0)</f>
        <v>15.5599815058506</v>
      </c>
      <c r="M1643" s="2" t="n">
        <v>6816.05132473333</v>
      </c>
      <c r="N1643" s="3" t="n">
        <f aca="false">(Tabla2[[#This Row],[Productividad (kg/TAS)]]*Tabla2[[#This Row],[Precio por kg]]-Tabla2[[#This Row],[Costos (En RD$/Tarea)]])</f>
        <v>20973.9486752667</v>
      </c>
      <c r="O1643" s="9" t="n">
        <f aca="false">IF(Tabla2[[#This Row],[Costos (En RD$/Tarea)]]=0,0,Tabla2[[#This Row],[Beneficio Neto  (En RD$/Tarea)]]/Tabla2[[#This Row],[Costos (En RD$/Tarea)]])</f>
        <v>3.07714066048164</v>
      </c>
      <c r="P1643" s="7" t="n">
        <f aca="false">Tabla2[[#This Row],[Rentabilidad (%)]]/12</f>
        <v>0.25642838837347</v>
      </c>
    </row>
    <row r="1644" customFormat="false" ht="14.25" hidden="false" customHeight="false" outlineLevel="0" collapsed="false">
      <c r="A1644" s="1" t="n">
        <v>40664</v>
      </c>
      <c r="B1644" s="2" t="s">
        <v>30</v>
      </c>
      <c r="C1644" s="3" t="n">
        <v>346796</v>
      </c>
      <c r="D1644" s="3" t="s">
        <v>31</v>
      </c>
      <c r="E1644" s="3" t="n">
        <f aca="false">IF(Tabla2[[#This Row],[Frecuencia]]="Annual", Tabla2[[#This Row],[Cosecha/Tarea]]/12,Tabla2[[#This Row],[Cosecha/Tarea]])</f>
        <v>28899.6666666667</v>
      </c>
      <c r="F1644" s="3" t="n">
        <v>3113862</v>
      </c>
      <c r="G1644" s="2" t="s">
        <v>32</v>
      </c>
      <c r="H1644" s="2" t="n">
        <f aca="false">F1644/Tabla2[[#This Row],[Cosecha Mensual]]</f>
        <v>107.747332725868</v>
      </c>
      <c r="I1644" s="2" t="n">
        <f aca="false">H1644*_xlfn.XLOOKUP(Tabla2[[#This Row],[Unidad de producción]],Tabla3[Medida],Tabla3[Equivalencia en Kg],"ELVIS",0)</f>
        <v>2931.80492347086</v>
      </c>
      <c r="J1644" s="2" t="n">
        <v>114.24</v>
      </c>
      <c r="K1644" s="2" t="s">
        <v>32</v>
      </c>
      <c r="L1644" s="2" t="n">
        <f aca="false">J1644/_xlfn.XLOOKUP(Tabla2[[#This Row],[Unidad de precio]],Tabla3[Medida],Tabla3[Equivalencia en Kg],"ELVIS",0)</f>
        <v>4.19845644983462</v>
      </c>
      <c r="M1644" s="3" t="n">
        <v>11259.713084354</v>
      </c>
      <c r="N1644" s="3" t="n">
        <f aca="false">(Tabla2[[#This Row],[Productividad (kg/TAS)]]*Tabla2[[#This Row],[Precio por kg]]-Tabla2[[#This Row],[Costos (En RD$/Tarea)]])</f>
        <v>1049.34220624912</v>
      </c>
      <c r="O1644" s="9" t="n">
        <f aca="false">IF(Tabla2[[#This Row],[Costos (En RD$/Tarea)]]=0,0,Tabla2[[#This Row],[Beneficio Neto  (En RD$/Tarea)]]/Tabla2[[#This Row],[Costos (En RD$/Tarea)]])</f>
        <v>0.0931944001048517</v>
      </c>
      <c r="P1644" s="7" t="n">
        <f aca="false">Tabla2[[#This Row],[Rentabilidad (%)]]/12</f>
        <v>0.00776620000873764</v>
      </c>
    </row>
    <row r="1645" customFormat="false" ht="14.25" hidden="false" customHeight="false" outlineLevel="0" collapsed="false">
      <c r="A1645" s="1" t="n">
        <v>40664</v>
      </c>
      <c r="B1645" s="2" t="s">
        <v>33</v>
      </c>
      <c r="C1645" s="3" t="n">
        <v>698357</v>
      </c>
      <c r="D1645" s="3" t="s">
        <v>31</v>
      </c>
      <c r="E1645" s="3" t="n">
        <f aca="false">IF(Tabla2[[#This Row],[Frecuencia]]="Annual", Tabla2[[#This Row],[Cosecha/Tarea]]/12,Tabla2[[#This Row],[Cosecha/Tarea]])</f>
        <v>58196.4166666667</v>
      </c>
      <c r="F1645" s="3" t="n">
        <v>141034</v>
      </c>
      <c r="G1645" s="2" t="s">
        <v>34</v>
      </c>
      <c r="H1645" s="2" t="n">
        <f aca="false">F1645/Tabla2[[#This Row],[Cosecha Mensual]]</f>
        <v>2.42341381270611</v>
      </c>
      <c r="I1645" s="2" t="n">
        <f aca="false">H1645*_xlfn.XLOOKUP(Tabla2[[#This Row],[Unidad de producción]],Tabla3[Medida],Tabla3[Equivalencia en Kg],"ELVIS",0)</f>
        <v>989.116347655998</v>
      </c>
      <c r="J1645" s="2" t="n">
        <v>4242.625</v>
      </c>
      <c r="K1645" s="2" t="s">
        <v>34</v>
      </c>
      <c r="L1645" s="2" t="n">
        <f aca="false">J1645/_xlfn.XLOOKUP(Tabla2[[#This Row],[Unidad de precio]],Tabla3[Medida],Tabla3[Equivalencia en Kg],"ELVIS",0)</f>
        <v>10.3947690799951</v>
      </c>
      <c r="M1645" s="3" t="n">
        <v>10868.0263728783</v>
      </c>
      <c r="N1645" s="3" t="n">
        <f aca="false">(Tabla2[[#This Row],[Productividad (kg/TAS)]]*Tabla2[[#This Row],[Precio por kg]]-Tabla2[[#This Row],[Costos (En RD$/Tarea)]])</f>
        <v>-586.390345746046</v>
      </c>
      <c r="O1645" s="9" t="n">
        <f aca="false">IF(Tabla2[[#This Row],[Costos (En RD$/Tarea)]]=0,0,Tabla2[[#This Row],[Beneficio Neto  (En RD$/Tarea)]]/Tabla2[[#This Row],[Costos (En RD$/Tarea)]])</f>
        <v>-0.0539555504952962</v>
      </c>
      <c r="P1645" s="7" t="n">
        <f aca="false">Tabla2[[#This Row],[Rentabilidad (%)]]/12</f>
        <v>-0.00449629587460801</v>
      </c>
    </row>
    <row r="1646" customFormat="false" ht="14.25" hidden="false" customHeight="false" outlineLevel="0" collapsed="false">
      <c r="A1646" s="1" t="n">
        <v>40695</v>
      </c>
      <c r="B1646" s="2" t="s">
        <v>16</v>
      </c>
      <c r="C1646" s="3" t="n">
        <v>341452</v>
      </c>
      <c r="D1646" s="8" t="s">
        <v>17</v>
      </c>
      <c r="E1646" s="3" t="n">
        <f aca="false">IF(Tabla2[[#This Row],[Frecuencia]]="Annual", Tabla2[[#This Row],[Cosecha/Tarea]]/12,Tabla2[[#This Row],[Cosecha/Tarea]])</f>
        <v>341452</v>
      </c>
      <c r="F1646" s="3" t="n">
        <v>1767242</v>
      </c>
      <c r="G1646" s="2" t="s">
        <v>18</v>
      </c>
      <c r="H1646" s="2" t="n">
        <f aca="false">F1646/Tabla2[[#This Row],[Cosecha Mensual]]</f>
        <v>5.17566744374026</v>
      </c>
      <c r="I1646" s="2" t="n">
        <f aca="false">H1646*_xlfn.XLOOKUP(Tabla2[[#This Row],[Unidad de producción]],Tabla3[Medida],Tabla3[Equivalencia en Kg],"ELVIS",0)</f>
        <v>234.768275248058</v>
      </c>
      <c r="J1646" s="2" t="n">
        <v>1851.4575</v>
      </c>
      <c r="K1646" s="2" t="s">
        <v>19</v>
      </c>
      <c r="L1646" s="2" t="n">
        <f aca="false">J1646/_xlfn.XLOOKUP(Tabla2[[#This Row],[Unidad de precio]],Tabla3[Medida],Tabla3[Equivalencia en Kg],"ELVIS",0)</f>
        <v>16.8314318181818</v>
      </c>
      <c r="M1646" s="2" t="n">
        <v>7569</v>
      </c>
      <c r="N1646" s="3" t="n">
        <f aca="false">(Tabla2[[#This Row],[Productividad (kg/TAS)]]*Tabla2[[#This Row],[Precio por kg]]-Tabla2[[#This Row],[Costos (En RD$/Tarea)]])</f>
        <v>-3617.51378209016</v>
      </c>
      <c r="O1646" s="9" t="n">
        <f aca="false">IF(Tabla2[[#This Row],[Costos (En RD$/Tarea)]]=0,0,Tabla2[[#This Row],[Beneficio Neto  (En RD$/Tarea)]]/Tabla2[[#This Row],[Costos (En RD$/Tarea)]])</f>
        <v>-0.477938140056832</v>
      </c>
      <c r="P1646" s="7" t="n">
        <f aca="false">Tabla2[[#This Row],[Rentabilidad (%)]]/12</f>
        <v>-0.0398281783380694</v>
      </c>
    </row>
    <row r="1647" customFormat="false" ht="14.25" hidden="false" customHeight="false" outlineLevel="0" collapsed="false">
      <c r="A1647" s="1" t="n">
        <v>40695</v>
      </c>
      <c r="B1647" s="2" t="s">
        <v>20</v>
      </c>
      <c r="C1647" s="3" t="n">
        <v>12087</v>
      </c>
      <c r="D1647" s="8" t="s">
        <v>17</v>
      </c>
      <c r="E1647" s="3" t="n">
        <f aca="false">IF(Tabla2[[#This Row],[Frecuencia]]="Annual", Tabla2[[#This Row],[Cosecha/Tarea]]/12,Tabla2[[#This Row],[Cosecha/Tarea]])</f>
        <v>12087</v>
      </c>
      <c r="F1647" s="3" t="n">
        <v>40152</v>
      </c>
      <c r="G1647" s="2" t="s">
        <v>18</v>
      </c>
      <c r="H1647" s="2" t="n">
        <f aca="false">F1647/Tabla2[[#This Row],[Cosecha Mensual]]</f>
        <v>3.32191610821544</v>
      </c>
      <c r="I1647" s="2" t="n">
        <f aca="false">H1647*_xlfn.XLOOKUP(Tabla2[[#This Row],[Unidad de producción]],Tabla3[Medida],Tabla3[Equivalencia en Kg],"ELVIS",0)</f>
        <v>150.682114668652</v>
      </c>
      <c r="J1647" s="2" t="n">
        <v>640.039466666667</v>
      </c>
      <c r="K1647" s="2" t="s">
        <v>18</v>
      </c>
      <c r="L1647" s="2" t="n">
        <f aca="false">J1647/_xlfn.XLOOKUP(Tabla2[[#This Row],[Unidad de precio]],Tabla3[Medida],Tabla3[Equivalencia en Kg],"ELVIS",0)</f>
        <v>14.1102175191064</v>
      </c>
      <c r="M1647" s="2" t="n">
        <v>2249.6320342848</v>
      </c>
      <c r="N1647" s="3" t="n">
        <f aca="false">(Tabla2[[#This Row],[Productividad (kg/TAS)]]*Tabla2[[#This Row],[Precio por kg]]-Tabla2[[#This Row],[Costos (En RD$/Tarea)]])</f>
        <v>-123.474620071181</v>
      </c>
      <c r="O1647" s="9" t="n">
        <f aca="false">IF(Tabla2[[#This Row],[Costos (En RD$/Tarea)]]=0,0,Tabla2[[#This Row],[Beneficio Neto  (En RD$/Tarea)]]/Tabla2[[#This Row],[Costos (En RD$/Tarea)]])</f>
        <v>-0.054886585090097</v>
      </c>
      <c r="P1647" s="7" t="n">
        <f aca="false">Tabla2[[#This Row],[Rentabilidad (%)]]/12</f>
        <v>-0.00457388209084142</v>
      </c>
    </row>
    <row r="1648" customFormat="false" ht="14.25" hidden="false" customHeight="false" outlineLevel="0" collapsed="false">
      <c r="A1648" s="1" t="n">
        <v>40695</v>
      </c>
      <c r="B1648" s="2" t="s">
        <v>21</v>
      </c>
      <c r="C1648" s="3" t="n">
        <v>8698</v>
      </c>
      <c r="D1648" s="8" t="s">
        <v>17</v>
      </c>
      <c r="E1648" s="3" t="n">
        <f aca="false">IF(Tabla2[[#This Row],[Frecuencia]]="Annual", Tabla2[[#This Row],[Cosecha/Tarea]]/12,Tabla2[[#This Row],[Cosecha/Tarea]])</f>
        <v>8698</v>
      </c>
      <c r="F1648" s="3" t="n">
        <v>98456</v>
      </c>
      <c r="G1648" s="2" t="s">
        <v>18</v>
      </c>
      <c r="H1648" s="2" t="n">
        <f aca="false">F1648/Tabla2[[#This Row],[Cosecha Mensual]]</f>
        <v>11.3193837663831</v>
      </c>
      <c r="I1648" s="2" t="n">
        <f aca="false">H1648*_xlfn.XLOOKUP(Tabla2[[#This Row],[Unidad de producción]],Tabla3[Medida],Tabla3[Equivalencia en Kg],"ELVIS",0)</f>
        <v>513.447247643136</v>
      </c>
      <c r="J1648" s="2" t="n">
        <v>481.65</v>
      </c>
      <c r="K1648" s="2" t="s">
        <v>18</v>
      </c>
      <c r="L1648" s="2" t="n">
        <f aca="false">J1648/_xlfn.XLOOKUP(Tabla2[[#This Row],[Unidad de precio]],Tabla3[Medida],Tabla3[Equivalencia en Kg],"ELVIS",0)</f>
        <v>10.6183862433862</v>
      </c>
      <c r="M1648" s="2" t="n">
        <v>4921.44160075</v>
      </c>
      <c r="N1648" s="3" t="n">
        <f aca="false">(Tabla2[[#This Row],[Productividad (kg/TAS)]]*Tabla2[[#This Row],[Precio por kg]]-Tabla2[[#This Row],[Costos (En RD$/Tarea)]])</f>
        <v>530.539590328408</v>
      </c>
      <c r="O1648" s="9" t="n">
        <f aca="false">IF(Tabla2[[#This Row],[Costos (En RD$/Tarea)]]=0,0,Tabla2[[#This Row],[Beneficio Neto  (En RD$/Tarea)]]/Tabla2[[#This Row],[Costos (En RD$/Tarea)]])</f>
        <v>0.107801663286537</v>
      </c>
      <c r="P1648" s="7" t="n">
        <f aca="false">Tabla2[[#This Row],[Rentabilidad (%)]]/12</f>
        <v>0.00898347194054476</v>
      </c>
    </row>
    <row r="1649" customFormat="false" ht="14.25" hidden="false" customHeight="false" outlineLevel="0" collapsed="false">
      <c r="A1649" s="1" t="n">
        <v>40695</v>
      </c>
      <c r="B1649" s="2" t="s">
        <v>22</v>
      </c>
      <c r="C1649" s="3" t="n">
        <v>4698</v>
      </c>
      <c r="D1649" s="8" t="s">
        <v>17</v>
      </c>
      <c r="E1649" s="3" t="n">
        <f aca="false">IF(Tabla2[[#This Row],[Frecuencia]]="Annual", Tabla2[[#This Row],[Cosecha/Tarea]]/12,Tabla2[[#This Row],[Cosecha/Tarea]])</f>
        <v>4698</v>
      </c>
      <c r="F1649" s="3" t="n">
        <v>41025</v>
      </c>
      <c r="G1649" s="2" t="s">
        <v>18</v>
      </c>
      <c r="H1649" s="2" t="n">
        <f aca="false">F1649/Tabla2[[#This Row],[Cosecha Mensual]]</f>
        <v>8.73243933588761</v>
      </c>
      <c r="I1649" s="2" t="n">
        <f aca="false">H1649*_xlfn.XLOOKUP(Tabla2[[#This Row],[Unidad de producción]],Tabla3[Medida],Tabla3[Equivalencia en Kg],"ELVIS",0)</f>
        <v>396.103448275862</v>
      </c>
      <c r="J1649" s="2" t="n">
        <v>1119.875</v>
      </c>
      <c r="K1649" s="2" t="s">
        <v>18</v>
      </c>
      <c r="L1649" s="2" t="n">
        <f aca="false">J1649/_xlfn.XLOOKUP(Tabla2[[#This Row],[Unidad de precio]],Tabla3[Medida],Tabla3[Equivalencia en Kg],"ELVIS",0)</f>
        <v>24.688602292769</v>
      </c>
      <c r="M1649" s="2" t="n">
        <v>8263.3527360768</v>
      </c>
      <c r="N1649" s="3" t="n">
        <f aca="false">(Tabla2[[#This Row],[Productividad (kg/TAS)]]*Tabla2[[#This Row],[Precio por kg]]-Tabla2[[#This Row],[Costos (En RD$/Tarea)]])</f>
        <v>1515.88776520034</v>
      </c>
      <c r="O1649" s="9" t="n">
        <f aca="false">IF(Tabla2[[#This Row],[Costos (En RD$/Tarea)]]=0,0,Tabla2[[#This Row],[Beneficio Neto  (En RD$/Tarea)]]/Tabla2[[#This Row],[Costos (En RD$/Tarea)]])</f>
        <v>0.183447060002916</v>
      </c>
      <c r="P1649" s="7" t="n">
        <f aca="false">Tabla2[[#This Row],[Rentabilidad (%)]]/12</f>
        <v>0.015287255000243</v>
      </c>
    </row>
    <row r="1650" customFormat="false" ht="14.25" hidden="false" customHeight="false" outlineLevel="0" collapsed="false">
      <c r="A1650" s="1" t="n">
        <v>40695</v>
      </c>
      <c r="B1650" s="2" t="s">
        <v>23</v>
      </c>
      <c r="C1650" s="3" t="n">
        <v>2878</v>
      </c>
      <c r="D1650" s="8" t="s">
        <v>17</v>
      </c>
      <c r="E1650" s="3" t="n">
        <f aca="false">IF(Tabla2[[#This Row],[Frecuencia]]="Annual", Tabla2[[#This Row],[Cosecha/Tarea]]/12,Tabla2[[#This Row],[Cosecha/Tarea]])</f>
        <v>2878</v>
      </c>
      <c r="F1650" s="3" t="n">
        <v>81025</v>
      </c>
      <c r="G1650" s="2" t="s">
        <v>18</v>
      </c>
      <c r="H1650" s="2" t="n">
        <f aca="false">F1650/Tabla2[[#This Row],[Cosecha Mensual]]</f>
        <v>28.1532314107019</v>
      </c>
      <c r="I1650" s="2" t="n">
        <f aca="false">H1650*_xlfn.XLOOKUP(Tabla2[[#This Row],[Unidad de producción]],Tabla3[Medida],Tabla3[Equivalencia en Kg],"ELVIS",0)</f>
        <v>1277.03057678944</v>
      </c>
      <c r="J1650" s="2" t="n">
        <v>862.5</v>
      </c>
      <c r="K1650" s="2" t="s">
        <v>18</v>
      </c>
      <c r="L1650" s="2" t="n">
        <f aca="false">J1650/_xlfn.XLOOKUP(Tabla2[[#This Row],[Unidad de precio]],Tabla3[Medida],Tabla3[Equivalencia en Kg],"ELVIS",0)</f>
        <v>19.0145502645503</v>
      </c>
      <c r="M1650" s="2" t="n">
        <v>22831.198995686</v>
      </c>
      <c r="N1650" s="3" t="n">
        <f aca="false">(Tabla2[[#This Row],[Productividad (kg/TAS)]]*Tabla2[[#This Row],[Precio por kg]]-Tabla2[[#This Row],[Costos (En RD$/Tarea)]])</f>
        <v>1450.96309604437</v>
      </c>
      <c r="O1650" s="9" t="n">
        <f aca="false">IF(Tabla2[[#This Row],[Costos (En RD$/Tarea)]]=0,0,Tabla2[[#This Row],[Beneficio Neto  (En RD$/Tarea)]]/Tabla2[[#This Row],[Costos (En RD$/Tarea)]])</f>
        <v>0.0635517695027114</v>
      </c>
      <c r="P1650" s="7" t="n">
        <f aca="false">Tabla2[[#This Row],[Rentabilidad (%)]]/12</f>
        <v>0.00529598079189261</v>
      </c>
    </row>
    <row r="1651" customFormat="false" ht="14.25" hidden="false" customHeight="false" outlineLevel="0" collapsed="false">
      <c r="A1651" s="1" t="n">
        <v>40695</v>
      </c>
      <c r="B1651" s="2" t="s">
        <v>24</v>
      </c>
      <c r="C1651" s="3" t="n">
        <v>7601</v>
      </c>
      <c r="D1651" s="8" t="s">
        <v>17</v>
      </c>
      <c r="E1651" s="3" t="n">
        <f aca="false">IF(Tabla2[[#This Row],[Frecuencia]]="Annual", Tabla2[[#This Row],[Cosecha/Tarea]]/12,Tabla2[[#This Row],[Cosecha/Tarea]])</f>
        <v>7601</v>
      </c>
      <c r="F1651" s="3" t="n">
        <v>61100</v>
      </c>
      <c r="G1651" s="2" t="s">
        <v>18</v>
      </c>
      <c r="H1651" s="2" t="n">
        <f aca="false">F1651/Tabla2[[#This Row],[Cosecha Mensual]]</f>
        <v>8.03841599789501</v>
      </c>
      <c r="I1651" s="2" t="n">
        <f aca="false">H1651*_xlfn.XLOOKUP(Tabla2[[#This Row],[Unidad de producción]],Tabla3[Medida],Tabla3[Equivalencia en Kg],"ELVIS",0)</f>
        <v>364.622549664518</v>
      </c>
      <c r="J1651" s="2" t="n">
        <v>1137.1875</v>
      </c>
      <c r="K1651" s="2" t="s">
        <v>18</v>
      </c>
      <c r="L1651" s="2" t="n">
        <f aca="false">J1651/_xlfn.XLOOKUP(Tabla2[[#This Row],[Unidad de precio]],Tabla3[Medida],Tabla3[Equivalencia en Kg],"ELVIS",0)</f>
        <v>25.0702711640212</v>
      </c>
      <c r="M1651" s="2" t="n">
        <v>6908.3833517736</v>
      </c>
      <c r="N1651" s="3" t="n">
        <f aca="false">(Tabla2[[#This Row],[Productividad (kg/TAS)]]*Tabla2[[#This Row],[Precio por kg]]-Tabla2[[#This Row],[Costos (En RD$/Tarea)]])</f>
        <v>2232.80284083264</v>
      </c>
      <c r="O1651" s="9" t="n">
        <f aca="false">IF(Tabla2[[#This Row],[Costos (En RD$/Tarea)]]=0,0,Tabla2[[#This Row],[Beneficio Neto  (En RD$/Tarea)]]/Tabla2[[#This Row],[Costos (En RD$/Tarea)]])</f>
        <v>0.323201931210057</v>
      </c>
      <c r="P1651" s="7" t="n">
        <f aca="false">Tabla2[[#This Row],[Rentabilidad (%)]]/12</f>
        <v>0.0269334942675048</v>
      </c>
    </row>
    <row r="1652" customFormat="false" ht="14.25" hidden="false" customHeight="false" outlineLevel="0" collapsed="false">
      <c r="A1652" s="1" t="n">
        <v>40695</v>
      </c>
      <c r="B1652" s="2" t="s">
        <v>25</v>
      </c>
      <c r="C1652" s="3" t="n">
        <v>25398</v>
      </c>
      <c r="D1652" s="8" t="s">
        <v>17</v>
      </c>
      <c r="E1652" s="3" t="n">
        <f aca="false">IF(Tabla2[[#This Row],[Frecuencia]]="Annual", Tabla2[[#This Row],[Cosecha/Tarea]]/12,Tabla2[[#This Row],[Cosecha/Tarea]])</f>
        <v>25398</v>
      </c>
      <c r="F1652" s="3" t="n">
        <v>275300</v>
      </c>
      <c r="G1652" s="2" t="s">
        <v>18</v>
      </c>
      <c r="H1652" s="2" t="n">
        <f aca="false">F1652/Tabla2[[#This Row],[Cosecha Mensual]]</f>
        <v>10.8394361760769</v>
      </c>
      <c r="I1652" s="2" t="n">
        <f aca="false">H1652*_xlfn.XLOOKUP(Tabla2[[#This Row],[Unidad de producción]],Tabla3[Medida],Tabla3[Equivalencia en Kg],"ELVIS",0)</f>
        <v>491.676824946846</v>
      </c>
      <c r="J1652" s="2" t="n">
        <v>493.96</v>
      </c>
      <c r="K1652" s="2" t="s">
        <v>18</v>
      </c>
      <c r="L1652" s="2" t="n">
        <f aca="false">J1652/_xlfn.XLOOKUP(Tabla2[[#This Row],[Unidad de precio]],Tabla3[Medida],Tabla3[Equivalencia en Kg],"ELVIS",0)</f>
        <v>10.8897707231041</v>
      </c>
      <c r="M1652" s="2" t="n">
        <v>4283.98894113212</v>
      </c>
      <c r="N1652" s="3" t="n">
        <f aca="false">(Tabla2[[#This Row],[Productividad (kg/TAS)]]*Tabla2[[#This Row],[Precio por kg]]-Tabla2[[#This Row],[Costos (En RD$/Tarea)]])</f>
        <v>1070.2589524028</v>
      </c>
      <c r="O1652" s="9" t="n">
        <f aca="false">IF(Tabla2[[#This Row],[Costos (En RD$/Tarea)]]=0,0,Tabla2[[#This Row],[Beneficio Neto  (En RD$/Tarea)]]/Tabla2[[#This Row],[Costos (En RD$/Tarea)]])</f>
        <v>0.249827664615765</v>
      </c>
      <c r="P1652" s="7" t="n">
        <f aca="false">Tabla2[[#This Row],[Rentabilidad (%)]]/12</f>
        <v>0.0208189720513138</v>
      </c>
    </row>
    <row r="1653" customFormat="false" ht="14.25" hidden="false" customHeight="false" outlineLevel="0" collapsed="false">
      <c r="A1653" s="1" t="n">
        <v>40695</v>
      </c>
      <c r="B1653" s="2" t="s">
        <v>26</v>
      </c>
      <c r="C1653" s="3" t="n">
        <v>8950</v>
      </c>
      <c r="D1653" s="8" t="s">
        <v>17</v>
      </c>
      <c r="E1653" s="3" t="n">
        <f aca="false">IF(Tabla2[[#This Row],[Frecuencia]]="Annual", Tabla2[[#This Row],[Cosecha/Tarea]]/12,Tabla2[[#This Row],[Cosecha/Tarea]])</f>
        <v>8950</v>
      </c>
      <c r="F1653" s="3" t="n">
        <v>51200</v>
      </c>
      <c r="G1653" s="2" t="s">
        <v>18</v>
      </c>
      <c r="H1653" s="2" t="n">
        <f aca="false">F1653/Tabla2[[#This Row],[Cosecha Mensual]]</f>
        <v>5.72067039106145</v>
      </c>
      <c r="I1653" s="2" t="n">
        <f aca="false">H1653*_xlfn.XLOOKUP(Tabla2[[#This Row],[Unidad de producción]],Tabla3[Medida],Tabla3[Equivalencia en Kg],"ELVIS",0)</f>
        <v>259.489608938548</v>
      </c>
      <c r="J1653" s="2" t="n">
        <v>792.361666666667</v>
      </c>
      <c r="K1653" s="2" t="s">
        <v>18</v>
      </c>
      <c r="L1653" s="2" t="n">
        <f aca="false">J1653/_xlfn.XLOOKUP(Tabla2[[#This Row],[Unidad de precio]],Tabla3[Medida],Tabla3[Equivalencia en Kg],"ELVIS",0)</f>
        <v>17.4682907113463</v>
      </c>
      <c r="M1653" s="2" t="n">
        <v>2009.79</v>
      </c>
      <c r="N1653" s="3" t="n">
        <f aca="false">(Tabla2[[#This Row],[Productividad (kg/TAS)]]*Tabla2[[#This Row],[Precio por kg]]-Tabla2[[#This Row],[Costos (En RD$/Tarea)]])</f>
        <v>2523.04992551211</v>
      </c>
      <c r="O1653" s="9" t="n">
        <f aca="false">IF(Tabla2[[#This Row],[Costos (En RD$/Tarea)]]=0,0,Tabla2[[#This Row],[Beneficio Neto  (En RD$/Tarea)]]/Tabla2[[#This Row],[Costos (En RD$/Tarea)]])</f>
        <v>1.25537987825201</v>
      </c>
      <c r="P1653" s="7" t="n">
        <f aca="false">Tabla2[[#This Row],[Rentabilidad (%)]]/12</f>
        <v>0.104614989854334</v>
      </c>
    </row>
    <row r="1654" customFormat="false" ht="14.25" hidden="false" customHeight="false" outlineLevel="0" collapsed="false">
      <c r="A1654" s="1" t="n">
        <v>40695</v>
      </c>
      <c r="B1654" s="2" t="s">
        <v>27</v>
      </c>
      <c r="C1654" s="3" t="n">
        <v>6239</v>
      </c>
      <c r="D1654" s="8" t="s">
        <v>17</v>
      </c>
      <c r="E1654" s="3" t="n">
        <f aca="false">IF(Tabla2[[#This Row],[Frecuencia]]="Annual", Tabla2[[#This Row],[Cosecha/Tarea]]/12,Tabla2[[#This Row],[Cosecha/Tarea]])</f>
        <v>6239</v>
      </c>
      <c r="F1654" s="3" t="n">
        <v>35200</v>
      </c>
      <c r="G1654" s="2" t="s">
        <v>18</v>
      </c>
      <c r="H1654" s="2" t="n">
        <f aca="false">F1654/Tabla2[[#This Row],[Cosecha Mensual]]</f>
        <v>5.64192979644174</v>
      </c>
      <c r="I1654" s="2" t="n">
        <f aca="false">H1654*_xlfn.XLOOKUP(Tabla2[[#This Row],[Unidad de producción]],Tabla3[Medida],Tabla3[Equivalencia en Kg],"ELVIS",0)</f>
        <v>255.917935566597</v>
      </c>
      <c r="J1654" s="2" t="n">
        <v>367.231944444444</v>
      </c>
      <c r="K1654" s="2" t="s">
        <v>18</v>
      </c>
      <c r="L1654" s="2" t="n">
        <f aca="false">J1654/_xlfn.XLOOKUP(Tabla2[[#This Row],[Unidad de precio]],Tabla3[Medida],Tabla3[Equivalencia en Kg],"ELVIS",0)</f>
        <v>8.09594233784048</v>
      </c>
      <c r="M1654" s="2" t="n">
        <v>6922.022</v>
      </c>
      <c r="N1654" s="3" t="n">
        <f aca="false">(Tabla2[[#This Row],[Productividad (kg/TAS)]]*Tabla2[[#This Row],[Precio por kg]]-Tabla2[[#This Row],[Costos (En RD$/Tarea)]])</f>
        <v>-4850.12515043365</v>
      </c>
      <c r="O1654" s="9" t="n">
        <f aca="false">IF(Tabla2[[#This Row],[Costos (En RD$/Tarea)]]=0,0,Tabla2[[#This Row],[Beneficio Neto  (En RD$/Tarea)]]/Tabla2[[#This Row],[Costos (En RD$/Tarea)]])</f>
        <v>-0.700680400962848</v>
      </c>
      <c r="P1654" s="7" t="n">
        <f aca="false">Tabla2[[#This Row],[Rentabilidad (%)]]/12</f>
        <v>-0.0583900334135707</v>
      </c>
    </row>
    <row r="1655" customFormat="false" ht="14.25" hidden="false" customHeight="false" outlineLevel="0" collapsed="false">
      <c r="A1655" s="1" t="n">
        <v>40695</v>
      </c>
      <c r="B1655" s="2" t="s">
        <v>28</v>
      </c>
      <c r="C1655" s="3" t="n">
        <v>925</v>
      </c>
      <c r="D1655" s="8" t="s">
        <v>17</v>
      </c>
      <c r="E1655" s="3" t="n">
        <f aca="false">IF(Tabla2[[#This Row],[Frecuencia]]="Annual", Tabla2[[#This Row],[Cosecha/Tarea]]/12,Tabla2[[#This Row],[Cosecha/Tarea]])</f>
        <v>925</v>
      </c>
      <c r="F1655" s="3" t="n">
        <v>1685</v>
      </c>
      <c r="G1655" s="2" t="s">
        <v>29</v>
      </c>
      <c r="H1655" s="2" t="n">
        <f aca="false">F1655/Tabla2[[#This Row],[Cosecha Mensual]]</f>
        <v>1.82162162162162</v>
      </c>
      <c r="I1655" s="2" t="n">
        <f aca="false">H1655*_xlfn.XLOOKUP(Tabla2[[#This Row],[Unidad de producción]],Tabla3[Medida],Tabla3[Equivalencia en Kg],"ELVIS",0)</f>
        <v>1024.3707027027</v>
      </c>
      <c r="J1655" s="2" t="n">
        <v>6750</v>
      </c>
      <c r="K1655" s="2" t="s">
        <v>29</v>
      </c>
      <c r="L1655" s="2" t="n">
        <f aca="false">J1655/_xlfn.XLOOKUP(Tabla2[[#This Row],[Unidad de precio]],Tabla3[Medida],Tabla3[Equivalencia en Kg],"ELVIS",0)</f>
        <v>12.0034143045133</v>
      </c>
      <c r="M1655" s="2" t="n">
        <v>6816.05132473333</v>
      </c>
      <c r="N1655" s="3" t="n">
        <f aca="false">(Tabla2[[#This Row],[Productividad (kg/TAS)]]*Tabla2[[#This Row],[Precio por kg]]-Tabla2[[#This Row],[Costos (En RD$/Tarea)]])</f>
        <v>5479.89462121262</v>
      </c>
      <c r="O1655" s="9" t="n">
        <f aca="false">IF(Tabla2[[#This Row],[Costos (En RD$/Tarea)]]=0,0,Tabla2[[#This Row],[Beneficio Neto  (En RD$/Tarea)]]/Tabla2[[#This Row],[Costos (En RD$/Tarea)]])</f>
        <v>0.803969095908621</v>
      </c>
      <c r="P1655" s="7" t="n">
        <f aca="false">Tabla2[[#This Row],[Rentabilidad (%)]]/12</f>
        <v>0.0669974246590518</v>
      </c>
    </row>
    <row r="1656" customFormat="false" ht="14.25" hidden="false" customHeight="false" outlineLevel="0" collapsed="false">
      <c r="A1656" s="1" t="n">
        <v>40695</v>
      </c>
      <c r="B1656" s="2" t="s">
        <v>30</v>
      </c>
      <c r="C1656" s="3" t="n">
        <v>362489</v>
      </c>
      <c r="D1656" s="3" t="s">
        <v>31</v>
      </c>
      <c r="E1656" s="3" t="n">
        <f aca="false">IF(Tabla2[[#This Row],[Frecuencia]]="Annual", Tabla2[[#This Row],[Cosecha/Tarea]]/12,Tabla2[[#This Row],[Cosecha/Tarea]])</f>
        <v>30207.4166666667</v>
      </c>
      <c r="F1656" s="3" t="n">
        <v>3314002</v>
      </c>
      <c r="G1656" s="2" t="s">
        <v>32</v>
      </c>
      <c r="H1656" s="2" t="n">
        <f aca="false">F1656/Tabla2[[#This Row],[Cosecha Mensual]]</f>
        <v>109.708222870211</v>
      </c>
      <c r="I1656" s="2" t="n">
        <f aca="false">H1656*_xlfn.XLOOKUP(Tabla2[[#This Row],[Unidad de producción]],Tabla3[Medida],Tabla3[Equivalencia en Kg],"ELVIS",0)</f>
        <v>2985.16074429845</v>
      </c>
      <c r="J1656" s="2" t="n">
        <v>162.693888888889</v>
      </c>
      <c r="K1656" s="2" t="s">
        <v>32</v>
      </c>
      <c r="L1656" s="2" t="n">
        <f aca="false">J1656/_xlfn.XLOOKUP(Tabla2[[#This Row],[Unidad de precio]],Tabla3[Medida],Tabla3[Equivalencia en Kg],"ELVIS",0)</f>
        <v>5.97919474049574</v>
      </c>
      <c r="M1656" s="3" t="n">
        <v>11259.713084354</v>
      </c>
      <c r="N1656" s="3" t="n">
        <f aca="false">(Tabla2[[#This Row],[Productividad (kg/TAS)]]*Tabla2[[#This Row],[Precio por kg]]-Tabla2[[#This Row],[Costos (En RD$/Tarea)]])</f>
        <v>6589.14433748962</v>
      </c>
      <c r="O1656" s="9" t="n">
        <f aca="false">IF(Tabla2[[#This Row],[Costos (En RD$/Tarea)]]=0,0,Tabla2[[#This Row],[Beneficio Neto  (En RD$/Tarea)]]/Tabla2[[#This Row],[Costos (En RD$/Tarea)]])</f>
        <v>0.585196468873226</v>
      </c>
      <c r="P1656" s="7" t="n">
        <f aca="false">Tabla2[[#This Row],[Rentabilidad (%)]]/12</f>
        <v>0.0487663724061022</v>
      </c>
    </row>
    <row r="1657" customFormat="false" ht="14.25" hidden="false" customHeight="false" outlineLevel="0" collapsed="false">
      <c r="A1657" s="1" t="n">
        <v>40695</v>
      </c>
      <c r="B1657" s="2" t="s">
        <v>33</v>
      </c>
      <c r="C1657" s="3" t="n">
        <v>725877</v>
      </c>
      <c r="D1657" s="3" t="s">
        <v>31</v>
      </c>
      <c r="E1657" s="11" t="n">
        <f aca="false">IF(Tabla2[[#This Row],[Frecuencia]]="Annual", Tabla2[[#This Row],[Cosecha/Tarea]]/12,Tabla2[[#This Row],[Cosecha/Tarea]])</f>
        <v>60489.75</v>
      </c>
      <c r="F1657" s="3" t="n">
        <v>172800</v>
      </c>
      <c r="G1657" s="2" t="s">
        <v>34</v>
      </c>
      <c r="H1657" s="2" t="n">
        <f aca="false">F1657/Tabla2[[#This Row],[Cosecha Mensual]]</f>
        <v>2.85668233047748</v>
      </c>
      <c r="I1657" s="2" t="n">
        <f aca="false">H1657*_xlfn.XLOOKUP(Tabla2[[#This Row],[Unidad de producción]],Tabla3[Medida],Tabla3[Equivalencia en Kg],"ELVIS",0)</f>
        <v>1165.95489318438</v>
      </c>
      <c r="J1657" s="2" t="n">
        <v>4672.22166666667</v>
      </c>
      <c r="K1657" s="2" t="s">
        <v>34</v>
      </c>
      <c r="L1657" s="2" t="n">
        <f aca="false">J1657/_xlfn.XLOOKUP(Tabla2[[#This Row],[Unidad de precio]],Tabla3[Medida],Tabla3[Equivalencia en Kg],"ELVIS",0)</f>
        <v>11.4473151210748</v>
      </c>
      <c r="M1657" s="3" t="n">
        <v>10868.0263728783</v>
      </c>
      <c r="N1657" s="3" t="n">
        <f aca="false">(Tabla2[[#This Row],[Productividad (kg/TAS)]]*Tabla2[[#This Row],[Precio por kg]]-Tabla2[[#This Row],[Costos (En RD$/Tarea)]])</f>
        <v>2479.02670636241</v>
      </c>
      <c r="O1657" s="9" t="n">
        <f aca="false">IF(Tabla2[[#This Row],[Costos (En RD$/Tarea)]]=0,0,Tabla2[[#This Row],[Beneficio Neto  (En RD$/Tarea)]]/Tabla2[[#This Row],[Costos (En RD$/Tarea)]])</f>
        <v>0.228102750334591</v>
      </c>
      <c r="P1657" s="7" t="n">
        <f aca="false">Tabla2[[#This Row],[Rentabilidad (%)]]/12</f>
        <v>0.0190085625278826</v>
      </c>
    </row>
    <row r="1658" customFormat="false" ht="14.25" hidden="false" customHeight="false" outlineLevel="0" collapsed="false">
      <c r="A1658" s="1" t="n">
        <v>40725</v>
      </c>
      <c r="B1658" s="2" t="s">
        <v>16</v>
      </c>
      <c r="C1658" s="3" t="n">
        <v>231532</v>
      </c>
      <c r="D1658" s="8" t="s">
        <v>17</v>
      </c>
      <c r="E1658" s="3" t="n">
        <f aca="false">IF(Tabla2[[#This Row],[Frecuencia]]="Annual", Tabla2[[#This Row],[Cosecha/Tarea]]/12,Tabla2[[#This Row],[Cosecha/Tarea]])</f>
        <v>231532</v>
      </c>
      <c r="F1658" s="3" t="n">
        <v>1218316</v>
      </c>
      <c r="G1658" s="2" t="s">
        <v>18</v>
      </c>
      <c r="H1658" s="2" t="n">
        <f aca="false">F1658/Tabla2[[#This Row],[Cosecha Mensual]]</f>
        <v>5.26197674619491</v>
      </c>
      <c r="I1658" s="2" t="n">
        <f aca="false">H1658*_xlfn.XLOOKUP(Tabla2[[#This Row],[Unidad de producción]],Tabla3[Medida],Tabla3[Equivalencia en Kg],"ELVIS",0)</f>
        <v>238.683265207401</v>
      </c>
      <c r="J1658" s="2" t="n">
        <v>1592.52583333333</v>
      </c>
      <c r="K1658" s="2" t="s">
        <v>19</v>
      </c>
      <c r="L1658" s="2" t="n">
        <f aca="false">J1658/_xlfn.XLOOKUP(Tabla2[[#This Row],[Unidad de precio]],Tabla3[Medida],Tabla3[Equivalencia en Kg],"ELVIS",0)</f>
        <v>14.4775075757575</v>
      </c>
      <c r="M1658" s="2" t="n">
        <v>7569</v>
      </c>
      <c r="N1658" s="3" t="n">
        <f aca="false">(Tabla2[[#This Row],[Productividad (kg/TAS)]]*Tabla2[[#This Row],[Precio por kg]]-Tabla2[[#This Row],[Costos (En RD$/Tarea)]])</f>
        <v>-4113.4612197533</v>
      </c>
      <c r="O1658" s="9" t="n">
        <f aca="false">IF(Tabla2[[#This Row],[Costos (En RD$/Tarea)]]=0,0,Tabla2[[#This Row],[Beneficio Neto  (En RD$/Tarea)]]/Tabla2[[#This Row],[Costos (En RD$/Tarea)]])</f>
        <v>-0.543461648798164</v>
      </c>
      <c r="P1658" s="7" t="n">
        <f aca="false">Tabla2[[#This Row],[Rentabilidad (%)]]/12</f>
        <v>-0.0452884707331803</v>
      </c>
    </row>
    <row r="1659" customFormat="false" ht="14.25" hidden="false" customHeight="false" outlineLevel="0" collapsed="false">
      <c r="A1659" s="1" t="n">
        <v>40725</v>
      </c>
      <c r="B1659" s="2" t="s">
        <v>20</v>
      </c>
      <c r="C1659" s="3" t="n">
        <v>20944</v>
      </c>
      <c r="D1659" s="8" t="s">
        <v>17</v>
      </c>
      <c r="E1659" s="3" t="n">
        <f aca="false">IF(Tabla2[[#This Row],[Frecuencia]]="Annual", Tabla2[[#This Row],[Cosecha/Tarea]]/12,Tabla2[[#This Row],[Cosecha/Tarea]])</f>
        <v>20944</v>
      </c>
      <c r="F1659" s="3" t="n">
        <v>49628</v>
      </c>
      <c r="G1659" s="2" t="s">
        <v>18</v>
      </c>
      <c r="H1659" s="2" t="n">
        <f aca="false">F1659/Tabla2[[#This Row],[Cosecha Mensual]]</f>
        <v>2.36955691367456</v>
      </c>
      <c r="I1659" s="2" t="n">
        <f aca="false">H1659*_xlfn.XLOOKUP(Tabla2[[#This Row],[Unidad de producción]],Tabla3[Medida],Tabla3[Equivalencia en Kg],"ELVIS",0)</f>
        <v>107.483101604278</v>
      </c>
      <c r="J1659" s="2" t="n">
        <v>739.6</v>
      </c>
      <c r="K1659" s="2" t="s">
        <v>18</v>
      </c>
      <c r="L1659" s="2" t="n">
        <f aca="false">J1659/_xlfn.XLOOKUP(Tabla2[[#This Row],[Unidad de precio]],Tabla3[Medida],Tabla3[Equivalencia en Kg],"ELVIS",0)</f>
        <v>16.305114638448</v>
      </c>
      <c r="M1659" s="2" t="n">
        <v>2249.6320342848</v>
      </c>
      <c r="N1659" s="3" t="n">
        <f aca="false">(Tabla2[[#This Row],[Productividad (kg/TAS)]]*Tabla2[[#This Row],[Precio por kg]]-Tabla2[[#This Row],[Costos (En RD$/Tarea)]])</f>
        <v>-497.107740931095</v>
      </c>
      <c r="O1659" s="9" t="n">
        <f aca="false">IF(Tabla2[[#This Row],[Costos (En RD$/Tarea)]]=0,0,Tabla2[[#This Row],[Beneficio Neto  (En RD$/Tarea)]]/Tabla2[[#This Row],[Costos (En RD$/Tarea)]])</f>
        <v>-0.220972911727377</v>
      </c>
      <c r="P1659" s="7" t="n">
        <f aca="false">Tabla2[[#This Row],[Rentabilidad (%)]]/12</f>
        <v>-0.0184144093106148</v>
      </c>
    </row>
    <row r="1660" customFormat="false" ht="14.25" hidden="false" customHeight="false" outlineLevel="0" collapsed="false">
      <c r="A1660" s="1" t="n">
        <v>40725</v>
      </c>
      <c r="B1660" s="2" t="s">
        <v>21</v>
      </c>
      <c r="C1660" s="3" t="n">
        <v>4917</v>
      </c>
      <c r="D1660" s="8" t="s">
        <v>17</v>
      </c>
      <c r="E1660" s="3" t="n">
        <f aca="false">IF(Tabla2[[#This Row],[Frecuencia]]="Annual", Tabla2[[#This Row],[Cosecha/Tarea]]/12,Tabla2[[#This Row],[Cosecha/Tarea]])</f>
        <v>4917</v>
      </c>
      <c r="F1660" s="3" t="n">
        <v>51738</v>
      </c>
      <c r="G1660" s="2" t="s">
        <v>18</v>
      </c>
      <c r="H1660" s="2" t="n">
        <f aca="false">F1660/Tabla2[[#This Row],[Cosecha Mensual]]</f>
        <v>10.5222696766321</v>
      </c>
      <c r="I1660" s="2" t="n">
        <f aca="false">H1660*_xlfn.XLOOKUP(Tabla2[[#This Row],[Unidad de producción]],Tabla3[Medida],Tabla3[Equivalencia en Kg],"ELVIS",0)</f>
        <v>477.290152532032</v>
      </c>
      <c r="J1660" s="2" t="n">
        <v>661.4575</v>
      </c>
      <c r="K1660" s="2" t="s">
        <v>18</v>
      </c>
      <c r="L1660" s="2" t="n">
        <f aca="false">J1660/_xlfn.XLOOKUP(Tabla2[[#This Row],[Unidad de precio]],Tabla3[Medida],Tabla3[Equivalencia en Kg],"ELVIS",0)</f>
        <v>14.5823963844797</v>
      </c>
      <c r="M1660" s="2" t="n">
        <v>4921.44160075</v>
      </c>
      <c r="N1660" s="3" t="n">
        <f aca="false">(Tabla2[[#This Row],[Productividad (kg/TAS)]]*Tabla2[[#This Row],[Precio por kg]]-Tabla2[[#This Row],[Costos (En RD$/Tarea)]])</f>
        <v>2038.59259388087</v>
      </c>
      <c r="O1660" s="9" t="n">
        <f aca="false">IF(Tabla2[[#This Row],[Costos (En RD$/Tarea)]]=0,0,Tabla2[[#This Row],[Beneficio Neto  (En RD$/Tarea)]]/Tabla2[[#This Row],[Costos (En RD$/Tarea)]])</f>
        <v>0.414226716328444</v>
      </c>
      <c r="P1660" s="7" t="n">
        <f aca="false">Tabla2[[#This Row],[Rentabilidad (%)]]/12</f>
        <v>0.0345188930273703</v>
      </c>
    </row>
    <row r="1661" customFormat="false" ht="14.25" hidden="false" customHeight="false" outlineLevel="0" collapsed="false">
      <c r="A1661" s="1" t="n">
        <v>40725</v>
      </c>
      <c r="B1661" s="2" t="s">
        <v>22</v>
      </c>
      <c r="C1661" s="3" t="n">
        <v>2939</v>
      </c>
      <c r="D1661" s="8" t="s">
        <v>17</v>
      </c>
      <c r="E1661" s="3" t="n">
        <f aca="false">IF(Tabla2[[#This Row],[Frecuencia]]="Annual", Tabla2[[#This Row],[Cosecha/Tarea]]/12,Tabla2[[#This Row],[Cosecha/Tarea]])</f>
        <v>2939</v>
      </c>
      <c r="F1661" s="3" t="n">
        <v>25783</v>
      </c>
      <c r="G1661" s="2" t="s">
        <v>18</v>
      </c>
      <c r="H1661" s="2" t="n">
        <f aca="false">F1661/Tabla2[[#This Row],[Cosecha Mensual]]</f>
        <v>8.77271180673699</v>
      </c>
      <c r="I1661" s="2" t="n">
        <f aca="false">H1661*_xlfn.XLOOKUP(Tabla2[[#This Row],[Unidad de producción]],Tabla3[Medida],Tabla3[Equivalencia en Kg],"ELVIS",0)</f>
        <v>397.93020755359</v>
      </c>
      <c r="J1661" s="2" t="n">
        <v>1297.66666666667</v>
      </c>
      <c r="K1661" s="2" t="s">
        <v>18</v>
      </c>
      <c r="L1661" s="2" t="n">
        <f aca="false">J1661/_xlfn.XLOOKUP(Tabla2[[#This Row],[Unidad de precio]],Tabla3[Medida],Tabla3[Equivalencia en Kg],"ELVIS",0)</f>
        <v>28.6081716637273</v>
      </c>
      <c r="M1661" s="2" t="n">
        <v>8263.3527360768</v>
      </c>
      <c r="N1661" s="3" t="n">
        <f aca="false">(Tabla2[[#This Row],[Productividad (kg/TAS)]]*Tabla2[[#This Row],[Precio por kg]]-Tabla2[[#This Row],[Costos (En RD$/Tarea)]])</f>
        <v>3120.70295179892</v>
      </c>
      <c r="O1661" s="9" t="n">
        <f aca="false">IF(Tabla2[[#This Row],[Costos (En RD$/Tarea)]]=0,0,Tabla2[[#This Row],[Beneficio Neto  (En RD$/Tarea)]]/Tabla2[[#This Row],[Costos (En RD$/Tarea)]])</f>
        <v>0.377655783490194</v>
      </c>
      <c r="P1661" s="7" t="n">
        <f aca="false">Tabla2[[#This Row],[Rentabilidad (%)]]/12</f>
        <v>0.0314713152908495</v>
      </c>
    </row>
    <row r="1662" customFormat="false" ht="14.25" hidden="false" customHeight="false" outlineLevel="0" collapsed="false">
      <c r="A1662" s="1" t="n">
        <v>40725</v>
      </c>
      <c r="B1662" s="2" t="s">
        <v>23</v>
      </c>
      <c r="C1662" s="3" t="n">
        <v>2219</v>
      </c>
      <c r="D1662" s="8" t="s">
        <v>17</v>
      </c>
      <c r="E1662" s="3" t="n">
        <f aca="false">IF(Tabla2[[#This Row],[Frecuencia]]="Annual", Tabla2[[#This Row],[Cosecha/Tarea]]/12,Tabla2[[#This Row],[Cosecha/Tarea]])</f>
        <v>2219</v>
      </c>
      <c r="F1662" s="3" t="n">
        <v>74170</v>
      </c>
      <c r="G1662" s="2" t="s">
        <v>18</v>
      </c>
      <c r="H1662" s="2" t="n">
        <f aca="false">F1662/Tabla2[[#This Row],[Cosecha Mensual]]</f>
        <v>33.4249662009914</v>
      </c>
      <c r="I1662" s="2" t="n">
        <f aca="false">H1662*_xlfn.XLOOKUP(Tabla2[[#This Row],[Unidad de producción]],Tabla3[Medida],Tabla3[Equivalencia en Kg],"ELVIS",0)</f>
        <v>1516.15646687697</v>
      </c>
      <c r="J1662" s="2" t="n">
        <v>850</v>
      </c>
      <c r="K1662" s="2" t="s">
        <v>18</v>
      </c>
      <c r="L1662" s="2" t="n">
        <f aca="false">J1662/_xlfn.XLOOKUP(Tabla2[[#This Row],[Unidad de precio]],Tabla3[Medida],Tabla3[Equivalencia en Kg],"ELVIS",0)</f>
        <v>18.7389770723104</v>
      </c>
      <c r="M1662" s="2" t="n">
        <v>22831.198995686</v>
      </c>
      <c r="N1662" s="3" t="n">
        <f aca="false">(Tabla2[[#This Row],[Productividad (kg/TAS)]]*Tabla2[[#This Row],[Precio por kg]]-Tabla2[[#This Row],[Costos (En RD$/Tarea)]])</f>
        <v>5580.02227515672</v>
      </c>
      <c r="O1662" s="9" t="n">
        <f aca="false">IF(Tabla2[[#This Row],[Costos (En RD$/Tarea)]]=0,0,Tabla2[[#This Row],[Beneficio Neto  (En RD$/Tarea)]]/Tabla2[[#This Row],[Costos (En RD$/Tarea)]])</f>
        <v>0.24440338311672</v>
      </c>
      <c r="P1662" s="7" t="n">
        <f aca="false">Tabla2[[#This Row],[Rentabilidad (%)]]/12</f>
        <v>0.02036694859306</v>
      </c>
    </row>
    <row r="1663" customFormat="false" ht="14.25" hidden="false" customHeight="false" outlineLevel="0" collapsed="false">
      <c r="A1663" s="1" t="n">
        <v>40725</v>
      </c>
      <c r="B1663" s="2" t="s">
        <v>24</v>
      </c>
      <c r="C1663" s="3" t="n">
        <v>4870</v>
      </c>
      <c r="D1663" s="8" t="s">
        <v>17</v>
      </c>
      <c r="E1663" s="3" t="n">
        <f aca="false">IF(Tabla2[[#This Row],[Frecuencia]]="Annual", Tabla2[[#This Row],[Cosecha/Tarea]]/12,Tabla2[[#This Row],[Cosecha/Tarea]])</f>
        <v>4870</v>
      </c>
      <c r="F1663" s="3" t="n">
        <v>44112</v>
      </c>
      <c r="G1663" s="2" t="s">
        <v>18</v>
      </c>
      <c r="H1663" s="2" t="n">
        <f aca="false">F1663/Tabla2[[#This Row],[Cosecha Mensual]]</f>
        <v>9.05790554414784</v>
      </c>
      <c r="I1663" s="2" t="n">
        <f aca="false">H1663*_xlfn.XLOOKUP(Tabla2[[#This Row],[Unidad de producción]],Tabla3[Medida],Tabla3[Equivalencia en Kg],"ELVIS",0)</f>
        <v>410.866595482546</v>
      </c>
      <c r="J1663" s="2" t="n">
        <v>1203.525</v>
      </c>
      <c r="K1663" s="2" t="s">
        <v>18</v>
      </c>
      <c r="L1663" s="2" t="n">
        <f aca="false">J1663/_xlfn.XLOOKUP(Tabla2[[#This Row],[Unidad de precio]],Tabla3[Medida],Tabla3[Equivalencia en Kg],"ELVIS",0)</f>
        <v>26.5327380952381</v>
      </c>
      <c r="M1663" s="2" t="n">
        <v>6908.3833517736</v>
      </c>
      <c r="N1663" s="3" t="n">
        <f aca="false">(Tabla2[[#This Row],[Productividad (kg/TAS)]]*Tabla2[[#This Row],[Precio por kg]]-Tabla2[[#This Row],[Costos (En RD$/Tarea)]])</f>
        <v>3993.03241824693</v>
      </c>
      <c r="O1663" s="9" t="n">
        <f aca="false">IF(Tabla2[[#This Row],[Costos (En RD$/Tarea)]]=0,0,Tabla2[[#This Row],[Beneficio Neto  (En RD$/Tarea)]]/Tabla2[[#This Row],[Costos (En RD$/Tarea)]])</f>
        <v>0.577998095201506</v>
      </c>
      <c r="P1663" s="7" t="n">
        <f aca="false">Tabla2[[#This Row],[Rentabilidad (%)]]/12</f>
        <v>0.0481665079334588</v>
      </c>
    </row>
    <row r="1664" customFormat="false" ht="14.25" hidden="false" customHeight="false" outlineLevel="0" collapsed="false">
      <c r="A1664" s="1" t="n">
        <v>40725</v>
      </c>
      <c r="B1664" s="2" t="s">
        <v>25</v>
      </c>
      <c r="C1664" s="3" t="n">
        <v>23689</v>
      </c>
      <c r="D1664" s="8" t="s">
        <v>17</v>
      </c>
      <c r="E1664" s="3" t="n">
        <f aca="false">IF(Tabla2[[#This Row],[Frecuencia]]="Annual", Tabla2[[#This Row],[Cosecha/Tarea]]/12,Tabla2[[#This Row],[Cosecha/Tarea]])</f>
        <v>23689</v>
      </c>
      <c r="F1664" s="3" t="n">
        <v>259654</v>
      </c>
      <c r="G1664" s="2" t="s">
        <v>18</v>
      </c>
      <c r="H1664" s="2" t="n">
        <f aca="false">F1664/Tabla2[[#This Row],[Cosecha Mensual]]</f>
        <v>10.9609523407489</v>
      </c>
      <c r="I1664" s="2" t="n">
        <f aca="false">H1664*_xlfn.XLOOKUP(Tabla2[[#This Row],[Unidad de producción]],Tabla3[Medida],Tabla3[Equivalencia en Kg],"ELVIS",0)</f>
        <v>497.188798176369</v>
      </c>
      <c r="J1664" s="2" t="n">
        <v>802.4</v>
      </c>
      <c r="K1664" s="2" t="s">
        <v>18</v>
      </c>
      <c r="L1664" s="2" t="n">
        <f aca="false">J1664/_xlfn.XLOOKUP(Tabla2[[#This Row],[Unidad de precio]],Tabla3[Medida],Tabla3[Equivalencia en Kg],"ELVIS",0)</f>
        <v>17.689594356261</v>
      </c>
      <c r="M1664" s="2" t="n">
        <v>4283.98894113212</v>
      </c>
      <c r="N1664" s="3" t="n">
        <f aca="false">(Tabla2[[#This Row],[Productividad (kg/TAS)]]*Tabla2[[#This Row],[Precio por kg]]-Tabla2[[#This Row],[Costos (En RD$/Tarea)]])</f>
        <v>4511.07921708477</v>
      </c>
      <c r="O1664" s="9" t="n">
        <f aca="false">IF(Tabla2[[#This Row],[Costos (En RD$/Tarea)]]=0,0,Tabla2[[#This Row],[Beneficio Neto  (En RD$/Tarea)]]/Tabla2[[#This Row],[Costos (En RD$/Tarea)]])</f>
        <v>1.05300907146895</v>
      </c>
      <c r="P1664" s="7" t="n">
        <f aca="false">Tabla2[[#This Row],[Rentabilidad (%)]]/12</f>
        <v>0.0877507559557457</v>
      </c>
    </row>
    <row r="1665" customFormat="false" ht="14.25" hidden="false" customHeight="false" outlineLevel="0" collapsed="false">
      <c r="A1665" s="1" t="n">
        <v>40725</v>
      </c>
      <c r="B1665" s="2" t="s">
        <v>26</v>
      </c>
      <c r="C1665" s="3" t="n">
        <v>10206</v>
      </c>
      <c r="D1665" s="8" t="s">
        <v>17</v>
      </c>
      <c r="E1665" s="3" t="n">
        <f aca="false">IF(Tabla2[[#This Row],[Frecuencia]]="Annual", Tabla2[[#This Row],[Cosecha/Tarea]]/12,Tabla2[[#This Row],[Cosecha/Tarea]])</f>
        <v>10206</v>
      </c>
      <c r="F1665" s="3" t="n">
        <v>78251</v>
      </c>
      <c r="G1665" s="2" t="s">
        <v>18</v>
      </c>
      <c r="H1665" s="2" t="n">
        <f aca="false">F1665/Tabla2[[#This Row],[Cosecha Mensual]]</f>
        <v>7.66715657456398</v>
      </c>
      <c r="I1665" s="2" t="n">
        <f aca="false">H1665*_xlfn.XLOOKUP(Tabla2[[#This Row],[Unidad de producción]],Tabla3[Medida],Tabla3[Equivalencia en Kg],"ELVIS",0)</f>
        <v>347.782222222222</v>
      </c>
      <c r="J1665" s="2" t="n">
        <v>761.916</v>
      </c>
      <c r="K1665" s="2" t="s">
        <v>18</v>
      </c>
      <c r="L1665" s="2" t="n">
        <f aca="false">J1665/_xlfn.XLOOKUP(Tabla2[[#This Row],[Unidad de precio]],Tabla3[Medida],Tabla3[Equivalencia en Kg],"ELVIS",0)</f>
        <v>16.7970899470899</v>
      </c>
      <c r="M1665" s="2" t="n">
        <v>2009.79</v>
      </c>
      <c r="N1665" s="3" t="n">
        <f aca="false">(Tabla2[[#This Row],[Productividad (kg/TAS)]]*Tabla2[[#This Row],[Precio por kg]]-Tabla2[[#This Row],[Costos (En RD$/Tarea)]])</f>
        <v>3831.93926866549</v>
      </c>
      <c r="O1665" s="9" t="n">
        <f aca="false">IF(Tabla2[[#This Row],[Costos (En RD$/Tarea)]]=0,0,Tabla2[[#This Row],[Beneficio Neto  (En RD$/Tarea)]]/Tabla2[[#This Row],[Costos (En RD$/Tarea)]])</f>
        <v>1.90663664794107</v>
      </c>
      <c r="P1665" s="7" t="n">
        <f aca="false">Tabla2[[#This Row],[Rentabilidad (%)]]/12</f>
        <v>0.158886387328423</v>
      </c>
    </row>
    <row r="1666" customFormat="false" ht="14.25" hidden="false" customHeight="false" outlineLevel="0" collapsed="false">
      <c r="A1666" s="1" t="n">
        <v>40725</v>
      </c>
      <c r="B1666" s="2" t="s">
        <v>27</v>
      </c>
      <c r="C1666" s="3" t="n">
        <v>5429</v>
      </c>
      <c r="D1666" s="8" t="s">
        <v>17</v>
      </c>
      <c r="E1666" s="3" t="n">
        <f aca="false">IF(Tabla2[[#This Row],[Frecuencia]]="Annual", Tabla2[[#This Row],[Cosecha/Tarea]]/12,Tabla2[[#This Row],[Cosecha/Tarea]])</f>
        <v>5429</v>
      </c>
      <c r="F1666" s="3" t="n">
        <v>46256</v>
      </c>
      <c r="G1666" s="2" t="s">
        <v>18</v>
      </c>
      <c r="H1666" s="2" t="n">
        <f aca="false">F1666/Tabla2[[#This Row],[Cosecha Mensual]]</f>
        <v>8.52016946030577</v>
      </c>
      <c r="I1666" s="2" t="n">
        <f aca="false">H1666*_xlfn.XLOOKUP(Tabla2[[#This Row],[Unidad de producción]],Tabla3[Medida],Tabla3[Equivalencia en Kg],"ELVIS",0)</f>
        <v>386.47488671947</v>
      </c>
      <c r="J1666" s="2" t="n">
        <v>472.484</v>
      </c>
      <c r="K1666" s="2" t="s">
        <v>18</v>
      </c>
      <c r="L1666" s="2" t="n">
        <f aca="false">J1666/_xlfn.XLOOKUP(Tabla2[[#This Row],[Unidad de precio]],Tabla3[Medida],Tabla3[Equivalencia en Kg],"ELVIS",0)</f>
        <v>10.4163139329806</v>
      </c>
      <c r="M1666" s="2" t="n">
        <v>6922.022</v>
      </c>
      <c r="N1666" s="3" t="n">
        <f aca="false">(Tabla2[[#This Row],[Productividad (kg/TAS)]]*Tabla2[[#This Row],[Precio por kg]]-Tabla2[[#This Row],[Costos (En RD$/Tarea)]])</f>
        <v>-2896.37825271689</v>
      </c>
      <c r="O1666" s="9" t="n">
        <f aca="false">IF(Tabla2[[#This Row],[Costos (En RD$/Tarea)]]=0,0,Tabla2[[#This Row],[Beneficio Neto  (En RD$/Tarea)]]/Tabla2[[#This Row],[Costos (En RD$/Tarea)]])</f>
        <v>-0.418429506973091</v>
      </c>
      <c r="P1666" s="7" t="n">
        <f aca="false">Tabla2[[#This Row],[Rentabilidad (%)]]/12</f>
        <v>-0.0348691255810909</v>
      </c>
    </row>
    <row r="1667" customFormat="false" ht="14.25" hidden="false" customHeight="false" outlineLevel="0" collapsed="false">
      <c r="A1667" s="1" t="n">
        <v>40725</v>
      </c>
      <c r="B1667" s="2" t="s">
        <v>28</v>
      </c>
      <c r="C1667" s="3" t="n">
        <v>42598</v>
      </c>
      <c r="D1667" s="8" t="s">
        <v>17</v>
      </c>
      <c r="E1667" s="3" t="n">
        <f aca="false">IF(Tabla2[[#This Row],[Frecuencia]]="Annual", Tabla2[[#This Row],[Cosecha/Tarea]]/12,Tabla2[[#This Row],[Cosecha/Tarea]])</f>
        <v>42598</v>
      </c>
      <c r="F1667" s="3" t="n">
        <v>49120</v>
      </c>
      <c r="G1667" s="2" t="s">
        <v>29</v>
      </c>
      <c r="H1667" s="2" t="n">
        <f aca="false">F1667/Tabla2[[#This Row],[Cosecha Mensual]]</f>
        <v>1.15310577961407</v>
      </c>
      <c r="I1667" s="2" t="n">
        <f aca="false">H1667*_xlfn.XLOOKUP(Tabla2[[#This Row],[Unidad de producción]],Tabla3[Medida],Tabla3[Equivalencia en Kg],"ELVIS",0)</f>
        <v>648.437504108174</v>
      </c>
      <c r="J1667" s="2" t="n">
        <v>6016.665</v>
      </c>
      <c r="K1667" s="2" t="s">
        <v>29</v>
      </c>
      <c r="L1667" s="2" t="n">
        <f aca="false">J1667/_xlfn.XLOOKUP(Tabla2[[#This Row],[Unidad de precio]],Tabla3[Medida],Tabla3[Equivalencia en Kg],"ELVIS",0)</f>
        <v>10.699336700217</v>
      </c>
      <c r="M1667" s="2" t="n">
        <v>6816.05132473333</v>
      </c>
      <c r="N1667" s="3" t="n">
        <f aca="false">(Tabla2[[#This Row],[Productividad (kg/TAS)]]*Tabla2[[#This Row],[Precio por kg]]-Tabla2[[#This Row],[Costos (En RD$/Tarea)]])</f>
        <v>121.799860768337</v>
      </c>
      <c r="O1667" s="9" t="n">
        <f aca="false">IF(Tabla2[[#This Row],[Costos (En RD$/Tarea)]]=0,0,Tabla2[[#This Row],[Beneficio Neto  (En RD$/Tarea)]]/Tabla2[[#This Row],[Costos (En RD$/Tarea)]])</f>
        <v>0.0178695633242025</v>
      </c>
      <c r="P1667" s="7" t="n">
        <f aca="false">Tabla2[[#This Row],[Rentabilidad (%)]]/12</f>
        <v>0.00148913027701688</v>
      </c>
    </row>
    <row r="1668" customFormat="false" ht="14.25" hidden="false" customHeight="false" outlineLevel="0" collapsed="false">
      <c r="A1668" s="1" t="n">
        <v>40725</v>
      </c>
      <c r="B1668" s="2" t="s">
        <v>30</v>
      </c>
      <c r="C1668" s="3" t="n">
        <v>363473</v>
      </c>
      <c r="D1668" s="3" t="s">
        <v>31</v>
      </c>
      <c r="E1668" s="3" t="n">
        <f aca="false">IF(Tabla2[[#This Row],[Frecuencia]]="Annual", Tabla2[[#This Row],[Cosecha/Tarea]]/12,Tabla2[[#This Row],[Cosecha/Tarea]])</f>
        <v>30289.4166666667</v>
      </c>
      <c r="F1668" s="3" t="n">
        <v>3275719</v>
      </c>
      <c r="G1668" s="2" t="s">
        <v>32</v>
      </c>
      <c r="H1668" s="2" t="n">
        <f aca="false">F1668/Tabla2[[#This Row],[Cosecha Mensual]]</f>
        <v>108.147312179997</v>
      </c>
      <c r="I1668" s="2" t="n">
        <f aca="false">H1668*_xlfn.XLOOKUP(Tabla2[[#This Row],[Unidad de producción]],Tabla3[Medida],Tabla3[Equivalencia en Kg],"ELVIS",0)</f>
        <v>2942.68836441771</v>
      </c>
      <c r="J1668" s="2" t="n">
        <v>163.25</v>
      </c>
      <c r="K1668" s="2" t="s">
        <v>32</v>
      </c>
      <c r="L1668" s="2" t="n">
        <f aca="false">J1668/_xlfn.XLOOKUP(Tabla2[[#This Row],[Unidad de precio]],Tabla3[Medida],Tabla3[Equivalencia en Kg],"ELVIS",0)</f>
        <v>5.99963248805586</v>
      </c>
      <c r="M1668" s="3" t="n">
        <v>11259.713084354</v>
      </c>
      <c r="N1668" s="3" t="n">
        <f aca="false">(Tabla2[[#This Row],[Productividad (kg/TAS)]]*Tabla2[[#This Row],[Precio por kg]]-Tabla2[[#This Row],[Costos (En RD$/Tarea)]])</f>
        <v>6395.33562903049</v>
      </c>
      <c r="O1668" s="9" t="n">
        <f aca="false">IF(Tabla2[[#This Row],[Costos (En RD$/Tarea)]]=0,0,Tabla2[[#This Row],[Beneficio Neto  (En RD$/Tarea)]]/Tabla2[[#This Row],[Costos (En RD$/Tarea)]])</f>
        <v>0.567983889209145</v>
      </c>
      <c r="P1668" s="7" t="n">
        <f aca="false">Tabla2[[#This Row],[Rentabilidad (%)]]/12</f>
        <v>0.0473319907674288</v>
      </c>
    </row>
    <row r="1669" customFormat="false" ht="14.25" hidden="false" customHeight="false" outlineLevel="0" collapsed="false">
      <c r="A1669" s="1" t="n">
        <v>40725</v>
      </c>
      <c r="B1669" s="2" t="s">
        <v>33</v>
      </c>
      <c r="C1669" s="3" t="n">
        <v>730121</v>
      </c>
      <c r="D1669" s="3" t="s">
        <v>31</v>
      </c>
      <c r="E1669" s="11" t="n">
        <f aca="false">IF(Tabla2[[#This Row],[Frecuencia]]="Annual", Tabla2[[#This Row],[Cosecha/Tarea]]/12,Tabla2[[#This Row],[Cosecha/Tarea]])</f>
        <v>60843.4166666667</v>
      </c>
      <c r="F1669" s="3" t="n">
        <v>177158</v>
      </c>
      <c r="G1669" s="2" t="s">
        <v>34</v>
      </c>
      <c r="H1669" s="2" t="n">
        <f aca="false">F1669/Tabla2[[#This Row],[Cosecha Mensual]]</f>
        <v>2.91170367651389</v>
      </c>
      <c r="I1669" s="2" t="n">
        <f aca="false">H1669*_xlfn.XLOOKUP(Tabla2[[#This Row],[Unidad de producción]],Tabla3[Medida],Tabla3[Equivalencia en Kg],"ELVIS",0)</f>
        <v>1188.41185556915</v>
      </c>
      <c r="J1669" s="2" t="n">
        <v>4379</v>
      </c>
      <c r="K1669" s="2" t="s">
        <v>34</v>
      </c>
      <c r="L1669" s="2" t="n">
        <f aca="false">J1669/_xlfn.XLOOKUP(Tabla2[[#This Row],[Unidad de precio]],Tabla3[Medida],Tabla3[Equivalencia en Kg],"ELVIS",0)</f>
        <v>10.7288986892074</v>
      </c>
      <c r="M1669" s="3" t="n">
        <v>10868.0263728783</v>
      </c>
      <c r="N1669" s="3" t="n">
        <f aca="false">(Tabla2[[#This Row],[Productividad (kg/TAS)]]*Tabla2[[#This Row],[Precio por kg]]-Tabla2[[#This Row],[Costos (En RD$/Tarea)]])</f>
        <v>1882.32402657604</v>
      </c>
      <c r="O1669" s="9" t="n">
        <f aca="false">IF(Tabla2[[#This Row],[Costos (En RD$/Tarea)]]=0,0,Tabla2[[#This Row],[Beneficio Neto  (En RD$/Tarea)]]/Tabla2[[#This Row],[Costos (En RD$/Tarea)]])</f>
        <v>0.173198330772685</v>
      </c>
      <c r="P1669" s="7" t="n">
        <f aca="false">Tabla2[[#This Row],[Rentabilidad (%)]]/12</f>
        <v>0.0144331942310571</v>
      </c>
    </row>
    <row r="1670" customFormat="false" ht="14.25" hidden="false" customHeight="false" outlineLevel="0" collapsed="false">
      <c r="A1670" s="1" t="n">
        <v>40756</v>
      </c>
      <c r="B1670" s="2" t="s">
        <v>16</v>
      </c>
      <c r="C1670" s="3" t="n">
        <v>65234</v>
      </c>
      <c r="D1670" s="8" t="s">
        <v>17</v>
      </c>
      <c r="E1670" s="3" t="n">
        <f aca="false">IF(Tabla2[[#This Row],[Frecuencia]]="Annual", Tabla2[[#This Row],[Cosecha/Tarea]]/12,Tabla2[[#This Row],[Cosecha/Tarea]])</f>
        <v>65234</v>
      </c>
      <c r="F1670" s="3" t="n">
        <v>282592</v>
      </c>
      <c r="G1670" s="2" t="s">
        <v>18</v>
      </c>
      <c r="H1670" s="2" t="n">
        <f aca="false">F1670/Tabla2[[#This Row],[Cosecha Mensual]]</f>
        <v>4.33197412392311</v>
      </c>
      <c r="I1670" s="2" t="n">
        <f aca="false">H1670*_xlfn.XLOOKUP(Tabla2[[#This Row],[Unidad de producción]],Tabla3[Medida],Tabla3[Equivalencia en Kg],"ELVIS",0)</f>
        <v>196.498346261152</v>
      </c>
      <c r="J1670" s="2" t="n">
        <v>1632.63483333333</v>
      </c>
      <c r="K1670" s="2" t="s">
        <v>19</v>
      </c>
      <c r="L1670" s="2" t="n">
        <f aca="false">J1670/_xlfn.XLOOKUP(Tabla2[[#This Row],[Unidad de precio]],Tabla3[Medida],Tabla3[Equivalencia en Kg],"ELVIS",0)</f>
        <v>14.8421348484848</v>
      </c>
      <c r="M1670" s="2" t="n">
        <v>7569</v>
      </c>
      <c r="N1670" s="3" t="n">
        <f aca="false">(Tabla2[[#This Row],[Productividad (kg/TAS)]]*Tabla2[[#This Row],[Precio por kg]]-Tabla2[[#This Row],[Costos (En RD$/Tarea)]])</f>
        <v>-4652.54504728772</v>
      </c>
      <c r="O1670" s="9" t="n">
        <f aca="false">IF(Tabla2[[#This Row],[Costos (En RD$/Tarea)]]=0,0,Tabla2[[#This Row],[Beneficio Neto  (En RD$/Tarea)]]/Tabla2[[#This Row],[Costos (En RD$/Tarea)]])</f>
        <v>-0.614684244588151</v>
      </c>
      <c r="P1670" s="7" t="n">
        <f aca="false">Tabla2[[#This Row],[Rentabilidad (%)]]/12</f>
        <v>-0.0512236870490126</v>
      </c>
    </row>
    <row r="1671" customFormat="false" ht="14.25" hidden="false" customHeight="false" outlineLevel="0" collapsed="false">
      <c r="A1671" s="1" t="n">
        <v>40756</v>
      </c>
      <c r="B1671" s="2" t="s">
        <v>20</v>
      </c>
      <c r="C1671" s="3" t="n">
        <v>37685</v>
      </c>
      <c r="D1671" s="8" t="s">
        <v>17</v>
      </c>
      <c r="E1671" s="3" t="n">
        <f aca="false">IF(Tabla2[[#This Row],[Frecuencia]]="Annual", Tabla2[[#This Row],[Cosecha/Tarea]]/12,Tabla2[[#This Row],[Cosecha/Tarea]])</f>
        <v>37685</v>
      </c>
      <c r="F1671" s="3" t="n">
        <v>94659</v>
      </c>
      <c r="G1671" s="2" t="s">
        <v>18</v>
      </c>
      <c r="H1671" s="2" t="n">
        <f aca="false">F1671/Tabla2[[#This Row],[Cosecha Mensual]]</f>
        <v>2.51184821547035</v>
      </c>
      <c r="I1671" s="2" t="n">
        <f aca="false">H1671*_xlfn.XLOOKUP(Tabla2[[#This Row],[Unidad de producción]],Tabla3[Medida],Tabla3[Equivalencia en Kg],"ELVIS",0)</f>
        <v>113.937435053735</v>
      </c>
      <c r="J1671" s="2" t="n">
        <v>604.218666666667</v>
      </c>
      <c r="K1671" s="2" t="s">
        <v>18</v>
      </c>
      <c r="L1671" s="2" t="n">
        <f aca="false">J1671/_xlfn.XLOOKUP(Tabla2[[#This Row],[Unidad de precio]],Tabla3[Medida],Tabla3[Equivalencia en Kg],"ELVIS",0)</f>
        <v>13.3205173427396</v>
      </c>
      <c r="M1671" s="2" t="n">
        <v>2249.6320342848</v>
      </c>
      <c r="N1671" s="3" t="n">
        <f aca="false">(Tabla2[[#This Row],[Productividad (kg/TAS)]]*Tabla2[[#This Row],[Precio por kg]]-Tabla2[[#This Row],[Costos (En RD$/Tarea)]])</f>
        <v>-731.92645466426</v>
      </c>
      <c r="O1671" s="9" t="n">
        <f aca="false">IF(Tabla2[[#This Row],[Costos (En RD$/Tarea)]]=0,0,Tabla2[[#This Row],[Beneficio Neto  (En RD$/Tarea)]]/Tabla2[[#This Row],[Costos (En RD$/Tarea)]])</f>
        <v>-0.325353854990313</v>
      </c>
      <c r="P1671" s="7" t="n">
        <f aca="false">Tabla2[[#This Row],[Rentabilidad (%)]]/12</f>
        <v>-0.0271128212491928</v>
      </c>
    </row>
    <row r="1672" customFormat="false" ht="14.25" hidden="false" customHeight="false" outlineLevel="0" collapsed="false">
      <c r="A1672" s="1" t="n">
        <v>40756</v>
      </c>
      <c r="B1672" s="2" t="s">
        <v>21</v>
      </c>
      <c r="C1672" s="3" t="n">
        <v>6592</v>
      </c>
      <c r="D1672" s="8" t="s">
        <v>17</v>
      </c>
      <c r="E1672" s="3" t="n">
        <f aca="false">IF(Tabla2[[#This Row],[Frecuencia]]="Annual", Tabla2[[#This Row],[Cosecha/Tarea]]/12,Tabla2[[#This Row],[Cosecha/Tarea]])</f>
        <v>6592</v>
      </c>
      <c r="F1672" s="3" t="n">
        <v>84069</v>
      </c>
      <c r="G1672" s="2" t="s">
        <v>18</v>
      </c>
      <c r="H1672" s="2" t="n">
        <f aca="false">F1672/Tabla2[[#This Row],[Cosecha Mensual]]</f>
        <v>12.7531856796117</v>
      </c>
      <c r="I1672" s="2" t="n">
        <f aca="false">H1672*_xlfn.XLOOKUP(Tabla2[[#This Row],[Unidad de producción]],Tabla3[Medida],Tabla3[Equivalencia en Kg],"ELVIS",0)</f>
        <v>578.484502427185</v>
      </c>
      <c r="J1672" s="2" t="n">
        <v>360.095775</v>
      </c>
      <c r="K1672" s="2" t="s">
        <v>18</v>
      </c>
      <c r="L1672" s="2" t="n">
        <f aca="false">J1672/_xlfn.XLOOKUP(Tabla2[[#This Row],[Unidad de precio]],Tabla3[Medida],Tabla3[Equivalencia en Kg],"ELVIS",0)</f>
        <v>7.93861937830688</v>
      </c>
      <c r="M1672" s="2" t="n">
        <v>4921.44160075</v>
      </c>
      <c r="N1672" s="3" t="n">
        <f aca="false">(Tabla2[[#This Row],[Productividad (kg/TAS)]]*Tabla2[[#This Row],[Precio por kg]]-Tabla2[[#This Row],[Costos (En RD$/Tarea)]])</f>
        <v>-329.073319731341</v>
      </c>
      <c r="O1672" s="9" t="n">
        <f aca="false">IF(Tabla2[[#This Row],[Costos (En RD$/Tarea)]]=0,0,Tabla2[[#This Row],[Beneficio Neto  (En RD$/Tarea)]]/Tabla2[[#This Row],[Costos (En RD$/Tarea)]])</f>
        <v>-0.0668652290176911</v>
      </c>
      <c r="P1672" s="7" t="n">
        <f aca="false">Tabla2[[#This Row],[Rentabilidad (%)]]/12</f>
        <v>-0.00557210241814093</v>
      </c>
    </row>
    <row r="1673" customFormat="false" ht="14.25" hidden="false" customHeight="false" outlineLevel="0" collapsed="false">
      <c r="A1673" s="1" t="n">
        <v>40756</v>
      </c>
      <c r="B1673" s="2" t="s">
        <v>22</v>
      </c>
      <c r="C1673" s="3" t="n">
        <v>2268</v>
      </c>
      <c r="D1673" s="8" t="s">
        <v>17</v>
      </c>
      <c r="E1673" s="3" t="n">
        <f aca="false">IF(Tabla2[[#This Row],[Frecuencia]]="Annual", Tabla2[[#This Row],[Cosecha/Tarea]]/12,Tabla2[[#This Row],[Cosecha/Tarea]])</f>
        <v>2268</v>
      </c>
      <c r="F1673" s="3" t="n">
        <v>23115</v>
      </c>
      <c r="G1673" s="2" t="s">
        <v>18</v>
      </c>
      <c r="H1673" s="2" t="n">
        <f aca="false">F1673/Tabla2[[#This Row],[Cosecha Mensual]]</f>
        <v>10.1917989417989</v>
      </c>
      <c r="I1673" s="2" t="n">
        <f aca="false">H1673*_xlfn.XLOOKUP(Tabla2[[#This Row],[Unidad de producción]],Tabla3[Medida],Tabla3[Equivalencia en Kg],"ELVIS",0)</f>
        <v>462.3</v>
      </c>
      <c r="J1673" s="2" t="n">
        <v>1144.61</v>
      </c>
      <c r="K1673" s="2" t="s">
        <v>18</v>
      </c>
      <c r="L1673" s="2" t="n">
        <f aca="false">J1673/_xlfn.XLOOKUP(Tabla2[[#This Row],[Unidad de precio]],Tabla3[Medida],Tabla3[Equivalencia en Kg],"ELVIS",0)</f>
        <v>25.2339065255732</v>
      </c>
      <c r="M1673" s="2" t="n">
        <v>8263.3527360768</v>
      </c>
      <c r="N1673" s="3" t="n">
        <f aca="false">(Tabla2[[#This Row],[Productividad (kg/TAS)]]*Tabla2[[#This Row],[Precio por kg]]-Tabla2[[#This Row],[Costos (En RD$/Tarea)]])</f>
        <v>3402.28225069568</v>
      </c>
      <c r="O1673" s="9" t="n">
        <f aca="false">IF(Tabla2[[#This Row],[Costos (En RD$/Tarea)]]=0,0,Tabla2[[#This Row],[Beneficio Neto  (En RD$/Tarea)]]/Tabla2[[#This Row],[Costos (En RD$/Tarea)]])</f>
        <v>0.411731455664688</v>
      </c>
      <c r="P1673" s="7" t="n">
        <f aca="false">Tabla2[[#This Row],[Rentabilidad (%)]]/12</f>
        <v>0.034310954638724</v>
      </c>
    </row>
    <row r="1674" customFormat="false" ht="14.25" hidden="false" customHeight="false" outlineLevel="0" collapsed="false">
      <c r="A1674" s="1" t="n">
        <v>40756</v>
      </c>
      <c r="B1674" s="2" t="s">
        <v>23</v>
      </c>
      <c r="C1674" s="3" t="n">
        <v>2543</v>
      </c>
      <c r="D1674" s="8" t="s">
        <v>17</v>
      </c>
      <c r="E1674" s="3" t="n">
        <f aca="false">IF(Tabla2[[#This Row],[Frecuencia]]="Annual", Tabla2[[#This Row],[Cosecha/Tarea]]/12,Tabla2[[#This Row],[Cosecha/Tarea]])</f>
        <v>2543</v>
      </c>
      <c r="F1674" s="3" t="n">
        <v>94845</v>
      </c>
      <c r="G1674" s="2" t="s">
        <v>18</v>
      </c>
      <c r="H1674" s="2" t="n">
        <f aca="false">F1674/Tabla2[[#This Row],[Cosecha Mensual]]</f>
        <v>37.2965001966182</v>
      </c>
      <c r="I1674" s="2" t="n">
        <f aca="false">H1674*_xlfn.XLOOKUP(Tabla2[[#This Row],[Unidad de producción]],Tabla3[Medida],Tabla3[Equivalencia en Kg],"ELVIS",0)</f>
        <v>1691.7692489186</v>
      </c>
      <c r="J1674" s="2" t="n">
        <v>720</v>
      </c>
      <c r="K1674" s="2" t="s">
        <v>18</v>
      </c>
      <c r="L1674" s="2" t="n">
        <f aca="false">J1674/_xlfn.XLOOKUP(Tabla2[[#This Row],[Unidad de precio]],Tabla3[Medida],Tabla3[Equivalencia en Kg],"ELVIS",0)</f>
        <v>15.8730158730159</v>
      </c>
      <c r="M1674" s="2" t="n">
        <v>22831.198995686</v>
      </c>
      <c r="N1674" s="3" t="n">
        <f aca="false">(Tabla2[[#This Row],[Productividad (kg/TAS)]]*Tabla2[[#This Row],[Precio por kg]]-Tabla2[[#This Row],[Costos (En RD$/Tarea)]])</f>
        <v>4022.28114587908</v>
      </c>
      <c r="O1674" s="9" t="n">
        <f aca="false">IF(Tabla2[[#This Row],[Costos (En RD$/Tarea)]]=0,0,Tabla2[[#This Row],[Beneficio Neto  (En RD$/Tarea)]]/Tabla2[[#This Row],[Costos (En RD$/Tarea)]])</f>
        <v>0.176174766232781</v>
      </c>
      <c r="P1674" s="7" t="n">
        <f aca="false">Tabla2[[#This Row],[Rentabilidad (%)]]/12</f>
        <v>0.0146812305193984</v>
      </c>
    </row>
    <row r="1675" customFormat="false" ht="14.25" hidden="false" customHeight="false" outlineLevel="0" collapsed="false">
      <c r="A1675" s="1" t="n">
        <v>40756</v>
      </c>
      <c r="B1675" s="2" t="s">
        <v>24</v>
      </c>
      <c r="C1675" s="3" t="n">
        <v>4235</v>
      </c>
      <c r="D1675" s="8" t="s">
        <v>17</v>
      </c>
      <c r="E1675" s="3" t="n">
        <f aca="false">IF(Tabla2[[#This Row],[Frecuencia]]="Annual", Tabla2[[#This Row],[Cosecha/Tarea]]/12,Tabla2[[#This Row],[Cosecha/Tarea]])</f>
        <v>4235</v>
      </c>
      <c r="F1675" s="3" t="n">
        <v>39020</v>
      </c>
      <c r="G1675" s="2" t="s">
        <v>18</v>
      </c>
      <c r="H1675" s="2" t="n">
        <f aca="false">F1675/Tabla2[[#This Row],[Cosecha Mensual]]</f>
        <v>9.21369539551358</v>
      </c>
      <c r="I1675" s="2" t="n">
        <f aca="false">H1675*_xlfn.XLOOKUP(Tabla2[[#This Row],[Unidad de producción]],Tabla3[Medida],Tabla3[Equivalencia en Kg],"ELVIS",0)</f>
        <v>417.933223140496</v>
      </c>
      <c r="J1675" s="2" t="n">
        <v>1263.5</v>
      </c>
      <c r="K1675" s="2" t="s">
        <v>18</v>
      </c>
      <c r="L1675" s="2" t="n">
        <f aca="false">J1675/_xlfn.XLOOKUP(Tabla2[[#This Row],[Unidad de precio]],Tabla3[Medida],Tabla3[Equivalencia en Kg],"ELVIS",0)</f>
        <v>27.8549382716049</v>
      </c>
      <c r="M1675" s="2" t="n">
        <v>6908.3833517736</v>
      </c>
      <c r="N1675" s="3" t="n">
        <f aca="false">(Tabla2[[#This Row],[Productividad (kg/TAS)]]*Tabla2[[#This Row],[Precio por kg]]-Tabla2[[#This Row],[Costos (En RD$/Tarea)]])</f>
        <v>4733.1207804578</v>
      </c>
      <c r="O1675" s="9" t="n">
        <f aca="false">IF(Tabla2[[#This Row],[Costos (En RD$/Tarea)]]=0,0,Tabla2[[#This Row],[Beneficio Neto  (En RD$/Tarea)]]/Tabla2[[#This Row],[Costos (En RD$/Tarea)]])</f>
        <v>0.68512711866846</v>
      </c>
      <c r="P1675" s="7" t="n">
        <f aca="false">Tabla2[[#This Row],[Rentabilidad (%)]]/12</f>
        <v>0.057093926555705</v>
      </c>
    </row>
    <row r="1676" customFormat="false" ht="14.25" hidden="false" customHeight="false" outlineLevel="0" collapsed="false">
      <c r="A1676" s="1" t="n">
        <v>40756</v>
      </c>
      <c r="B1676" s="2" t="s">
        <v>25</v>
      </c>
      <c r="C1676" s="3" t="n">
        <v>21735</v>
      </c>
      <c r="D1676" s="8" t="s">
        <v>17</v>
      </c>
      <c r="E1676" s="3" t="n">
        <f aca="false">IF(Tabla2[[#This Row],[Frecuencia]]="Annual", Tabla2[[#This Row],[Cosecha/Tarea]]/12,Tabla2[[#This Row],[Cosecha/Tarea]])</f>
        <v>21735</v>
      </c>
      <c r="F1676" s="3" t="n">
        <v>265321</v>
      </c>
      <c r="G1676" s="2" t="s">
        <v>18</v>
      </c>
      <c r="H1676" s="2" t="n">
        <f aca="false">F1676/Tabla2[[#This Row],[Cosecha Mensual]]</f>
        <v>12.2070853462158</v>
      </c>
      <c r="I1676" s="2" t="n">
        <f aca="false">H1676*_xlfn.XLOOKUP(Tabla2[[#This Row],[Unidad de producción]],Tabla3[Medida],Tabla3[Equivalencia en Kg],"ELVIS",0)</f>
        <v>553.713391304348</v>
      </c>
      <c r="J1676" s="2" t="n">
        <v>718.0888</v>
      </c>
      <c r="K1676" s="2" t="s">
        <v>18</v>
      </c>
      <c r="L1676" s="2" t="n">
        <f aca="false">J1676/_xlfn.XLOOKUP(Tabla2[[#This Row],[Unidad de precio]],Tabla3[Medida],Tabla3[Equivalencia en Kg],"ELVIS",0)</f>
        <v>15.8308818342152</v>
      </c>
      <c r="M1676" s="2" t="n">
        <v>4283.98894113212</v>
      </c>
      <c r="N1676" s="3" t="n">
        <f aca="false">(Tabla2[[#This Row],[Productividad (kg/TAS)]]*Tabla2[[#This Row],[Precio por kg]]-Tabla2[[#This Row],[Costos (En RD$/Tarea)]])</f>
        <v>4481.78232662955</v>
      </c>
      <c r="O1676" s="9" t="n">
        <f aca="false">IF(Tabla2[[#This Row],[Costos (En RD$/Tarea)]]=0,0,Tabla2[[#This Row],[Beneficio Neto  (En RD$/Tarea)]]/Tabla2[[#This Row],[Costos (En RD$/Tarea)]])</f>
        <v>1.04617037723845</v>
      </c>
      <c r="P1676" s="7" t="n">
        <f aca="false">Tabla2[[#This Row],[Rentabilidad (%)]]/12</f>
        <v>0.0871808647698712</v>
      </c>
    </row>
    <row r="1677" customFormat="false" ht="14.25" hidden="false" customHeight="false" outlineLevel="0" collapsed="false">
      <c r="A1677" s="1" t="n">
        <v>40756</v>
      </c>
      <c r="B1677" s="2" t="s">
        <v>26</v>
      </c>
      <c r="C1677" s="3" t="n">
        <v>9145</v>
      </c>
      <c r="D1677" s="8" t="s">
        <v>17</v>
      </c>
      <c r="E1677" s="3" t="n">
        <f aca="false">IF(Tabla2[[#This Row],[Frecuencia]]="Annual", Tabla2[[#This Row],[Cosecha/Tarea]]/12,Tabla2[[#This Row],[Cosecha/Tarea]])</f>
        <v>9145</v>
      </c>
      <c r="F1677" s="3" t="n">
        <v>45468</v>
      </c>
      <c r="G1677" s="2" t="s">
        <v>18</v>
      </c>
      <c r="H1677" s="2" t="n">
        <f aca="false">F1677/Tabla2[[#This Row],[Cosecha Mensual]]</f>
        <v>4.97189721159103</v>
      </c>
      <c r="I1677" s="2" t="n">
        <f aca="false">H1677*_xlfn.XLOOKUP(Tabla2[[#This Row],[Unidad de producción]],Tabla3[Medida],Tabla3[Equivalencia en Kg],"ELVIS",0)</f>
        <v>225.525257517769</v>
      </c>
      <c r="J1677" s="2" t="n">
        <v>553.6212</v>
      </c>
      <c r="K1677" s="2" t="s">
        <v>18</v>
      </c>
      <c r="L1677" s="2" t="n">
        <f aca="false">J1677/_xlfn.XLOOKUP(Tabla2[[#This Row],[Unidad de precio]],Tabla3[Medida],Tabla3[Equivalencia en Kg],"ELVIS",0)</f>
        <v>12.2050529100529</v>
      </c>
      <c r="M1677" s="2" t="n">
        <v>2009.79</v>
      </c>
      <c r="N1677" s="3" t="n">
        <f aca="false">(Tabla2[[#This Row],[Productividad (kg/TAS)]]*Tabla2[[#This Row],[Precio por kg]]-Tabla2[[#This Row],[Costos (En RD$/Tarea)]])</f>
        <v>742.757700557682</v>
      </c>
      <c r="O1677" s="9" t="n">
        <f aca="false">IF(Tabla2[[#This Row],[Costos (En RD$/Tarea)]]=0,0,Tabla2[[#This Row],[Beneficio Neto  (En RD$/Tarea)]]/Tabla2[[#This Row],[Costos (En RD$/Tarea)]])</f>
        <v>0.369569806078089</v>
      </c>
      <c r="P1677" s="7" t="n">
        <f aca="false">Tabla2[[#This Row],[Rentabilidad (%)]]/12</f>
        <v>0.0307974838398407</v>
      </c>
    </row>
    <row r="1678" customFormat="false" ht="14.25" hidden="false" customHeight="false" outlineLevel="0" collapsed="false">
      <c r="A1678" s="1" t="n">
        <v>40756</v>
      </c>
      <c r="B1678" s="2" t="s">
        <v>27</v>
      </c>
      <c r="C1678" s="3" t="n">
        <v>4704</v>
      </c>
      <c r="D1678" s="8" t="s">
        <v>17</v>
      </c>
      <c r="E1678" s="3" t="n">
        <f aca="false">IF(Tabla2[[#This Row],[Frecuencia]]="Annual", Tabla2[[#This Row],[Cosecha/Tarea]]/12,Tabla2[[#This Row],[Cosecha/Tarea]])</f>
        <v>4704</v>
      </c>
      <c r="F1678" s="3" t="n">
        <v>30174</v>
      </c>
      <c r="G1678" s="2" t="s">
        <v>18</v>
      </c>
      <c r="H1678" s="2" t="n">
        <f aca="false">F1678/Tabla2[[#This Row],[Cosecha Mensual]]</f>
        <v>6.41454081632653</v>
      </c>
      <c r="I1678" s="2" t="n">
        <f aca="false">H1678*_xlfn.XLOOKUP(Tabla2[[#This Row],[Unidad de producción]],Tabla3[Medida],Tabla3[Equivalencia en Kg],"ELVIS",0)</f>
        <v>290.963571428571</v>
      </c>
      <c r="J1678" s="2" t="n">
        <v>409.637714285714</v>
      </c>
      <c r="K1678" s="2" t="s">
        <v>18</v>
      </c>
      <c r="L1678" s="2" t="n">
        <f aca="false">J1678/_xlfn.XLOOKUP(Tabla2[[#This Row],[Unidad de precio]],Tabla3[Medida],Tabla3[Equivalencia en Kg],"ELVIS",0)</f>
        <v>9.03081380700428</v>
      </c>
      <c r="M1678" s="2" t="n">
        <v>6922.022</v>
      </c>
      <c r="N1678" s="3" t="n">
        <f aca="false">(Tabla2[[#This Row],[Productividad (kg/TAS)]]*Tabla2[[#This Row],[Precio por kg]]-Tabla2[[#This Row],[Costos (En RD$/Tarea)]])</f>
        <v>-4294.38416180758</v>
      </c>
      <c r="O1678" s="9" t="n">
        <f aca="false">IF(Tabla2[[#This Row],[Costos (En RD$/Tarea)]]=0,0,Tabla2[[#This Row],[Beneficio Neto  (En RD$/Tarea)]]/Tabla2[[#This Row],[Costos (En RD$/Tarea)]])</f>
        <v>-0.620394468813821</v>
      </c>
      <c r="P1678" s="7" t="n">
        <f aca="false">Tabla2[[#This Row],[Rentabilidad (%)]]/12</f>
        <v>-0.0516995390678184</v>
      </c>
    </row>
    <row r="1679" customFormat="false" ht="14.25" hidden="false" customHeight="false" outlineLevel="0" collapsed="false">
      <c r="A1679" s="1" t="n">
        <v>40756</v>
      </c>
      <c r="B1679" s="2" t="s">
        <v>28</v>
      </c>
      <c r="C1679" s="3" t="n">
        <v>67384</v>
      </c>
      <c r="D1679" s="8" t="s">
        <v>17</v>
      </c>
      <c r="E1679" s="3" t="n">
        <f aca="false">IF(Tabla2[[#This Row],[Frecuencia]]="Annual", Tabla2[[#This Row],[Cosecha/Tarea]]/12,Tabla2[[#This Row],[Cosecha/Tarea]])</f>
        <v>67384</v>
      </c>
      <c r="F1679" s="3" t="n">
        <v>178391</v>
      </c>
      <c r="G1679" s="2" t="s">
        <v>29</v>
      </c>
      <c r="H1679" s="2" t="n">
        <f aca="false">F1679/Tabla2[[#This Row],[Cosecha Mensual]]</f>
        <v>2.64737919981004</v>
      </c>
      <c r="I1679" s="2" t="n">
        <f aca="false">H1679*_xlfn.XLOOKUP(Tabla2[[#This Row],[Unidad de producción]],Tabla3[Medida],Tabla3[Equivalencia en Kg],"ELVIS",0)</f>
        <v>1488.72721922118</v>
      </c>
      <c r="J1679" s="2" t="n">
        <v>6033.27083333333</v>
      </c>
      <c r="K1679" s="2" t="s">
        <v>29</v>
      </c>
      <c r="L1679" s="2" t="n">
        <f aca="false">J1679/_xlfn.XLOOKUP(Tabla2[[#This Row],[Unidad de precio]],Tabla3[Medida],Tabla3[Equivalencia en Kg],"ELVIS",0)</f>
        <v>10.728866581309</v>
      </c>
      <c r="M1679" s="2" t="n">
        <v>6816.05132473333</v>
      </c>
      <c r="N1679" s="3" t="n">
        <f aca="false">(Tabla2[[#This Row],[Productividad (kg/TAS)]]*Tabla2[[#This Row],[Precio por kg]]-Tabla2[[#This Row],[Costos (En RD$/Tarea)]])</f>
        <v>9156.30438625394</v>
      </c>
      <c r="O1679" s="9" t="n">
        <f aca="false">IF(Tabla2[[#This Row],[Costos (En RD$/Tarea)]]=0,0,Tabla2[[#This Row],[Beneficio Neto  (En RD$/Tarea)]]/Tabla2[[#This Row],[Costos (En RD$/Tarea)]])</f>
        <v>1.34334440132934</v>
      </c>
      <c r="P1679" s="7" t="n">
        <f aca="false">Tabla2[[#This Row],[Rentabilidad (%)]]/12</f>
        <v>0.111945366777445</v>
      </c>
    </row>
    <row r="1680" customFormat="false" ht="14.25" hidden="false" customHeight="false" outlineLevel="0" collapsed="false">
      <c r="A1680" s="1" t="n">
        <v>40756</v>
      </c>
      <c r="B1680" s="2" t="s">
        <v>30</v>
      </c>
      <c r="C1680" s="3" t="n">
        <v>361447</v>
      </c>
      <c r="D1680" s="3" t="s">
        <v>31</v>
      </c>
      <c r="E1680" s="3" t="n">
        <f aca="false">IF(Tabla2[[#This Row],[Frecuencia]]="Annual", Tabla2[[#This Row],[Cosecha/Tarea]]/12,Tabla2[[#This Row],[Cosecha/Tarea]])</f>
        <v>30120.5833333333</v>
      </c>
      <c r="F1680" s="3" t="n">
        <v>3204723</v>
      </c>
      <c r="G1680" s="2" t="s">
        <v>32</v>
      </c>
      <c r="H1680" s="2" t="n">
        <f aca="false">F1680/Tabla2[[#This Row],[Cosecha Mensual]]</f>
        <v>106.396445398634</v>
      </c>
      <c r="I1680" s="2" t="n">
        <f aca="false">H1680*_xlfn.XLOOKUP(Tabla2[[#This Row],[Unidad de producción]],Tabla3[Medida],Tabla3[Equivalencia en Kg],"ELVIS",0)</f>
        <v>2895.04727929683</v>
      </c>
      <c r="J1680" s="2" t="n">
        <v>124.405714285714</v>
      </c>
      <c r="K1680" s="2" t="s">
        <v>32</v>
      </c>
      <c r="L1680" s="2" t="n">
        <f aca="false">J1680/_xlfn.XLOOKUP(Tabla2[[#This Row],[Unidad de precio]],Tabla3[Medida],Tabla3[Equivalencia en Kg],"ELVIS",0)</f>
        <v>4.57205859190423</v>
      </c>
      <c r="M1680" s="3" t="n">
        <v>11259.713084354</v>
      </c>
      <c r="N1680" s="3" t="n">
        <f aca="false">(Tabla2[[#This Row],[Productividad (kg/TAS)]]*Tabla2[[#This Row],[Precio por kg]]-Tabla2[[#This Row],[Costos (En RD$/Tarea)]])</f>
        <v>1976.61270292401</v>
      </c>
      <c r="O1680" s="9" t="n">
        <f aca="false">IF(Tabla2[[#This Row],[Costos (En RD$/Tarea)]]=0,0,Tabla2[[#This Row],[Beneficio Neto  (En RD$/Tarea)]]/Tabla2[[#This Row],[Costos (En RD$/Tarea)]])</f>
        <v>0.175547341936326</v>
      </c>
      <c r="P1680" s="7" t="n">
        <f aca="false">Tabla2[[#This Row],[Rentabilidad (%)]]/12</f>
        <v>0.0146289451613605</v>
      </c>
    </row>
    <row r="1681" customFormat="false" ht="14.25" hidden="false" customHeight="false" outlineLevel="0" collapsed="false">
      <c r="A1681" s="1" t="n">
        <v>40756</v>
      </c>
      <c r="B1681" s="2" t="s">
        <v>33</v>
      </c>
      <c r="C1681" s="3" t="n">
        <v>742675</v>
      </c>
      <c r="D1681" s="3" t="s">
        <v>31</v>
      </c>
      <c r="E1681" s="11" t="n">
        <f aca="false">IF(Tabla2[[#This Row],[Frecuencia]]="Annual", Tabla2[[#This Row],[Cosecha/Tarea]]/12,Tabla2[[#This Row],[Cosecha/Tarea]])</f>
        <v>61889.5833333333</v>
      </c>
      <c r="F1681" s="3" t="n">
        <v>190457</v>
      </c>
      <c r="G1681" s="2" t="s">
        <v>34</v>
      </c>
      <c r="H1681" s="2" t="n">
        <f aca="false">F1681/Tabla2[[#This Row],[Cosecha Mensual]]</f>
        <v>3.07736762379237</v>
      </c>
      <c r="I1681" s="2" t="n">
        <f aca="false">H1681*_xlfn.XLOOKUP(Tabla2[[#This Row],[Unidad de producción]],Tabla3[Medida],Tabla3[Equivalencia en Kg],"ELVIS",0)</f>
        <v>1256.02759565086</v>
      </c>
      <c r="J1681" s="2" t="n">
        <v>4430.81</v>
      </c>
      <c r="K1681" s="2" t="s">
        <v>34</v>
      </c>
      <c r="L1681" s="2" t="n">
        <f aca="false">J1681/_xlfn.XLOOKUP(Tabla2[[#This Row],[Unidad de precio]],Tabla3[Medida],Tabla3[Equivalencia en Kg],"ELVIS",0)</f>
        <v>10.8558373147127</v>
      </c>
      <c r="M1681" s="3" t="n">
        <v>10868.0263728783</v>
      </c>
      <c r="N1681" s="3" t="n">
        <f aca="false">(Tabla2[[#This Row],[Productividad (kg/TAS)]]*Tabla2[[#This Row],[Precio por kg]]-Tabla2[[#This Row],[Costos (En RD$/Tarea)]])</f>
        <v>2767.20486829718</v>
      </c>
      <c r="O1681" s="9" t="n">
        <f aca="false">IF(Tabla2[[#This Row],[Costos (En RD$/Tarea)]]=0,0,Tabla2[[#This Row],[Beneficio Neto  (En RD$/Tarea)]]/Tabla2[[#This Row],[Costos (En RD$/Tarea)]])</f>
        <v>0.254618895221204</v>
      </c>
      <c r="P1681" s="7" t="n">
        <f aca="false">Tabla2[[#This Row],[Rentabilidad (%)]]/12</f>
        <v>0.0212182412684337</v>
      </c>
    </row>
    <row r="1682" customFormat="false" ht="14.25" hidden="false" customHeight="false" outlineLevel="0" collapsed="false">
      <c r="A1682" s="1" t="n">
        <v>40787</v>
      </c>
      <c r="B1682" s="2" t="s">
        <v>16</v>
      </c>
      <c r="C1682" s="3" t="n">
        <v>188255</v>
      </c>
      <c r="D1682" s="8" t="s">
        <v>17</v>
      </c>
      <c r="E1682" s="3" t="n">
        <f aca="false">IF(Tabla2[[#This Row],[Frecuencia]]="Annual", Tabla2[[#This Row],[Cosecha/Tarea]]/12,Tabla2[[#This Row],[Cosecha/Tarea]])</f>
        <v>188255</v>
      </c>
      <c r="F1682" s="3" t="n">
        <v>847292</v>
      </c>
      <c r="G1682" s="2" t="s">
        <v>18</v>
      </c>
      <c r="H1682" s="2" t="n">
        <f aca="false">F1682/Tabla2[[#This Row],[Cosecha Mensual]]</f>
        <v>4.5007675758944</v>
      </c>
      <c r="I1682" s="2" t="n">
        <f aca="false">H1682*_xlfn.XLOOKUP(Tabla2[[#This Row],[Unidad de producción]],Tabla3[Medida],Tabla3[Equivalencia en Kg],"ELVIS",0)</f>
        <v>204.15481724257</v>
      </c>
      <c r="J1682" s="2" t="n">
        <v>1772.65625</v>
      </c>
      <c r="K1682" s="2" t="s">
        <v>19</v>
      </c>
      <c r="L1682" s="2" t="n">
        <f aca="false">J1682/_xlfn.XLOOKUP(Tabla2[[#This Row],[Unidad de precio]],Tabla3[Medida],Tabla3[Equivalencia en Kg],"ELVIS",0)</f>
        <v>16.1150568181818</v>
      </c>
      <c r="M1682" s="2" t="n">
        <v>7569</v>
      </c>
      <c r="N1682" s="3" t="n">
        <f aca="false">(Tabla2[[#This Row],[Productividad (kg/TAS)]]*Tabla2[[#This Row],[Precio por kg]]-Tabla2[[#This Row],[Costos (En RD$/Tarea)]])</f>
        <v>-4279.03352043046</v>
      </c>
      <c r="O1682" s="9" t="n">
        <f aca="false">IF(Tabla2[[#This Row],[Costos (En RD$/Tarea)]]=0,0,Tabla2[[#This Row],[Beneficio Neto  (En RD$/Tarea)]]/Tabla2[[#This Row],[Costos (En RD$/Tarea)]])</f>
        <v>-0.565336705037715</v>
      </c>
      <c r="P1682" s="7" t="n">
        <f aca="false">Tabla2[[#This Row],[Rentabilidad (%)]]/12</f>
        <v>-0.0471113920864762</v>
      </c>
    </row>
    <row r="1683" customFormat="false" ht="14.25" hidden="false" customHeight="false" outlineLevel="0" collapsed="false">
      <c r="A1683" s="1" t="n">
        <v>40787</v>
      </c>
      <c r="B1683" s="2" t="s">
        <v>20</v>
      </c>
      <c r="C1683" s="3" t="n">
        <v>54321</v>
      </c>
      <c r="D1683" s="8" t="s">
        <v>17</v>
      </c>
      <c r="E1683" s="3" t="n">
        <f aca="false">IF(Tabla2[[#This Row],[Frecuencia]]="Annual", Tabla2[[#This Row],[Cosecha/Tarea]]/12,Tabla2[[#This Row],[Cosecha/Tarea]])</f>
        <v>54321</v>
      </c>
      <c r="F1683" s="3" t="n">
        <v>105321</v>
      </c>
      <c r="G1683" s="2" t="s">
        <v>18</v>
      </c>
      <c r="H1683" s="2" t="n">
        <f aca="false">F1683/Tabla2[[#This Row],[Cosecha Mensual]]</f>
        <v>1.93886342298559</v>
      </c>
      <c r="I1683" s="2" t="n">
        <f aca="false">H1683*_xlfn.XLOOKUP(Tabla2[[#This Row],[Unidad de producción]],Tabla3[Medida],Tabla3[Equivalencia en Kg],"ELVIS",0)</f>
        <v>87.9468448666262</v>
      </c>
      <c r="J1683" s="2" t="n">
        <v>552.945983333333</v>
      </c>
      <c r="K1683" s="2" t="s">
        <v>18</v>
      </c>
      <c r="L1683" s="2" t="n">
        <f aca="false">J1683/_xlfn.XLOOKUP(Tabla2[[#This Row],[Unidad de precio]],Tabla3[Medida],Tabla3[Equivalencia en Kg],"ELVIS",0)</f>
        <v>12.19016718107</v>
      </c>
      <c r="M1683" s="2" t="n">
        <v>2249.6320342848</v>
      </c>
      <c r="N1683" s="3" t="n">
        <f aca="false">(Tabla2[[#This Row],[Productividad (kg/TAS)]]*Tabla2[[#This Row],[Precio por kg]]-Tabla2[[#This Row],[Costos (En RD$/Tarea)]])</f>
        <v>-1177.545292313</v>
      </c>
      <c r="O1683" s="9" t="n">
        <f aca="false">IF(Tabla2[[#This Row],[Costos (En RD$/Tarea)]]=0,0,Tabla2[[#This Row],[Beneficio Neto  (En RD$/Tarea)]]/Tabla2[[#This Row],[Costos (En RD$/Tarea)]])</f>
        <v>-0.523439066641566</v>
      </c>
      <c r="P1683" s="7" t="n">
        <f aca="false">Tabla2[[#This Row],[Rentabilidad (%)]]/12</f>
        <v>-0.0436199222201305</v>
      </c>
    </row>
    <row r="1684" customFormat="false" ht="14.25" hidden="false" customHeight="false" outlineLevel="0" collapsed="false">
      <c r="A1684" s="1" t="n">
        <v>40787</v>
      </c>
      <c r="B1684" s="2" t="s">
        <v>21</v>
      </c>
      <c r="C1684" s="3" t="n">
        <v>6147</v>
      </c>
      <c r="D1684" s="8" t="s">
        <v>17</v>
      </c>
      <c r="E1684" s="3" t="n">
        <f aca="false">IF(Tabla2[[#This Row],[Frecuencia]]="Annual", Tabla2[[#This Row],[Cosecha/Tarea]]/12,Tabla2[[#This Row],[Cosecha/Tarea]])</f>
        <v>6147</v>
      </c>
      <c r="F1684" s="3" t="n">
        <v>74328</v>
      </c>
      <c r="G1684" s="2" t="s">
        <v>18</v>
      </c>
      <c r="H1684" s="2" t="n">
        <f aca="false">F1684/Tabla2[[#This Row],[Cosecha Mensual]]</f>
        <v>12.0917520741825</v>
      </c>
      <c r="I1684" s="2" t="n">
        <f aca="false">H1684*_xlfn.XLOOKUP(Tabla2[[#This Row],[Unidad de producción]],Tabla3[Medida],Tabla3[Equivalencia en Kg],"ELVIS",0)</f>
        <v>548.48187408492</v>
      </c>
      <c r="J1684" s="2" t="n">
        <v>413.65625</v>
      </c>
      <c r="K1684" s="2" t="s">
        <v>18</v>
      </c>
      <c r="L1684" s="2" t="n">
        <f aca="false">J1684/_xlfn.XLOOKUP(Tabla2[[#This Row],[Unidad de precio]],Tabla3[Medida],Tabla3[Equivalencia en Kg],"ELVIS",0)</f>
        <v>9.11940586419753</v>
      </c>
      <c r="M1684" s="2" t="n">
        <v>4921.44160075</v>
      </c>
      <c r="N1684" s="3" t="n">
        <f aca="false">(Tabla2[[#This Row],[Productividad (kg/TAS)]]*Tabla2[[#This Row],[Precio por kg]]-Tabla2[[#This Row],[Costos (En RD$/Tarea)]])</f>
        <v>80.3872181860661</v>
      </c>
      <c r="O1684" s="9" t="n">
        <f aca="false">IF(Tabla2[[#This Row],[Costos (En RD$/Tarea)]]=0,0,Tabla2[[#This Row],[Beneficio Neto  (En RD$/Tarea)]]/Tabla2[[#This Row],[Costos (En RD$/Tarea)]])</f>
        <v>0.0163340794644024</v>
      </c>
      <c r="P1684" s="7" t="n">
        <f aca="false">Tabla2[[#This Row],[Rentabilidad (%)]]/12</f>
        <v>0.0013611732887002</v>
      </c>
    </row>
    <row r="1685" customFormat="false" ht="14.25" hidden="false" customHeight="false" outlineLevel="0" collapsed="false">
      <c r="A1685" s="1" t="n">
        <v>40787</v>
      </c>
      <c r="B1685" s="2" t="s">
        <v>22</v>
      </c>
      <c r="C1685" s="3" t="n">
        <v>3088</v>
      </c>
      <c r="D1685" s="8" t="s">
        <v>17</v>
      </c>
      <c r="E1685" s="3" t="n">
        <f aca="false">IF(Tabla2[[#This Row],[Frecuencia]]="Annual", Tabla2[[#This Row],[Cosecha/Tarea]]/12,Tabla2[[#This Row],[Cosecha/Tarea]])</f>
        <v>3088</v>
      </c>
      <c r="F1685" s="3" t="n">
        <v>27175</v>
      </c>
      <c r="G1685" s="2" t="s">
        <v>18</v>
      </c>
      <c r="H1685" s="2" t="n">
        <f aca="false">F1685/Tabla2[[#This Row],[Cosecha Mensual]]</f>
        <v>8.80019430051813</v>
      </c>
      <c r="I1685" s="2" t="n">
        <f aca="false">H1685*_xlfn.XLOOKUP(Tabla2[[#This Row],[Unidad de producción]],Tabla3[Medida],Tabla3[Equivalencia en Kg],"ELVIS",0)</f>
        <v>399.176813471503</v>
      </c>
      <c r="J1685" s="2" t="n">
        <v>1053.734375</v>
      </c>
      <c r="K1685" s="2" t="s">
        <v>18</v>
      </c>
      <c r="L1685" s="2" t="n">
        <f aca="false">J1685/_xlfn.XLOOKUP(Tabla2[[#This Row],[Unidad de precio]],Tabla3[Medida],Tabla3[Equivalencia en Kg],"ELVIS",0)</f>
        <v>23.2304756393298</v>
      </c>
      <c r="M1685" s="2" t="n">
        <v>8263.3527360768</v>
      </c>
      <c r="N1685" s="3" t="n">
        <f aca="false">(Tabla2[[#This Row],[Productividad (kg/TAS)]]*Tabla2[[#This Row],[Precio por kg]]-Tabla2[[#This Row],[Costos (En RD$/Tarea)]])</f>
        <v>1009.71450505824</v>
      </c>
      <c r="O1685" s="9" t="n">
        <f aca="false">IF(Tabla2[[#This Row],[Costos (En RD$/Tarea)]]=0,0,Tabla2[[#This Row],[Beneficio Neto  (En RD$/Tarea)]]/Tabla2[[#This Row],[Costos (En RD$/Tarea)]])</f>
        <v>0.122191867793559</v>
      </c>
      <c r="P1685" s="7" t="n">
        <f aca="false">Tabla2[[#This Row],[Rentabilidad (%)]]/12</f>
        <v>0.0101826556494632</v>
      </c>
    </row>
    <row r="1686" customFormat="false" ht="14.25" hidden="false" customHeight="false" outlineLevel="0" collapsed="false">
      <c r="A1686" s="1" t="n">
        <v>40787</v>
      </c>
      <c r="B1686" s="2" t="s">
        <v>23</v>
      </c>
      <c r="C1686" s="3" t="n">
        <v>2269</v>
      </c>
      <c r="D1686" s="8" t="s">
        <v>17</v>
      </c>
      <c r="E1686" s="3" t="n">
        <f aca="false">IF(Tabla2[[#This Row],[Frecuencia]]="Annual", Tabla2[[#This Row],[Cosecha/Tarea]]/12,Tabla2[[#This Row],[Cosecha/Tarea]])</f>
        <v>2269</v>
      </c>
      <c r="F1686" s="3" t="n">
        <v>81491</v>
      </c>
      <c r="G1686" s="2" t="s">
        <v>18</v>
      </c>
      <c r="H1686" s="2" t="n">
        <f aca="false">F1686/Tabla2[[#This Row],[Cosecha Mensual]]</f>
        <v>35.914940502424</v>
      </c>
      <c r="I1686" s="2" t="n">
        <f aca="false">H1686*_xlfn.XLOOKUP(Tabla2[[#This Row],[Unidad de producción]],Tabla3[Medida],Tabla3[Equivalencia en Kg],"ELVIS",0)</f>
        <v>1629.10170118995</v>
      </c>
      <c r="J1686" s="2" t="n">
        <v>787.5</v>
      </c>
      <c r="K1686" s="2" t="s">
        <v>18</v>
      </c>
      <c r="L1686" s="2" t="n">
        <f aca="false">J1686/_xlfn.XLOOKUP(Tabla2[[#This Row],[Unidad de precio]],Tabla3[Medida],Tabla3[Equivalencia en Kg],"ELVIS",0)</f>
        <v>17.3611111111111</v>
      </c>
      <c r="M1686" s="2" t="n">
        <v>22831.198995686</v>
      </c>
      <c r="N1686" s="3" t="n">
        <f aca="false">(Tabla2[[#This Row],[Productividad (kg/TAS)]]*Tabla2[[#This Row],[Precio por kg]]-Tabla2[[#This Row],[Costos (En RD$/Tarea)]])</f>
        <v>5451.81664997288</v>
      </c>
      <c r="O1686" s="9" t="n">
        <f aca="false">IF(Tabla2[[#This Row],[Costos (En RD$/Tarea)]]=0,0,Tabla2[[#This Row],[Beneficio Neto  (En RD$/Tarea)]]/Tabla2[[#This Row],[Costos (En RD$/Tarea)]])</f>
        <v>0.238788013323479</v>
      </c>
      <c r="P1686" s="7" t="n">
        <f aca="false">Tabla2[[#This Row],[Rentabilidad (%)]]/12</f>
        <v>0.0198990011102899</v>
      </c>
    </row>
    <row r="1687" customFormat="false" ht="14.25" hidden="false" customHeight="false" outlineLevel="0" collapsed="false">
      <c r="A1687" s="1" t="n">
        <v>40787</v>
      </c>
      <c r="B1687" s="2" t="s">
        <v>24</v>
      </c>
      <c r="C1687" s="3" t="n">
        <v>4381</v>
      </c>
      <c r="D1687" s="8" t="s">
        <v>17</v>
      </c>
      <c r="E1687" s="3" t="n">
        <f aca="false">IF(Tabla2[[#This Row],[Frecuencia]]="Annual", Tabla2[[#This Row],[Cosecha/Tarea]]/12,Tabla2[[#This Row],[Cosecha/Tarea]])</f>
        <v>4381</v>
      </c>
      <c r="F1687" s="3" t="n">
        <v>40166</v>
      </c>
      <c r="G1687" s="2" t="s">
        <v>18</v>
      </c>
      <c r="H1687" s="2" t="n">
        <f aca="false">F1687/Tabla2[[#This Row],[Cosecha Mensual]]</f>
        <v>9.16822643232139</v>
      </c>
      <c r="I1687" s="2" t="n">
        <f aca="false">H1687*_xlfn.XLOOKUP(Tabla2[[#This Row],[Unidad de producción]],Tabla3[Medida],Tabla3[Equivalencia en Kg],"ELVIS",0)</f>
        <v>415.870750970098</v>
      </c>
      <c r="J1687" s="2" t="n">
        <v>1281.5</v>
      </c>
      <c r="K1687" s="2" t="s">
        <v>18</v>
      </c>
      <c r="L1687" s="2" t="n">
        <f aca="false">J1687/_xlfn.XLOOKUP(Tabla2[[#This Row],[Unidad de precio]],Tabla3[Medida],Tabla3[Equivalencia en Kg],"ELVIS",0)</f>
        <v>28.2517636684303</v>
      </c>
      <c r="M1687" s="2" t="n">
        <v>6908.3833517736</v>
      </c>
      <c r="N1687" s="3" t="n">
        <f aca="false">(Tabla2[[#This Row],[Productividad (kg/TAS)]]*Tabla2[[#This Row],[Precio por kg]]-Tabla2[[#This Row],[Costos (En RD$/Tarea)]])</f>
        <v>4840.69882124626</v>
      </c>
      <c r="O1687" s="9" t="n">
        <f aca="false">IF(Tabla2[[#This Row],[Costos (En RD$/Tarea)]]=0,0,Tabla2[[#This Row],[Beneficio Neto  (En RD$/Tarea)]]/Tabla2[[#This Row],[Costos (En RD$/Tarea)]])</f>
        <v>0.700699219304832</v>
      </c>
      <c r="P1687" s="7" t="n">
        <f aca="false">Tabla2[[#This Row],[Rentabilidad (%)]]/12</f>
        <v>0.058391601608736</v>
      </c>
    </row>
    <row r="1688" customFormat="false" ht="14.25" hidden="false" customHeight="false" outlineLevel="0" collapsed="false">
      <c r="A1688" s="1" t="n">
        <v>40787</v>
      </c>
      <c r="B1688" s="2" t="s">
        <v>25</v>
      </c>
      <c r="C1688" s="3" t="n">
        <v>21918</v>
      </c>
      <c r="D1688" s="8" t="s">
        <v>17</v>
      </c>
      <c r="E1688" s="3" t="n">
        <f aca="false">IF(Tabla2[[#This Row],[Frecuencia]]="Annual", Tabla2[[#This Row],[Cosecha/Tarea]]/12,Tabla2[[#This Row],[Cosecha/Tarea]])</f>
        <v>21918</v>
      </c>
      <c r="F1688" s="3" t="n">
        <v>286627</v>
      </c>
      <c r="G1688" s="2" t="s">
        <v>18</v>
      </c>
      <c r="H1688" s="2" t="n">
        <f aca="false">F1688/Tabla2[[#This Row],[Cosecha Mensual]]</f>
        <v>13.0772424491286</v>
      </c>
      <c r="I1688" s="2" t="n">
        <f aca="false">H1688*_xlfn.XLOOKUP(Tabla2[[#This Row],[Unidad de producción]],Tabla3[Medida],Tabla3[Equivalencia en Kg],"ELVIS",0)</f>
        <v>593.183717492472</v>
      </c>
      <c r="J1688" s="2" t="n">
        <v>669.734544444444</v>
      </c>
      <c r="K1688" s="2" t="s">
        <v>18</v>
      </c>
      <c r="L1688" s="2" t="n">
        <f aca="false">J1688/_xlfn.XLOOKUP(Tabla2[[#This Row],[Unidad de precio]],Tabla3[Medida],Tabla3[Equivalencia en Kg],"ELVIS",0)</f>
        <v>14.7648709092691</v>
      </c>
      <c r="M1688" s="2" t="n">
        <v>4283.98894113212</v>
      </c>
      <c r="N1688" s="3" t="n">
        <f aca="false">(Tabla2[[#This Row],[Productividad (kg/TAS)]]*Tabla2[[#This Row],[Precio por kg]]-Tabla2[[#This Row],[Costos (En RD$/Tarea)]])</f>
        <v>4474.29207312455</v>
      </c>
      <c r="O1688" s="9" t="n">
        <f aca="false">IF(Tabla2[[#This Row],[Costos (En RD$/Tarea)]]=0,0,Tabla2[[#This Row],[Beneficio Neto  (En RD$/Tarea)]]/Tabla2[[#This Row],[Costos (En RD$/Tarea)]])</f>
        <v>1.04442194753709</v>
      </c>
      <c r="P1688" s="7" t="n">
        <f aca="false">Tabla2[[#This Row],[Rentabilidad (%)]]/12</f>
        <v>0.0870351622947572</v>
      </c>
    </row>
    <row r="1689" customFormat="false" ht="14.25" hidden="false" customHeight="false" outlineLevel="0" collapsed="false">
      <c r="A1689" s="1" t="n">
        <v>40787</v>
      </c>
      <c r="B1689" s="2" t="s">
        <v>26</v>
      </c>
      <c r="C1689" s="3" t="n">
        <v>11500</v>
      </c>
      <c r="D1689" s="8" t="s">
        <v>17</v>
      </c>
      <c r="E1689" s="3" t="n">
        <f aca="false">IF(Tabla2[[#This Row],[Frecuencia]]="Annual", Tabla2[[#This Row],[Cosecha/Tarea]]/12,Tabla2[[#This Row],[Cosecha/Tarea]])</f>
        <v>11500</v>
      </c>
      <c r="F1689" s="3" t="n">
        <v>84083</v>
      </c>
      <c r="G1689" s="2" t="s">
        <v>18</v>
      </c>
      <c r="H1689" s="2" t="n">
        <f aca="false">F1689/Tabla2[[#This Row],[Cosecha Mensual]]</f>
        <v>7.3115652173913</v>
      </c>
      <c r="I1689" s="2" t="n">
        <f aca="false">H1689*_xlfn.XLOOKUP(Tabla2[[#This Row],[Unidad de producción]],Tabla3[Medida],Tabla3[Equivalencia en Kg],"ELVIS",0)</f>
        <v>331.65259826087</v>
      </c>
      <c r="J1689" s="2" t="n">
        <v>538.368333333333</v>
      </c>
      <c r="K1689" s="2" t="s">
        <v>18</v>
      </c>
      <c r="L1689" s="2" t="n">
        <f aca="false">J1689/_xlfn.XLOOKUP(Tabla2[[#This Row],[Unidad de precio]],Tabla3[Medida],Tabla3[Equivalencia en Kg],"ELVIS",0)</f>
        <v>11.8687904174015</v>
      </c>
      <c r="M1689" s="2" t="n">
        <v>2009.79</v>
      </c>
      <c r="N1689" s="3" t="n">
        <f aca="false">(Tabla2[[#This Row],[Productividad (kg/TAS)]]*Tabla2[[#This Row],[Precio por kg]]-Tabla2[[#This Row],[Costos (En RD$/Tarea)]])</f>
        <v>1926.52518014493</v>
      </c>
      <c r="O1689" s="9" t="n">
        <f aca="false">IF(Tabla2[[#This Row],[Costos (En RD$/Tarea)]]=0,0,Tabla2[[#This Row],[Beneficio Neto  (En RD$/Tarea)]]/Tabla2[[#This Row],[Costos (En RD$/Tarea)]])</f>
        <v>0.95857038802309</v>
      </c>
      <c r="P1689" s="7" t="n">
        <f aca="false">Tabla2[[#This Row],[Rentabilidad (%)]]/12</f>
        <v>0.0798808656685908</v>
      </c>
    </row>
    <row r="1690" customFormat="false" ht="14.25" hidden="false" customHeight="false" outlineLevel="0" collapsed="false">
      <c r="A1690" s="1" t="n">
        <v>40787</v>
      </c>
      <c r="B1690" s="2" t="s">
        <v>27</v>
      </c>
      <c r="C1690" s="3" t="n">
        <v>4851</v>
      </c>
      <c r="D1690" s="8" t="s">
        <v>17</v>
      </c>
      <c r="E1690" s="3" t="n">
        <f aca="false">IF(Tabla2[[#This Row],[Frecuencia]]="Annual", Tabla2[[#This Row],[Cosecha/Tarea]]/12,Tabla2[[#This Row],[Cosecha/Tarea]])</f>
        <v>4851</v>
      </c>
      <c r="F1690" s="3" t="n">
        <v>43897</v>
      </c>
      <c r="G1690" s="2" t="s">
        <v>18</v>
      </c>
      <c r="H1690" s="2" t="n">
        <f aca="false">F1690/Tabla2[[#This Row],[Cosecha Mensual]]</f>
        <v>9.04906204906205</v>
      </c>
      <c r="I1690" s="2" t="n">
        <f aca="false">H1690*_xlfn.XLOOKUP(Tabla2[[#This Row],[Unidad de producción]],Tabla3[Medida],Tabla3[Equivalencia en Kg],"ELVIS",0)</f>
        <v>410.465454545455</v>
      </c>
      <c r="J1690" s="2" t="n">
        <v>463.379266666667</v>
      </c>
      <c r="K1690" s="2" t="s">
        <v>18</v>
      </c>
      <c r="L1690" s="2" t="n">
        <f aca="false">J1690/_xlfn.XLOOKUP(Tabla2[[#This Row],[Unidad de precio]],Tabla3[Medida],Tabla3[Equivalencia en Kg],"ELVIS",0)</f>
        <v>10.2155922986479</v>
      </c>
      <c r="M1690" s="2" t="n">
        <v>6922.022</v>
      </c>
      <c r="N1690" s="3" t="n">
        <f aca="false">(Tabla2[[#This Row],[Productividad (kg/TAS)]]*Tabla2[[#This Row],[Precio por kg]]-Tabla2[[#This Row],[Costos (En RD$/Tarea)]])</f>
        <v>-2728.87426368446</v>
      </c>
      <c r="O1690" s="9" t="n">
        <f aca="false">IF(Tabla2[[#This Row],[Costos (En RD$/Tarea)]]=0,0,Tabla2[[#This Row],[Beneficio Neto  (En RD$/Tarea)]]/Tabla2[[#This Row],[Costos (En RD$/Tarea)]])</f>
        <v>-0.394230798989726</v>
      </c>
      <c r="P1690" s="7" t="n">
        <f aca="false">Tabla2[[#This Row],[Rentabilidad (%)]]/12</f>
        <v>-0.0328525665824772</v>
      </c>
    </row>
    <row r="1691" customFormat="false" ht="14.25" hidden="false" customHeight="false" outlineLevel="0" collapsed="false">
      <c r="A1691" s="1" t="n">
        <v>40787</v>
      </c>
      <c r="B1691" s="2" t="s">
        <v>28</v>
      </c>
      <c r="C1691" s="3" t="n">
        <v>45981</v>
      </c>
      <c r="D1691" s="8" t="s">
        <v>17</v>
      </c>
      <c r="E1691" s="3" t="n">
        <f aca="false">IF(Tabla2[[#This Row],[Frecuencia]]="Annual", Tabla2[[#This Row],[Cosecha/Tarea]]/12,Tabla2[[#This Row],[Cosecha/Tarea]])</f>
        <v>45981</v>
      </c>
      <c r="F1691" s="3" t="n">
        <v>77308</v>
      </c>
      <c r="G1691" s="2" t="s">
        <v>29</v>
      </c>
      <c r="H1691" s="2" t="n">
        <f aca="false">F1691/Tabla2[[#This Row],[Cosecha Mensual]]</f>
        <v>1.681303146952</v>
      </c>
      <c r="I1691" s="2" t="n">
        <f aca="false">H1691*_xlfn.XLOOKUP(Tabla2[[#This Row],[Unidad de producción]],Tabla3[Medida],Tabla3[Equivalencia en Kg],"ELVIS",0)</f>
        <v>945.464011656989</v>
      </c>
      <c r="J1691" s="2" t="n">
        <v>4229.16666666667</v>
      </c>
      <c r="K1691" s="2" t="s">
        <v>29</v>
      </c>
      <c r="L1691" s="2" t="n">
        <f aca="false">J1691/_xlfn.XLOOKUP(Tabla2[[#This Row],[Unidad de precio]],Tabla3[Medida],Tabla3[Equivalencia en Kg],"ELVIS",0)</f>
        <v>7.52065772782777</v>
      </c>
      <c r="M1691" s="2" t="n">
        <v>6816.05132473333</v>
      </c>
      <c r="N1691" s="3" t="n">
        <f aca="false">(Tabla2[[#This Row],[Productividad (kg/TAS)]]*Tabla2[[#This Row],[Precio por kg]]-Tabla2[[#This Row],[Costos (En RD$/Tarea)]])</f>
        <v>294.459900917849</v>
      </c>
      <c r="O1691" s="9" t="n">
        <f aca="false">IF(Tabla2[[#This Row],[Costos (En RD$/Tarea)]]=0,0,Tabla2[[#This Row],[Beneficio Neto  (En RD$/Tarea)]]/Tabla2[[#This Row],[Costos (En RD$/Tarea)]])</f>
        <v>0.0432009512383432</v>
      </c>
      <c r="P1691" s="7" t="n">
        <f aca="false">Tabla2[[#This Row],[Rentabilidad (%)]]/12</f>
        <v>0.00360007926986193</v>
      </c>
    </row>
    <row r="1692" customFormat="false" ht="14.25" hidden="false" customHeight="false" outlineLevel="0" collapsed="false">
      <c r="A1692" s="1" t="n">
        <v>40787</v>
      </c>
      <c r="B1692" s="2" t="s">
        <v>30</v>
      </c>
      <c r="C1692" s="3" t="n">
        <v>353314</v>
      </c>
      <c r="D1692" s="3" t="s">
        <v>31</v>
      </c>
      <c r="E1692" s="3" t="n">
        <f aca="false">IF(Tabla2[[#This Row],[Frecuencia]]="Annual", Tabla2[[#This Row],[Cosecha/Tarea]]/12,Tabla2[[#This Row],[Cosecha/Tarea]])</f>
        <v>29442.8333333333</v>
      </c>
      <c r="F1692" s="3" t="n">
        <v>3104726</v>
      </c>
      <c r="G1692" s="2" t="s">
        <v>32</v>
      </c>
      <c r="H1692" s="2" t="n">
        <f aca="false">F1692/Tabla2[[#This Row],[Cosecha Mensual]]</f>
        <v>105.449294395354</v>
      </c>
      <c r="I1692" s="2" t="n">
        <f aca="false">H1692*_xlfn.XLOOKUP(Tabla2[[#This Row],[Unidad de producción]],Tabla3[Medida],Tabla3[Equivalencia en Kg],"ELVIS",0)</f>
        <v>2869.27530049758</v>
      </c>
      <c r="J1692" s="2" t="n">
        <v>110.9275</v>
      </c>
      <c r="K1692" s="2" t="s">
        <v>32</v>
      </c>
      <c r="L1692" s="2" t="n">
        <f aca="false">J1692/_xlfn.XLOOKUP(Tabla2[[#This Row],[Unidad de precio]],Tabla3[Medida],Tabla3[Equivalencia en Kg],"ELVIS",0)</f>
        <v>4.07671811833885</v>
      </c>
      <c r="M1692" s="3" t="n">
        <v>11259.713084354</v>
      </c>
      <c r="N1692" s="3" t="n">
        <f aca="false">(Tabla2[[#This Row],[Productividad (kg/TAS)]]*Tabla2[[#This Row],[Precio por kg]]-Tabla2[[#This Row],[Costos (En RD$/Tarea)]])</f>
        <v>437.513519686599</v>
      </c>
      <c r="O1692" s="9" t="n">
        <f aca="false">IF(Tabla2[[#This Row],[Costos (En RD$/Tarea)]]=0,0,Tabla2[[#This Row],[Beneficio Neto  (En RD$/Tarea)]]/Tabla2[[#This Row],[Costos (En RD$/Tarea)]])</f>
        <v>0.0388565424721656</v>
      </c>
      <c r="P1692" s="7" t="n">
        <f aca="false">Tabla2[[#This Row],[Rentabilidad (%)]]/12</f>
        <v>0.0032380452060138</v>
      </c>
    </row>
    <row r="1693" customFormat="false" ht="14.25" hidden="false" customHeight="false" outlineLevel="0" collapsed="false">
      <c r="A1693" s="1" t="n">
        <v>40787</v>
      </c>
      <c r="B1693" s="2" t="s">
        <v>33</v>
      </c>
      <c r="C1693" s="3" t="n">
        <v>723181</v>
      </c>
      <c r="D1693" s="3" t="s">
        <v>31</v>
      </c>
      <c r="E1693" s="11" t="n">
        <f aca="false">IF(Tabla2[[#This Row],[Frecuencia]]="Annual", Tabla2[[#This Row],[Cosecha/Tarea]]/12,Tabla2[[#This Row],[Cosecha/Tarea]])</f>
        <v>60265.0833333333</v>
      </c>
      <c r="F1693" s="3" t="n">
        <v>167571</v>
      </c>
      <c r="G1693" s="2" t="s">
        <v>34</v>
      </c>
      <c r="H1693" s="2" t="n">
        <f aca="false">F1693/Tabla2[[#This Row],[Cosecha Mensual]]</f>
        <v>2.78056530799343</v>
      </c>
      <c r="I1693" s="2" t="n">
        <f aca="false">H1693*_xlfn.XLOOKUP(Tabla2[[#This Row],[Unidad de producción]],Tabla3[Medida],Tabla3[Equivalencia en Kg],"ELVIS",0)</f>
        <v>1134.88773045752</v>
      </c>
      <c r="J1693" s="2" t="n">
        <v>4184.72277777778</v>
      </c>
      <c r="K1693" s="2" t="s">
        <v>34</v>
      </c>
      <c r="L1693" s="2" t="n">
        <f aca="false">J1693/_xlfn.XLOOKUP(Tabla2[[#This Row],[Unidad de precio]],Tabla3[Medida],Tabla3[Equivalencia en Kg],"ELVIS",0)</f>
        <v>10.2529040249364</v>
      </c>
      <c r="M1693" s="3" t="n">
        <v>10868.0263728783</v>
      </c>
      <c r="N1693" s="3" t="n">
        <f aca="false">(Tabla2[[#This Row],[Productividad (kg/TAS)]]*Tabla2[[#This Row],[Precio por kg]]-Tabla2[[#This Row],[Costos (En RD$/Tarea)]])</f>
        <v>767.868606580516</v>
      </c>
      <c r="O1693" s="9" t="n">
        <f aca="false">IF(Tabla2[[#This Row],[Costos (En RD$/Tarea)]]=0,0,Tabla2[[#This Row],[Beneficio Neto  (En RD$/Tarea)]]/Tabla2[[#This Row],[Costos (En RD$/Tarea)]])</f>
        <v>0.0706539145411692</v>
      </c>
      <c r="P1693" s="7" t="n">
        <f aca="false">Tabla2[[#This Row],[Rentabilidad (%)]]/12</f>
        <v>0.0058878262117641</v>
      </c>
    </row>
    <row r="1694" customFormat="false" ht="14.25" hidden="false" customHeight="false" outlineLevel="0" collapsed="false">
      <c r="A1694" s="1" t="n">
        <v>40817</v>
      </c>
      <c r="B1694" s="2" t="s">
        <v>16</v>
      </c>
      <c r="C1694" s="3" t="n">
        <v>448124</v>
      </c>
      <c r="D1694" s="8" t="s">
        <v>17</v>
      </c>
      <c r="E1694" s="3" t="n">
        <f aca="false">IF(Tabla2[[#This Row],[Frecuencia]]="Annual", Tabla2[[#This Row],[Cosecha/Tarea]]/12,Tabla2[[#This Row],[Cosecha/Tarea]])</f>
        <v>448124</v>
      </c>
      <c r="F1694" s="3" t="n">
        <v>1988009</v>
      </c>
      <c r="G1694" s="2" t="s">
        <v>18</v>
      </c>
      <c r="H1694" s="2" t="n">
        <f aca="false">F1694/Tabla2[[#This Row],[Cosecha Mensual]]</f>
        <v>4.43629218698396</v>
      </c>
      <c r="I1694" s="2" t="n">
        <f aca="false">H1694*_xlfn.XLOOKUP(Tabla2[[#This Row],[Unidad de producción]],Tabla3[Medida],Tabla3[Equivalencia en Kg],"ELVIS",0)</f>
        <v>201.230213601592</v>
      </c>
      <c r="J1694" s="2" t="n">
        <v>1585.23</v>
      </c>
      <c r="K1694" s="2" t="s">
        <v>19</v>
      </c>
      <c r="L1694" s="2" t="n">
        <f aca="false">J1694/_xlfn.XLOOKUP(Tabla2[[#This Row],[Unidad de precio]],Tabla3[Medida],Tabla3[Equivalencia en Kg],"ELVIS",0)</f>
        <v>14.4111818181818</v>
      </c>
      <c r="M1694" s="2" t="n">
        <v>7569</v>
      </c>
      <c r="N1694" s="3" t="n">
        <f aca="false">(Tabla2[[#This Row],[Productividad (kg/TAS)]]*Tabla2[[#This Row],[Precio por kg]]-Tabla2[[#This Row],[Costos (En RD$/Tarea)]])</f>
        <v>-4669.03480447589</v>
      </c>
      <c r="O1694" s="9" t="n">
        <f aca="false">IF(Tabla2[[#This Row],[Costos (En RD$/Tarea)]]=0,0,Tabla2[[#This Row],[Beneficio Neto  (En RD$/Tarea)]]/Tabla2[[#This Row],[Costos (En RD$/Tarea)]])</f>
        <v>-0.616862835840387</v>
      </c>
      <c r="P1694" s="7" t="n">
        <f aca="false">Tabla2[[#This Row],[Rentabilidad (%)]]/12</f>
        <v>-0.0514052363200322</v>
      </c>
    </row>
    <row r="1695" customFormat="false" ht="14.25" hidden="false" customHeight="false" outlineLevel="0" collapsed="false">
      <c r="A1695" s="1" t="n">
        <v>40817</v>
      </c>
      <c r="B1695" s="2" t="s">
        <v>20</v>
      </c>
      <c r="C1695" s="3" t="n">
        <v>33960.3333333333</v>
      </c>
      <c r="D1695" s="8" t="s">
        <v>17</v>
      </c>
      <c r="E1695" s="3" t="n">
        <f aca="false">IF(Tabla2[[#This Row],[Frecuencia]]="Annual", Tabla2[[#This Row],[Cosecha/Tarea]]/12,Tabla2[[#This Row],[Cosecha/Tarea]])</f>
        <v>33960.3333333333</v>
      </c>
      <c r="F1695" s="3" t="n">
        <v>71306</v>
      </c>
      <c r="G1695" s="2" t="s">
        <v>18</v>
      </c>
      <c r="H1695" s="2" t="n">
        <f aca="false">F1695/Tabla2[[#This Row],[Cosecha Mensual]]</f>
        <v>2.09968492653194</v>
      </c>
      <c r="I1695" s="2" t="n">
        <f aca="false">H1695*_xlfn.XLOOKUP(Tabla2[[#This Row],[Unidad de producción]],Tabla3[Medida],Tabla3[Equivalencia en Kg],"ELVIS",0)</f>
        <v>95.2417082674886</v>
      </c>
      <c r="J1695" s="2" t="n">
        <v>610.2789</v>
      </c>
      <c r="K1695" s="2" t="s">
        <v>18</v>
      </c>
      <c r="L1695" s="2" t="n">
        <f aca="false">J1695/_xlfn.XLOOKUP(Tabla2[[#This Row],[Unidad de precio]],Tabla3[Medida],Tabla3[Equivalencia en Kg],"ELVIS",0)</f>
        <v>13.4541203703704</v>
      </c>
      <c r="M1695" s="2" t="n">
        <v>2249.6320342848</v>
      </c>
      <c r="N1695" s="3" t="n">
        <f aca="false">(Tabla2[[#This Row],[Productividad (kg/TAS)]]*Tabla2[[#This Row],[Precio por kg]]-Tabla2[[#This Row],[Costos (En RD$/Tarea)]])</f>
        <v>-968.238626974309</v>
      </c>
      <c r="O1695" s="9" t="n">
        <f aca="false">IF(Tabla2[[#This Row],[Costos (En RD$/Tarea)]]=0,0,Tabla2[[#This Row],[Beneficio Neto  (En RD$/Tarea)]]/Tabla2[[#This Row],[Costos (En RD$/Tarea)]])</f>
        <v>-0.430398666189927</v>
      </c>
      <c r="P1695" s="7" t="n">
        <f aca="false">Tabla2[[#This Row],[Rentabilidad (%)]]/12</f>
        <v>-0.0358665555158272</v>
      </c>
    </row>
    <row r="1696" customFormat="false" ht="14.25" hidden="false" customHeight="false" outlineLevel="0" collapsed="false">
      <c r="A1696" s="1" t="n">
        <v>40817</v>
      </c>
      <c r="B1696" s="2" t="s">
        <v>21</v>
      </c>
      <c r="C1696" s="3" t="n">
        <v>8088.33333333333</v>
      </c>
      <c r="D1696" s="8" t="s">
        <v>17</v>
      </c>
      <c r="E1696" s="3" t="n">
        <f aca="false">IF(Tabla2[[#This Row],[Frecuencia]]="Annual", Tabla2[[#This Row],[Cosecha/Tarea]]/12,Tabla2[[#This Row],[Cosecha/Tarea]])</f>
        <v>8088.33333333333</v>
      </c>
      <c r="F1696" s="3" t="n">
        <v>91913</v>
      </c>
      <c r="G1696" s="2" t="s">
        <v>18</v>
      </c>
      <c r="H1696" s="2" t="n">
        <f aca="false">F1696/Tabla2[[#This Row],[Cosecha Mensual]]</f>
        <v>11.3636513496806</v>
      </c>
      <c r="I1696" s="2" t="n">
        <f aca="false">H1696*_xlfn.XLOOKUP(Tabla2[[#This Row],[Unidad de producción]],Tabla3[Medida],Tabla3[Equivalencia en Kg],"ELVIS",0)</f>
        <v>515.455225221513</v>
      </c>
      <c r="J1696" s="2" t="n">
        <v>352.5</v>
      </c>
      <c r="K1696" s="2" t="s">
        <v>18</v>
      </c>
      <c r="L1696" s="2" t="n">
        <f aca="false">J1696/_xlfn.XLOOKUP(Tabla2[[#This Row],[Unidad de precio]],Tabla3[Medida],Tabla3[Equivalencia en Kg],"ELVIS",0)</f>
        <v>7.77116402116402</v>
      </c>
      <c r="M1696" s="2" t="n">
        <v>4921.44160075</v>
      </c>
      <c r="N1696" s="3" t="n">
        <f aca="false">(Tabla2[[#This Row],[Productividad (kg/TAS)]]*Tabla2[[#This Row],[Precio por kg]]-Tabla2[[#This Row],[Costos (En RD$/Tarea)]])</f>
        <v>-915.754499987584</v>
      </c>
      <c r="O1696" s="9" t="n">
        <f aca="false">IF(Tabla2[[#This Row],[Costos (En RD$/Tarea)]]=0,0,Tabla2[[#This Row],[Beneficio Neto  (En RD$/Tarea)]]/Tabla2[[#This Row],[Costos (En RD$/Tarea)]])</f>
        <v>-0.186074442059422</v>
      </c>
      <c r="P1696" s="7" t="n">
        <f aca="false">Tabla2[[#This Row],[Rentabilidad (%)]]/12</f>
        <v>-0.0155062035049518</v>
      </c>
    </row>
    <row r="1697" customFormat="false" ht="14.25" hidden="false" customHeight="false" outlineLevel="0" collapsed="false">
      <c r="A1697" s="1" t="n">
        <v>40817</v>
      </c>
      <c r="B1697" s="2" t="s">
        <v>22</v>
      </c>
      <c r="C1697" s="3" t="n">
        <v>5533</v>
      </c>
      <c r="D1697" s="8" t="s">
        <v>17</v>
      </c>
      <c r="E1697" s="3" t="n">
        <f aca="false">IF(Tabla2[[#This Row],[Frecuencia]]="Annual", Tabla2[[#This Row],[Cosecha/Tarea]]/12,Tabla2[[#This Row],[Cosecha/Tarea]])</f>
        <v>5533</v>
      </c>
      <c r="F1697" s="3" t="n">
        <v>54464</v>
      </c>
      <c r="G1697" s="2" t="s">
        <v>18</v>
      </c>
      <c r="H1697" s="2" t="n">
        <f aca="false">F1697/Tabla2[[#This Row],[Cosecha Mensual]]</f>
        <v>9.84348454726188</v>
      </c>
      <c r="I1697" s="2" t="n">
        <f aca="false">H1697*_xlfn.XLOOKUP(Tabla2[[#This Row],[Unidad de producción]],Tabla3[Medida],Tabla3[Equivalencia en Kg],"ELVIS",0)</f>
        <v>446.500459063799</v>
      </c>
      <c r="J1697" s="2" t="n">
        <v>1005</v>
      </c>
      <c r="K1697" s="2" t="s">
        <v>18</v>
      </c>
      <c r="L1697" s="2" t="n">
        <f aca="false">J1697/_xlfn.XLOOKUP(Tabla2[[#This Row],[Unidad de precio]],Tabla3[Medida],Tabla3[Equivalencia en Kg],"ELVIS",0)</f>
        <v>22.1560846560847</v>
      </c>
      <c r="M1697" s="2" t="n">
        <v>8263.3527360768</v>
      </c>
      <c r="N1697" s="3" t="n">
        <f aca="false">(Tabla2[[#This Row],[Productividad (kg/TAS)]]*Tabla2[[#This Row],[Precio por kg]]-Tabla2[[#This Row],[Costos (En RD$/Tarea)]])</f>
        <v>1629.34923392139</v>
      </c>
      <c r="O1697" s="9" t="n">
        <f aca="false">IF(Tabla2[[#This Row],[Costos (En RD$/Tarea)]]=0,0,Tabla2[[#This Row],[Beneficio Neto  (En RD$/Tarea)]]/Tabla2[[#This Row],[Costos (En RD$/Tarea)]])</f>
        <v>0.197177742008743</v>
      </c>
      <c r="P1697" s="7" t="n">
        <f aca="false">Tabla2[[#This Row],[Rentabilidad (%)]]/12</f>
        <v>0.0164314785007286</v>
      </c>
    </row>
    <row r="1698" customFormat="false" ht="14.25" hidden="false" customHeight="false" outlineLevel="0" collapsed="false">
      <c r="A1698" s="1" t="n">
        <v>40817</v>
      </c>
      <c r="B1698" s="2" t="s">
        <v>23</v>
      </c>
      <c r="C1698" s="3" t="n">
        <v>2682.33333333333</v>
      </c>
      <c r="D1698" s="8" t="s">
        <v>17</v>
      </c>
      <c r="E1698" s="3" t="n">
        <f aca="false">IF(Tabla2[[#This Row],[Frecuencia]]="Annual", Tabla2[[#This Row],[Cosecha/Tarea]]/12,Tabla2[[#This Row],[Cosecha/Tarea]])</f>
        <v>2682.33333333333</v>
      </c>
      <c r="F1698" s="3" t="n">
        <v>91172</v>
      </c>
      <c r="G1698" s="2" t="s">
        <v>18</v>
      </c>
      <c r="H1698" s="2" t="n">
        <f aca="false">F1698/Tabla2[[#This Row],[Cosecha Mensual]]</f>
        <v>33.9898098670312</v>
      </c>
      <c r="I1698" s="2" t="n">
        <f aca="false">H1698*_xlfn.XLOOKUP(Tabla2[[#This Row],[Unidad de producción]],Tabla3[Medida],Tabla3[Equivalencia en Kg],"ELVIS",0)</f>
        <v>1541.77777556854</v>
      </c>
      <c r="J1698" s="2" t="n">
        <v>694.16525</v>
      </c>
      <c r="K1698" s="2" t="s">
        <v>18</v>
      </c>
      <c r="L1698" s="2" t="n">
        <f aca="false">J1698/_xlfn.XLOOKUP(Tabla2[[#This Row],[Unidad de precio]],Tabla3[Medida],Tabla3[Equivalencia en Kg],"ELVIS",0)</f>
        <v>15.3034667107584</v>
      </c>
      <c r="M1698" s="2" t="n">
        <v>22831.198995686</v>
      </c>
      <c r="N1698" s="3" t="n">
        <f aca="false">(Tabla2[[#This Row],[Productividad (kg/TAS)]]*Tabla2[[#This Row],[Precio por kg]]-Tabla2[[#This Row],[Costos (En RD$/Tarea)]])</f>
        <v>763.345868114204</v>
      </c>
      <c r="O1698" s="9" t="n">
        <f aca="false">IF(Tabla2[[#This Row],[Costos (En RD$/Tarea)]]=0,0,Tabla2[[#This Row],[Beneficio Neto  (En RD$/Tarea)]]/Tabla2[[#This Row],[Costos (En RD$/Tarea)]])</f>
        <v>0.0334343311649309</v>
      </c>
      <c r="P1698" s="7" t="n">
        <f aca="false">Tabla2[[#This Row],[Rentabilidad (%)]]/12</f>
        <v>0.00278619426374424</v>
      </c>
    </row>
    <row r="1699" customFormat="false" ht="14.25" hidden="false" customHeight="false" outlineLevel="0" collapsed="false">
      <c r="A1699" s="1" t="n">
        <v>40817</v>
      </c>
      <c r="B1699" s="2" t="s">
        <v>24</v>
      </c>
      <c r="C1699" s="3" t="n">
        <v>4986.66666666667</v>
      </c>
      <c r="D1699" s="8" t="s">
        <v>17</v>
      </c>
      <c r="E1699" s="3" t="n">
        <f aca="false">IF(Tabla2[[#This Row],[Frecuencia]]="Annual", Tabla2[[#This Row],[Cosecha/Tarea]]/12,Tabla2[[#This Row],[Cosecha/Tarea]])</f>
        <v>4986.66666666667</v>
      </c>
      <c r="F1699" s="3" t="n">
        <v>58056</v>
      </c>
      <c r="G1699" s="2" t="s">
        <v>18</v>
      </c>
      <c r="H1699" s="2" t="n">
        <f aca="false">F1699/Tabla2[[#This Row],[Cosecha Mensual]]</f>
        <v>11.6422459893048</v>
      </c>
      <c r="I1699" s="2" t="n">
        <f aca="false">H1699*_xlfn.XLOOKUP(Tabla2[[#This Row],[Unidad de producción]],Tabla3[Medida],Tabla3[Equivalencia en Kg],"ELVIS",0)</f>
        <v>528.092278074866</v>
      </c>
      <c r="J1699" s="2" t="n">
        <v>1218.22166666667</v>
      </c>
      <c r="K1699" s="2" t="s">
        <v>18</v>
      </c>
      <c r="L1699" s="2" t="n">
        <f aca="false">J1699/_xlfn.XLOOKUP(Tabla2[[#This Row],[Unidad de precio]],Tabla3[Medida],Tabla3[Equivalencia en Kg],"ELVIS",0)</f>
        <v>26.8567386831276</v>
      </c>
      <c r="M1699" s="2" t="n">
        <v>6908.3833517736</v>
      </c>
      <c r="N1699" s="3" t="n">
        <f aca="false">(Tabla2[[#This Row],[Productividad (kg/TAS)]]*Tabla2[[#This Row],[Precio por kg]]-Tabla2[[#This Row],[Costos (En RD$/Tarea)]])</f>
        <v>7274.45296106066</v>
      </c>
      <c r="O1699" s="9" t="n">
        <f aca="false">IF(Tabla2[[#This Row],[Costos (En RD$/Tarea)]]=0,0,Tabla2[[#This Row],[Beneficio Neto  (En RD$/Tarea)]]/Tabla2[[#This Row],[Costos (En RD$/Tarea)]])</f>
        <v>1.05298918584086</v>
      </c>
      <c r="P1699" s="7" t="n">
        <f aca="false">Tabla2[[#This Row],[Rentabilidad (%)]]/12</f>
        <v>0.0877490988200719</v>
      </c>
    </row>
    <row r="1700" customFormat="false" ht="14.25" hidden="false" customHeight="false" outlineLevel="0" collapsed="false">
      <c r="A1700" s="1" t="n">
        <v>40817</v>
      </c>
      <c r="B1700" s="2" t="s">
        <v>25</v>
      </c>
      <c r="C1700" s="3" t="n">
        <v>26784.3333333333</v>
      </c>
      <c r="D1700" s="8" t="s">
        <v>17</v>
      </c>
      <c r="E1700" s="3" t="n">
        <f aca="false">IF(Tabla2[[#This Row],[Frecuencia]]="Annual", Tabla2[[#This Row],[Cosecha/Tarea]]/12,Tabla2[[#This Row],[Cosecha/Tarea]])</f>
        <v>26784.3333333333</v>
      </c>
      <c r="F1700" s="3" t="n">
        <v>293305</v>
      </c>
      <c r="G1700" s="2" t="s">
        <v>18</v>
      </c>
      <c r="H1700" s="2" t="n">
        <f aca="false">F1700/Tabla2[[#This Row],[Cosecha Mensual]]</f>
        <v>10.9506178985228</v>
      </c>
      <c r="I1700" s="2" t="n">
        <f aca="false">H1700*_xlfn.XLOOKUP(Tabla2[[#This Row],[Unidad de producción]],Tabla3[Medida],Tabla3[Equivalencia en Kg],"ELVIS",0)</f>
        <v>496.720027876993</v>
      </c>
      <c r="J1700" s="2" t="n">
        <v>589.8424</v>
      </c>
      <c r="K1700" s="2" t="s">
        <v>18</v>
      </c>
      <c r="L1700" s="2" t="n">
        <f aca="false">J1700/_xlfn.XLOOKUP(Tabla2[[#This Row],[Unidad de precio]],Tabla3[Medida],Tabla3[Equivalencia en Kg],"ELVIS",0)</f>
        <v>13.0035802469136</v>
      </c>
      <c r="M1700" s="2" t="n">
        <v>4283.98894113212</v>
      </c>
      <c r="N1700" s="3" t="n">
        <f aca="false">(Tabla2[[#This Row],[Productividad (kg/TAS)]]*Tabla2[[#This Row],[Precio por kg]]-Tabla2[[#This Row],[Costos (En RD$/Tarea)]])</f>
        <v>2175.14980161551</v>
      </c>
      <c r="O1700" s="9" t="n">
        <f aca="false">IF(Tabla2[[#This Row],[Costos (En RD$/Tarea)]]=0,0,Tabla2[[#This Row],[Beneficio Neto  (En RD$/Tarea)]]/Tabla2[[#This Row],[Costos (En RD$/Tarea)]])</f>
        <v>0.507739359626053</v>
      </c>
      <c r="P1700" s="7" t="n">
        <f aca="false">Tabla2[[#This Row],[Rentabilidad (%)]]/12</f>
        <v>0.0423116133021711</v>
      </c>
    </row>
    <row r="1701" customFormat="false" ht="14.25" hidden="false" customHeight="false" outlineLevel="0" collapsed="false">
      <c r="A1701" s="1" t="n">
        <v>40817</v>
      </c>
      <c r="B1701" s="2" t="s">
        <v>26</v>
      </c>
      <c r="C1701" s="3" t="n">
        <v>11635</v>
      </c>
      <c r="D1701" s="8" t="s">
        <v>17</v>
      </c>
      <c r="E1701" s="3" t="n">
        <f aca="false">IF(Tabla2[[#This Row],[Frecuencia]]="Annual", Tabla2[[#This Row],[Cosecha/Tarea]]/12,Tabla2[[#This Row],[Cosecha/Tarea]])</f>
        <v>11635</v>
      </c>
      <c r="F1701" s="3" t="n">
        <v>67075</v>
      </c>
      <c r="G1701" s="2" t="s">
        <v>18</v>
      </c>
      <c r="H1701" s="2" t="n">
        <f aca="false">F1701/Tabla2[[#This Row],[Cosecha Mensual]]</f>
        <v>5.76493339063172</v>
      </c>
      <c r="I1701" s="2" t="n">
        <f aca="false">H1701*_xlfn.XLOOKUP(Tabla2[[#This Row],[Unidad de producción]],Tabla3[Medida],Tabla3[Equivalencia en Kg],"ELVIS",0)</f>
        <v>261.497378599055</v>
      </c>
      <c r="J1701" s="2" t="n">
        <v>539.584</v>
      </c>
      <c r="K1701" s="2" t="s">
        <v>18</v>
      </c>
      <c r="L1701" s="2" t="n">
        <f aca="false">J1701/_xlfn.XLOOKUP(Tabla2[[#This Row],[Unidad de precio]],Tabla3[Medida],Tabla3[Equivalencia en Kg],"ELVIS",0)</f>
        <v>11.8955908289242</v>
      </c>
      <c r="M1701" s="2" t="n">
        <v>2009.79</v>
      </c>
      <c r="N1701" s="3" t="n">
        <f aca="false">(Tabla2[[#This Row],[Productividad (kg/TAS)]]*Tabla2[[#This Row],[Precio por kg]]-Tabla2[[#This Row],[Costos (En RD$/Tarea)]])</f>
        <v>1100.87581865062</v>
      </c>
      <c r="O1701" s="9" t="n">
        <f aca="false">IF(Tabla2[[#This Row],[Costos (En RD$/Tarea)]]=0,0,Tabla2[[#This Row],[Beneficio Neto  (En RD$/Tarea)]]/Tabla2[[#This Row],[Costos (En RD$/Tarea)]])</f>
        <v>0.547756640569723</v>
      </c>
      <c r="P1701" s="7" t="n">
        <f aca="false">Tabla2[[#This Row],[Rentabilidad (%)]]/12</f>
        <v>0.0456463867141436</v>
      </c>
    </row>
    <row r="1702" customFormat="false" ht="14.25" hidden="false" customHeight="false" outlineLevel="0" collapsed="false">
      <c r="A1702" s="1" t="n">
        <v>40817</v>
      </c>
      <c r="B1702" s="2" t="s">
        <v>27</v>
      </c>
      <c r="C1702" s="3" t="n">
        <v>8100</v>
      </c>
      <c r="D1702" s="8" t="s">
        <v>17</v>
      </c>
      <c r="E1702" s="3" t="n">
        <f aca="false">IF(Tabla2[[#This Row],[Frecuencia]]="Annual", Tabla2[[#This Row],[Cosecha/Tarea]]/12,Tabla2[[#This Row],[Cosecha/Tarea]])</f>
        <v>8100</v>
      </c>
      <c r="F1702" s="3" t="n">
        <v>42423</v>
      </c>
      <c r="G1702" s="2" t="s">
        <v>18</v>
      </c>
      <c r="H1702" s="2" t="n">
        <f aca="false">F1702/Tabla2[[#This Row],[Cosecha Mensual]]</f>
        <v>5.23740740740741</v>
      </c>
      <c r="I1702" s="2" t="n">
        <f aca="false">H1702*_xlfn.XLOOKUP(Tabla2[[#This Row],[Unidad de producción]],Tabla3[Medida],Tabla3[Equivalencia en Kg],"ELVIS",0)</f>
        <v>237.5688</v>
      </c>
      <c r="J1702" s="2" t="n">
        <v>483.742</v>
      </c>
      <c r="K1702" s="2" t="s">
        <v>18</v>
      </c>
      <c r="L1702" s="2" t="n">
        <f aca="false">J1702/_xlfn.XLOOKUP(Tabla2[[#This Row],[Unidad de precio]],Tabla3[Medida],Tabla3[Equivalencia en Kg],"ELVIS",0)</f>
        <v>10.6645061728395</v>
      </c>
      <c r="M1702" s="2" t="n">
        <v>6922.022</v>
      </c>
      <c r="N1702" s="3" t="n">
        <f aca="false">(Tabla2[[#This Row],[Productividad (kg/TAS)]]*Tabla2[[#This Row],[Precio por kg]]-Tabla2[[#This Row],[Costos (En RD$/Tarea)]])</f>
        <v>-4388.46806592593</v>
      </c>
      <c r="O1702" s="9" t="n">
        <f aca="false">IF(Tabla2[[#This Row],[Costos (En RD$/Tarea)]]=0,0,Tabla2[[#This Row],[Beneficio Neto  (En RD$/Tarea)]]/Tabla2[[#This Row],[Costos (En RD$/Tarea)]])</f>
        <v>-0.633986437189296</v>
      </c>
      <c r="P1702" s="7" t="n">
        <f aca="false">Tabla2[[#This Row],[Rentabilidad (%)]]/12</f>
        <v>-0.052832203099108</v>
      </c>
    </row>
    <row r="1703" customFormat="false" ht="14.25" hidden="false" customHeight="false" outlineLevel="0" collapsed="false">
      <c r="A1703" s="1" t="n">
        <v>40817</v>
      </c>
      <c r="B1703" s="2" t="s">
        <v>28</v>
      </c>
      <c r="C1703" s="3" t="n">
        <v>68973.6666666667</v>
      </c>
      <c r="D1703" s="8" t="s">
        <v>17</v>
      </c>
      <c r="E1703" s="3" t="n">
        <f aca="false">IF(Tabla2[[#This Row],[Frecuencia]]="Annual", Tabla2[[#This Row],[Cosecha/Tarea]]/12,Tabla2[[#This Row],[Cosecha/Tarea]])</f>
        <v>68973.6666666667</v>
      </c>
      <c r="F1703" s="3" t="n">
        <v>93183</v>
      </c>
      <c r="G1703" s="2" t="s">
        <v>29</v>
      </c>
      <c r="H1703" s="2" t="n">
        <f aca="false">F1703/Tabla2[[#This Row],[Cosecha Mensual]]</f>
        <v>1.35099385755916</v>
      </c>
      <c r="I1703" s="2" t="n">
        <f aca="false">H1703*_xlfn.XLOOKUP(Tabla2[[#This Row],[Unidad de producción]],Tabla3[Medida],Tabla3[Equivalencia en Kg],"ELVIS",0)</f>
        <v>759.717885859821</v>
      </c>
      <c r="J1703" s="2" t="n">
        <v>4320</v>
      </c>
      <c r="K1703" s="2" t="s">
        <v>29</v>
      </c>
      <c r="L1703" s="2" t="n">
        <f aca="false">J1703/_xlfn.XLOOKUP(Tabla2[[#This Row],[Unidad de precio]],Tabla3[Medida],Tabla3[Equivalencia en Kg],"ELVIS",0)</f>
        <v>7.6821851548885</v>
      </c>
      <c r="M1703" s="2" t="n">
        <v>6816.05132473333</v>
      </c>
      <c r="N1703" s="3" t="n">
        <f aca="false">(Tabla2[[#This Row],[Productividad (kg/TAS)]]*Tabla2[[#This Row],[Precio por kg]]-Tabla2[[#This Row],[Costos (En RD$/Tarea)]])</f>
        <v>-979.757860077739</v>
      </c>
      <c r="O1703" s="9" t="n">
        <f aca="false">IF(Tabla2[[#This Row],[Costos (En RD$/Tarea)]]=0,0,Tabla2[[#This Row],[Beneficio Neto  (En RD$/Tarea)]]/Tabla2[[#This Row],[Costos (En RD$/Tarea)]])</f>
        <v>-0.14374273511153</v>
      </c>
      <c r="P1703" s="7" t="n">
        <f aca="false">Tabla2[[#This Row],[Rentabilidad (%)]]/12</f>
        <v>-0.0119785612592942</v>
      </c>
    </row>
    <row r="1704" customFormat="false" ht="14.25" hidden="false" customHeight="false" outlineLevel="0" collapsed="false">
      <c r="A1704" s="1" t="n">
        <v>40817</v>
      </c>
      <c r="B1704" s="2" t="s">
        <v>30</v>
      </c>
      <c r="C1704" s="3" t="n">
        <v>312401.666666667</v>
      </c>
      <c r="D1704" s="3" t="s">
        <v>31</v>
      </c>
      <c r="E1704" s="3" t="n">
        <f aca="false">IF(Tabla2[[#This Row],[Frecuencia]]="Annual", Tabla2[[#This Row],[Cosecha/Tarea]]/12,Tabla2[[#This Row],[Cosecha/Tarea]])</f>
        <v>26033.4722222222</v>
      </c>
      <c r="F1704" s="3" t="n">
        <v>2585781</v>
      </c>
      <c r="G1704" s="2" t="s">
        <v>32</v>
      </c>
      <c r="H1704" s="2" t="n">
        <f aca="false">F1704/Tabla2[[#This Row],[Cosecha Mensual]]</f>
        <v>99.3252447436793</v>
      </c>
      <c r="I1704" s="2" t="n">
        <f aca="false">H1704*_xlfn.XLOOKUP(Tabla2[[#This Row],[Unidad de producción]],Tabla3[Medida],Tabla3[Equivalencia en Kg],"ELVIS",0)</f>
        <v>2702.63990947551</v>
      </c>
      <c r="J1704" s="2" t="n">
        <v>116.208333333333</v>
      </c>
      <c r="K1704" s="2" t="s">
        <v>32</v>
      </c>
      <c r="L1704" s="2" t="n">
        <f aca="false">J1704/_xlfn.XLOOKUP(Tabla2[[#This Row],[Unidad de precio]],Tabla3[Medida],Tabla3[Equivalencia en Kg],"ELVIS",0)</f>
        <v>4.27079505083914</v>
      </c>
      <c r="M1704" s="3" t="n">
        <v>11259.713084354</v>
      </c>
      <c r="N1704" s="3" t="n">
        <f aca="false">(Tabla2[[#This Row],[Productividad (kg/TAS)]]*Tabla2[[#This Row],[Precio por kg]]-Tabla2[[#This Row],[Costos (En RD$/Tarea)]])</f>
        <v>282.708065234359</v>
      </c>
      <c r="O1704" s="9" t="n">
        <f aca="false">IF(Tabla2[[#This Row],[Costos (En RD$/Tarea)]]=0,0,Tabla2[[#This Row],[Beneficio Neto  (En RD$/Tarea)]]/Tabla2[[#This Row],[Costos (En RD$/Tarea)]])</f>
        <v>0.0251079279832803</v>
      </c>
      <c r="P1704" s="7" t="n">
        <f aca="false">Tabla2[[#This Row],[Rentabilidad (%)]]/12</f>
        <v>0.00209232733194003</v>
      </c>
    </row>
    <row r="1705" customFormat="false" ht="14.25" hidden="false" customHeight="false" outlineLevel="0" collapsed="false">
      <c r="A1705" s="1" t="n">
        <v>40817</v>
      </c>
      <c r="B1705" s="2" t="s">
        <v>33</v>
      </c>
      <c r="C1705" s="3" t="n">
        <v>701047</v>
      </c>
      <c r="D1705" s="3" t="s">
        <v>31</v>
      </c>
      <c r="E1705" s="3" t="n">
        <f aca="false">IF(Tabla2[[#This Row],[Frecuencia]]="Annual", Tabla2[[#This Row],[Cosecha/Tarea]]/12,Tabla2[[#This Row],[Cosecha/Tarea]])</f>
        <v>58420.5833333333</v>
      </c>
      <c r="F1705" s="3" t="n">
        <v>132043</v>
      </c>
      <c r="G1705" s="2" t="s">
        <v>34</v>
      </c>
      <c r="H1705" s="2" t="n">
        <f aca="false">F1705/Tabla2[[#This Row],[Cosecha Mensual]]</f>
        <v>2.26021365186642</v>
      </c>
      <c r="I1705" s="2" t="n">
        <f aca="false">H1705*_xlfn.XLOOKUP(Tabla2[[#This Row],[Unidad de producción]],Tabla3[Medida],Tabla3[Equivalencia en Kg],"ELVIS",0)</f>
        <v>922.50620200928</v>
      </c>
      <c r="J1705" s="2" t="n">
        <v>3318.055</v>
      </c>
      <c r="K1705" s="2" t="s">
        <v>34</v>
      </c>
      <c r="L1705" s="2" t="n">
        <f aca="false">J1705/_xlfn.XLOOKUP(Tabla2[[#This Row],[Unidad de precio]],Tabla3[Medida],Tabla3[Equivalencia en Kg],"ELVIS",0)</f>
        <v>8.12949895871616</v>
      </c>
      <c r="M1705" s="3" t="n">
        <v>10868.0263728783</v>
      </c>
      <c r="N1705" s="3" t="n">
        <f aca="false">(Tabla2[[#This Row],[Productividad (kg/TAS)]]*Tabla2[[#This Row],[Precio por kg]]-Tabla2[[#This Row],[Costos (En RD$/Tarea)]])</f>
        <v>-3368.51316423466</v>
      </c>
      <c r="O1705" s="9" t="n">
        <f aca="false">IF(Tabla2[[#This Row],[Costos (En RD$/Tarea)]]=0,0,Tabla2[[#This Row],[Beneficio Neto  (En RD$/Tarea)]]/Tabla2[[#This Row],[Costos (En RD$/Tarea)]])</f>
        <v>-0.309947091464643</v>
      </c>
      <c r="P1705" s="7" t="n">
        <f aca="false">Tabla2[[#This Row],[Rentabilidad (%)]]/12</f>
        <v>-0.0258289242887202</v>
      </c>
    </row>
    <row r="1706" customFormat="false" ht="14.25" hidden="false" customHeight="false" outlineLevel="0" collapsed="false">
      <c r="A1706" s="1" t="n">
        <v>40848</v>
      </c>
      <c r="B1706" s="2" t="s">
        <v>16</v>
      </c>
      <c r="C1706" s="3" t="n">
        <v>513017</v>
      </c>
      <c r="D1706" s="8" t="s">
        <v>17</v>
      </c>
      <c r="E1706" s="3" t="n">
        <f aca="false">IF(Tabla2[[#This Row],[Frecuencia]]="Annual", Tabla2[[#This Row],[Cosecha/Tarea]]/12,Tabla2[[#This Row],[Cosecha/Tarea]])</f>
        <v>513017</v>
      </c>
      <c r="F1706" s="3" t="n">
        <v>1868598</v>
      </c>
      <c r="G1706" s="2" t="s">
        <v>18</v>
      </c>
      <c r="H1706" s="2" t="n">
        <f aca="false">F1706/Tabla2[[#This Row],[Cosecha Mensual]]</f>
        <v>3.64237052573307</v>
      </c>
      <c r="I1706" s="2" t="n">
        <f aca="false">H1706*_xlfn.XLOOKUP(Tabla2[[#This Row],[Unidad de producción]],Tabla3[Medida],Tabla3[Equivalencia en Kg],"ELVIS",0)</f>
        <v>165.217927047252</v>
      </c>
      <c r="J1706" s="2" t="n">
        <v>1639.585</v>
      </c>
      <c r="K1706" s="2" t="s">
        <v>19</v>
      </c>
      <c r="L1706" s="2" t="n">
        <f aca="false">J1706/_xlfn.XLOOKUP(Tabla2[[#This Row],[Unidad de precio]],Tabla3[Medida],Tabla3[Equivalencia en Kg],"ELVIS",0)</f>
        <v>14.9053181818182</v>
      </c>
      <c r="M1706" s="2" t="n">
        <v>7569</v>
      </c>
      <c r="N1706" s="3" t="n">
        <f aca="false">(Tabla2[[#This Row],[Productividad (kg/TAS)]]*Tabla2[[#This Row],[Precio por kg]]-Tabla2[[#This Row],[Costos (En RD$/Tarea)]])</f>
        <v>-5106.37422802029</v>
      </c>
      <c r="O1706" s="9" t="n">
        <f aca="false">IF(Tabla2[[#This Row],[Costos (En RD$/Tarea)]]=0,0,Tabla2[[#This Row],[Beneficio Neto  (En RD$/Tarea)]]/Tabla2[[#This Row],[Costos (En RD$/Tarea)]])</f>
        <v>-0.674643179815073</v>
      </c>
      <c r="P1706" s="7" t="n">
        <f aca="false">Tabla2[[#This Row],[Rentabilidad (%)]]/12</f>
        <v>-0.0562202649845894</v>
      </c>
    </row>
    <row r="1707" customFormat="false" ht="14.25" hidden="false" customHeight="false" outlineLevel="0" collapsed="false">
      <c r="A1707" s="1" t="n">
        <v>40848</v>
      </c>
      <c r="B1707" s="2" t="s">
        <v>20</v>
      </c>
      <c r="C1707" s="3" t="n">
        <v>30754</v>
      </c>
      <c r="D1707" s="8" t="s">
        <v>17</v>
      </c>
      <c r="E1707" s="3" t="n">
        <f aca="false">IF(Tabla2[[#This Row],[Frecuencia]]="Annual", Tabla2[[#This Row],[Cosecha/Tarea]]/12,Tabla2[[#This Row],[Cosecha/Tarea]])</f>
        <v>30754</v>
      </c>
      <c r="F1707" s="3" t="n">
        <v>64413</v>
      </c>
      <c r="G1707" s="2" t="s">
        <v>18</v>
      </c>
      <c r="H1707" s="2" t="n">
        <f aca="false">F1707/Tabla2[[#This Row],[Cosecha Mensual]]</f>
        <v>2.09445925733238</v>
      </c>
      <c r="I1707" s="2" t="n">
        <f aca="false">H1707*_xlfn.XLOOKUP(Tabla2[[#This Row],[Unidad de producción]],Tabla3[Medida],Tabla3[Equivalencia en Kg],"ELVIS",0)</f>
        <v>95.0046719125967</v>
      </c>
      <c r="J1707" s="2" t="n">
        <v>655.416</v>
      </c>
      <c r="K1707" s="2" t="s">
        <v>18</v>
      </c>
      <c r="L1707" s="2" t="n">
        <f aca="false">J1707/_xlfn.XLOOKUP(Tabla2[[#This Row],[Unidad de precio]],Tabla3[Medida],Tabla3[Equivalencia en Kg],"ELVIS",0)</f>
        <v>14.4492063492064</v>
      </c>
      <c r="M1707" s="2" t="n">
        <v>2249.6320342848</v>
      </c>
      <c r="N1707" s="3" t="n">
        <f aca="false">(Tabla2[[#This Row],[Productividad (kg/TAS)]]*Tabla2[[#This Row],[Precio por kg]]-Tabla2[[#This Row],[Costos (En RD$/Tarea)]])</f>
        <v>-876.889925681041</v>
      </c>
      <c r="O1707" s="9" t="n">
        <f aca="false">IF(Tabla2[[#This Row],[Costos (En RD$/Tarea)]]=0,0,Tabla2[[#This Row],[Beneficio Neto  (En RD$/Tarea)]]/Tabla2[[#This Row],[Costos (En RD$/Tarea)]])</f>
        <v>-0.389792602664382</v>
      </c>
      <c r="P1707" s="7" t="n">
        <f aca="false">Tabla2[[#This Row],[Rentabilidad (%)]]/12</f>
        <v>-0.0324827168886985</v>
      </c>
    </row>
    <row r="1708" customFormat="false" ht="14.25" hidden="false" customHeight="false" outlineLevel="0" collapsed="false">
      <c r="A1708" s="1" t="n">
        <v>40848</v>
      </c>
      <c r="B1708" s="2" t="s">
        <v>21</v>
      </c>
      <c r="C1708" s="3" t="n">
        <v>8089</v>
      </c>
      <c r="D1708" s="8" t="s">
        <v>17</v>
      </c>
      <c r="E1708" s="3" t="n">
        <f aca="false">IF(Tabla2[[#This Row],[Frecuencia]]="Annual", Tabla2[[#This Row],[Cosecha/Tarea]]/12,Tabla2[[#This Row],[Cosecha/Tarea]])</f>
        <v>8089</v>
      </c>
      <c r="F1708" s="3" t="n">
        <v>95641</v>
      </c>
      <c r="G1708" s="2" t="s">
        <v>18</v>
      </c>
      <c r="H1708" s="2" t="n">
        <f aca="false">F1708/Tabla2[[#This Row],[Cosecha Mensual]]</f>
        <v>11.8235875880826</v>
      </c>
      <c r="I1708" s="2" t="n">
        <f aca="false">H1708*_xlfn.XLOOKUP(Tabla2[[#This Row],[Unidad de producción]],Tabla3[Medida],Tabla3[Equivalencia en Kg],"ELVIS",0)</f>
        <v>536.317932995426</v>
      </c>
      <c r="J1708" s="2" t="n">
        <v>201.825</v>
      </c>
      <c r="K1708" s="2" t="s">
        <v>18</v>
      </c>
      <c r="L1708" s="2" t="n">
        <f aca="false">J1708/_xlfn.XLOOKUP(Tabla2[[#This Row],[Unidad de precio]],Tabla3[Medida],Tabla3[Equivalencia en Kg],"ELVIS",0)</f>
        <v>4.44940476190476</v>
      </c>
      <c r="M1708" s="2" t="n">
        <v>4921.44160075</v>
      </c>
      <c r="N1708" s="3" t="n">
        <f aca="false">(Tabla2[[#This Row],[Productividad (kg/TAS)]]*Tabla2[[#This Row],[Precio por kg]]-Tabla2[[#This Row],[Costos (En RD$/Tarea)]])</f>
        <v>-2535.14603578523</v>
      </c>
      <c r="O1708" s="9" t="n">
        <f aca="false">IF(Tabla2[[#This Row],[Costos (En RD$/Tarea)]]=0,0,Tabla2[[#This Row],[Beneficio Neto  (En RD$/Tarea)]]/Tabla2[[#This Row],[Costos (En RD$/Tarea)]])</f>
        <v>-0.515122649306433</v>
      </c>
      <c r="P1708" s="7" t="n">
        <f aca="false">Tabla2[[#This Row],[Rentabilidad (%)]]/12</f>
        <v>-0.0429268874422028</v>
      </c>
    </row>
    <row r="1709" customFormat="false" ht="14.25" hidden="false" customHeight="false" outlineLevel="0" collapsed="false">
      <c r="A1709" s="1" t="n">
        <v>40848</v>
      </c>
      <c r="B1709" s="2" t="s">
        <v>22</v>
      </c>
      <c r="C1709" s="3" t="n">
        <v>6001</v>
      </c>
      <c r="D1709" s="8" t="s">
        <v>17</v>
      </c>
      <c r="E1709" s="3" t="n">
        <f aca="false">IF(Tabla2[[#This Row],[Frecuencia]]="Annual", Tabla2[[#This Row],[Cosecha/Tarea]]/12,Tabla2[[#This Row],[Cosecha/Tarea]])</f>
        <v>6001</v>
      </c>
      <c r="F1709" s="3" t="n">
        <v>45100</v>
      </c>
      <c r="G1709" s="2" t="s">
        <v>18</v>
      </c>
      <c r="H1709" s="2" t="n">
        <f aca="false">F1709/Tabla2[[#This Row],[Cosecha Mensual]]</f>
        <v>7.51541409765039</v>
      </c>
      <c r="I1709" s="2" t="n">
        <f aca="false">H1709*_xlfn.XLOOKUP(Tabla2[[#This Row],[Unidad de producción]],Tabla3[Medida],Tabla3[Equivalencia en Kg],"ELVIS",0)</f>
        <v>340.899183469422</v>
      </c>
      <c r="J1709" s="2" t="n">
        <v>1113.75</v>
      </c>
      <c r="K1709" s="2" t="s">
        <v>18</v>
      </c>
      <c r="L1709" s="2" t="n">
        <f aca="false">J1709/_xlfn.XLOOKUP(Tabla2[[#This Row],[Unidad de precio]],Tabla3[Medida],Tabla3[Equivalencia en Kg],"ELVIS",0)</f>
        <v>24.5535714285714</v>
      </c>
      <c r="M1709" s="2" t="n">
        <v>8263.3527360768</v>
      </c>
      <c r="N1709" s="3" t="n">
        <f aca="false">(Tabla2[[#This Row],[Productividad (kg/TAS)]]*Tabla2[[#This Row],[Precio por kg]]-Tabla2[[#This Row],[Costos (En RD$/Tarea)]])</f>
        <v>106.939715181325</v>
      </c>
      <c r="O1709" s="9" t="n">
        <f aca="false">IF(Tabla2[[#This Row],[Costos (En RD$/Tarea)]]=0,0,Tabla2[[#This Row],[Beneficio Neto  (En RD$/Tarea)]]/Tabla2[[#This Row],[Costos (En RD$/Tarea)]])</f>
        <v>0.0129414438178875</v>
      </c>
      <c r="P1709" s="7" t="n">
        <f aca="false">Tabla2[[#This Row],[Rentabilidad (%)]]/12</f>
        <v>0.00107845365149062</v>
      </c>
    </row>
    <row r="1710" customFormat="false" ht="14.25" hidden="false" customHeight="false" outlineLevel="0" collapsed="false">
      <c r="A1710" s="1" t="n">
        <v>40848</v>
      </c>
      <c r="B1710" s="2" t="s">
        <v>23</v>
      </c>
      <c r="C1710" s="3" t="n">
        <v>3615</v>
      </c>
      <c r="D1710" s="8" t="s">
        <v>17</v>
      </c>
      <c r="E1710" s="3" t="n">
        <f aca="false">IF(Tabla2[[#This Row],[Frecuencia]]="Annual", Tabla2[[#This Row],[Cosecha/Tarea]]/12,Tabla2[[#This Row],[Cosecha/Tarea]])</f>
        <v>3615</v>
      </c>
      <c r="F1710" s="3" t="n">
        <v>117950</v>
      </c>
      <c r="G1710" s="2" t="s">
        <v>18</v>
      </c>
      <c r="H1710" s="2" t="n">
        <f aca="false">F1710/Tabla2[[#This Row],[Cosecha Mensual]]</f>
        <v>32.627939142462</v>
      </c>
      <c r="I1710" s="2" t="n">
        <f aca="false">H1710*_xlfn.XLOOKUP(Tabla2[[#This Row],[Unidad de producción]],Tabla3[Medida],Tabla3[Equivalencia en Kg],"ELVIS",0)</f>
        <v>1480.00331950207</v>
      </c>
      <c r="J1710" s="2" t="n">
        <v>814.585</v>
      </c>
      <c r="K1710" s="2" t="s">
        <v>18</v>
      </c>
      <c r="L1710" s="2" t="n">
        <f aca="false">J1710/_xlfn.XLOOKUP(Tabla2[[#This Row],[Unidad de precio]],Tabla3[Medida],Tabla3[Equivalencia en Kg],"ELVIS",0)</f>
        <v>17.9582231040564</v>
      </c>
      <c r="M1710" s="2" t="n">
        <v>22831.198995686</v>
      </c>
      <c r="N1710" s="3" t="n">
        <f aca="false">(Tabla2[[#This Row],[Productividad (kg/TAS)]]*Tabla2[[#This Row],[Precio por kg]]-Tabla2[[#This Row],[Costos (En RD$/Tarea)]])</f>
        <v>3747.03081067638</v>
      </c>
      <c r="O1710" s="9" t="n">
        <f aca="false">IF(Tabla2[[#This Row],[Costos (En RD$/Tarea)]]=0,0,Tabla2[[#This Row],[Beneficio Neto  (En RD$/Tarea)]]/Tabla2[[#This Row],[Costos (En RD$/Tarea)]])</f>
        <v>0.16411888010719</v>
      </c>
      <c r="P1710" s="7" t="n">
        <f aca="false">Tabla2[[#This Row],[Rentabilidad (%)]]/12</f>
        <v>0.0136765733422658</v>
      </c>
    </row>
    <row r="1711" customFormat="false" ht="14.25" hidden="false" customHeight="false" outlineLevel="0" collapsed="false">
      <c r="A1711" s="1" t="n">
        <v>40848</v>
      </c>
      <c r="B1711" s="2" t="s">
        <v>24</v>
      </c>
      <c r="C1711" s="3" t="n">
        <v>6100</v>
      </c>
      <c r="D1711" s="8" t="s">
        <v>17</v>
      </c>
      <c r="E1711" s="3" t="n">
        <f aca="false">IF(Tabla2[[#This Row],[Frecuencia]]="Annual", Tabla2[[#This Row],[Cosecha/Tarea]]/12,Tabla2[[#This Row],[Cosecha/Tarea]])</f>
        <v>6100</v>
      </c>
      <c r="F1711" s="3" t="n">
        <v>58210</v>
      </c>
      <c r="G1711" s="2" t="s">
        <v>18</v>
      </c>
      <c r="H1711" s="2" t="n">
        <f aca="false">F1711/Tabla2[[#This Row],[Cosecha Mensual]]</f>
        <v>9.54262295081967</v>
      </c>
      <c r="I1711" s="2" t="n">
        <f aca="false">H1711*_xlfn.XLOOKUP(Tabla2[[#This Row],[Unidad de producción]],Tabla3[Medida],Tabla3[Equivalencia en Kg],"ELVIS",0)</f>
        <v>432.85337704918</v>
      </c>
      <c r="J1711" s="2" t="n">
        <v>1268.25</v>
      </c>
      <c r="K1711" s="2" t="s">
        <v>18</v>
      </c>
      <c r="L1711" s="2" t="n">
        <f aca="false">J1711/_xlfn.XLOOKUP(Tabla2[[#This Row],[Unidad de precio]],Tabla3[Medida],Tabla3[Equivalencia en Kg],"ELVIS",0)</f>
        <v>27.9596560846561</v>
      </c>
      <c r="M1711" s="2" t="n">
        <v>6908.3833517736</v>
      </c>
      <c r="N1711" s="3" t="n">
        <f aca="false">(Tabla2[[#This Row],[Productividad (kg/TAS)]]*Tabla2[[#This Row],[Precio por kg]]-Tabla2[[#This Row],[Costos (En RD$/Tarea)]])</f>
        <v>5194.04820560345</v>
      </c>
      <c r="O1711" s="9" t="n">
        <f aca="false">IF(Tabla2[[#This Row],[Costos (En RD$/Tarea)]]=0,0,Tabla2[[#This Row],[Beneficio Neto  (En RD$/Tarea)]]/Tabla2[[#This Row],[Costos (En RD$/Tarea)]])</f>
        <v>0.751847131394348</v>
      </c>
      <c r="P1711" s="7" t="n">
        <f aca="false">Tabla2[[#This Row],[Rentabilidad (%)]]/12</f>
        <v>0.0626539276161956</v>
      </c>
    </row>
    <row r="1712" customFormat="false" ht="14.25" hidden="false" customHeight="false" outlineLevel="0" collapsed="false">
      <c r="A1712" s="1" t="n">
        <v>40848</v>
      </c>
      <c r="B1712" s="2" t="s">
        <v>25</v>
      </c>
      <c r="C1712" s="3" t="n">
        <v>43598</v>
      </c>
      <c r="D1712" s="8" t="s">
        <v>17</v>
      </c>
      <c r="E1712" s="3" t="n">
        <f aca="false">IF(Tabla2[[#This Row],[Frecuencia]]="Annual", Tabla2[[#This Row],[Cosecha/Tarea]]/12,Tabla2[[#This Row],[Cosecha/Tarea]])</f>
        <v>43598</v>
      </c>
      <c r="F1712" s="3" t="n">
        <v>416415</v>
      </c>
      <c r="G1712" s="2" t="s">
        <v>18</v>
      </c>
      <c r="H1712" s="2" t="n">
        <f aca="false">F1712/Tabla2[[#This Row],[Cosecha Mensual]]</f>
        <v>9.55124088260929</v>
      </c>
      <c r="I1712" s="2" t="n">
        <f aca="false">H1712*_xlfn.XLOOKUP(Tabla2[[#This Row],[Unidad de producción]],Tabla3[Medida],Tabla3[Equivalencia en Kg],"ELVIS",0)</f>
        <v>433.244286435158</v>
      </c>
      <c r="J1712" s="2" t="n">
        <v>290.159712</v>
      </c>
      <c r="K1712" s="2" t="s">
        <v>18</v>
      </c>
      <c r="L1712" s="2" t="n">
        <f aca="false">J1712/_xlfn.XLOOKUP(Tabla2[[#This Row],[Unidad de precio]],Tabla3[Medida],Tabla3[Equivalencia en Kg],"ELVIS",0)</f>
        <v>6.39681904761905</v>
      </c>
      <c r="M1712" s="2" t="n">
        <v>4283.98894113212</v>
      </c>
      <c r="N1712" s="3" t="n">
        <f aca="false">(Tabla2[[#This Row],[Productividad (kg/TAS)]]*Tabla2[[#This Row],[Precio por kg]]-Tabla2[[#This Row],[Costos (En RD$/Tarea)]])</f>
        <v>-1512.60363739158</v>
      </c>
      <c r="O1712" s="9" t="n">
        <f aca="false">IF(Tabla2[[#This Row],[Costos (En RD$/Tarea)]]=0,0,Tabla2[[#This Row],[Beneficio Neto  (En RD$/Tarea)]]/Tabla2[[#This Row],[Costos (En RD$/Tarea)]])</f>
        <v>-0.353082993018149</v>
      </c>
      <c r="P1712" s="7" t="n">
        <f aca="false">Tabla2[[#This Row],[Rentabilidad (%)]]/12</f>
        <v>-0.0294235827515124</v>
      </c>
    </row>
    <row r="1713" customFormat="false" ht="14.25" hidden="false" customHeight="false" outlineLevel="0" collapsed="false">
      <c r="A1713" s="1" t="n">
        <v>40848</v>
      </c>
      <c r="B1713" s="2" t="s">
        <v>26</v>
      </c>
      <c r="C1713" s="3" t="n">
        <v>10959</v>
      </c>
      <c r="D1713" s="8" t="s">
        <v>17</v>
      </c>
      <c r="E1713" s="3" t="n">
        <f aca="false">IF(Tabla2[[#This Row],[Frecuencia]]="Annual", Tabla2[[#This Row],[Cosecha/Tarea]]/12,Tabla2[[#This Row],[Cosecha/Tarea]])</f>
        <v>10959</v>
      </c>
      <c r="F1713" s="3" t="n">
        <v>61171</v>
      </c>
      <c r="G1713" s="2" t="s">
        <v>18</v>
      </c>
      <c r="H1713" s="2" t="n">
        <f aca="false">F1713/Tabla2[[#This Row],[Cosecha Mensual]]</f>
        <v>5.58180490920705</v>
      </c>
      <c r="I1713" s="2" t="n">
        <f aca="false">H1713*_xlfn.XLOOKUP(Tabla2[[#This Row],[Unidad de producción]],Tabla3[Medida],Tabla3[Equivalencia en Kg],"ELVIS",0)</f>
        <v>253.190670681632</v>
      </c>
      <c r="J1713" s="2" t="n">
        <v>542.916</v>
      </c>
      <c r="K1713" s="2" t="s">
        <v>18</v>
      </c>
      <c r="L1713" s="2" t="n">
        <f aca="false">J1713/_xlfn.XLOOKUP(Tabla2[[#This Row],[Unidad de precio]],Tabla3[Medida],Tabla3[Equivalencia en Kg],"ELVIS",0)</f>
        <v>11.9690476190476</v>
      </c>
      <c r="M1713" s="2" t="n">
        <v>2009.79</v>
      </c>
      <c r="N1713" s="3" t="n">
        <f aca="false">(Tabla2[[#This Row],[Productividad (kg/TAS)]]*Tabla2[[#This Row],[Precio por kg]]-Tabla2[[#This Row],[Costos (En RD$/Tarea)]])</f>
        <v>1020.66119408705</v>
      </c>
      <c r="O1713" s="9" t="n">
        <f aca="false">IF(Tabla2[[#This Row],[Costos (En RD$/Tarea)]]=0,0,Tabla2[[#This Row],[Beneficio Neto  (En RD$/Tarea)]]/Tabla2[[#This Row],[Costos (En RD$/Tarea)]])</f>
        <v>0.507844697250485</v>
      </c>
      <c r="P1713" s="7" t="n">
        <f aca="false">Tabla2[[#This Row],[Rentabilidad (%)]]/12</f>
        <v>0.0423203914375404</v>
      </c>
    </row>
    <row r="1714" customFormat="false" ht="14.25" hidden="false" customHeight="false" outlineLevel="0" collapsed="false">
      <c r="A1714" s="1" t="n">
        <v>40848</v>
      </c>
      <c r="B1714" s="2" t="s">
        <v>27</v>
      </c>
      <c r="C1714" s="3" t="n">
        <v>7910</v>
      </c>
      <c r="D1714" s="8" t="s">
        <v>17</v>
      </c>
      <c r="E1714" s="3" t="n">
        <f aca="false">IF(Tabla2[[#This Row],[Frecuencia]]="Annual", Tabla2[[#This Row],[Cosecha/Tarea]]/12,Tabla2[[#This Row],[Cosecha/Tarea]])</f>
        <v>7910</v>
      </c>
      <c r="F1714" s="3" t="n">
        <v>43411</v>
      </c>
      <c r="G1714" s="2" t="s">
        <v>18</v>
      </c>
      <c r="H1714" s="2" t="n">
        <f aca="false">F1714/Tabla2[[#This Row],[Cosecha Mensual]]</f>
        <v>5.48811630847029</v>
      </c>
      <c r="I1714" s="2" t="n">
        <f aca="false">H1714*_xlfn.XLOOKUP(Tabla2[[#This Row],[Unidad de producción]],Tabla3[Medida],Tabla3[Equivalencia en Kg],"ELVIS",0)</f>
        <v>248.940955752212</v>
      </c>
      <c r="J1714" s="2" t="n">
        <v>643.67</v>
      </c>
      <c r="K1714" s="2" t="s">
        <v>18</v>
      </c>
      <c r="L1714" s="2" t="n">
        <f aca="false">J1714/_xlfn.XLOOKUP(Tabla2[[#This Row],[Unidad de precio]],Tabla3[Medida],Tabla3[Equivalencia en Kg],"ELVIS",0)</f>
        <v>14.1902557319224</v>
      </c>
      <c r="M1714" s="2" t="n">
        <v>6922.022</v>
      </c>
      <c r="N1714" s="3" t="n">
        <f aca="false">(Tabla2[[#This Row],[Productividad (kg/TAS)]]*Tabla2[[#This Row],[Precio por kg]]-Tabla2[[#This Row],[Costos (En RD$/Tarea)]])</f>
        <v>-3389.48617572693</v>
      </c>
      <c r="O1714" s="9" t="n">
        <f aca="false">IF(Tabla2[[#This Row],[Costos (En RD$/Tarea)]]=0,0,Tabla2[[#This Row],[Beneficio Neto  (En RD$/Tarea)]]/Tabla2[[#This Row],[Costos (En RD$/Tarea)]])</f>
        <v>-0.489667061983757</v>
      </c>
      <c r="P1714" s="7" t="n">
        <f aca="false">Tabla2[[#This Row],[Rentabilidad (%)]]/12</f>
        <v>-0.0408055884986464</v>
      </c>
    </row>
    <row r="1715" customFormat="false" ht="14.25" hidden="false" customHeight="false" outlineLevel="0" collapsed="false">
      <c r="A1715" s="1" t="n">
        <v>40848</v>
      </c>
      <c r="B1715" s="2" t="s">
        <v>28</v>
      </c>
      <c r="C1715" s="3" t="n">
        <v>30410</v>
      </c>
      <c r="D1715" s="8" t="s">
        <v>17</v>
      </c>
      <c r="E1715" s="3" t="n">
        <f aca="false">IF(Tabla2[[#This Row],[Frecuencia]]="Annual", Tabla2[[#This Row],[Cosecha/Tarea]]/12,Tabla2[[#This Row],[Cosecha/Tarea]])</f>
        <v>30410</v>
      </c>
      <c r="F1715" s="3" t="n">
        <v>55214</v>
      </c>
      <c r="G1715" s="2" t="s">
        <v>29</v>
      </c>
      <c r="H1715" s="2" t="n">
        <f aca="false">F1715/Tabla2[[#This Row],[Cosecha Mensual]]</f>
        <v>1.8156527458073</v>
      </c>
      <c r="I1715" s="2" t="n">
        <f aca="false">H1715*_xlfn.XLOOKUP(Tabla2[[#This Row],[Unidad de producción]],Tabla3[Medida],Tabla3[Equivalencia en Kg],"ELVIS",0)</f>
        <v>1021.01416507728</v>
      </c>
      <c r="J1715" s="2" t="n">
        <v>6115.625</v>
      </c>
      <c r="K1715" s="2" t="s">
        <v>29</v>
      </c>
      <c r="L1715" s="2" t="n">
        <f aca="false">J1715/_xlfn.XLOOKUP(Tabla2[[#This Row],[Unidad de precio]],Tabla3[Medida],Tabla3[Equivalencia en Kg],"ELVIS",0)</f>
        <v>10.8753156453391</v>
      </c>
      <c r="M1715" s="2" t="n">
        <v>6816.05132473333</v>
      </c>
      <c r="N1715" s="3" t="n">
        <f aca="false">(Tabla2[[#This Row],[Productividad (kg/TAS)]]*Tabla2[[#This Row],[Precio por kg]]-Tabla2[[#This Row],[Costos (En RD$/Tarea)]])</f>
        <v>4287.79999884444</v>
      </c>
      <c r="O1715" s="9" t="n">
        <f aca="false">IF(Tabla2[[#This Row],[Costos (En RD$/Tarea)]]=0,0,Tabla2[[#This Row],[Beneficio Neto  (En RD$/Tarea)]]/Tabla2[[#This Row],[Costos (En RD$/Tarea)]])</f>
        <v>0.629073901378258</v>
      </c>
      <c r="P1715" s="7" t="n">
        <f aca="false">Tabla2[[#This Row],[Rentabilidad (%)]]/12</f>
        <v>0.0524228251148548</v>
      </c>
    </row>
    <row r="1716" customFormat="false" ht="14.25" hidden="false" customHeight="false" outlineLevel="0" collapsed="false">
      <c r="A1716" s="1" t="n">
        <v>40848</v>
      </c>
      <c r="B1716" s="2" t="s">
        <v>30</v>
      </c>
      <c r="C1716" s="3" t="n">
        <v>342100</v>
      </c>
      <c r="D1716" s="3" t="s">
        <v>31</v>
      </c>
      <c r="E1716" s="3" t="n">
        <f aca="false">IF(Tabla2[[#This Row],[Frecuencia]]="Annual", Tabla2[[#This Row],[Cosecha/Tarea]]/12,Tabla2[[#This Row],[Cosecha/Tarea]])</f>
        <v>28508.3333333333</v>
      </c>
      <c r="F1716" s="3" t="n">
        <v>2874111</v>
      </c>
      <c r="G1716" s="2" t="s">
        <v>32</v>
      </c>
      <c r="H1716" s="2" t="n">
        <f aca="false">F1716/Tabla2[[#This Row],[Cosecha Mensual]]</f>
        <v>100.816521484946</v>
      </c>
      <c r="I1716" s="2" t="n">
        <f aca="false">H1716*_xlfn.XLOOKUP(Tabla2[[#This Row],[Unidad de producción]],Tabla3[Medida],Tabla3[Equivalencia en Kg],"ELVIS",0)</f>
        <v>2743.21754960538</v>
      </c>
      <c r="J1716" s="2" t="n">
        <v>77.84964</v>
      </c>
      <c r="K1716" s="2" t="s">
        <v>32</v>
      </c>
      <c r="L1716" s="2" t="n">
        <f aca="false">J1716/_xlfn.XLOOKUP(Tabla2[[#This Row],[Unidad de precio]],Tabla3[Medida],Tabla3[Equivalencia en Kg],"ELVIS",0)</f>
        <v>2.86106725468578</v>
      </c>
      <c r="M1716" s="3" t="n">
        <v>11259.713084354</v>
      </c>
      <c r="N1716" s="3" t="n">
        <f aca="false">(Tabla2[[#This Row],[Productividad (kg/TAS)]]*Tabla2[[#This Row],[Precio por kg]]-Tabla2[[#This Row],[Costos (En RD$/Tarea)]])</f>
        <v>-3411.18318069869</v>
      </c>
      <c r="O1716" s="9" t="n">
        <f aca="false">IF(Tabla2[[#This Row],[Costos (En RD$/Tarea)]]=0,0,Tabla2[[#This Row],[Beneficio Neto  (En RD$/Tarea)]]/Tabla2[[#This Row],[Costos (En RD$/Tarea)]])</f>
        <v>-0.302954716087635</v>
      </c>
      <c r="P1716" s="7" t="n">
        <f aca="false">Tabla2[[#This Row],[Rentabilidad (%)]]/12</f>
        <v>-0.0252462263406362</v>
      </c>
    </row>
    <row r="1717" customFormat="false" ht="14.25" hidden="false" customHeight="false" outlineLevel="0" collapsed="false">
      <c r="A1717" s="1" t="n">
        <v>40848</v>
      </c>
      <c r="B1717" s="2" t="s">
        <v>33</v>
      </c>
      <c r="C1717" s="3" t="n">
        <v>718248</v>
      </c>
      <c r="D1717" s="3" t="s">
        <v>31</v>
      </c>
      <c r="E1717" s="3" t="n">
        <f aca="false">IF(Tabla2[[#This Row],[Frecuencia]]="Annual", Tabla2[[#This Row],[Cosecha/Tarea]]/12,Tabla2[[#This Row],[Cosecha/Tarea]])</f>
        <v>59854</v>
      </c>
      <c r="F1717" s="3" t="n">
        <v>125470</v>
      </c>
      <c r="G1717" s="2" t="s">
        <v>34</v>
      </c>
      <c r="H1717" s="2" t="n">
        <f aca="false">F1717/Tabla2[[#This Row],[Cosecha Mensual]]</f>
        <v>2.09626758445551</v>
      </c>
      <c r="I1717" s="2" t="n">
        <f aca="false">H1717*_xlfn.XLOOKUP(Tabla2[[#This Row],[Unidad de producción]],Tabla3[Medida],Tabla3[Equivalencia en Kg],"ELVIS",0)</f>
        <v>855.591614595516</v>
      </c>
      <c r="J1717" s="2" t="n">
        <v>3317.5</v>
      </c>
      <c r="K1717" s="2" t="s">
        <v>34</v>
      </c>
      <c r="L1717" s="2" t="n">
        <f aca="false">J1717/_xlfn.XLOOKUP(Tabla2[[#This Row],[Unidad de precio]],Tabla3[Medida],Tabla3[Equivalencia en Kg],"ELVIS",0)</f>
        <v>8.12813916452285</v>
      </c>
      <c r="M1717" s="3" t="n">
        <v>10868.0263728783</v>
      </c>
      <c r="N1717" s="3" t="n">
        <f aca="false">(Tabla2[[#This Row],[Productividad (kg/TAS)]]*Tabla2[[#This Row],[Precio por kg]]-Tabla2[[#This Row],[Costos (En RD$/Tarea)]])</f>
        <v>-3913.65866144715</v>
      </c>
      <c r="O1717" s="9" t="n">
        <f aca="false">IF(Tabla2[[#This Row],[Costos (En RD$/Tarea)]]=0,0,Tabla2[[#This Row],[Beneficio Neto  (En RD$/Tarea)]]/Tabla2[[#This Row],[Costos (En RD$/Tarea)]])</f>
        <v>-0.36010757861371</v>
      </c>
      <c r="P1717" s="7" t="n">
        <f aca="false">Tabla2[[#This Row],[Rentabilidad (%)]]/12</f>
        <v>-0.0300089648844759</v>
      </c>
    </row>
    <row r="1718" customFormat="false" ht="14.25" hidden="false" customHeight="false" outlineLevel="0" collapsed="false">
      <c r="A1718" s="1" t="n">
        <v>40878</v>
      </c>
      <c r="B1718" s="2" t="s">
        <v>16</v>
      </c>
      <c r="C1718" s="3" t="n">
        <v>209809</v>
      </c>
      <c r="D1718" s="8" t="s">
        <v>17</v>
      </c>
      <c r="E1718" s="3" t="n">
        <f aca="false">IF(Tabla2[[#This Row],[Frecuencia]]="Annual", Tabla2[[#This Row],[Cosecha/Tarea]]/12,Tabla2[[#This Row],[Cosecha/Tarea]])</f>
        <v>209809</v>
      </c>
      <c r="F1718" s="3" t="n">
        <v>746266</v>
      </c>
      <c r="G1718" s="2" t="s">
        <v>18</v>
      </c>
      <c r="H1718" s="2" t="n">
        <f aca="false">F1718/Tabla2[[#This Row],[Cosecha Mensual]]</f>
        <v>3.55688268854053</v>
      </c>
      <c r="I1718" s="2" t="n">
        <f aca="false">H1718*_xlfn.XLOOKUP(Tabla2[[#This Row],[Unidad de producción]],Tabla3[Medida],Tabla3[Equivalencia en Kg],"ELVIS",0)</f>
        <v>161.340198752198</v>
      </c>
      <c r="J1718" s="2" t="n">
        <v>1689</v>
      </c>
      <c r="K1718" s="2" t="s">
        <v>19</v>
      </c>
      <c r="L1718" s="2" t="n">
        <f aca="false">J1718/_xlfn.XLOOKUP(Tabla2[[#This Row],[Unidad de precio]],Tabla3[Medida],Tabla3[Equivalencia en Kg],"ELVIS",0)</f>
        <v>15.3545454545455</v>
      </c>
      <c r="M1718" s="2" t="n">
        <v>7569</v>
      </c>
      <c r="N1718" s="3" t="n">
        <f aca="false">(Tabla2[[#This Row],[Productividad (kg/TAS)]]*Tabla2[[#This Row],[Precio por kg]]-Tabla2[[#This Row],[Costos (En RD$/Tarea)]])</f>
        <v>-5091.69458461397</v>
      </c>
      <c r="O1718" s="9" t="n">
        <f aca="false">IF(Tabla2[[#This Row],[Costos (En RD$/Tarea)]]=0,0,Tabla2[[#This Row],[Beneficio Neto  (En RD$/Tarea)]]/Tabla2[[#This Row],[Costos (En RD$/Tarea)]])</f>
        <v>-0.672703736902361</v>
      </c>
      <c r="P1718" s="7" t="n">
        <f aca="false">Tabla2[[#This Row],[Rentabilidad (%)]]/12</f>
        <v>-0.0560586447418634</v>
      </c>
    </row>
    <row r="1719" customFormat="false" ht="14.25" hidden="false" customHeight="false" outlineLevel="0" collapsed="false">
      <c r="A1719" s="1" t="n">
        <v>40878</v>
      </c>
      <c r="B1719" s="2" t="s">
        <v>20</v>
      </c>
      <c r="C1719" s="3" t="n">
        <v>25445</v>
      </c>
      <c r="D1719" s="8" t="s">
        <v>17</v>
      </c>
      <c r="E1719" s="3" t="n">
        <f aca="false">IF(Tabla2[[#This Row],[Frecuencia]]="Annual", Tabla2[[#This Row],[Cosecha/Tarea]]/12,Tabla2[[#This Row],[Cosecha/Tarea]])</f>
        <v>25445</v>
      </c>
      <c r="F1719" s="3" t="n">
        <v>46457</v>
      </c>
      <c r="G1719" s="2" t="s">
        <v>18</v>
      </c>
      <c r="H1719" s="2" t="n">
        <f aca="false">F1719/Tabla2[[#This Row],[Cosecha Mensual]]</f>
        <v>1.82578109648261</v>
      </c>
      <c r="I1719" s="2" t="n">
        <f aca="false">H1719*_xlfn.XLOOKUP(Tabla2[[#This Row],[Unidad de producción]],Tabla3[Medida],Tabla3[Equivalencia en Kg],"ELVIS",0)</f>
        <v>82.8174305364512</v>
      </c>
      <c r="J1719" s="2" t="n">
        <v>696.666666666667</v>
      </c>
      <c r="K1719" s="2" t="s">
        <v>18</v>
      </c>
      <c r="L1719" s="2" t="n">
        <f aca="false">J1719/_xlfn.XLOOKUP(Tabla2[[#This Row],[Unidad de precio]],Tabla3[Medida],Tabla3[Equivalencia en Kg],"ELVIS",0)</f>
        <v>15.3586125808348</v>
      </c>
      <c r="M1719" s="2" t="n">
        <v>2249.6320342848</v>
      </c>
      <c r="N1719" s="3" t="n">
        <f aca="false">(Tabla2[[#This Row],[Productividad (kg/TAS)]]*Tabla2[[#This Row],[Precio por kg]]-Tabla2[[#This Row],[Costos (En RD$/Tarea)]])</f>
        <v>-977.671203735248</v>
      </c>
      <c r="O1719" s="9" t="n">
        <f aca="false">IF(Tabla2[[#This Row],[Costos (En RD$/Tarea)]]=0,0,Tabla2[[#This Row],[Beneficio Neto  (En RD$/Tarea)]]/Tabla2[[#This Row],[Costos (En RD$/Tarea)]])</f>
        <v>-0.434591608243198</v>
      </c>
      <c r="P1719" s="7" t="n">
        <f aca="false">Tabla2[[#This Row],[Rentabilidad (%)]]/12</f>
        <v>-0.0362159673535998</v>
      </c>
    </row>
    <row r="1720" customFormat="false" ht="14.25" hidden="false" customHeight="false" outlineLevel="0" collapsed="false">
      <c r="A1720" s="1" t="n">
        <v>40878</v>
      </c>
      <c r="B1720" s="2" t="s">
        <v>21</v>
      </c>
      <c r="C1720" s="3" t="n">
        <v>7518</v>
      </c>
      <c r="D1720" s="8" t="s">
        <v>17</v>
      </c>
      <c r="E1720" s="3" t="n">
        <f aca="false">IF(Tabla2[[#This Row],[Frecuencia]]="Annual", Tabla2[[#This Row],[Cosecha/Tarea]]/12,Tabla2[[#This Row],[Cosecha/Tarea]])</f>
        <v>7518</v>
      </c>
      <c r="F1720" s="3" t="n">
        <v>72041</v>
      </c>
      <c r="G1720" s="2" t="s">
        <v>18</v>
      </c>
      <c r="H1720" s="2" t="n">
        <f aca="false">F1720/Tabla2[[#This Row],[Cosecha Mensual]]</f>
        <v>9.58246874168662</v>
      </c>
      <c r="I1720" s="2" t="n">
        <f aca="false">H1720*_xlfn.XLOOKUP(Tabla2[[#This Row],[Unidad de producción]],Tabla3[Medida],Tabla3[Equivalencia en Kg],"ELVIS",0)</f>
        <v>434.660782122905</v>
      </c>
      <c r="J1720" s="2" t="n">
        <v>170.652777777778</v>
      </c>
      <c r="K1720" s="2" t="s">
        <v>18</v>
      </c>
      <c r="L1720" s="2" t="n">
        <f aca="false">J1720/_xlfn.XLOOKUP(Tabla2[[#This Row],[Unidad de precio]],Tabla3[Medida],Tabla3[Equivalencia en Kg],"ELVIS",0)</f>
        <v>3.76218645894572</v>
      </c>
      <c r="M1720" s="2" t="n">
        <v>4921.44160075</v>
      </c>
      <c r="N1720" s="3" t="n">
        <f aca="false">(Tabla2[[#This Row],[Productividad (kg/TAS)]]*Tabla2[[#This Row],[Precio por kg]]-Tabla2[[#This Row],[Costos (En RD$/Tarea)]])</f>
        <v>-3286.16669201245</v>
      </c>
      <c r="O1720" s="9" t="n">
        <f aca="false">IF(Tabla2[[#This Row],[Costos (En RD$/Tarea)]]=0,0,Tabla2[[#This Row],[Beneficio Neto  (En RD$/Tarea)]]/Tabla2[[#This Row],[Costos (En RD$/Tarea)]])</f>
        <v>-0.667724410569386</v>
      </c>
      <c r="P1720" s="7" t="n">
        <f aca="false">Tabla2[[#This Row],[Rentabilidad (%)]]/12</f>
        <v>-0.0556437008807822</v>
      </c>
    </row>
    <row r="1721" customFormat="false" ht="14.25" hidden="false" customHeight="false" outlineLevel="0" collapsed="false">
      <c r="A1721" s="1" t="n">
        <v>40878</v>
      </c>
      <c r="B1721" s="2" t="s">
        <v>22</v>
      </c>
      <c r="C1721" s="3" t="n">
        <v>4354</v>
      </c>
      <c r="D1721" s="8" t="s">
        <v>17</v>
      </c>
      <c r="E1721" s="3" t="n">
        <f aca="false">IF(Tabla2[[#This Row],[Frecuencia]]="Annual", Tabla2[[#This Row],[Cosecha/Tarea]]/12,Tabla2[[#This Row],[Cosecha/Tarea]])</f>
        <v>4354</v>
      </c>
      <c r="F1721" s="3" t="n">
        <v>41819</v>
      </c>
      <c r="G1721" s="2" t="s">
        <v>18</v>
      </c>
      <c r="H1721" s="2" t="n">
        <f aca="false">F1721/Tabla2[[#This Row],[Cosecha Mensual]]</f>
        <v>9.60473128158016</v>
      </c>
      <c r="I1721" s="2" t="n">
        <f aca="false">H1721*_xlfn.XLOOKUP(Tabla2[[#This Row],[Unidad de producción]],Tabla3[Medida],Tabla3[Equivalencia en Kg],"ELVIS",0)</f>
        <v>435.670610932476</v>
      </c>
      <c r="J1721" s="2" t="n">
        <v>1077.91666666667</v>
      </c>
      <c r="K1721" s="2" t="s">
        <v>18</v>
      </c>
      <c r="L1721" s="2" t="n">
        <f aca="false">J1721/_xlfn.XLOOKUP(Tabla2[[#This Row],[Unidad de precio]],Tabla3[Medida],Tabla3[Equivalencia en Kg],"ELVIS",0)</f>
        <v>23.7635949441506</v>
      </c>
      <c r="M1721" s="2" t="n">
        <v>8263.3527360768</v>
      </c>
      <c r="N1721" s="3" t="n">
        <f aca="false">(Tabla2[[#This Row],[Productividad (kg/TAS)]]*Tabla2[[#This Row],[Precio por kg]]-Tabla2[[#This Row],[Costos (En RD$/Tarea)]])</f>
        <v>2089.74719119318</v>
      </c>
      <c r="O1721" s="9" t="n">
        <f aca="false">IF(Tabla2[[#This Row],[Costos (En RD$/Tarea)]]=0,0,Tabla2[[#This Row],[Beneficio Neto  (En RD$/Tarea)]]/Tabla2[[#This Row],[Costos (En RD$/Tarea)]])</f>
        <v>0.252893378503569</v>
      </c>
      <c r="P1721" s="7" t="n">
        <f aca="false">Tabla2[[#This Row],[Rentabilidad (%)]]/12</f>
        <v>0.0210744482086308</v>
      </c>
    </row>
    <row r="1722" customFormat="false" ht="14.25" hidden="false" customHeight="false" outlineLevel="0" collapsed="false">
      <c r="A1722" s="1" t="n">
        <v>40878</v>
      </c>
      <c r="B1722" s="2" t="s">
        <v>23</v>
      </c>
      <c r="C1722" s="3" t="n">
        <v>2541</v>
      </c>
      <c r="D1722" s="8" t="s">
        <v>17</v>
      </c>
      <c r="E1722" s="3" t="n">
        <f aca="false">IF(Tabla2[[#This Row],[Frecuencia]]="Annual", Tabla2[[#This Row],[Cosecha/Tarea]]/12,Tabla2[[#This Row],[Cosecha/Tarea]])</f>
        <v>2541</v>
      </c>
      <c r="F1722" s="3" t="n">
        <v>88212</v>
      </c>
      <c r="G1722" s="2" t="s">
        <v>18</v>
      </c>
      <c r="H1722" s="2" t="n">
        <f aca="false">F1722/Tabla2[[#This Row],[Cosecha Mensual]]</f>
        <v>34.71546635183</v>
      </c>
      <c r="I1722" s="2" t="n">
        <f aca="false">H1722*_xlfn.XLOOKUP(Tabla2[[#This Row],[Unidad de producción]],Tabla3[Medida],Tabla3[Equivalencia en Kg],"ELVIS",0)</f>
        <v>1574.69355371901</v>
      </c>
      <c r="J1722" s="2" t="n">
        <v>754.375125</v>
      </c>
      <c r="K1722" s="2" t="s">
        <v>18</v>
      </c>
      <c r="L1722" s="2" t="n">
        <f aca="false">J1722/_xlfn.XLOOKUP(Tabla2[[#This Row],[Unidad de precio]],Tabla3[Medida],Tabla3[Equivalencia en Kg],"ELVIS",0)</f>
        <v>16.6308449074074</v>
      </c>
      <c r="M1722" s="2" t="n">
        <v>22831.198995686</v>
      </c>
      <c r="N1722" s="3" t="n">
        <f aca="false">(Tabla2[[#This Row],[Productividad (kg/TAS)]]*Tabla2[[#This Row],[Precio por kg]]-Tabla2[[#This Row],[Costos (En RD$/Tarea)]])</f>
        <v>3357.28527290904</v>
      </c>
      <c r="O1722" s="9" t="n">
        <f aca="false">IF(Tabla2[[#This Row],[Costos (En RD$/Tarea)]]=0,0,Tabla2[[#This Row],[Beneficio Neto  (En RD$/Tarea)]]/Tabla2[[#This Row],[Costos (En RD$/Tarea)]])</f>
        <v>0.147048136786132</v>
      </c>
      <c r="P1722" s="7" t="n">
        <f aca="false">Tabla2[[#This Row],[Rentabilidad (%)]]/12</f>
        <v>0.0122540113988443</v>
      </c>
    </row>
    <row r="1723" customFormat="false" ht="14.25" hidden="false" customHeight="false" outlineLevel="0" collapsed="false">
      <c r="A1723" s="1" t="n">
        <v>40878</v>
      </c>
      <c r="B1723" s="2" t="s">
        <v>24</v>
      </c>
      <c r="C1723" s="3" t="n">
        <v>11547</v>
      </c>
      <c r="D1723" s="8" t="s">
        <v>17</v>
      </c>
      <c r="E1723" s="3" t="n">
        <f aca="false">IF(Tabla2[[#This Row],[Frecuencia]]="Annual", Tabla2[[#This Row],[Cosecha/Tarea]]/12,Tabla2[[#This Row],[Cosecha/Tarea]])</f>
        <v>11547</v>
      </c>
      <c r="F1723" s="3" t="n">
        <v>81413</v>
      </c>
      <c r="G1723" s="2" t="s">
        <v>18</v>
      </c>
      <c r="H1723" s="2" t="n">
        <f aca="false">F1723/Tabla2[[#This Row],[Cosecha Mensual]]</f>
        <v>7.05057590716203</v>
      </c>
      <c r="I1723" s="2" t="n">
        <f aca="false">H1723*_xlfn.XLOOKUP(Tabla2[[#This Row],[Unidad de producción]],Tabla3[Medida],Tabla3[Equivalencia en Kg],"ELVIS",0)</f>
        <v>319.81412314887</v>
      </c>
      <c r="J1723" s="2" t="n">
        <v>1053.66666666667</v>
      </c>
      <c r="K1723" s="2" t="s">
        <v>18</v>
      </c>
      <c r="L1723" s="2" t="n">
        <f aca="false">J1723/_xlfn.XLOOKUP(Tabla2[[#This Row],[Unidad de precio]],Tabla3[Medida],Tabla3[Equivalencia en Kg],"ELVIS",0)</f>
        <v>23.2289829512052</v>
      </c>
      <c r="M1723" s="2" t="n">
        <v>6908.3833517736</v>
      </c>
      <c r="N1723" s="3" t="n">
        <f aca="false">(Tabla2[[#This Row],[Productividad (kg/TAS)]]*Tabla2[[#This Row],[Precio por kg]]-Tabla2[[#This Row],[Costos (En RD$/Tarea)]])</f>
        <v>520.573462406152</v>
      </c>
      <c r="O1723" s="9" t="n">
        <f aca="false">IF(Tabla2[[#This Row],[Costos (En RD$/Tarea)]]=0,0,Tabla2[[#This Row],[Beneficio Neto  (En RD$/Tarea)]]/Tabla2[[#This Row],[Costos (En RD$/Tarea)]])</f>
        <v>0.0753538759936512</v>
      </c>
      <c r="P1723" s="7" t="n">
        <f aca="false">Tabla2[[#This Row],[Rentabilidad (%)]]/12</f>
        <v>0.0062794896661376</v>
      </c>
    </row>
    <row r="1724" customFormat="false" ht="14.25" hidden="false" customHeight="false" outlineLevel="0" collapsed="false">
      <c r="A1724" s="1" t="n">
        <v>40878</v>
      </c>
      <c r="B1724" s="2" t="s">
        <v>25</v>
      </c>
      <c r="C1724" s="3" t="n">
        <v>27898</v>
      </c>
      <c r="D1724" s="8" t="s">
        <v>17</v>
      </c>
      <c r="E1724" s="3" t="n">
        <f aca="false">IF(Tabla2[[#This Row],[Frecuencia]]="Annual", Tabla2[[#This Row],[Cosecha/Tarea]]/12,Tabla2[[#This Row],[Cosecha/Tarea]])</f>
        <v>27898</v>
      </c>
      <c r="F1724" s="3" t="n">
        <v>398755</v>
      </c>
      <c r="G1724" s="2" t="s">
        <v>18</v>
      </c>
      <c r="H1724" s="2" t="n">
        <f aca="false">F1724/Tabla2[[#This Row],[Cosecha Mensual]]</f>
        <v>14.2933185174564</v>
      </c>
      <c r="I1724" s="2" t="n">
        <f aca="false">H1724*_xlfn.XLOOKUP(Tabla2[[#This Row],[Unidad de producción]],Tabla3[Medida],Tabla3[Equivalencia en Kg],"ELVIS",0)</f>
        <v>648.344927951825</v>
      </c>
      <c r="J1724" s="2" t="n">
        <v>258.75</v>
      </c>
      <c r="K1724" s="2" t="s">
        <v>18</v>
      </c>
      <c r="L1724" s="2" t="n">
        <f aca="false">J1724/_xlfn.XLOOKUP(Tabla2[[#This Row],[Unidad de precio]],Tabla3[Medida],Tabla3[Equivalencia en Kg],"ELVIS",0)</f>
        <v>5.70436507936508</v>
      </c>
      <c r="M1724" s="2" t="n">
        <v>4283.98894113212</v>
      </c>
      <c r="N1724" s="3" t="n">
        <f aca="false">(Tabla2[[#This Row],[Productividad (kg/TAS)]]*Tabla2[[#This Row],[Precio por kg]]-Tabla2[[#This Row],[Costos (En RD$/Tarea)]])</f>
        <v>-585.592774740264</v>
      </c>
      <c r="O1724" s="9" t="n">
        <f aca="false">IF(Tabla2[[#This Row],[Costos (En RD$/Tarea)]]=0,0,Tabla2[[#This Row],[Beneficio Neto  (En RD$/Tarea)]]/Tabla2[[#This Row],[Costos (En RD$/Tarea)]])</f>
        <v>-0.136693344167576</v>
      </c>
      <c r="P1724" s="7" t="n">
        <f aca="false">Tabla2[[#This Row],[Rentabilidad (%)]]/12</f>
        <v>-0.0113911120139647</v>
      </c>
    </row>
    <row r="1725" customFormat="false" ht="14.25" hidden="false" customHeight="false" outlineLevel="0" collapsed="false">
      <c r="A1725" s="1" t="n">
        <v>40878</v>
      </c>
      <c r="B1725" s="2" t="s">
        <v>26</v>
      </c>
      <c r="C1725" s="3" t="n">
        <v>13494</v>
      </c>
      <c r="D1725" s="8" t="s">
        <v>17</v>
      </c>
      <c r="E1725" s="3" t="n">
        <f aca="false">IF(Tabla2[[#This Row],[Frecuencia]]="Annual", Tabla2[[#This Row],[Cosecha/Tarea]]/12,Tabla2[[#This Row],[Cosecha/Tarea]])</f>
        <v>13494</v>
      </c>
      <c r="F1725" s="3" t="n">
        <v>73269</v>
      </c>
      <c r="G1725" s="2" t="s">
        <v>18</v>
      </c>
      <c r="H1725" s="2" t="n">
        <f aca="false">F1725/Tabla2[[#This Row],[Cosecha Mensual]]</f>
        <v>5.42974655402401</v>
      </c>
      <c r="I1725" s="2" t="n">
        <f aca="false">H1725*_xlfn.XLOOKUP(Tabla2[[#This Row],[Unidad de producción]],Tabla3[Medida],Tabla3[Equivalencia en Kg],"ELVIS",0)</f>
        <v>246.293303690529</v>
      </c>
      <c r="J1725" s="2" t="n">
        <v>511.666666666667</v>
      </c>
      <c r="K1725" s="2" t="s">
        <v>18</v>
      </c>
      <c r="L1725" s="2" t="n">
        <f aca="false">J1725/_xlfn.XLOOKUP(Tabla2[[#This Row],[Unidad de precio]],Tabla3[Medida],Tabla3[Equivalencia en Kg],"ELVIS",0)</f>
        <v>11.2801293356849</v>
      </c>
      <c r="M1725" s="2" t="n">
        <v>2009.79</v>
      </c>
      <c r="N1725" s="3" t="n">
        <f aca="false">(Tabla2[[#This Row],[Productividad (kg/TAS)]]*Tabla2[[#This Row],[Precio por kg]]-Tabla2[[#This Row],[Costos (En RD$/Tarea)]])</f>
        <v>768.430320142287</v>
      </c>
      <c r="O1725" s="9" t="n">
        <f aca="false">IF(Tabla2[[#This Row],[Costos (En RD$/Tarea)]]=0,0,Tabla2[[#This Row],[Beneficio Neto  (En RD$/Tarea)]]/Tabla2[[#This Row],[Costos (En RD$/Tarea)]])</f>
        <v>0.382343588206871</v>
      </c>
      <c r="P1725" s="7" t="n">
        <f aca="false">Tabla2[[#This Row],[Rentabilidad (%)]]/12</f>
        <v>0.0318619656839059</v>
      </c>
    </row>
    <row r="1726" customFormat="false" ht="14.25" hidden="false" customHeight="false" outlineLevel="0" collapsed="false">
      <c r="A1726" s="1" t="n">
        <v>40878</v>
      </c>
      <c r="B1726" s="2" t="s">
        <v>27</v>
      </c>
      <c r="C1726" s="3" t="n">
        <v>7201</v>
      </c>
      <c r="D1726" s="8" t="s">
        <v>17</v>
      </c>
      <c r="E1726" s="3" t="n">
        <f aca="false">IF(Tabla2[[#This Row],[Frecuencia]]="Annual", Tabla2[[#This Row],[Cosecha/Tarea]]/12,Tabla2[[#This Row],[Cosecha/Tarea]])</f>
        <v>7201</v>
      </c>
      <c r="F1726" s="3" t="n">
        <v>38762</v>
      </c>
      <c r="G1726" s="2" t="s">
        <v>18</v>
      </c>
      <c r="H1726" s="2" t="n">
        <f aca="false">F1726/Tabla2[[#This Row],[Cosecha Mensual]]</f>
        <v>5.38286349118178</v>
      </c>
      <c r="I1726" s="2" t="n">
        <f aca="false">H1726*_xlfn.XLOOKUP(Tabla2[[#This Row],[Unidad de producción]],Tabla3[Medida],Tabla3[Equivalencia en Kg],"ELVIS",0)</f>
        <v>244.166687960006</v>
      </c>
      <c r="J1726" s="2" t="n">
        <v>484.49</v>
      </c>
      <c r="K1726" s="2" t="s">
        <v>18</v>
      </c>
      <c r="L1726" s="2" t="n">
        <f aca="false">J1726/_xlfn.XLOOKUP(Tabla2[[#This Row],[Unidad de precio]],Tabla3[Medida],Tabla3[Equivalencia en Kg],"ELVIS",0)</f>
        <v>10.6809964726631</v>
      </c>
      <c r="M1726" s="2" t="n">
        <v>6922.022</v>
      </c>
      <c r="N1726" s="3" t="n">
        <f aca="false">(Tabla2[[#This Row],[Productividad (kg/TAS)]]*Tabla2[[#This Row],[Precio por kg]]-Tabla2[[#This Row],[Costos (En RD$/Tarea)]])</f>
        <v>-4314.07846715734</v>
      </c>
      <c r="O1726" s="9" t="n">
        <f aca="false">IF(Tabla2[[#This Row],[Costos (En RD$/Tarea)]]=0,0,Tabla2[[#This Row],[Beneficio Neto  (En RD$/Tarea)]]/Tabla2[[#This Row],[Costos (En RD$/Tarea)]])</f>
        <v>-0.62323963534894</v>
      </c>
      <c r="P1726" s="7" t="n">
        <f aca="false">Tabla2[[#This Row],[Rentabilidad (%)]]/12</f>
        <v>-0.0519366362790783</v>
      </c>
    </row>
    <row r="1727" customFormat="false" ht="14.25" hidden="false" customHeight="false" outlineLevel="0" collapsed="false">
      <c r="A1727" s="1" t="n">
        <v>40878</v>
      </c>
      <c r="B1727" s="2" t="s">
        <v>28</v>
      </c>
      <c r="C1727" s="3" t="n">
        <v>45281</v>
      </c>
      <c r="D1727" s="8" t="s">
        <v>17</v>
      </c>
      <c r="E1727" s="3" t="n">
        <f aca="false">IF(Tabla2[[#This Row],[Frecuencia]]="Annual", Tabla2[[#This Row],[Cosecha/Tarea]]/12,Tabla2[[#This Row],[Cosecha/Tarea]])</f>
        <v>45281</v>
      </c>
      <c r="F1727" s="3" t="n">
        <v>68741</v>
      </c>
      <c r="G1727" s="2" t="s">
        <v>29</v>
      </c>
      <c r="H1727" s="2" t="n">
        <f aca="false">F1727/Tabla2[[#This Row],[Cosecha Mensual]]</f>
        <v>1.51809809854023</v>
      </c>
      <c r="I1727" s="2" t="n">
        <f aca="false">H1727*_xlfn.XLOOKUP(Tabla2[[#This Row],[Unidad de producción]],Tabla3[Medida],Tabla3[Equivalencia en Kg],"ELVIS",0)</f>
        <v>853.687284733111</v>
      </c>
      <c r="J1727" s="2" t="n">
        <v>5700</v>
      </c>
      <c r="K1727" s="2" t="s">
        <v>29</v>
      </c>
      <c r="L1727" s="2" t="n">
        <f aca="false">J1727/_xlfn.XLOOKUP(Tabla2[[#This Row],[Unidad de precio]],Tabla3[Medida],Tabla3[Equivalencia en Kg],"ELVIS",0)</f>
        <v>10.1362165238112</v>
      </c>
      <c r="M1727" s="2" t="n">
        <v>6816.05132473333</v>
      </c>
      <c r="N1727" s="3" t="n">
        <f aca="false">(Tabla2[[#This Row],[Productividad (kg/TAS)]]*Tabla2[[#This Row],[Precio por kg]]-Tabla2[[#This Row],[Costos (En RD$/Tarea)]])</f>
        <v>1837.10783694596</v>
      </c>
      <c r="O1727" s="9" t="n">
        <f aca="false">IF(Tabla2[[#This Row],[Costos (En RD$/Tarea)]]=0,0,Tabla2[[#This Row],[Beneficio Neto  (En RD$/Tarea)]]/Tabla2[[#This Row],[Costos (En RD$/Tarea)]])</f>
        <v>0.269526702400211</v>
      </c>
      <c r="P1727" s="7" t="n">
        <f aca="false">Tabla2[[#This Row],[Rentabilidad (%)]]/12</f>
        <v>0.0224605585333509</v>
      </c>
    </row>
    <row r="1728" customFormat="false" ht="14.25" hidden="false" customHeight="false" outlineLevel="0" collapsed="false">
      <c r="A1728" s="1" t="n">
        <v>40878</v>
      </c>
      <c r="B1728" s="2" t="s">
        <v>30</v>
      </c>
      <c r="C1728" s="3" t="n">
        <v>343242</v>
      </c>
      <c r="D1728" s="3" t="s">
        <v>31</v>
      </c>
      <c r="E1728" s="3" t="n">
        <f aca="false">IF(Tabla2[[#This Row],[Frecuencia]]="Annual", Tabla2[[#This Row],[Cosecha/Tarea]]/12,Tabla2[[#This Row],[Cosecha/Tarea]])</f>
        <v>28603.5</v>
      </c>
      <c r="F1728" s="3" t="n">
        <v>2395120</v>
      </c>
      <c r="G1728" s="2" t="s">
        <v>32</v>
      </c>
      <c r="H1728" s="2" t="n">
        <f aca="false">F1728/Tabla2[[#This Row],[Cosecha Mensual]]</f>
        <v>83.7352072298845</v>
      </c>
      <c r="I1728" s="2" t="n">
        <f aca="false">H1728*_xlfn.XLOOKUP(Tabla2[[#This Row],[Unidad de producción]],Tabla3[Medida],Tabla3[Equivalencia en Kg],"ELVIS",0)</f>
        <v>2278.43498872516</v>
      </c>
      <c r="J1728" s="2" t="n">
        <v>143.166666666667</v>
      </c>
      <c r="K1728" s="2" t="s">
        <v>32</v>
      </c>
      <c r="L1728" s="2" t="n">
        <f aca="false">J1728/_xlfn.XLOOKUP(Tabla2[[#This Row],[Unidad de precio]],Tabla3[Medida],Tabla3[Equivalencia en Kg],"ELVIS",0)</f>
        <v>5.26154600024502</v>
      </c>
      <c r="M1728" s="3" t="n">
        <v>11259.713084354</v>
      </c>
      <c r="N1728" s="3" t="n">
        <f aca="false">(Tabla2[[#This Row],[Productividad (kg/TAS)]]*Tabla2[[#This Row],[Precio por kg]]-Tabla2[[#This Row],[Costos (En RD$/Tarea)]])</f>
        <v>728.377417391152</v>
      </c>
      <c r="O1728" s="9" t="n">
        <f aca="false">IF(Tabla2[[#This Row],[Costos (En RD$/Tarea)]]=0,0,Tabla2[[#This Row],[Beneficio Neto  (En RD$/Tarea)]]/Tabla2[[#This Row],[Costos (En RD$/Tarea)]])</f>
        <v>0.0646888079593496</v>
      </c>
      <c r="P1728" s="7" t="n">
        <f aca="false">Tabla2[[#This Row],[Rentabilidad (%)]]/12</f>
        <v>0.00539073399661246</v>
      </c>
    </row>
    <row r="1729" customFormat="false" ht="14.25" hidden="false" customHeight="false" outlineLevel="0" collapsed="false">
      <c r="A1729" s="1" t="n">
        <v>40878</v>
      </c>
      <c r="B1729" s="2" t="s">
        <v>33</v>
      </c>
      <c r="C1729" s="3" t="n">
        <v>694574</v>
      </c>
      <c r="D1729" s="3" t="s">
        <v>31</v>
      </c>
      <c r="E1729" s="11" t="n">
        <f aca="false">IF(Tabla2[[#This Row],[Frecuencia]]="Annual", Tabla2[[#This Row],[Cosecha/Tarea]]/12,Tabla2[[#This Row],[Cosecha/Tarea]])</f>
        <v>57881.1666666667</v>
      </c>
      <c r="F1729" s="3" t="n">
        <v>251047</v>
      </c>
      <c r="G1729" s="2" t="s">
        <v>34</v>
      </c>
      <c r="H1729" s="2" t="n">
        <f aca="false">F1729/Tabla2[[#This Row],[Cosecha Mensual]]</f>
        <v>4.33728299648418</v>
      </c>
      <c r="I1729" s="2" t="n">
        <f aca="false">H1729*_xlfn.XLOOKUP(Tabla2[[#This Row],[Unidad de producción]],Tabla3[Medida],Tabla3[Equivalencia en Kg],"ELVIS",0)</f>
        <v>1770.26205501502</v>
      </c>
      <c r="J1729" s="2" t="n">
        <v>3791.66666666667</v>
      </c>
      <c r="K1729" s="2" t="s">
        <v>34</v>
      </c>
      <c r="L1729" s="2" t="n">
        <f aca="false">J1729/_xlfn.XLOOKUP(Tabla2[[#This Row],[Unidad de precio]],Tabla3[Medida],Tabla3[Equivalencia en Kg],"ELVIS",0)</f>
        <v>9.28988525460412</v>
      </c>
      <c r="M1729" s="3" t="n">
        <v>10868.0263728783</v>
      </c>
      <c r="N1729" s="3" t="n">
        <f aca="false">(Tabla2[[#This Row],[Productividad (kg/TAS)]]*Tabla2[[#This Row],[Precio por kg]]-Tabla2[[#This Row],[Costos (En RD$/Tarea)]])</f>
        <v>5577.50498879088</v>
      </c>
      <c r="O1729" s="9" t="n">
        <f aca="false">IF(Tabla2[[#This Row],[Costos (En RD$/Tarea)]]=0,0,Tabla2[[#This Row],[Beneficio Neto  (En RD$/Tarea)]]/Tabla2[[#This Row],[Costos (En RD$/Tarea)]])</f>
        <v>0.513203115030142</v>
      </c>
      <c r="P1729" s="7" t="n">
        <f aca="false">Tabla2[[#This Row],[Rentabilidad (%)]]/12</f>
        <v>0.0427669262525119</v>
      </c>
    </row>
    <row r="1730" customFormat="false" ht="14.25" hidden="false" customHeight="false" outlineLevel="0" collapsed="false">
      <c r="A1730" s="1" t="n">
        <v>40909</v>
      </c>
      <c r="B1730" s="2" t="s">
        <v>16</v>
      </c>
      <c r="C1730" s="3" t="n">
        <v>19815</v>
      </c>
      <c r="D1730" s="8" t="s">
        <v>17</v>
      </c>
      <c r="E1730" s="3" t="n">
        <f aca="false">IF(Tabla2[[#This Row],[Frecuencia]]="Annual", Tabla2[[#This Row],[Cosecha/Tarea]]/12,Tabla2[[#This Row],[Cosecha/Tarea]])</f>
        <v>19815</v>
      </c>
      <c r="F1730" s="3" t="n">
        <v>75897</v>
      </c>
      <c r="G1730" s="2" t="s">
        <v>18</v>
      </c>
      <c r="H1730" s="2" t="n">
        <f aca="false">F1730/Tabla2[[#This Row],[Cosecha Mensual]]</f>
        <v>3.83028009084027</v>
      </c>
      <c r="I1730" s="2" t="n">
        <f aca="false">H1730*_xlfn.XLOOKUP(Tabla2[[#This Row],[Unidad de producción]],Tabla3[Medida],Tabla3[Equivalencia en Kg],"ELVIS",0)</f>
        <v>173.741504920515</v>
      </c>
      <c r="J1730" s="2" t="n">
        <v>1850</v>
      </c>
      <c r="K1730" s="2" t="s">
        <v>19</v>
      </c>
      <c r="L1730" s="2" t="n">
        <f aca="false">J1730/_xlfn.XLOOKUP(Tabla2[[#This Row],[Unidad de precio]],Tabla3[Medida],Tabla3[Equivalencia en Kg],"ELVIS",0)</f>
        <v>16.8181818181818</v>
      </c>
      <c r="M1730" s="2" t="n">
        <v>7982.61905212344</v>
      </c>
      <c r="N1730" s="3" t="n">
        <f aca="false">(Tabla2[[#This Row],[Productividad (kg/TAS)]]*Tabla2[[#This Row],[Precio por kg]]-Tabla2[[#This Row],[Costos (En RD$/Tarea)]])</f>
        <v>-5060.60283300569</v>
      </c>
      <c r="O1730" s="9" t="n">
        <f aca="false">IF(Tabla2[[#This Row],[Costos (En RD$/Tarea)]]=0,0,Tabla2[[#This Row],[Beneficio Neto  (En RD$/Tarea)]]/Tabla2[[#This Row],[Costos (En RD$/Tarea)]])</f>
        <v>-0.633952691461524</v>
      </c>
      <c r="P1730" s="7" t="n">
        <f aca="false">Tabla2[[#This Row],[Rentabilidad (%)]]/12</f>
        <v>-0.052829390955127</v>
      </c>
    </row>
    <row r="1731" customFormat="false" ht="14.25" hidden="false" customHeight="false" outlineLevel="0" collapsed="false">
      <c r="A1731" s="1" t="n">
        <v>40909</v>
      </c>
      <c r="B1731" s="2" t="s">
        <v>20</v>
      </c>
      <c r="C1731" s="3" t="n">
        <v>30380</v>
      </c>
      <c r="D1731" s="8" t="s">
        <v>17</v>
      </c>
      <c r="E1731" s="3" t="n">
        <f aca="false">IF(Tabla2[[#This Row],[Frecuencia]]="Annual", Tabla2[[#This Row],[Cosecha/Tarea]]/12,Tabla2[[#This Row],[Cosecha/Tarea]])</f>
        <v>30380</v>
      </c>
      <c r="F1731" s="3" t="n">
        <v>50136</v>
      </c>
      <c r="G1731" s="2" t="s">
        <v>18</v>
      </c>
      <c r="H1731" s="2" t="n">
        <f aca="false">F1731/Tabla2[[#This Row],[Cosecha Mensual]]</f>
        <v>1.65029624753127</v>
      </c>
      <c r="I1731" s="2" t="n">
        <f aca="false">H1731*_xlfn.XLOOKUP(Tabla2[[#This Row],[Unidad de producción]],Tabla3[Medida],Tabla3[Equivalencia en Kg],"ELVIS",0)</f>
        <v>74.8574377880184</v>
      </c>
      <c r="J1731" s="2" t="n">
        <v>700.892857142857</v>
      </c>
      <c r="K1731" s="2" t="s">
        <v>18</v>
      </c>
      <c r="L1731" s="2" t="n">
        <f aca="false">J1731/_xlfn.XLOOKUP(Tabla2[[#This Row],[Unidad de precio]],Tabla3[Medida],Tabla3[Equivalencia en Kg],"ELVIS",0)</f>
        <v>15.4517825648778</v>
      </c>
      <c r="M1731" s="2" t="n">
        <v>2248.3053412475</v>
      </c>
      <c r="N1731" s="3" t="n">
        <f aca="false">(Tabla2[[#This Row],[Productividad (kg/TAS)]]*Tabla2[[#This Row],[Precio por kg]]-Tabla2[[#This Row],[Costos (En RD$/Tarea)]])</f>
        <v>-1091.62448918317</v>
      </c>
      <c r="O1731" s="9" t="n">
        <f aca="false">IF(Tabla2[[#This Row],[Costos (En RD$/Tarea)]]=0,0,Tabla2[[#This Row],[Beneficio Neto  (En RD$/Tarea)]]/Tabla2[[#This Row],[Costos (En RD$/Tarea)]])</f>
        <v>-0.485532133539064</v>
      </c>
      <c r="P1731" s="7" t="n">
        <f aca="false">Tabla2[[#This Row],[Rentabilidad (%)]]/12</f>
        <v>-0.0404610111282554</v>
      </c>
    </row>
    <row r="1732" customFormat="false" ht="14.25" hidden="false" customHeight="false" outlineLevel="0" collapsed="false">
      <c r="A1732" s="1" t="n">
        <v>40909</v>
      </c>
      <c r="B1732" s="2" t="s">
        <v>21</v>
      </c>
      <c r="C1732" s="3" t="n">
        <v>8741</v>
      </c>
      <c r="D1732" s="8" t="s">
        <v>17</v>
      </c>
      <c r="E1732" s="3" t="n">
        <f aca="false">IF(Tabla2[[#This Row],[Frecuencia]]="Annual", Tabla2[[#This Row],[Cosecha/Tarea]]/12,Tabla2[[#This Row],[Cosecha/Tarea]])</f>
        <v>8741</v>
      </c>
      <c r="F1732" s="3" t="n">
        <v>109150</v>
      </c>
      <c r="G1732" s="2" t="s">
        <v>18</v>
      </c>
      <c r="H1732" s="2" t="n">
        <f aca="false">F1732/Tabla2[[#This Row],[Cosecha Mensual]]</f>
        <v>12.4871296190367</v>
      </c>
      <c r="I1732" s="2" t="n">
        <f aca="false">H1732*_xlfn.XLOOKUP(Tabla2[[#This Row],[Unidad de producción]],Tabla3[Medida],Tabla3[Equivalencia en Kg],"ELVIS",0)</f>
        <v>566.416199519506</v>
      </c>
      <c r="J1732" s="2" t="n">
        <v>155.138888888889</v>
      </c>
      <c r="K1732" s="2" t="s">
        <v>18</v>
      </c>
      <c r="L1732" s="2" t="n">
        <f aca="false">J1732/_xlfn.XLOOKUP(Tabla2[[#This Row],[Unidad de precio]],Tabla3[Medida],Tabla3[Equivalencia en Kg],"ELVIS",0)</f>
        <v>3.42016950813247</v>
      </c>
      <c r="M1732" s="2" t="n">
        <v>5350.20172000917</v>
      </c>
      <c r="N1732" s="3" t="n">
        <f aca="false">(Tabla2[[#This Row],[Productividad (kg/TAS)]]*Tabla2[[#This Row],[Precio por kg]]-Tabla2[[#This Row],[Costos (En RD$/Tarea)]])</f>
        <v>-3412.96230550028</v>
      </c>
      <c r="O1732" s="9" t="n">
        <f aca="false">IF(Tabla2[[#This Row],[Costos (En RD$/Tarea)]]=0,0,Tabla2[[#This Row],[Beneficio Neto  (En RD$/Tarea)]]/Tabla2[[#This Row],[Costos (En RD$/Tarea)]])</f>
        <v>-0.637912827237181</v>
      </c>
      <c r="P1732" s="7" t="n">
        <f aca="false">Tabla2[[#This Row],[Rentabilidad (%)]]/12</f>
        <v>-0.0531594022697651</v>
      </c>
    </row>
    <row r="1733" customFormat="false" ht="14.25" hidden="false" customHeight="false" outlineLevel="0" collapsed="false">
      <c r="A1733" s="1" t="n">
        <v>40909</v>
      </c>
      <c r="B1733" s="2" t="s">
        <v>22</v>
      </c>
      <c r="C1733" s="3" t="n">
        <v>8682</v>
      </c>
      <c r="D1733" s="8" t="s">
        <v>17</v>
      </c>
      <c r="E1733" s="3" t="n">
        <f aca="false">IF(Tabla2[[#This Row],[Frecuencia]]="Annual", Tabla2[[#This Row],[Cosecha/Tarea]]/12,Tabla2[[#This Row],[Cosecha/Tarea]])</f>
        <v>8682</v>
      </c>
      <c r="F1733" s="3" t="n">
        <v>84694</v>
      </c>
      <c r="G1733" s="2" t="s">
        <v>18</v>
      </c>
      <c r="H1733" s="2" t="n">
        <f aca="false">F1733/Tabla2[[#This Row],[Cosecha Mensual]]</f>
        <v>9.75512554710896</v>
      </c>
      <c r="I1733" s="2" t="n">
        <f aca="false">H1733*_xlfn.XLOOKUP(Tabla2[[#This Row],[Unidad de producción]],Tabla3[Medida],Tabla3[Equivalencia en Kg],"ELVIS",0)</f>
        <v>442.492494816862</v>
      </c>
      <c r="J1733" s="2" t="n">
        <v>967.178571428571</v>
      </c>
      <c r="K1733" s="2" t="s">
        <v>18</v>
      </c>
      <c r="L1733" s="2" t="n">
        <f aca="false">J1733/_xlfn.XLOOKUP(Tabla2[[#This Row],[Unidad de precio]],Tabla3[Medida],Tabla3[Equivalencia en Kg],"ELVIS",0)</f>
        <v>21.3222789115646</v>
      </c>
      <c r="M1733" s="2" t="n">
        <v>8360.190555</v>
      </c>
      <c r="N1733" s="3" t="n">
        <f aca="false">(Tabla2[[#This Row],[Productividad (kg/TAS)]]*Tabla2[[#This Row],[Precio por kg]]-Tabla2[[#This Row],[Costos (En RD$/Tarea)]])</f>
        <v>1074.7578357592</v>
      </c>
      <c r="O1733" s="9" t="n">
        <f aca="false">IF(Tabla2[[#This Row],[Costos (En RD$/Tarea)]]=0,0,Tabla2[[#This Row],[Beneficio Neto  (En RD$/Tarea)]]/Tabla2[[#This Row],[Costos (En RD$/Tarea)]])</f>
        <v>0.128556619456051</v>
      </c>
      <c r="P1733" s="7" t="n">
        <f aca="false">Tabla2[[#This Row],[Rentabilidad (%)]]/12</f>
        <v>0.0107130516213375</v>
      </c>
    </row>
    <row r="1734" customFormat="false" ht="14.25" hidden="false" customHeight="false" outlineLevel="0" collapsed="false">
      <c r="A1734" s="1" t="n">
        <v>40909</v>
      </c>
      <c r="B1734" s="2" t="s">
        <v>23</v>
      </c>
      <c r="C1734" s="3" t="n">
        <v>3339</v>
      </c>
      <c r="D1734" s="8" t="s">
        <v>17</v>
      </c>
      <c r="E1734" s="3" t="n">
        <f aca="false">IF(Tabla2[[#This Row],[Frecuencia]]="Annual", Tabla2[[#This Row],[Cosecha/Tarea]]/12,Tabla2[[#This Row],[Cosecha/Tarea]])</f>
        <v>3339</v>
      </c>
      <c r="F1734" s="3" t="n">
        <v>128478</v>
      </c>
      <c r="G1734" s="2" t="s">
        <v>18</v>
      </c>
      <c r="H1734" s="2" t="n">
        <f aca="false">F1734/Tabla2[[#This Row],[Cosecha Mensual]]</f>
        <v>38.4779874213836</v>
      </c>
      <c r="I1734" s="2" t="n">
        <f aca="false">H1734*_xlfn.XLOOKUP(Tabla2[[#This Row],[Unidad de producción]],Tabla3[Medida],Tabla3[Equivalencia en Kg],"ELVIS",0)</f>
        <v>1745.36150943396</v>
      </c>
      <c r="J1734" s="2" t="n">
        <v>995.542857142857</v>
      </c>
      <c r="K1734" s="2" t="s">
        <v>18</v>
      </c>
      <c r="L1734" s="2" t="n">
        <f aca="false">J1734/_xlfn.XLOOKUP(Tabla2[[#This Row],[Unidad de precio]],Tabla3[Medida],Tabla3[Equivalencia en Kg],"ELVIS",0)</f>
        <v>21.9475938523558</v>
      </c>
      <c r="M1734" s="2" t="n">
        <v>24344.842076238</v>
      </c>
      <c r="N1734" s="3" t="n">
        <f aca="false">(Tabla2[[#This Row],[Productividad (kg/TAS)]]*Tabla2[[#This Row],[Precio por kg]]-Tabla2[[#This Row],[Costos (En RD$/Tarea)]])</f>
        <v>13961.6434583532</v>
      </c>
      <c r="O1734" s="9" t="n">
        <f aca="false">IF(Tabla2[[#This Row],[Costos (En RD$/Tarea)]]=0,0,Tabla2[[#This Row],[Beneficio Neto  (En RD$/Tarea)]]/Tabla2[[#This Row],[Costos (En RD$/Tarea)]])</f>
        <v>0.573494928191815</v>
      </c>
      <c r="P1734" s="7" t="n">
        <f aca="false">Tabla2[[#This Row],[Rentabilidad (%)]]/12</f>
        <v>0.0477912440159846</v>
      </c>
    </row>
    <row r="1735" customFormat="false" ht="14.25" hidden="false" customHeight="false" outlineLevel="0" collapsed="false">
      <c r="A1735" s="1" t="n">
        <v>40909</v>
      </c>
      <c r="B1735" s="2" t="s">
        <v>24</v>
      </c>
      <c r="C1735" s="3" t="n">
        <v>7840</v>
      </c>
      <c r="D1735" s="8" t="s">
        <v>17</v>
      </c>
      <c r="E1735" s="3" t="n">
        <f aca="false">IF(Tabla2[[#This Row],[Frecuencia]]="Annual", Tabla2[[#This Row],[Cosecha/Tarea]]/12,Tabla2[[#This Row],[Cosecha/Tarea]])</f>
        <v>7840</v>
      </c>
      <c r="F1735" s="3" t="n">
        <v>56899</v>
      </c>
      <c r="G1735" s="2" t="s">
        <v>18</v>
      </c>
      <c r="H1735" s="2" t="n">
        <f aca="false">F1735/Tabla2[[#This Row],[Cosecha Mensual]]</f>
        <v>7.25752551020408</v>
      </c>
      <c r="I1735" s="2" t="n">
        <f aca="false">H1735*_xlfn.XLOOKUP(Tabla2[[#This Row],[Unidad de producción]],Tabla3[Medida],Tabla3[Equivalencia en Kg],"ELVIS",0)</f>
        <v>329.201357142857</v>
      </c>
      <c r="J1735" s="2" t="n">
        <v>1162.31142857143</v>
      </c>
      <c r="K1735" s="2" t="s">
        <v>18</v>
      </c>
      <c r="L1735" s="2" t="n">
        <f aca="false">J1735/_xlfn.XLOOKUP(Tabla2[[#This Row],[Unidad de precio]],Tabla3[Medida],Tabla3[Equivalencia en Kg],"ELVIS",0)</f>
        <v>25.624149659864</v>
      </c>
      <c r="M1735" s="2" t="n">
        <v>8104.7130577284</v>
      </c>
      <c r="N1735" s="3" t="n">
        <f aca="false">(Tabla2[[#This Row],[Productividad (kg/TAS)]]*Tabla2[[#This Row],[Precio por kg]]-Tabla2[[#This Row],[Costos (En RD$/Tarea)]])</f>
        <v>330.791785930503</v>
      </c>
      <c r="O1735" s="9" t="n">
        <f aca="false">IF(Tabla2[[#This Row],[Costos (En RD$/Tarea)]]=0,0,Tabla2[[#This Row],[Beneficio Neto  (En RD$/Tarea)]]/Tabla2[[#This Row],[Costos (En RD$/Tarea)]])</f>
        <v>0.0408147436651159</v>
      </c>
      <c r="P1735" s="7" t="n">
        <f aca="false">Tabla2[[#This Row],[Rentabilidad (%)]]/12</f>
        <v>0.00340122863875966</v>
      </c>
    </row>
    <row r="1736" customFormat="false" ht="14.25" hidden="false" customHeight="false" outlineLevel="0" collapsed="false">
      <c r="A1736" s="1" t="n">
        <v>40909</v>
      </c>
      <c r="B1736" s="2" t="s">
        <v>25</v>
      </c>
      <c r="C1736" s="3" t="n">
        <v>37012</v>
      </c>
      <c r="D1736" s="8" t="s">
        <v>17</v>
      </c>
      <c r="E1736" s="3" t="n">
        <f aca="false">IF(Tabla2[[#This Row],[Frecuencia]]="Annual", Tabla2[[#This Row],[Cosecha/Tarea]]/12,Tabla2[[#This Row],[Cosecha/Tarea]])</f>
        <v>37012</v>
      </c>
      <c r="F1736" s="3" t="n">
        <v>340454</v>
      </c>
      <c r="G1736" s="2" t="s">
        <v>18</v>
      </c>
      <c r="H1736" s="2" t="n">
        <f aca="false">F1736/Tabla2[[#This Row],[Cosecha Mensual]]</f>
        <v>9.19847616989085</v>
      </c>
      <c r="I1736" s="2" t="n">
        <f aca="false">H1736*_xlfn.XLOOKUP(Tabla2[[#This Row],[Unidad de producción]],Tabla3[Medida],Tabla3[Equivalencia en Kg],"ELVIS",0)</f>
        <v>417.242879066249</v>
      </c>
      <c r="J1736" s="2" t="n">
        <v>349.607142857143</v>
      </c>
      <c r="K1736" s="2" t="s">
        <v>18</v>
      </c>
      <c r="L1736" s="2" t="n">
        <f aca="false">J1736/_xlfn.XLOOKUP(Tabla2[[#This Row],[Unidad de precio]],Tabla3[Medida],Tabla3[Equivalencia en Kg],"ELVIS",0)</f>
        <v>7.70738851095994</v>
      </c>
      <c r="M1736" s="2" t="n">
        <v>4628.4219376425</v>
      </c>
      <c r="N1736" s="3" t="n">
        <f aca="false">(Tabla2[[#This Row],[Productividad (kg/TAS)]]*Tabla2[[#This Row],[Precio por kg]]-Tabla2[[#This Row],[Costos (En RD$/Tarea)]])</f>
        <v>-1412.56896524745</v>
      </c>
      <c r="O1736" s="9" t="n">
        <f aca="false">IF(Tabla2[[#This Row],[Costos (En RD$/Tarea)]]=0,0,Tabla2[[#This Row],[Beneficio Neto  (En RD$/Tarea)]]/Tabla2[[#This Row],[Costos (En RD$/Tarea)]])</f>
        <v>-0.30519450998172</v>
      </c>
      <c r="P1736" s="7" t="n">
        <f aca="false">Tabla2[[#This Row],[Rentabilidad (%)]]/12</f>
        <v>-0.02543287583181</v>
      </c>
    </row>
    <row r="1737" customFormat="false" ht="14.25" hidden="false" customHeight="false" outlineLevel="0" collapsed="false">
      <c r="A1737" s="1" t="n">
        <v>40909</v>
      </c>
      <c r="B1737" s="2" t="s">
        <v>26</v>
      </c>
      <c r="C1737" s="3" t="n">
        <v>11957</v>
      </c>
      <c r="D1737" s="8" t="s">
        <v>17</v>
      </c>
      <c r="E1737" s="3" t="n">
        <f aca="false">IF(Tabla2[[#This Row],[Frecuencia]]="Annual", Tabla2[[#This Row],[Cosecha/Tarea]]/12,Tabla2[[#This Row],[Cosecha/Tarea]])</f>
        <v>11957</v>
      </c>
      <c r="F1737" s="3" t="n">
        <v>67395</v>
      </c>
      <c r="G1737" s="2" t="s">
        <v>18</v>
      </c>
      <c r="H1737" s="2" t="n">
        <f aca="false">F1737/Tabla2[[#This Row],[Cosecha Mensual]]</f>
        <v>5.63644726938195</v>
      </c>
      <c r="I1737" s="2" t="n">
        <f aca="false">H1737*_xlfn.XLOOKUP(Tabla2[[#This Row],[Unidad de producción]],Tabla3[Medida],Tabla3[Equivalencia en Kg],"ELVIS",0)</f>
        <v>255.669248139165</v>
      </c>
      <c r="J1737" s="2" t="n">
        <v>627.583333333333</v>
      </c>
      <c r="K1737" s="2" t="s">
        <v>18</v>
      </c>
      <c r="L1737" s="2" t="n">
        <f aca="false">J1737/_xlfn.XLOOKUP(Tabla2[[#This Row],[Unidad de precio]],Tabla3[Medida],Tabla3[Equivalencia en Kg],"ELVIS",0)</f>
        <v>13.8356114050558</v>
      </c>
      <c r="M1737" s="2" t="n">
        <v>2035.793320573</v>
      </c>
      <c r="N1737" s="3" t="n">
        <f aca="false">(Tabla2[[#This Row],[Productividad (kg/TAS)]]*Tabla2[[#This Row],[Precio por kg]]-Tabla2[[#This Row],[Costos (En RD$/Tarea)]])</f>
        <v>1501.54704490329</v>
      </c>
      <c r="O1737" s="9" t="n">
        <f aca="false">IF(Tabla2[[#This Row],[Costos (En RD$/Tarea)]]=0,0,Tabla2[[#This Row],[Beneficio Neto  (En RD$/Tarea)]]/Tabla2[[#This Row],[Costos (En RD$/Tarea)]])</f>
        <v>0.737573421490871</v>
      </c>
      <c r="P1737" s="7" t="n">
        <f aca="false">Tabla2[[#This Row],[Rentabilidad (%)]]/12</f>
        <v>0.0614644517909059</v>
      </c>
    </row>
    <row r="1738" customFormat="false" ht="14.25" hidden="false" customHeight="false" outlineLevel="0" collapsed="false">
      <c r="A1738" s="1" t="n">
        <v>40909</v>
      </c>
      <c r="B1738" s="2" t="s">
        <v>27</v>
      </c>
      <c r="C1738" s="3" t="n">
        <v>6355</v>
      </c>
      <c r="D1738" s="8" t="s">
        <v>17</v>
      </c>
      <c r="E1738" s="3" t="n">
        <f aca="false">IF(Tabla2[[#This Row],[Frecuencia]]="Annual", Tabla2[[#This Row],[Cosecha/Tarea]]/12,Tabla2[[#This Row],[Cosecha/Tarea]])</f>
        <v>6355</v>
      </c>
      <c r="F1738" s="3" t="n">
        <v>41125</v>
      </c>
      <c r="G1738" s="2" t="s">
        <v>18</v>
      </c>
      <c r="H1738" s="2" t="n">
        <f aca="false">F1738/Tabla2[[#This Row],[Cosecha Mensual]]</f>
        <v>6.47128245476003</v>
      </c>
      <c r="I1738" s="2" t="n">
        <f aca="false">H1738*_xlfn.XLOOKUP(Tabla2[[#This Row],[Unidad de producción]],Tabla3[Medida],Tabla3[Equivalencia en Kg],"ELVIS",0)</f>
        <v>293.537372147915</v>
      </c>
      <c r="J1738" s="2" t="n">
        <v>677.361666666667</v>
      </c>
      <c r="K1738" s="2" t="s">
        <v>18</v>
      </c>
      <c r="L1738" s="2" t="n">
        <f aca="false">J1738/_xlfn.XLOOKUP(Tabla2[[#This Row],[Unidad de precio]],Tabla3[Medida],Tabla3[Equivalencia en Kg],"ELVIS",0)</f>
        <v>14.9330173427396</v>
      </c>
      <c r="M1738" s="2" t="n">
        <v>7766.250013275</v>
      </c>
      <c r="N1738" s="3" t="n">
        <f aca="false">(Tabla2[[#This Row],[Productividad (kg/TAS)]]*Tabla2[[#This Row],[Precio por kg]]-Tabla2[[#This Row],[Costos (En RD$/Tarea)]])</f>
        <v>-3382.85134424798</v>
      </c>
      <c r="O1738" s="9" t="n">
        <f aca="false">IF(Tabla2[[#This Row],[Costos (En RD$/Tarea)]]=0,0,Tabla2[[#This Row],[Beneficio Neto  (En RD$/Tarea)]]/Tabla2[[#This Row],[Costos (En RD$/Tarea)]])</f>
        <v>-0.435583626391838</v>
      </c>
      <c r="P1738" s="7" t="n">
        <f aca="false">Tabla2[[#This Row],[Rentabilidad (%)]]/12</f>
        <v>-0.0362986355326532</v>
      </c>
    </row>
    <row r="1739" customFormat="false" ht="14.25" hidden="false" customHeight="false" outlineLevel="0" collapsed="false">
      <c r="A1739" s="1" t="n">
        <v>40909</v>
      </c>
      <c r="B1739" s="2" t="s">
        <v>28</v>
      </c>
      <c r="C1739" s="3" t="n">
        <v>75555</v>
      </c>
      <c r="D1739" s="8" t="s">
        <v>17</v>
      </c>
      <c r="E1739" s="3" t="n">
        <f aca="false">IF(Tabla2[[#This Row],[Frecuencia]]="Annual", Tabla2[[#This Row],[Cosecha/Tarea]]/12,Tabla2[[#This Row],[Cosecha/Tarea]])</f>
        <v>75555</v>
      </c>
      <c r="F1739" s="3" t="n">
        <v>44800</v>
      </c>
      <c r="G1739" s="2" t="s">
        <v>29</v>
      </c>
      <c r="H1739" s="2" t="n">
        <f aca="false">F1739/Tabla2[[#This Row],[Cosecha Mensual]]</f>
        <v>0.592945536364238</v>
      </c>
      <c r="I1739" s="2" t="n">
        <f aca="false">H1739*_xlfn.XLOOKUP(Tabla2[[#This Row],[Unidad de producción]],Tabla3[Medida],Tabla3[Equivalencia en Kg],"ELVIS",0)</f>
        <v>333.436992919066</v>
      </c>
      <c r="J1739" s="2" t="n">
        <v>5224.625</v>
      </c>
      <c r="K1739" s="2" t="s">
        <v>29</v>
      </c>
      <c r="L1739" s="2" t="n">
        <f aca="false">J1739/_xlfn.XLOOKUP(Tabla2[[#This Row],[Unidad de precio]],Tabla3[Medida],Tabla3[Equivalencia en Kg],"ELVIS",0)</f>
        <v>9.29086495714337</v>
      </c>
      <c r="M1739" s="2" t="n">
        <v>6923.3397737334</v>
      </c>
      <c r="N1739" s="3" t="n">
        <f aca="false">(Tabla2[[#This Row],[Productividad (kg/TAS)]]*Tabla2[[#This Row],[Precio por kg]]-Tabla2[[#This Row],[Costos (En RD$/Tarea)]])</f>
        <v>-3825.42170080639</v>
      </c>
      <c r="O1739" s="9" t="n">
        <f aca="false">IF(Tabla2[[#This Row],[Costos (En RD$/Tarea)]]=0,0,Tabla2[[#This Row],[Beneficio Neto  (En RD$/Tarea)]]/Tabla2[[#This Row],[Costos (En RD$/Tarea)]])</f>
        <v>-0.552539933879851</v>
      </c>
      <c r="P1739" s="7" t="n">
        <f aca="false">Tabla2[[#This Row],[Rentabilidad (%)]]/12</f>
        <v>-0.0460449944899876</v>
      </c>
    </row>
    <row r="1740" customFormat="false" ht="14.25" hidden="false" customHeight="false" outlineLevel="0" collapsed="false">
      <c r="A1740" s="1" t="n">
        <v>40909</v>
      </c>
      <c r="B1740" s="2" t="s">
        <v>30</v>
      </c>
      <c r="C1740" s="3" t="n">
        <v>349480</v>
      </c>
      <c r="D1740" s="3" t="s">
        <v>31</v>
      </c>
      <c r="E1740" s="3" t="n">
        <f aca="false">IF(Tabla2[[#This Row],[Frecuencia]]="Annual", Tabla2[[#This Row],[Cosecha/Tarea]]/12,Tabla2[[#This Row],[Cosecha/Tarea]])</f>
        <v>29123.3333333333</v>
      </c>
      <c r="F1740" s="3" t="n">
        <v>2516320</v>
      </c>
      <c r="G1740" s="2" t="s">
        <v>32</v>
      </c>
      <c r="H1740" s="2" t="n">
        <f aca="false">F1740/Tabla2[[#This Row],[Cosecha Mensual]]</f>
        <v>86.4021975506467</v>
      </c>
      <c r="I1740" s="2" t="n">
        <f aca="false">H1740*_xlfn.XLOOKUP(Tabla2[[#This Row],[Unidad de producción]],Tabla3[Medida],Tabla3[Equivalencia en Kg],"ELVIS",0)</f>
        <v>2351.0037953531</v>
      </c>
      <c r="J1740" s="2" t="n">
        <v>156.057142857143</v>
      </c>
      <c r="K1740" s="2" t="s">
        <v>32</v>
      </c>
      <c r="L1740" s="2" t="n">
        <f aca="false">J1740/_xlfn.XLOOKUP(Tabla2[[#This Row],[Unidad de precio]],Tabla3[Medida],Tabla3[Equivalencia en Kg],"ELVIS",0)</f>
        <v>5.7352863968079</v>
      </c>
      <c r="M1740" s="3" t="n">
        <v>12463.8060770282</v>
      </c>
      <c r="N1740" s="3" t="n">
        <f aca="false">(Tabla2[[#This Row],[Productividad (kg/TAS)]]*Tabla2[[#This Row],[Precio por kg]]-Tabla2[[#This Row],[Costos (En RD$/Tarea)]])</f>
        <v>1019.87400930416</v>
      </c>
      <c r="O1740" s="9" t="n">
        <f aca="false">IF(Tabla2[[#This Row],[Costos (En RD$/Tarea)]]=0,0,Tabla2[[#This Row],[Beneficio Neto  (En RD$/Tarea)]]/Tabla2[[#This Row],[Costos (En RD$/Tarea)]])</f>
        <v>0.0818268515252228</v>
      </c>
      <c r="P1740" s="7" t="n">
        <f aca="false">Tabla2[[#This Row],[Rentabilidad (%)]]/12</f>
        <v>0.00681890429376857</v>
      </c>
    </row>
    <row r="1741" customFormat="false" ht="14.25" hidden="false" customHeight="false" outlineLevel="0" collapsed="false">
      <c r="A1741" s="1" t="n">
        <v>40909</v>
      </c>
      <c r="B1741" s="2" t="s">
        <v>33</v>
      </c>
      <c r="C1741" s="3" t="n">
        <v>693877</v>
      </c>
      <c r="D1741" s="3" t="s">
        <v>31</v>
      </c>
      <c r="E1741" s="3" t="n">
        <f aca="false">IF(Tabla2[[#This Row],[Frecuencia]]="Annual", Tabla2[[#This Row],[Cosecha/Tarea]]/12,Tabla2[[#This Row],[Cosecha/Tarea]])</f>
        <v>57823.0833333333</v>
      </c>
      <c r="F1741" s="3" t="n">
        <v>127965</v>
      </c>
      <c r="G1741" s="2" t="s">
        <v>34</v>
      </c>
      <c r="H1741" s="2" t="n">
        <f aca="false">F1741/Tabla2[[#This Row],[Cosecha Mensual]]</f>
        <v>2.2130435221228</v>
      </c>
      <c r="I1741" s="2" t="n">
        <f aca="false">H1741*_xlfn.XLOOKUP(Tabla2[[#This Row],[Unidad de producción]],Tabla3[Medida],Tabla3[Equivalencia en Kg],"ELVIS",0)</f>
        <v>903.25371355442</v>
      </c>
      <c r="J1741" s="2" t="n">
        <v>4597.85761904762</v>
      </c>
      <c r="K1741" s="2" t="s">
        <v>34</v>
      </c>
      <c r="L1741" s="2" t="n">
        <f aca="false">J1741/_xlfn.XLOOKUP(Tabla2[[#This Row],[Unidad de precio]],Tabla3[Medida],Tabla3[Equivalencia en Kg],"ELVIS",0)</f>
        <v>11.2651172829784</v>
      </c>
      <c r="M1741" s="3" t="n">
        <v>11933.7643424532</v>
      </c>
      <c r="N1741" s="3" t="n">
        <f aca="false">(Tabla2[[#This Row],[Productividad (kg/TAS)]]*Tabla2[[#This Row],[Precio por kg]]-Tabla2[[#This Row],[Costos (En RD$/Tarea)]])</f>
        <v>-1758.50532297692</v>
      </c>
      <c r="O1741" s="9" t="n">
        <f aca="false">IF(Tabla2[[#This Row],[Costos (En RD$/Tarea)]]=0,0,Tabla2[[#This Row],[Beneficio Neto  (En RD$/Tarea)]]/Tabla2[[#This Row],[Costos (En RD$/Tarea)]])</f>
        <v>-0.147355459058397</v>
      </c>
      <c r="P1741" s="7" t="n">
        <f aca="false">Tabla2[[#This Row],[Rentabilidad (%)]]/12</f>
        <v>-0.0122796215881997</v>
      </c>
    </row>
    <row r="1742" customFormat="false" ht="14.25" hidden="false" customHeight="false" outlineLevel="0" collapsed="false">
      <c r="A1742" s="1" t="n">
        <v>40940</v>
      </c>
      <c r="B1742" s="2" t="s">
        <v>16</v>
      </c>
      <c r="C1742" s="3" t="n">
        <v>1379</v>
      </c>
      <c r="D1742" s="8" t="s">
        <v>17</v>
      </c>
      <c r="E1742" s="3" t="n">
        <f aca="false">IF(Tabla2[[#This Row],[Frecuencia]]="Annual", Tabla2[[#This Row],[Cosecha/Tarea]]/12,Tabla2[[#This Row],[Cosecha/Tarea]])</f>
        <v>1379</v>
      </c>
      <c r="F1742" s="3" t="n">
        <v>2765</v>
      </c>
      <c r="G1742" s="2" t="s">
        <v>18</v>
      </c>
      <c r="H1742" s="2" t="n">
        <f aca="false">F1742/Tabla2[[#This Row],[Cosecha Mensual]]</f>
        <v>2.00507614213198</v>
      </c>
      <c r="I1742" s="2" t="n">
        <f aca="false">H1742*_xlfn.XLOOKUP(Tabla2[[#This Row],[Unidad de producción]],Tabla3[Medida],Tabla3[Equivalencia en Kg],"ELVIS",0)</f>
        <v>90.9502538071066</v>
      </c>
      <c r="J1742" s="2" t="n">
        <v>1609.36413641364</v>
      </c>
      <c r="K1742" s="2" t="s">
        <v>19</v>
      </c>
      <c r="L1742" s="2" t="n">
        <f aca="false">J1742/_xlfn.XLOOKUP(Tabla2[[#This Row],[Unidad de precio]],Tabla3[Medida],Tabla3[Equivalencia en Kg],"ELVIS",0)</f>
        <v>14.6305830583058</v>
      </c>
      <c r="M1742" s="2" t="n">
        <v>7982.61905212344</v>
      </c>
      <c r="N1742" s="3" t="n">
        <f aca="false">(Tabla2[[#This Row],[Productividad (kg/TAS)]]*Tabla2[[#This Row],[Precio por kg]]-Tabla2[[#This Row],[Costos (En RD$/Tarea)]])</f>
        <v>-6651.96380962457</v>
      </c>
      <c r="O1742" s="9" t="n">
        <f aca="false">IF(Tabla2[[#This Row],[Costos (En RD$/Tarea)]]=0,0,Tabla2[[#This Row],[Beneficio Neto  (En RD$/Tarea)]]/Tabla2[[#This Row],[Costos (En RD$/Tarea)]])</f>
        <v>-0.833305932074398</v>
      </c>
      <c r="P1742" s="7" t="n">
        <f aca="false">Tabla2[[#This Row],[Rentabilidad (%)]]/12</f>
        <v>-0.0694421610061999</v>
      </c>
    </row>
    <row r="1743" customFormat="false" ht="14.25" hidden="false" customHeight="false" outlineLevel="0" collapsed="false">
      <c r="A1743" s="1" t="n">
        <v>40940</v>
      </c>
      <c r="B1743" s="2" t="s">
        <v>20</v>
      </c>
      <c r="C1743" s="3" t="n">
        <v>30048</v>
      </c>
      <c r="D1743" s="8" t="s">
        <v>17</v>
      </c>
      <c r="E1743" s="3" t="n">
        <f aca="false">IF(Tabla2[[#This Row],[Frecuencia]]="Annual", Tabla2[[#This Row],[Cosecha/Tarea]]/12,Tabla2[[#This Row],[Cosecha/Tarea]])</f>
        <v>30048</v>
      </c>
      <c r="F1743" s="3" t="n">
        <v>72604</v>
      </c>
      <c r="G1743" s="2" t="s">
        <v>18</v>
      </c>
      <c r="H1743" s="2" t="n">
        <f aca="false">F1743/Tabla2[[#This Row],[Cosecha Mensual]]</f>
        <v>2.4162673056443</v>
      </c>
      <c r="I1743" s="2" t="n">
        <f aca="false">H1743*_xlfn.XLOOKUP(Tabla2[[#This Row],[Unidad de producción]],Tabla3[Medida],Tabla3[Equivalencia en Kg],"ELVIS",0)</f>
        <v>109.601884984026</v>
      </c>
      <c r="J1743" s="2" t="n">
        <v>693.173316666667</v>
      </c>
      <c r="K1743" s="2" t="s">
        <v>18</v>
      </c>
      <c r="L1743" s="2" t="n">
        <f aca="false">J1743/_xlfn.XLOOKUP(Tabla2[[#This Row],[Unidad de precio]],Tabla3[Medida],Tabla3[Equivalencia en Kg],"ELVIS",0)</f>
        <v>15.2815986919459</v>
      </c>
      <c r="M1743" s="2" t="n">
        <v>2248.3053412475</v>
      </c>
      <c r="N1743" s="3" t="n">
        <f aca="false">(Tabla2[[#This Row],[Productividad (kg/TAS)]]*Tabla2[[#This Row],[Precio por kg]]-Tabla2[[#This Row],[Costos (En RD$/Tarea)]])</f>
        <v>-573.413319040808</v>
      </c>
      <c r="O1743" s="9" t="n">
        <f aca="false">IF(Tabla2[[#This Row],[Costos (En RD$/Tarea)]]=0,0,Tabla2[[#This Row],[Beneficio Neto  (En RD$/Tarea)]]/Tabla2[[#This Row],[Costos (En RD$/Tarea)]])</f>
        <v>-0.255042457321496</v>
      </c>
      <c r="P1743" s="7" t="n">
        <f aca="false">Tabla2[[#This Row],[Rentabilidad (%)]]/12</f>
        <v>-0.0212535381101247</v>
      </c>
    </row>
    <row r="1744" customFormat="false" ht="14.25" hidden="false" customHeight="false" outlineLevel="0" collapsed="false">
      <c r="A1744" s="1" t="n">
        <v>40940</v>
      </c>
      <c r="B1744" s="2" t="s">
        <v>21</v>
      </c>
      <c r="C1744" s="3" t="n">
        <v>8883</v>
      </c>
      <c r="D1744" s="8" t="s">
        <v>17</v>
      </c>
      <c r="E1744" s="3" t="n">
        <f aca="false">IF(Tabla2[[#This Row],[Frecuencia]]="Annual", Tabla2[[#This Row],[Cosecha/Tarea]]/12,Tabla2[[#This Row],[Cosecha/Tarea]])</f>
        <v>8883</v>
      </c>
      <c r="F1744" s="3" t="n">
        <v>98890</v>
      </c>
      <c r="G1744" s="2" t="s">
        <v>18</v>
      </c>
      <c r="H1744" s="2" t="n">
        <f aca="false">F1744/Tabla2[[#This Row],[Cosecha Mensual]]</f>
        <v>11.1325002814365</v>
      </c>
      <c r="I1744" s="2" t="n">
        <f aca="false">H1744*_xlfn.XLOOKUP(Tabla2[[#This Row],[Unidad de producción]],Tabla3[Medida],Tabla3[Equivalencia en Kg],"ELVIS",0)</f>
        <v>504.970212765957</v>
      </c>
      <c r="J1744" s="2" t="n">
        <v>251.55</v>
      </c>
      <c r="K1744" s="2" t="s">
        <v>18</v>
      </c>
      <c r="L1744" s="2" t="n">
        <f aca="false">J1744/_xlfn.XLOOKUP(Tabla2[[#This Row],[Unidad de precio]],Tabla3[Medida],Tabla3[Equivalencia en Kg],"ELVIS",0)</f>
        <v>5.54563492063492</v>
      </c>
      <c r="M1744" s="2" t="n">
        <v>5350.20172000917</v>
      </c>
      <c r="N1744" s="3" t="n">
        <f aca="false">(Tabla2[[#This Row],[Productividad (kg/TAS)]]*Tabla2[[#This Row],[Precio por kg]]-Tabla2[[#This Row],[Costos (En RD$/Tarea)]])</f>
        <v>-2549.82127421383</v>
      </c>
      <c r="O1744" s="9" t="n">
        <f aca="false">IF(Tabla2[[#This Row],[Costos (En RD$/Tarea)]]=0,0,Tabla2[[#This Row],[Beneficio Neto  (En RD$/Tarea)]]/Tabla2[[#This Row],[Costos (En RD$/Tarea)]])</f>
        <v>-0.476584137879844</v>
      </c>
      <c r="P1744" s="7" t="n">
        <f aca="false">Tabla2[[#This Row],[Rentabilidad (%)]]/12</f>
        <v>-0.0397153448233204</v>
      </c>
    </row>
    <row r="1745" customFormat="false" ht="14.25" hidden="false" customHeight="false" outlineLevel="0" collapsed="false">
      <c r="A1745" s="1" t="n">
        <v>40940</v>
      </c>
      <c r="B1745" s="2" t="s">
        <v>22</v>
      </c>
      <c r="C1745" s="3" t="n">
        <v>10643</v>
      </c>
      <c r="D1745" s="8" t="s">
        <v>17</v>
      </c>
      <c r="E1745" s="3" t="n">
        <f aca="false">IF(Tabla2[[#This Row],[Frecuencia]]="Annual", Tabla2[[#This Row],[Cosecha/Tarea]]/12,Tabla2[[#This Row],[Cosecha/Tarea]])</f>
        <v>10643</v>
      </c>
      <c r="F1745" s="3" t="n">
        <v>84784</v>
      </c>
      <c r="G1745" s="2" t="s">
        <v>18</v>
      </c>
      <c r="H1745" s="2" t="n">
        <f aca="false">F1745/Tabla2[[#This Row],[Cosecha Mensual]]</f>
        <v>7.9661749506718</v>
      </c>
      <c r="I1745" s="2" t="n">
        <f aca="false">H1745*_xlfn.XLOOKUP(Tabla2[[#This Row],[Unidad de producción]],Tabla3[Medida],Tabla3[Equivalencia en Kg],"ELVIS",0)</f>
        <v>361.345695762473</v>
      </c>
      <c r="J1745" s="2" t="n">
        <v>1045.35714285714</v>
      </c>
      <c r="K1745" s="2" t="s">
        <v>18</v>
      </c>
      <c r="L1745" s="2" t="n">
        <f aca="false">J1745/_xlfn.XLOOKUP(Tabla2[[#This Row],[Unidad de precio]],Tabla3[Medida],Tabla3[Equivalencia en Kg],"ELVIS",0)</f>
        <v>23.0457923910304</v>
      </c>
      <c r="M1745" s="2" t="n">
        <v>8360.190555</v>
      </c>
      <c r="N1745" s="3" t="n">
        <f aca="false">(Tabla2[[#This Row],[Productividad (kg/TAS)]]*Tabla2[[#This Row],[Precio por kg]]-Tabla2[[#This Row],[Costos (En RD$/Tarea)]])</f>
        <v>-32.6926690656055</v>
      </c>
      <c r="O1745" s="9" t="n">
        <f aca="false">IF(Tabla2[[#This Row],[Costos (En RD$/Tarea)]]=0,0,Tabla2[[#This Row],[Beneficio Neto  (En RD$/Tarea)]]/Tabla2[[#This Row],[Costos (En RD$/Tarea)]])</f>
        <v>-0.00391051721255958</v>
      </c>
      <c r="P1745" s="7" t="n">
        <f aca="false">Tabla2[[#This Row],[Rentabilidad (%)]]/12</f>
        <v>-0.000325876434379965</v>
      </c>
    </row>
    <row r="1746" customFormat="false" ht="14.25" hidden="false" customHeight="false" outlineLevel="0" collapsed="false">
      <c r="A1746" s="1" t="n">
        <v>40940</v>
      </c>
      <c r="B1746" s="2" t="s">
        <v>23</v>
      </c>
      <c r="C1746" s="3" t="n">
        <v>3984</v>
      </c>
      <c r="D1746" s="8" t="s">
        <v>17</v>
      </c>
      <c r="E1746" s="3" t="n">
        <f aca="false">IF(Tabla2[[#This Row],[Frecuencia]]="Annual", Tabla2[[#This Row],[Cosecha/Tarea]]/12,Tabla2[[#This Row],[Cosecha/Tarea]])</f>
        <v>3984</v>
      </c>
      <c r="F1746" s="3" t="n">
        <v>140693</v>
      </c>
      <c r="G1746" s="2" t="s">
        <v>18</v>
      </c>
      <c r="H1746" s="2" t="n">
        <f aca="false">F1746/Tabla2[[#This Row],[Cosecha Mensual]]</f>
        <v>35.3145080321285</v>
      </c>
      <c r="I1746" s="2" t="n">
        <f aca="false">H1746*_xlfn.XLOOKUP(Tabla2[[#This Row],[Unidad de producción]],Tabla3[Medida],Tabla3[Equivalencia en Kg],"ELVIS",0)</f>
        <v>1601.86608433735</v>
      </c>
      <c r="J1746" s="2" t="n">
        <v>798.79</v>
      </c>
      <c r="K1746" s="2" t="s">
        <v>18</v>
      </c>
      <c r="L1746" s="2" t="n">
        <f aca="false">J1746/_xlfn.XLOOKUP(Tabla2[[#This Row],[Unidad de precio]],Tabla3[Medida],Tabla3[Equivalencia en Kg],"ELVIS",0)</f>
        <v>17.6100088183422</v>
      </c>
      <c r="M1746" s="2" t="n">
        <v>24344.842076238</v>
      </c>
      <c r="N1746" s="3" t="n">
        <f aca="false">(Tabla2[[#This Row],[Productividad (kg/TAS)]]*Tabla2[[#This Row],[Precio por kg]]-Tabla2[[#This Row],[Costos (En RD$/Tarea)]])</f>
        <v>3864.03379474593</v>
      </c>
      <c r="O1746" s="9" t="n">
        <f aca="false">IF(Tabla2[[#This Row],[Costos (En RD$/Tarea)]]=0,0,Tabla2[[#This Row],[Beneficio Neto  (En RD$/Tarea)]]/Tabla2[[#This Row],[Costos (En RD$/Tarea)]])</f>
        <v>0.158720840441083</v>
      </c>
      <c r="P1746" s="7" t="n">
        <f aca="false">Tabla2[[#This Row],[Rentabilidad (%)]]/12</f>
        <v>0.0132267367034236</v>
      </c>
    </row>
    <row r="1747" customFormat="false" ht="14.25" hidden="false" customHeight="false" outlineLevel="0" collapsed="false">
      <c r="A1747" s="1" t="n">
        <v>40940</v>
      </c>
      <c r="B1747" s="2" t="s">
        <v>24</v>
      </c>
      <c r="C1747" s="3" t="n">
        <v>8099</v>
      </c>
      <c r="D1747" s="8" t="s">
        <v>17</v>
      </c>
      <c r="E1747" s="3" t="n">
        <f aca="false">IF(Tabla2[[#This Row],[Frecuencia]]="Annual", Tabla2[[#This Row],[Cosecha/Tarea]]/12,Tabla2[[#This Row],[Cosecha/Tarea]])</f>
        <v>8099</v>
      </c>
      <c r="F1747" s="3" t="n">
        <v>61292</v>
      </c>
      <c r="G1747" s="2" t="s">
        <v>18</v>
      </c>
      <c r="H1747" s="2" t="n">
        <f aca="false">F1747/Tabla2[[#This Row],[Cosecha Mensual]]</f>
        <v>7.56784788245462</v>
      </c>
      <c r="I1747" s="2" t="n">
        <f aca="false">H1747*_xlfn.XLOOKUP(Tabla2[[#This Row],[Unidad de producción]],Tabla3[Medida],Tabla3[Equivalencia en Kg],"ELVIS",0)</f>
        <v>343.277579948142</v>
      </c>
      <c r="J1747" s="2" t="n">
        <v>1266.5</v>
      </c>
      <c r="K1747" s="2" t="s">
        <v>18</v>
      </c>
      <c r="L1747" s="2" t="n">
        <f aca="false">J1747/_xlfn.XLOOKUP(Tabla2[[#This Row],[Unidad de precio]],Tabla3[Medida],Tabla3[Equivalencia en Kg],"ELVIS",0)</f>
        <v>27.9210758377425</v>
      </c>
      <c r="M1747" s="2" t="n">
        <v>8104.7130577284</v>
      </c>
      <c r="N1747" s="3" t="n">
        <f aca="false">(Tabla2[[#This Row],[Productividad (kg/TAS)]]*Tabla2[[#This Row],[Precio por kg]]-Tabla2[[#This Row],[Costos (En RD$/Tarea)]])</f>
        <v>1479.96628540038</v>
      </c>
      <c r="O1747" s="9" t="n">
        <f aca="false">IF(Tabla2[[#This Row],[Costos (En RD$/Tarea)]]=0,0,Tabla2[[#This Row],[Beneficio Neto  (En RD$/Tarea)]]/Tabla2[[#This Row],[Costos (En RD$/Tarea)]])</f>
        <v>0.18260563635737</v>
      </c>
      <c r="P1747" s="7" t="n">
        <f aca="false">Tabla2[[#This Row],[Rentabilidad (%)]]/12</f>
        <v>0.0152171363631142</v>
      </c>
    </row>
    <row r="1748" customFormat="false" ht="14.25" hidden="false" customHeight="false" outlineLevel="0" collapsed="false">
      <c r="A1748" s="1" t="n">
        <v>40940</v>
      </c>
      <c r="B1748" s="2" t="s">
        <v>25</v>
      </c>
      <c r="C1748" s="3" t="n">
        <v>69934</v>
      </c>
      <c r="D1748" s="8" t="s">
        <v>17</v>
      </c>
      <c r="E1748" s="3" t="n">
        <f aca="false">IF(Tabla2[[#This Row],[Frecuencia]]="Annual", Tabla2[[#This Row],[Cosecha/Tarea]]/12,Tabla2[[#This Row],[Cosecha/Tarea]])</f>
        <v>69934</v>
      </c>
      <c r="F1748" s="3" t="n">
        <v>536512</v>
      </c>
      <c r="G1748" s="2" t="s">
        <v>18</v>
      </c>
      <c r="H1748" s="2" t="n">
        <f aca="false">F1748/Tabla2[[#This Row],[Cosecha Mensual]]</f>
        <v>7.67169045099665</v>
      </c>
      <c r="I1748" s="2" t="n">
        <f aca="false">H1748*_xlfn.XLOOKUP(Tabla2[[#This Row],[Unidad de producción]],Tabla3[Medida],Tabla3[Equivalencia en Kg],"ELVIS",0)</f>
        <v>347.987878857208</v>
      </c>
      <c r="J1748" s="2" t="n">
        <v>357.055714285714</v>
      </c>
      <c r="K1748" s="2" t="s">
        <v>18</v>
      </c>
      <c r="L1748" s="2" t="n">
        <f aca="false">J1748/_xlfn.XLOOKUP(Tabla2[[#This Row],[Unidad de precio]],Tabla3[Medida],Tabla3[Equivalencia en Kg],"ELVIS",0)</f>
        <v>7.87159863945578</v>
      </c>
      <c r="M1748" s="2" t="n">
        <v>4628.4219376425</v>
      </c>
      <c r="N1748" s="3" t="n">
        <f aca="false">(Tabla2[[#This Row],[Productividad (kg/TAS)]]*Tabla2[[#This Row],[Precio por kg]]-Tabla2[[#This Row],[Costos (En RD$/Tarea)]])</f>
        <v>-1889.201023883</v>
      </c>
      <c r="O1748" s="9" t="n">
        <f aca="false">IF(Tabla2[[#This Row],[Costos (En RD$/Tarea)]]=0,0,Tabla2[[#This Row],[Beneficio Neto  (En RD$/Tarea)]]/Tabla2[[#This Row],[Costos (En RD$/Tarea)]])</f>
        <v>-0.408173898001458</v>
      </c>
      <c r="P1748" s="7" t="n">
        <f aca="false">Tabla2[[#This Row],[Rentabilidad (%)]]/12</f>
        <v>-0.0340144915001215</v>
      </c>
    </row>
    <row r="1749" customFormat="false" ht="14.25" hidden="false" customHeight="false" outlineLevel="0" collapsed="false">
      <c r="A1749" s="1" t="n">
        <v>40940</v>
      </c>
      <c r="B1749" s="2" t="s">
        <v>26</v>
      </c>
      <c r="C1749" s="3" t="n">
        <v>12080</v>
      </c>
      <c r="D1749" s="8" t="s">
        <v>17</v>
      </c>
      <c r="E1749" s="3" t="n">
        <f aca="false">IF(Tabla2[[#This Row],[Frecuencia]]="Annual", Tabla2[[#This Row],[Cosecha/Tarea]]/12,Tabla2[[#This Row],[Cosecha/Tarea]])</f>
        <v>12080</v>
      </c>
      <c r="F1749" s="3" t="n">
        <v>82658</v>
      </c>
      <c r="G1749" s="2" t="s">
        <v>18</v>
      </c>
      <c r="H1749" s="2" t="n">
        <f aca="false">F1749/Tabla2[[#This Row],[Cosecha Mensual]]</f>
        <v>6.84254966887417</v>
      </c>
      <c r="I1749" s="2" t="n">
        <f aca="false">H1749*_xlfn.XLOOKUP(Tabla2[[#This Row],[Unidad de producción]],Tabla3[Medida],Tabla3[Equivalencia en Kg],"ELVIS",0)</f>
        <v>310.378052980132</v>
      </c>
      <c r="J1749" s="2" t="n">
        <v>622.917222222222</v>
      </c>
      <c r="K1749" s="2" t="s">
        <v>18</v>
      </c>
      <c r="L1749" s="2" t="n">
        <f aca="false">J1749/_xlfn.XLOOKUP(Tabla2[[#This Row],[Unidad de precio]],Tabla3[Medida],Tabla3[Equivalencia en Kg],"ELVIS",0)</f>
        <v>13.7327429943171</v>
      </c>
      <c r="M1749" s="2" t="n">
        <v>2035.793320573</v>
      </c>
      <c r="N1749" s="3" t="n">
        <f aca="false">(Tabla2[[#This Row],[Productividad (kg/TAS)]]*Tabla2[[#This Row],[Precio por kg]]-Tabla2[[#This Row],[Costos (En RD$/Tarea)]])</f>
        <v>2226.54871207968</v>
      </c>
      <c r="O1749" s="9" t="n">
        <f aca="false">IF(Tabla2[[#This Row],[Costos (En RD$/Tarea)]]=0,0,Tabla2[[#This Row],[Beneficio Neto  (En RD$/Tarea)]]/Tabla2[[#This Row],[Costos (En RD$/Tarea)]])</f>
        <v>1.09370076499367</v>
      </c>
      <c r="P1749" s="7" t="n">
        <f aca="false">Tabla2[[#This Row],[Rentabilidad (%)]]/12</f>
        <v>0.0911417304161388</v>
      </c>
    </row>
    <row r="1750" customFormat="false" ht="14.25" hidden="false" customHeight="false" outlineLevel="0" collapsed="false">
      <c r="A1750" s="1" t="n">
        <v>40940</v>
      </c>
      <c r="B1750" s="2" t="s">
        <v>27</v>
      </c>
      <c r="C1750" s="3" t="n">
        <v>6280</v>
      </c>
      <c r="D1750" s="8" t="s">
        <v>17</v>
      </c>
      <c r="E1750" s="3" t="n">
        <f aca="false">IF(Tabla2[[#This Row],[Frecuencia]]="Annual", Tabla2[[#This Row],[Cosecha/Tarea]]/12,Tabla2[[#This Row],[Cosecha/Tarea]])</f>
        <v>6280</v>
      </c>
      <c r="F1750" s="3" t="n">
        <v>41002</v>
      </c>
      <c r="G1750" s="2" t="s">
        <v>18</v>
      </c>
      <c r="H1750" s="2" t="n">
        <f aca="false">F1750/Tabla2[[#This Row],[Cosecha Mensual]]</f>
        <v>6.52898089171975</v>
      </c>
      <c r="I1750" s="2" t="n">
        <f aca="false">H1750*_xlfn.XLOOKUP(Tabla2[[#This Row],[Unidad de producción]],Tabla3[Medida],Tabla3[Equivalencia en Kg],"ELVIS",0)</f>
        <v>296.154573248408</v>
      </c>
      <c r="J1750" s="2" t="n">
        <v>745.555</v>
      </c>
      <c r="K1750" s="2" t="s">
        <v>18</v>
      </c>
      <c r="L1750" s="2" t="n">
        <f aca="false">J1750/_xlfn.XLOOKUP(Tabla2[[#This Row],[Unidad de precio]],Tabla3[Medida],Tabla3[Equivalencia en Kg],"ELVIS",0)</f>
        <v>16.436397707231</v>
      </c>
      <c r="M1750" s="2" t="n">
        <v>7766.250013275</v>
      </c>
      <c r="N1750" s="3" t="n">
        <f aca="false">(Tabla2[[#This Row],[Productividad (kg/TAS)]]*Tabla2[[#This Row],[Precio por kg]]-Tabla2[[#This Row],[Costos (En RD$/Tarea)]])</f>
        <v>-2898.53566454889</v>
      </c>
      <c r="O1750" s="9" t="n">
        <f aca="false">IF(Tabla2[[#This Row],[Costos (En RD$/Tarea)]]=0,0,Tabla2[[#This Row],[Beneficio Neto  (En RD$/Tarea)]]/Tabla2[[#This Row],[Costos (En RD$/Tarea)]])</f>
        <v>-0.373222038898357</v>
      </c>
      <c r="P1750" s="7" t="n">
        <f aca="false">Tabla2[[#This Row],[Rentabilidad (%)]]/12</f>
        <v>-0.0311018365748631</v>
      </c>
    </row>
    <row r="1751" customFormat="false" ht="14.25" hidden="false" customHeight="false" outlineLevel="0" collapsed="false">
      <c r="A1751" s="1" t="n">
        <v>40940</v>
      </c>
      <c r="B1751" s="2" t="s">
        <v>28</v>
      </c>
      <c r="C1751" s="3" t="n">
        <v>81233</v>
      </c>
      <c r="D1751" s="8" t="s">
        <v>17</v>
      </c>
      <c r="E1751" s="3" t="n">
        <f aca="false">IF(Tabla2[[#This Row],[Frecuencia]]="Annual", Tabla2[[#This Row],[Cosecha/Tarea]]/12,Tabla2[[#This Row],[Cosecha/Tarea]])</f>
        <v>81233</v>
      </c>
      <c r="F1751" s="3" t="n">
        <v>47041</v>
      </c>
      <c r="G1751" s="2" t="s">
        <v>29</v>
      </c>
      <c r="H1751" s="2" t="n">
        <f aca="false">F1751/Tabla2[[#This Row],[Cosecha Mensual]]</f>
        <v>0.579087316730885</v>
      </c>
      <c r="I1751" s="2" t="n">
        <f aca="false">H1751*_xlfn.XLOOKUP(Tabla2[[#This Row],[Unidad de producción]],Tabla3[Medida],Tabla3[Equivalencia en Kg],"ELVIS",0)</f>
        <v>325.643961690446</v>
      </c>
      <c r="J1751" s="2" t="n">
        <v>7510</v>
      </c>
      <c r="K1751" s="2" t="s">
        <v>29</v>
      </c>
      <c r="L1751" s="2" t="n">
        <f aca="false">J1751/_xlfn.XLOOKUP(Tabla2[[#This Row],[Unidad de precio]],Tabla3[Medida],Tabla3[Equivalencia en Kg],"ELVIS",0)</f>
        <v>13.3549098410214</v>
      </c>
      <c r="M1751" s="2" t="n">
        <v>6923.3397737334</v>
      </c>
      <c r="N1751" s="3" t="n">
        <f aca="false">(Tabla2[[#This Row],[Productividad (kg/TAS)]]*Tabla2[[#This Row],[Precio por kg]]-Tabla2[[#This Row],[Costos (En RD$/Tarea)]])</f>
        <v>-2574.39402508445</v>
      </c>
      <c r="O1751" s="9" t="n">
        <f aca="false">IF(Tabla2[[#This Row],[Costos (En RD$/Tarea)]]=0,0,Tabla2[[#This Row],[Beneficio Neto  (En RD$/Tarea)]]/Tabla2[[#This Row],[Costos (En RD$/Tarea)]])</f>
        <v>-0.371842796861061</v>
      </c>
      <c r="P1751" s="7" t="n">
        <f aca="false">Tabla2[[#This Row],[Rentabilidad (%)]]/12</f>
        <v>-0.0309868997384217</v>
      </c>
    </row>
    <row r="1752" customFormat="false" ht="14.25" hidden="false" customHeight="false" outlineLevel="0" collapsed="false">
      <c r="A1752" s="1" t="n">
        <v>40940</v>
      </c>
      <c r="B1752" s="2" t="s">
        <v>30</v>
      </c>
      <c r="C1752" s="3" t="n">
        <v>361724</v>
      </c>
      <c r="D1752" s="3" t="s">
        <v>31</v>
      </c>
      <c r="E1752" s="3" t="n">
        <f aca="false">IF(Tabla2[[#This Row],[Frecuencia]]="Annual", Tabla2[[#This Row],[Cosecha/Tarea]]/12,Tabla2[[#This Row],[Cosecha/Tarea]])</f>
        <v>30143.6666666667</v>
      </c>
      <c r="F1752" s="3" t="n">
        <v>2621788</v>
      </c>
      <c r="G1752" s="2" t="s">
        <v>32</v>
      </c>
      <c r="H1752" s="2" t="n">
        <f aca="false">F1752/Tabla2[[#This Row],[Cosecha Mensual]]</f>
        <v>86.9764129557342</v>
      </c>
      <c r="I1752" s="2" t="n">
        <f aca="false">H1752*_xlfn.XLOOKUP(Tabla2[[#This Row],[Unidad de producción]],Tabla3[Medida],Tabla3[Equivalencia en Kg],"ELVIS",0)</f>
        <v>2366.62819652553</v>
      </c>
      <c r="J1752" s="2" t="n">
        <v>168.708333333333</v>
      </c>
      <c r="K1752" s="2" t="s">
        <v>32</v>
      </c>
      <c r="L1752" s="2" t="n">
        <f aca="false">J1752/_xlfn.XLOOKUP(Tabla2[[#This Row],[Unidad de precio]],Tabla3[Medida],Tabla3[Equivalencia en Kg],"ELVIS",0)</f>
        <v>6.20023275756461</v>
      </c>
      <c r="M1752" s="3" t="n">
        <v>12463.8060770282</v>
      </c>
      <c r="N1752" s="3" t="n">
        <f aca="false">(Tabla2[[#This Row],[Productividad (kg/TAS)]]*Tabla2[[#This Row],[Precio por kg]]-Tabla2[[#This Row],[Costos (En RD$/Tarea)]])</f>
        <v>2209.83959204543</v>
      </c>
      <c r="O1752" s="9" t="n">
        <f aca="false">IF(Tabla2[[#This Row],[Costos (En RD$/Tarea)]]=0,0,Tabla2[[#This Row],[Beneficio Neto  (En RD$/Tarea)]]/Tabla2[[#This Row],[Costos (En RD$/Tarea)]])</f>
        <v>0.177300543540897</v>
      </c>
      <c r="P1752" s="7" t="n">
        <f aca="false">Tabla2[[#This Row],[Rentabilidad (%)]]/12</f>
        <v>0.0147750452950747</v>
      </c>
    </row>
    <row r="1753" customFormat="false" ht="14.25" hidden="false" customHeight="false" outlineLevel="0" collapsed="false">
      <c r="A1753" s="1" t="n">
        <v>40940</v>
      </c>
      <c r="B1753" s="2" t="s">
        <v>33</v>
      </c>
      <c r="C1753" s="3" t="n">
        <v>715357</v>
      </c>
      <c r="D1753" s="3" t="s">
        <v>31</v>
      </c>
      <c r="E1753" s="3" t="n">
        <f aca="false">IF(Tabla2[[#This Row],[Frecuencia]]="Annual", Tabla2[[#This Row],[Cosecha/Tarea]]/12,Tabla2[[#This Row],[Cosecha/Tarea]])</f>
        <v>59613.0833333333</v>
      </c>
      <c r="F1753" s="3" t="n">
        <v>144868</v>
      </c>
      <c r="G1753" s="2" t="s">
        <v>34</v>
      </c>
      <c r="H1753" s="2" t="n">
        <f aca="false">F1753/Tabla2[[#This Row],[Cosecha Mensual]]</f>
        <v>2.43013767950827</v>
      </c>
      <c r="I1753" s="2" t="n">
        <f aca="false">H1753*_xlfn.XLOOKUP(Tabla2[[#This Row],[Unidad de producción]],Tabla3[Medida],Tabla3[Equivalencia en Kg],"ELVIS",0)</f>
        <v>991.860693891302</v>
      </c>
      <c r="J1753" s="2" t="n">
        <v>4581.90476190476</v>
      </c>
      <c r="K1753" s="2" t="s">
        <v>34</v>
      </c>
      <c r="L1753" s="2" t="n">
        <f aca="false">J1753/_xlfn.XLOOKUP(Tabla2[[#This Row],[Unidad de precio]],Tabla3[Medida],Tabla3[Equivalencia en Kg],"ELVIS",0)</f>
        <v>11.2260315126908</v>
      </c>
      <c r="M1753" s="3" t="n">
        <v>11933.7643424532</v>
      </c>
      <c r="N1753" s="3" t="n">
        <f aca="false">(Tabla2[[#This Row],[Productividad (kg/TAS)]]*Tabla2[[#This Row],[Precio por kg]]-Tabla2[[#This Row],[Costos (En RD$/Tarea)]])</f>
        <v>-799.10493663006</v>
      </c>
      <c r="O1753" s="9" t="n">
        <f aca="false">IF(Tabla2[[#This Row],[Costos (En RD$/Tarea)]]=0,0,Tabla2[[#This Row],[Beneficio Neto  (En RD$/Tarea)]]/Tabla2[[#This Row],[Costos (En RD$/Tarea)]])</f>
        <v>-0.0669616823073439</v>
      </c>
      <c r="P1753" s="7" t="n">
        <f aca="false">Tabla2[[#This Row],[Rentabilidad (%)]]/12</f>
        <v>-0.00558014019227866</v>
      </c>
    </row>
    <row r="1754" customFormat="false" ht="14.25" hidden="false" customHeight="false" outlineLevel="0" collapsed="false">
      <c r="A1754" s="1" t="n">
        <v>40969</v>
      </c>
      <c r="B1754" s="2" t="s">
        <v>16</v>
      </c>
      <c r="C1754" s="3" t="n">
        <v>20574</v>
      </c>
      <c r="D1754" s="8" t="s">
        <v>17</v>
      </c>
      <c r="E1754" s="3" t="n">
        <f aca="false">IF(Tabla2[[#This Row],[Frecuencia]]="Annual", Tabla2[[#This Row],[Cosecha/Tarea]]/12,Tabla2[[#This Row],[Cosecha/Tarea]])</f>
        <v>20574</v>
      </c>
      <c r="F1754" s="3" t="n">
        <v>91075</v>
      </c>
      <c r="G1754" s="2" t="s">
        <v>18</v>
      </c>
      <c r="H1754" s="2" t="n">
        <f aca="false">F1754/Tabla2[[#This Row],[Cosecha Mensual]]</f>
        <v>4.42670360649363</v>
      </c>
      <c r="I1754" s="2" t="n">
        <f aca="false">H1754*_xlfn.XLOOKUP(Tabla2[[#This Row],[Unidad de producción]],Tabla3[Medida],Tabla3[Equivalencia en Kg],"ELVIS",0)</f>
        <v>200.795275590551</v>
      </c>
      <c r="J1754" s="2" t="n">
        <v>1602.04471993866</v>
      </c>
      <c r="K1754" s="2" t="s">
        <v>19</v>
      </c>
      <c r="L1754" s="2" t="n">
        <f aca="false">J1754/_xlfn.XLOOKUP(Tabla2[[#This Row],[Unidad de precio]],Tabla3[Medida],Tabla3[Equivalencia en Kg],"ELVIS",0)</f>
        <v>14.5640429085333</v>
      </c>
      <c r="M1754" s="2" t="n">
        <v>7982.61905212344</v>
      </c>
      <c r="N1754" s="3" t="n">
        <f aca="false">(Tabla2[[#This Row],[Productividad (kg/TAS)]]*Tabla2[[#This Row],[Precio por kg]]-Tabla2[[#This Row],[Costos (En RD$/Tarea)]])</f>
        <v>-5058.22804259189</v>
      </c>
      <c r="O1754" s="9" t="n">
        <f aca="false">IF(Tabla2[[#This Row],[Costos (En RD$/Tarea)]]=0,0,Tabla2[[#This Row],[Beneficio Neto  (En RD$/Tarea)]]/Tabla2[[#This Row],[Costos (En RD$/Tarea)]])</f>
        <v>-0.633655196316347</v>
      </c>
      <c r="P1754" s="7" t="n">
        <f aca="false">Tabla2[[#This Row],[Rentabilidad (%)]]/12</f>
        <v>-0.0528045996930289</v>
      </c>
    </row>
    <row r="1755" customFormat="false" ht="14.25" hidden="false" customHeight="false" outlineLevel="0" collapsed="false">
      <c r="A1755" s="1" t="n">
        <v>40969</v>
      </c>
      <c r="B1755" s="2" t="s">
        <v>20</v>
      </c>
      <c r="C1755" s="3" t="n">
        <v>14360</v>
      </c>
      <c r="D1755" s="8" t="s">
        <v>17</v>
      </c>
      <c r="E1755" s="3" t="n">
        <f aca="false">IF(Tabla2[[#This Row],[Frecuencia]]="Annual", Tabla2[[#This Row],[Cosecha/Tarea]]/12,Tabla2[[#This Row],[Cosecha/Tarea]])</f>
        <v>14360</v>
      </c>
      <c r="F1755" s="3" t="n">
        <v>33747</v>
      </c>
      <c r="G1755" s="2" t="s">
        <v>18</v>
      </c>
      <c r="H1755" s="2" t="n">
        <f aca="false">F1755/Tabla2[[#This Row],[Cosecha Mensual]]</f>
        <v>2.35006963788301</v>
      </c>
      <c r="I1755" s="2" t="n">
        <f aca="false">H1755*_xlfn.XLOOKUP(Tabla2[[#This Row],[Unidad de producción]],Tabla3[Medida],Tabla3[Equivalencia en Kg],"ELVIS",0)</f>
        <v>106.599158774373</v>
      </c>
      <c r="J1755" s="2" t="n">
        <v>739.607142857143</v>
      </c>
      <c r="K1755" s="2" t="s">
        <v>18</v>
      </c>
      <c r="L1755" s="2" t="n">
        <f aca="false">J1755/_xlfn.XLOOKUP(Tabla2[[#This Row],[Unidad de precio]],Tabla3[Medida],Tabla3[Equivalencia en Kg],"ELVIS",0)</f>
        <v>16.3052721088435</v>
      </c>
      <c r="M1755" s="2" t="n">
        <v>2248.3053412475</v>
      </c>
      <c r="N1755" s="3" t="n">
        <f aca="false">(Tabla2[[#This Row],[Productividad (kg/TAS)]]*Tabla2[[#This Row],[Precio por kg]]-Tabla2[[#This Row],[Costos (En RD$/Tarea)]])</f>
        <v>-510.177050857528</v>
      </c>
      <c r="O1755" s="9" t="n">
        <f aca="false">IF(Tabla2[[#This Row],[Costos (En RD$/Tarea)]]=0,0,Tabla2[[#This Row],[Beneficio Neto  (En RD$/Tarea)]]/Tabla2[[#This Row],[Costos (En RD$/Tarea)]])</f>
        <v>-0.226916265107679</v>
      </c>
      <c r="P1755" s="7" t="n">
        <f aca="false">Tabla2[[#This Row],[Rentabilidad (%)]]/12</f>
        <v>-0.0189096887589732</v>
      </c>
    </row>
    <row r="1756" customFormat="false" ht="14.25" hidden="false" customHeight="false" outlineLevel="0" collapsed="false">
      <c r="A1756" s="1" t="n">
        <v>40969</v>
      </c>
      <c r="B1756" s="2" t="s">
        <v>21</v>
      </c>
      <c r="C1756" s="3" t="n">
        <v>9350</v>
      </c>
      <c r="D1756" s="8" t="s">
        <v>17</v>
      </c>
      <c r="E1756" s="3" t="n">
        <f aca="false">IF(Tabla2[[#This Row],[Frecuencia]]="Annual", Tabla2[[#This Row],[Cosecha/Tarea]]/12,Tabla2[[#This Row],[Cosecha/Tarea]])</f>
        <v>9350</v>
      </c>
      <c r="F1756" s="3" t="n">
        <v>107073</v>
      </c>
      <c r="G1756" s="2" t="s">
        <v>18</v>
      </c>
      <c r="H1756" s="2" t="n">
        <f aca="false">F1756/Tabla2[[#This Row],[Cosecha Mensual]]</f>
        <v>11.4516577540107</v>
      </c>
      <c r="I1756" s="2" t="n">
        <f aca="false">H1756*_xlfn.XLOOKUP(Tabla2[[#This Row],[Unidad de producción]],Tabla3[Medida],Tabla3[Equivalencia en Kg],"ELVIS",0)</f>
        <v>519.447195721925</v>
      </c>
      <c r="J1756" s="2" t="n">
        <v>449.392698412698</v>
      </c>
      <c r="K1756" s="2" t="s">
        <v>18</v>
      </c>
      <c r="L1756" s="2" t="n">
        <f aca="false">J1756/_xlfn.XLOOKUP(Tabla2[[#This Row],[Unidad de precio]],Tabla3[Medida],Tabla3[Equivalencia en Kg],"ELVIS",0)</f>
        <v>9.90724643766971</v>
      </c>
      <c r="M1756" s="2" t="n">
        <v>5350.20172000917</v>
      </c>
      <c r="N1756" s="3" t="n">
        <f aca="false">(Tabla2[[#This Row],[Productividad (kg/TAS)]]*Tabla2[[#This Row],[Precio por kg]]-Tabla2[[#This Row],[Costos (En RD$/Tarea)]])</f>
        <v>-203.910340635606</v>
      </c>
      <c r="O1756" s="9" t="n">
        <f aca="false">IF(Tabla2[[#This Row],[Costos (En RD$/Tarea)]]=0,0,Tabla2[[#This Row],[Beneficio Neto  (En RD$/Tarea)]]/Tabla2[[#This Row],[Costos (En RD$/Tarea)]])</f>
        <v>-0.0381126453369046</v>
      </c>
      <c r="P1756" s="7" t="n">
        <f aca="false">Tabla2[[#This Row],[Rentabilidad (%)]]/12</f>
        <v>-0.00317605377807538</v>
      </c>
    </row>
    <row r="1757" customFormat="false" ht="14.25" hidden="false" customHeight="false" outlineLevel="0" collapsed="false">
      <c r="A1757" s="1" t="n">
        <v>40969</v>
      </c>
      <c r="B1757" s="2" t="s">
        <v>22</v>
      </c>
      <c r="C1757" s="3" t="n">
        <v>8133</v>
      </c>
      <c r="D1757" s="8" t="s">
        <v>17</v>
      </c>
      <c r="E1757" s="3" t="n">
        <f aca="false">IF(Tabla2[[#This Row],[Frecuencia]]="Annual", Tabla2[[#This Row],[Cosecha/Tarea]]/12,Tabla2[[#This Row],[Cosecha/Tarea]])</f>
        <v>8133</v>
      </c>
      <c r="F1757" s="3" t="n">
        <v>83882</v>
      </c>
      <c r="G1757" s="2" t="s">
        <v>18</v>
      </c>
      <c r="H1757" s="2" t="n">
        <f aca="false">F1757/Tabla2[[#This Row],[Cosecha Mensual]]</f>
        <v>10.3137833517767</v>
      </c>
      <c r="I1757" s="2" t="n">
        <f aca="false">H1757*_xlfn.XLOOKUP(Tabla2[[#This Row],[Unidad de producción]],Tabla3[Medida],Tabla3[Equivalencia en Kg],"ELVIS",0)</f>
        <v>467.833212836592</v>
      </c>
      <c r="J1757" s="2" t="n">
        <v>970.654761904762</v>
      </c>
      <c r="K1757" s="2" t="s">
        <v>18</v>
      </c>
      <c r="L1757" s="2" t="n">
        <f aca="false">J1757/_xlfn.XLOOKUP(Tabla2[[#This Row],[Unidad de precio]],Tabla3[Medida],Tabla3[Equivalencia en Kg],"ELVIS",0)</f>
        <v>21.3989145040732</v>
      </c>
      <c r="M1757" s="2" t="n">
        <v>8360.190555</v>
      </c>
      <c r="N1757" s="3" t="n">
        <f aca="false">(Tabla2[[#This Row],[Productividad (kg/TAS)]]*Tabla2[[#This Row],[Precio por kg]]-Tabla2[[#This Row],[Costos (En RD$/Tarea)]])</f>
        <v>1650.93236865612</v>
      </c>
      <c r="O1757" s="9" t="n">
        <f aca="false">IF(Tabla2[[#This Row],[Costos (En RD$/Tarea)]]=0,0,Tabla2[[#This Row],[Beneficio Neto  (En RD$/Tarea)]]/Tabla2[[#This Row],[Costos (En RD$/Tarea)]])</f>
        <v>0.197475447215584</v>
      </c>
      <c r="P1757" s="7" t="n">
        <f aca="false">Tabla2[[#This Row],[Rentabilidad (%)]]/12</f>
        <v>0.0164562872679653</v>
      </c>
    </row>
    <row r="1758" customFormat="false" ht="14.25" hidden="false" customHeight="false" outlineLevel="0" collapsed="false">
      <c r="A1758" s="1" t="n">
        <v>40969</v>
      </c>
      <c r="B1758" s="2" t="s">
        <v>23</v>
      </c>
      <c r="C1758" s="3" t="n">
        <v>2950</v>
      </c>
      <c r="D1758" s="8" t="s">
        <v>17</v>
      </c>
      <c r="E1758" s="3" t="n">
        <f aca="false">IF(Tabla2[[#This Row],[Frecuencia]]="Annual", Tabla2[[#This Row],[Cosecha/Tarea]]/12,Tabla2[[#This Row],[Cosecha/Tarea]])</f>
        <v>2950</v>
      </c>
      <c r="F1758" s="3" t="n">
        <v>94480</v>
      </c>
      <c r="G1758" s="2" t="s">
        <v>18</v>
      </c>
      <c r="H1758" s="2" t="n">
        <f aca="false">F1758/Tabla2[[#This Row],[Cosecha Mensual]]</f>
        <v>32.0271186440678</v>
      </c>
      <c r="I1758" s="2" t="n">
        <f aca="false">H1758*_xlfn.XLOOKUP(Tabla2[[#This Row],[Unidad de producción]],Tabla3[Medida],Tabla3[Equivalencia en Kg],"ELVIS",0)</f>
        <v>1452.75010169492</v>
      </c>
      <c r="J1758" s="2" t="n">
        <v>664.88785</v>
      </c>
      <c r="K1758" s="2" t="s">
        <v>18</v>
      </c>
      <c r="L1758" s="2" t="n">
        <f aca="false">J1758/_xlfn.XLOOKUP(Tabla2[[#This Row],[Unidad de precio]],Tabla3[Medida],Tabla3[Equivalencia en Kg],"ELVIS",0)</f>
        <v>14.6580213844797</v>
      </c>
      <c r="M1758" s="2" t="n">
        <v>24344.842076238</v>
      </c>
      <c r="N1758" s="3" t="n">
        <f aca="false">(Tabla2[[#This Row],[Productividad (kg/TAS)]]*Tabla2[[#This Row],[Precio por kg]]-Tabla2[[#This Row],[Costos (En RD$/Tarea)]])</f>
        <v>-3050.40001928885</v>
      </c>
      <c r="O1758" s="9" t="n">
        <f aca="false">IF(Tabla2[[#This Row],[Costos (En RD$/Tarea)]]=0,0,Tabla2[[#This Row],[Beneficio Neto  (En RD$/Tarea)]]/Tabla2[[#This Row],[Costos (En RD$/Tarea)]])</f>
        <v>-0.125299642927905</v>
      </c>
      <c r="P1758" s="7" t="n">
        <f aca="false">Tabla2[[#This Row],[Rentabilidad (%)]]/12</f>
        <v>-0.0104416369106587</v>
      </c>
    </row>
    <row r="1759" customFormat="false" ht="14.25" hidden="false" customHeight="false" outlineLevel="0" collapsed="false">
      <c r="A1759" s="1" t="n">
        <v>40969</v>
      </c>
      <c r="B1759" s="2" t="s">
        <v>24</v>
      </c>
      <c r="C1759" s="3" t="n">
        <v>7914</v>
      </c>
      <c r="D1759" s="8" t="s">
        <v>17</v>
      </c>
      <c r="E1759" s="3" t="n">
        <f aca="false">IF(Tabla2[[#This Row],[Frecuencia]]="Annual", Tabla2[[#This Row],[Cosecha/Tarea]]/12,Tabla2[[#This Row],[Cosecha/Tarea]])</f>
        <v>7914</v>
      </c>
      <c r="F1759" s="3" t="n">
        <v>69025</v>
      </c>
      <c r="G1759" s="2" t="s">
        <v>18</v>
      </c>
      <c r="H1759" s="2" t="n">
        <f aca="false">F1759/Tabla2[[#This Row],[Cosecha Mensual]]</f>
        <v>8.72188526661612</v>
      </c>
      <c r="I1759" s="2" t="n">
        <f aca="false">H1759*_xlfn.XLOOKUP(Tabla2[[#This Row],[Unidad de producción]],Tabla3[Medida],Tabla3[Equivalencia en Kg],"ELVIS",0)</f>
        <v>395.624715693707</v>
      </c>
      <c r="J1759" s="2" t="n">
        <v>1247.5</v>
      </c>
      <c r="K1759" s="2" t="s">
        <v>18</v>
      </c>
      <c r="L1759" s="2" t="n">
        <f aca="false">J1759/_xlfn.XLOOKUP(Tabla2[[#This Row],[Unidad de precio]],Tabla3[Medida],Tabla3[Equivalencia en Kg],"ELVIS",0)</f>
        <v>27.5022045855379</v>
      </c>
      <c r="M1759" s="2" t="n">
        <v>8104.7130577284</v>
      </c>
      <c r="N1759" s="3" t="n">
        <f aca="false">(Tabla2[[#This Row],[Productividad (kg/TAS)]]*Tabla2[[#This Row],[Precio por kg]]-Tabla2[[#This Row],[Costos (En RD$/Tarea)]])</f>
        <v>2775.83881237521</v>
      </c>
      <c r="O1759" s="9" t="n">
        <f aca="false">IF(Tabla2[[#This Row],[Costos (En RD$/Tarea)]]=0,0,Tabla2[[#This Row],[Beneficio Neto  (En RD$/Tarea)]]/Tabla2[[#This Row],[Costos (En RD$/Tarea)]])</f>
        <v>0.342496864799952</v>
      </c>
      <c r="P1759" s="7" t="n">
        <f aca="false">Tabla2[[#This Row],[Rentabilidad (%)]]/12</f>
        <v>0.028541405399996</v>
      </c>
    </row>
    <row r="1760" customFormat="false" ht="14.25" hidden="false" customHeight="false" outlineLevel="0" collapsed="false">
      <c r="A1760" s="1" t="n">
        <v>40969</v>
      </c>
      <c r="B1760" s="2" t="s">
        <v>25</v>
      </c>
      <c r="C1760" s="3" t="n">
        <v>27138</v>
      </c>
      <c r="D1760" s="8" t="s">
        <v>17</v>
      </c>
      <c r="E1760" s="3" t="n">
        <f aca="false">IF(Tabla2[[#This Row],[Frecuencia]]="Annual", Tabla2[[#This Row],[Cosecha/Tarea]]/12,Tabla2[[#This Row],[Cosecha/Tarea]])</f>
        <v>27138</v>
      </c>
      <c r="F1760" s="3" t="n">
        <v>271014</v>
      </c>
      <c r="G1760" s="2" t="s">
        <v>18</v>
      </c>
      <c r="H1760" s="2" t="n">
        <f aca="false">F1760/Tabla2[[#This Row],[Cosecha Mensual]]</f>
        <v>9.98651337607783</v>
      </c>
      <c r="I1760" s="2" t="n">
        <f aca="false">H1760*_xlfn.XLOOKUP(Tabla2[[#This Row],[Unidad de producción]],Tabla3[Medida],Tabla3[Equivalencia en Kg],"ELVIS",0)</f>
        <v>452.98824673889</v>
      </c>
      <c r="J1760" s="2" t="n">
        <v>360.886571428571</v>
      </c>
      <c r="K1760" s="2" t="s">
        <v>18</v>
      </c>
      <c r="L1760" s="2" t="n">
        <f aca="false">J1760/_xlfn.XLOOKUP(Tabla2[[#This Row],[Unidad de precio]],Tabla3[Medida],Tabla3[Equivalencia en Kg],"ELVIS",0)</f>
        <v>7.95605316200553</v>
      </c>
      <c r="M1760" s="2" t="n">
        <v>4628.4219376425</v>
      </c>
      <c r="N1760" s="3" t="n">
        <f aca="false">(Tabla2[[#This Row],[Productividad (kg/TAS)]]*Tabla2[[#This Row],[Precio por kg]]-Tabla2[[#This Row],[Costos (En RD$/Tarea)]])</f>
        <v>-1024.42336482421</v>
      </c>
      <c r="O1760" s="9" t="n">
        <f aca="false">IF(Tabla2[[#This Row],[Costos (En RD$/Tarea)]]=0,0,Tabla2[[#This Row],[Beneficio Neto  (En RD$/Tarea)]]/Tabla2[[#This Row],[Costos (En RD$/Tarea)]])</f>
        <v>-0.221333184101621</v>
      </c>
      <c r="P1760" s="7" t="n">
        <f aca="false">Tabla2[[#This Row],[Rentabilidad (%)]]/12</f>
        <v>-0.0184444320084684</v>
      </c>
    </row>
    <row r="1761" customFormat="false" ht="14.25" hidden="false" customHeight="false" outlineLevel="0" collapsed="false">
      <c r="A1761" s="1" t="n">
        <v>40969</v>
      </c>
      <c r="B1761" s="2" t="s">
        <v>26</v>
      </c>
      <c r="C1761" s="3" t="n">
        <v>13394</v>
      </c>
      <c r="D1761" s="8" t="s">
        <v>17</v>
      </c>
      <c r="E1761" s="3" t="n">
        <f aca="false">IF(Tabla2[[#This Row],[Frecuencia]]="Annual", Tabla2[[#This Row],[Cosecha/Tarea]]/12,Tabla2[[#This Row],[Cosecha/Tarea]])</f>
        <v>13394</v>
      </c>
      <c r="F1761" s="3" t="n">
        <v>91720</v>
      </c>
      <c r="G1761" s="2" t="s">
        <v>18</v>
      </c>
      <c r="H1761" s="2" t="n">
        <f aca="false">F1761/Tabla2[[#This Row],[Cosecha Mensual]]</f>
        <v>6.84784231745558</v>
      </c>
      <c r="I1761" s="2" t="n">
        <f aca="false">H1761*_xlfn.XLOOKUP(Tabla2[[#This Row],[Unidad de producción]],Tabla3[Medida],Tabla3[Equivalencia en Kg],"ELVIS",0)</f>
        <v>310.618127519785</v>
      </c>
      <c r="J1761" s="2" t="n">
        <v>680.738253968254</v>
      </c>
      <c r="K1761" s="2" t="s">
        <v>18</v>
      </c>
      <c r="L1761" s="2" t="n">
        <f aca="false">J1761/_xlfn.XLOOKUP(Tabla2[[#This Row],[Unidad de precio]],Tabla3[Medida],Tabla3[Equivalencia en Kg],"ELVIS",0)</f>
        <v>15.0074570980656</v>
      </c>
      <c r="M1761" s="2" t="n">
        <v>2035.793320573</v>
      </c>
      <c r="N1761" s="3" t="n">
        <f aca="false">(Tabla2[[#This Row],[Productividad (kg/TAS)]]*Tabla2[[#This Row],[Precio por kg]]-Tabla2[[#This Row],[Costos (En RD$/Tarea)]])</f>
        <v>2625.79490206163</v>
      </c>
      <c r="O1761" s="9" t="n">
        <f aca="false">IF(Tabla2[[#This Row],[Costos (En RD$/Tarea)]]=0,0,Tabla2[[#This Row],[Beneficio Neto  (En RD$/Tarea)]]/Tabla2[[#This Row],[Costos (En RD$/Tarea)]])</f>
        <v>1.28981408649212</v>
      </c>
      <c r="P1761" s="7" t="n">
        <f aca="false">Tabla2[[#This Row],[Rentabilidad (%)]]/12</f>
        <v>0.107484507207677</v>
      </c>
    </row>
    <row r="1762" customFormat="false" ht="14.25" hidden="false" customHeight="false" outlineLevel="0" collapsed="false">
      <c r="A1762" s="1" t="n">
        <v>40969</v>
      </c>
      <c r="B1762" s="2" t="s">
        <v>27</v>
      </c>
      <c r="C1762" s="3" t="n">
        <v>6552</v>
      </c>
      <c r="D1762" s="8" t="s">
        <v>17</v>
      </c>
      <c r="E1762" s="3" t="n">
        <f aca="false">IF(Tabla2[[#This Row],[Frecuencia]]="Annual", Tabla2[[#This Row],[Cosecha/Tarea]]/12,Tabla2[[#This Row],[Cosecha/Tarea]])</f>
        <v>6552</v>
      </c>
      <c r="F1762" s="3" t="n">
        <v>44935</v>
      </c>
      <c r="G1762" s="2" t="s">
        <v>18</v>
      </c>
      <c r="H1762" s="2" t="n">
        <f aca="false">F1762/Tabla2[[#This Row],[Cosecha Mensual]]</f>
        <v>6.85821123321123</v>
      </c>
      <c r="I1762" s="2" t="n">
        <f aca="false">H1762*_xlfn.XLOOKUP(Tabla2[[#This Row],[Unidad de producción]],Tabla3[Medida],Tabla3[Equivalencia en Kg],"ELVIS",0)</f>
        <v>311.088461538462</v>
      </c>
      <c r="J1762" s="2" t="n">
        <v>623.885714285714</v>
      </c>
      <c r="K1762" s="2" t="s">
        <v>18</v>
      </c>
      <c r="L1762" s="2" t="n">
        <f aca="false">J1762/_xlfn.XLOOKUP(Tabla2[[#This Row],[Unidad de precio]],Tabla3[Medida],Tabla3[Equivalencia en Kg],"ELVIS",0)</f>
        <v>13.7540942302847</v>
      </c>
      <c r="M1762" s="2" t="n">
        <v>7766.250013275</v>
      </c>
      <c r="N1762" s="3" t="n">
        <f aca="false">(Tabla2[[#This Row],[Productividad (kg/TAS)]]*Tabla2[[#This Row],[Precio por kg]]-Tabla2[[#This Row],[Costos (En RD$/Tarea)]])</f>
        <v>-3487.5099993207</v>
      </c>
      <c r="O1762" s="9" t="n">
        <f aca="false">IF(Tabla2[[#This Row],[Costos (En RD$/Tarea)]]=0,0,Tabla2[[#This Row],[Beneficio Neto  (En RD$/Tarea)]]/Tabla2[[#This Row],[Costos (En RD$/Tarea)]])</f>
        <v>-0.449059712648889</v>
      </c>
      <c r="P1762" s="7" t="n">
        <f aca="false">Tabla2[[#This Row],[Rentabilidad (%)]]/12</f>
        <v>-0.0374216427207408</v>
      </c>
    </row>
    <row r="1763" customFormat="false" ht="14.25" hidden="false" customHeight="false" outlineLevel="0" collapsed="false">
      <c r="A1763" s="1" t="n">
        <v>40969</v>
      </c>
      <c r="B1763" s="2" t="s">
        <v>28</v>
      </c>
      <c r="C1763" s="3" t="n">
        <v>54256</v>
      </c>
      <c r="D1763" s="8" t="s">
        <v>17</v>
      </c>
      <c r="E1763" s="3" t="n">
        <f aca="false">IF(Tabla2[[#This Row],[Frecuencia]]="Annual", Tabla2[[#This Row],[Cosecha/Tarea]]/12,Tabla2[[#This Row],[Cosecha/Tarea]])</f>
        <v>54256</v>
      </c>
      <c r="F1763" s="3" t="n">
        <v>36854</v>
      </c>
      <c r="G1763" s="2" t="s">
        <v>29</v>
      </c>
      <c r="H1763" s="2" t="n">
        <f aca="false">F1763/Tabla2[[#This Row],[Cosecha Mensual]]</f>
        <v>0.679261279858449</v>
      </c>
      <c r="I1763" s="2" t="n">
        <f aca="false">H1763*_xlfn.XLOOKUP(Tabla2[[#This Row],[Unidad de producción]],Tabla3[Medida],Tabla3[Equivalencia en Kg],"ELVIS",0)</f>
        <v>381.9757881156</v>
      </c>
      <c r="J1763" s="2" t="n">
        <v>7880</v>
      </c>
      <c r="K1763" s="2" t="s">
        <v>29</v>
      </c>
      <c r="L1763" s="2" t="n">
        <f aca="false">J1763/_xlfn.XLOOKUP(Tabla2[[#This Row],[Unidad de precio]],Tabla3[Medida],Tabla3[Equivalencia en Kg],"ELVIS",0)</f>
        <v>14.0128747732688</v>
      </c>
      <c r="M1763" s="2" t="n">
        <v>6923.3397737334</v>
      </c>
      <c r="N1763" s="3" t="n">
        <f aca="false">(Tabla2[[#This Row],[Productividad (kg/TAS)]]*Tabla2[[#This Row],[Precio por kg]]-Tabla2[[#This Row],[Costos (En RD$/Tarea)]])</f>
        <v>-1570.76088844882</v>
      </c>
      <c r="O1763" s="9" t="n">
        <f aca="false">IF(Tabla2[[#This Row],[Costos (En RD$/Tarea)]]=0,0,Tabla2[[#This Row],[Beneficio Neto  (En RD$/Tarea)]]/Tabla2[[#This Row],[Costos (En RD$/Tarea)]])</f>
        <v>-0.226879069897474</v>
      </c>
      <c r="P1763" s="7" t="n">
        <f aca="false">Tabla2[[#This Row],[Rentabilidad (%)]]/12</f>
        <v>-0.0189065891581229</v>
      </c>
    </row>
    <row r="1764" customFormat="false" ht="14.25" hidden="false" customHeight="false" outlineLevel="0" collapsed="false">
      <c r="A1764" s="1" t="n">
        <v>40969</v>
      </c>
      <c r="B1764" s="2" t="s">
        <v>30</v>
      </c>
      <c r="C1764" s="3" t="n">
        <v>376388</v>
      </c>
      <c r="D1764" s="3" t="s">
        <v>31</v>
      </c>
      <c r="E1764" s="3" t="n">
        <f aca="false">IF(Tabla2[[#This Row],[Frecuencia]]="Annual", Tabla2[[#This Row],[Cosecha/Tarea]]/12,Tabla2[[#This Row],[Cosecha/Tarea]])</f>
        <v>31365.6666666667</v>
      </c>
      <c r="F1764" s="3" t="n">
        <v>2915134</v>
      </c>
      <c r="G1764" s="2" t="s">
        <v>32</v>
      </c>
      <c r="H1764" s="2" t="n">
        <f aca="false">F1764/Tabla2[[#This Row],[Cosecha Mensual]]</f>
        <v>92.9402850250274</v>
      </c>
      <c r="I1764" s="2" t="n">
        <f aca="false">H1764*_xlfn.XLOOKUP(Tabla2[[#This Row],[Unidad de producción]],Tabla3[Medida],Tabla3[Equivalencia en Kg],"ELVIS",0)</f>
        <v>2528.90515553099</v>
      </c>
      <c r="J1764" s="2" t="n">
        <v>196.654523809524</v>
      </c>
      <c r="K1764" s="2" t="s">
        <v>32</v>
      </c>
      <c r="L1764" s="2" t="n">
        <f aca="false">J1764/_xlfn.XLOOKUP(Tabla2[[#This Row],[Unidad de precio]],Tabla3[Medida],Tabla3[Equivalencia en Kg],"ELVIS",0)</f>
        <v>7.22728863688071</v>
      </c>
      <c r="M1764" s="3" t="n">
        <v>12463.8060770282</v>
      </c>
      <c r="N1764" s="3" t="n">
        <f aca="false">(Tabla2[[#This Row],[Productividad (kg/TAS)]]*Tabla2[[#This Row],[Precio por kg]]-Tabla2[[#This Row],[Costos (En RD$/Tarea)]])</f>
        <v>5813.32141728999</v>
      </c>
      <c r="O1764" s="9" t="n">
        <f aca="false">IF(Tabla2[[#This Row],[Costos (En RD$/Tarea)]]=0,0,Tabla2[[#This Row],[Beneficio Neto  (En RD$/Tarea)]]/Tabla2[[#This Row],[Costos (En RD$/Tarea)]])</f>
        <v>0.466416228025596</v>
      </c>
      <c r="P1764" s="7" t="n">
        <f aca="false">Tabla2[[#This Row],[Rentabilidad (%)]]/12</f>
        <v>0.038868019002133</v>
      </c>
    </row>
    <row r="1765" customFormat="false" ht="14.25" hidden="false" customHeight="false" outlineLevel="0" collapsed="false">
      <c r="A1765" s="1" t="n">
        <v>40969</v>
      </c>
      <c r="B1765" s="2" t="s">
        <v>33</v>
      </c>
      <c r="C1765" s="3" t="n">
        <v>720124</v>
      </c>
      <c r="D1765" s="3" t="s">
        <v>31</v>
      </c>
      <c r="E1765" s="3" t="n">
        <f aca="false">IF(Tabla2[[#This Row],[Frecuencia]]="Annual", Tabla2[[#This Row],[Cosecha/Tarea]]/12,Tabla2[[#This Row],[Cosecha/Tarea]])</f>
        <v>60010.3333333333</v>
      </c>
      <c r="F1765" s="3" t="n">
        <v>143747</v>
      </c>
      <c r="G1765" s="2" t="s">
        <v>34</v>
      </c>
      <c r="H1765" s="2" t="n">
        <f aca="false">F1765/Tabla2[[#This Row],[Cosecha Mensual]]</f>
        <v>2.39537079725158</v>
      </c>
      <c r="I1765" s="2" t="n">
        <f aca="false">H1765*_xlfn.XLOOKUP(Tabla2[[#This Row],[Unidad de producción]],Tabla3[Medida],Tabla3[Equivalencia en Kg],"ELVIS",0)</f>
        <v>977.670590898234</v>
      </c>
      <c r="J1765" s="2" t="n">
        <v>4517.08517006803</v>
      </c>
      <c r="K1765" s="2" t="s">
        <v>34</v>
      </c>
      <c r="L1765" s="2" t="n">
        <f aca="false">J1765/_xlfn.XLOOKUP(Tabla2[[#This Row],[Unidad de precio]],Tabla3[Medida],Tabla3[Equivalencia en Kg],"ELVIS",0)</f>
        <v>11.0672183512631</v>
      </c>
      <c r="M1765" s="3" t="n">
        <v>11933.7643424532</v>
      </c>
      <c r="N1765" s="3" t="n">
        <f aca="false">(Tabla2[[#This Row],[Productividad (kg/TAS)]]*Tabla2[[#This Row],[Precio por kg]]-Tabla2[[#This Row],[Costos (En RD$/Tarea)]])</f>
        <v>-1113.67043737404</v>
      </c>
      <c r="O1765" s="9" t="n">
        <f aca="false">IF(Tabla2[[#This Row],[Costos (En RD$/Tarea)]]=0,0,Tabla2[[#This Row],[Beneficio Neto  (En RD$/Tarea)]]/Tabla2[[#This Row],[Costos (En RD$/Tarea)]])</f>
        <v>-0.093320967753005</v>
      </c>
      <c r="P1765" s="7" t="n">
        <f aca="false">Tabla2[[#This Row],[Rentabilidad (%)]]/12</f>
        <v>-0.00777674731275042</v>
      </c>
    </row>
    <row r="1766" customFormat="false" ht="14.25" hidden="false" customHeight="false" outlineLevel="0" collapsed="false">
      <c r="A1766" s="1" t="n">
        <v>41000</v>
      </c>
      <c r="B1766" s="2" t="s">
        <v>16</v>
      </c>
      <c r="C1766" s="3" t="n">
        <v>288906</v>
      </c>
      <c r="D1766" s="8" t="s">
        <v>17</v>
      </c>
      <c r="E1766" s="3" t="n">
        <f aca="false">IF(Tabla2[[#This Row],[Frecuencia]]="Annual", Tabla2[[#This Row],[Cosecha/Tarea]]/12,Tabla2[[#This Row],[Cosecha/Tarea]])</f>
        <v>288906</v>
      </c>
      <c r="F1766" s="3" t="n">
        <v>1336149</v>
      </c>
      <c r="G1766" s="2" t="s">
        <v>18</v>
      </c>
      <c r="H1766" s="2" t="n">
        <f aca="false">F1766/Tabla2[[#This Row],[Cosecha Mensual]]</f>
        <v>4.62485721999543</v>
      </c>
      <c r="I1766" s="2" t="n">
        <f aca="false">H1766*_xlfn.XLOOKUP(Tabla2[[#This Row],[Unidad de producción]],Tabla3[Medida],Tabla3[Equivalencia en Kg],"ELVIS",0)</f>
        <v>209.783523498993</v>
      </c>
      <c r="J1766" s="2" t="n">
        <v>1668.75</v>
      </c>
      <c r="K1766" s="2" t="s">
        <v>19</v>
      </c>
      <c r="L1766" s="2" t="n">
        <f aca="false">J1766/_xlfn.XLOOKUP(Tabla2[[#This Row],[Unidad de precio]],Tabla3[Medida],Tabla3[Equivalencia en Kg],"ELVIS",0)</f>
        <v>15.1704545454545</v>
      </c>
      <c r="M1766" s="2" t="n">
        <v>7982.61905212344</v>
      </c>
      <c r="N1766" s="3" t="n">
        <f aca="false">(Tabla2[[#This Row],[Productividad (kg/TAS)]]*Tabla2[[#This Row],[Precio por kg]]-Tabla2[[#This Row],[Costos (En RD$/Tarea)]])</f>
        <v>-4800.10764449668</v>
      </c>
      <c r="O1766" s="9" t="n">
        <f aca="false">IF(Tabla2[[#This Row],[Costos (En RD$/Tarea)]]=0,0,Tabla2[[#This Row],[Beneficio Neto  (En RD$/Tarea)]]/Tabla2[[#This Row],[Costos (En RD$/Tarea)]])</f>
        <v>-0.601319894279536</v>
      </c>
      <c r="P1766" s="7" t="n">
        <f aca="false">Tabla2[[#This Row],[Rentabilidad (%)]]/12</f>
        <v>-0.0501099911899613</v>
      </c>
    </row>
    <row r="1767" customFormat="false" ht="14.25" hidden="false" customHeight="false" outlineLevel="0" collapsed="false">
      <c r="A1767" s="1" t="n">
        <v>41000</v>
      </c>
      <c r="B1767" s="2" t="s">
        <v>20</v>
      </c>
      <c r="C1767" s="3" t="n">
        <v>31920</v>
      </c>
      <c r="D1767" s="8" t="s">
        <v>17</v>
      </c>
      <c r="E1767" s="3" t="n">
        <f aca="false">IF(Tabla2[[#This Row],[Frecuencia]]="Annual", Tabla2[[#This Row],[Cosecha/Tarea]]/12,Tabla2[[#This Row],[Cosecha/Tarea]])</f>
        <v>31920</v>
      </c>
      <c r="F1767" s="3" t="n">
        <v>84173</v>
      </c>
      <c r="G1767" s="2" t="s">
        <v>18</v>
      </c>
      <c r="H1767" s="2" t="n">
        <f aca="false">F1767/Tabla2[[#This Row],[Cosecha Mensual]]</f>
        <v>2.63699874686717</v>
      </c>
      <c r="I1767" s="2" t="n">
        <f aca="false">H1767*_xlfn.XLOOKUP(Tabla2[[#This Row],[Unidad de producción]],Tabla3[Medida],Tabla3[Equivalencia en Kg],"ELVIS",0)</f>
        <v>119.614263157895</v>
      </c>
      <c r="J1767" s="2" t="n">
        <v>779.333333333333</v>
      </c>
      <c r="K1767" s="2" t="s">
        <v>18</v>
      </c>
      <c r="L1767" s="2" t="n">
        <f aca="false">J1767/_xlfn.XLOOKUP(Tabla2[[#This Row],[Unidad de precio]],Tabla3[Medida],Tabla3[Equivalencia en Kg],"ELVIS",0)</f>
        <v>17.1810699588477</v>
      </c>
      <c r="M1767" s="2" t="n">
        <v>2248.3053412475</v>
      </c>
      <c r="N1767" s="3" t="n">
        <f aca="false">(Tabla2[[#This Row],[Productividad (kg/TAS)]]*Tabla2[[#This Row],[Precio por kg]]-Tabla2[[#This Row],[Costos (En RD$/Tarea)]])</f>
        <v>-193.204317855688</v>
      </c>
      <c r="O1767" s="9" t="n">
        <f aca="false">IF(Tabla2[[#This Row],[Costos (En RD$/Tarea)]]=0,0,Tabla2[[#This Row],[Beneficio Neto  (En RD$/Tarea)]]/Tabla2[[#This Row],[Costos (En RD$/Tarea)]])</f>
        <v>-0.0859333091067099</v>
      </c>
      <c r="P1767" s="7" t="n">
        <f aca="false">Tabla2[[#This Row],[Rentabilidad (%)]]/12</f>
        <v>-0.00716110909222582</v>
      </c>
    </row>
    <row r="1768" customFormat="false" ht="14.25" hidden="false" customHeight="false" outlineLevel="0" collapsed="false">
      <c r="A1768" s="1" t="n">
        <v>41000</v>
      </c>
      <c r="B1768" s="2" t="s">
        <v>21</v>
      </c>
      <c r="C1768" s="3" t="n">
        <v>8777</v>
      </c>
      <c r="D1768" s="8" t="s">
        <v>17</v>
      </c>
      <c r="E1768" s="3" t="n">
        <f aca="false">IF(Tabla2[[#This Row],[Frecuencia]]="Annual", Tabla2[[#This Row],[Cosecha/Tarea]]/12,Tabla2[[#This Row],[Cosecha/Tarea]])</f>
        <v>8777</v>
      </c>
      <c r="F1768" s="3" t="n">
        <v>103914</v>
      </c>
      <c r="G1768" s="2" t="s">
        <v>18</v>
      </c>
      <c r="H1768" s="2" t="n">
        <f aca="false">F1768/Tabla2[[#This Row],[Cosecha Mensual]]</f>
        <v>11.8393528540504</v>
      </c>
      <c r="I1768" s="2" t="n">
        <f aca="false">H1768*_xlfn.XLOOKUP(Tabla2[[#This Row],[Unidad de producción]],Tabla3[Medida],Tabla3[Equivalencia en Kg],"ELVIS",0)</f>
        <v>537.033045459724</v>
      </c>
      <c r="J1768" s="2" t="n">
        <v>346.7325</v>
      </c>
      <c r="K1768" s="2" t="s">
        <v>18</v>
      </c>
      <c r="L1768" s="2" t="n">
        <f aca="false">J1768/_xlfn.XLOOKUP(Tabla2[[#This Row],[Unidad de precio]],Tabla3[Medida],Tabla3[Equivalencia en Kg],"ELVIS",0)</f>
        <v>7.64401455026455</v>
      </c>
      <c r="M1768" s="2" t="n">
        <v>5350.20172000917</v>
      </c>
      <c r="N1768" s="3" t="n">
        <f aca="false">(Tabla2[[#This Row],[Productividad (kg/TAS)]]*Tabla2[[#This Row],[Precio por kg]]-Tabla2[[#This Row],[Costos (En RD$/Tarea)]])</f>
        <v>-1245.11330654215</v>
      </c>
      <c r="O1768" s="9" t="n">
        <f aca="false">IF(Tabla2[[#This Row],[Costos (En RD$/Tarea)]]=0,0,Tabla2[[#This Row],[Beneficio Neto  (En RD$/Tarea)]]/Tabla2[[#This Row],[Costos (En RD$/Tarea)]])</f>
        <v>-0.232722684433666</v>
      </c>
      <c r="P1768" s="7" t="n">
        <f aca="false">Tabla2[[#This Row],[Rentabilidad (%)]]/12</f>
        <v>-0.0193935570361389</v>
      </c>
    </row>
    <row r="1769" customFormat="false" ht="14.25" hidden="false" customHeight="false" outlineLevel="0" collapsed="false">
      <c r="A1769" s="1" t="n">
        <v>41000</v>
      </c>
      <c r="B1769" s="2" t="s">
        <v>22</v>
      </c>
      <c r="C1769" s="3" t="n">
        <v>5939</v>
      </c>
      <c r="D1769" s="8" t="s">
        <v>17</v>
      </c>
      <c r="E1769" s="3" t="n">
        <f aca="false">IF(Tabla2[[#This Row],[Frecuencia]]="Annual", Tabla2[[#This Row],[Cosecha/Tarea]]/12,Tabla2[[#This Row],[Cosecha/Tarea]])</f>
        <v>5939</v>
      </c>
      <c r="F1769" s="3" t="n">
        <v>53708</v>
      </c>
      <c r="G1769" s="2" t="s">
        <v>18</v>
      </c>
      <c r="H1769" s="2" t="n">
        <f aca="false">F1769/Tabla2[[#This Row],[Cosecha Mensual]]</f>
        <v>9.04327327832969</v>
      </c>
      <c r="I1769" s="2" t="n">
        <f aca="false">H1769*_xlfn.XLOOKUP(Tabla2[[#This Row],[Unidad de producción]],Tabla3[Medida],Tabla3[Equivalencia en Kg],"ELVIS",0)</f>
        <v>410.202875905035</v>
      </c>
      <c r="J1769" s="2" t="n">
        <v>1040.31864285714</v>
      </c>
      <c r="K1769" s="2" t="s">
        <v>18</v>
      </c>
      <c r="L1769" s="2" t="n">
        <f aca="false">J1769/_xlfn.XLOOKUP(Tabla2[[#This Row],[Unidad de precio]],Tabla3[Medida],Tabla3[Equivalencia en Kg],"ELVIS",0)</f>
        <v>22.9347143487024</v>
      </c>
      <c r="M1769" s="2" t="n">
        <v>8360.190555</v>
      </c>
      <c r="N1769" s="3" t="n">
        <f aca="false">(Tabla2[[#This Row],[Productividad (kg/TAS)]]*Tabla2[[#This Row],[Precio por kg]]-Tabla2[[#This Row],[Costos (En RD$/Tarea)]])</f>
        <v>1047.69522889818</v>
      </c>
      <c r="O1769" s="9" t="n">
        <f aca="false">IF(Tabla2[[#This Row],[Costos (En RD$/Tarea)]]=0,0,Tabla2[[#This Row],[Beneficio Neto  (En RD$/Tarea)]]/Tabla2[[#This Row],[Costos (En RD$/Tarea)]])</f>
        <v>0.125319539310211</v>
      </c>
      <c r="P1769" s="7" t="n">
        <f aca="false">Tabla2[[#This Row],[Rentabilidad (%)]]/12</f>
        <v>0.0104432949425176</v>
      </c>
    </row>
    <row r="1770" customFormat="false" ht="14.25" hidden="false" customHeight="false" outlineLevel="0" collapsed="false">
      <c r="A1770" s="1" t="n">
        <v>41000</v>
      </c>
      <c r="B1770" s="2" t="s">
        <v>23</v>
      </c>
      <c r="C1770" s="3" t="n">
        <v>4928</v>
      </c>
      <c r="D1770" s="8" t="s">
        <v>17</v>
      </c>
      <c r="E1770" s="3" t="n">
        <f aca="false">IF(Tabla2[[#This Row],[Frecuencia]]="Annual", Tabla2[[#This Row],[Cosecha/Tarea]]/12,Tabla2[[#This Row],[Cosecha/Tarea]])</f>
        <v>4928</v>
      </c>
      <c r="F1770" s="3" t="n">
        <v>122698</v>
      </c>
      <c r="G1770" s="2" t="s">
        <v>18</v>
      </c>
      <c r="H1770" s="2" t="n">
        <f aca="false">F1770/Tabla2[[#This Row],[Cosecha Mensual]]</f>
        <v>24.8981331168831</v>
      </c>
      <c r="I1770" s="2" t="n">
        <f aca="false">H1770*_xlfn.XLOOKUP(Tabla2[[#This Row],[Unidad de producción]],Tabla3[Medida],Tabla3[Equivalencia en Kg],"ELVIS",0)</f>
        <v>1129.37931818182</v>
      </c>
      <c r="J1770" s="2" t="n">
        <v>687.5</v>
      </c>
      <c r="K1770" s="2" t="s">
        <v>18</v>
      </c>
      <c r="L1770" s="2" t="n">
        <f aca="false">J1770/_xlfn.XLOOKUP(Tabla2[[#This Row],[Unidad de precio]],Tabla3[Medida],Tabla3[Equivalencia en Kg],"ELVIS",0)</f>
        <v>15.1565255731922</v>
      </c>
      <c r="M1770" s="2" t="n">
        <v>24344.842076238</v>
      </c>
      <c r="N1770" s="3" t="n">
        <f aca="false">(Tabla2[[#This Row],[Productividad (kg/TAS)]]*Tabla2[[#This Row],[Precio por kg]]-Tabla2[[#This Row],[Costos (En RD$/Tarea)]])</f>
        <v>-7227.37555838086</v>
      </c>
      <c r="O1770" s="9" t="n">
        <f aca="false">IF(Tabla2[[#This Row],[Costos (En RD$/Tarea)]]=0,0,Tabla2[[#This Row],[Beneficio Neto  (En RD$/Tarea)]]/Tabla2[[#This Row],[Costos (En RD$/Tarea)]])</f>
        <v>-0.29687502329026</v>
      </c>
      <c r="P1770" s="7" t="n">
        <f aca="false">Tabla2[[#This Row],[Rentabilidad (%)]]/12</f>
        <v>-0.0247395852741883</v>
      </c>
    </row>
    <row r="1771" customFormat="false" ht="14.25" hidden="false" customHeight="false" outlineLevel="0" collapsed="false">
      <c r="A1771" s="1" t="n">
        <v>41000</v>
      </c>
      <c r="B1771" s="2" t="s">
        <v>24</v>
      </c>
      <c r="C1771" s="3" t="n">
        <v>8320</v>
      </c>
      <c r="D1771" s="8" t="s">
        <v>17</v>
      </c>
      <c r="E1771" s="3" t="n">
        <f aca="false">IF(Tabla2[[#This Row],[Frecuencia]]="Annual", Tabla2[[#This Row],[Cosecha/Tarea]]/12,Tabla2[[#This Row],[Cosecha/Tarea]])</f>
        <v>8320</v>
      </c>
      <c r="F1771" s="3" t="n">
        <v>63299</v>
      </c>
      <c r="G1771" s="2" t="s">
        <v>18</v>
      </c>
      <c r="H1771" s="2" t="n">
        <f aca="false">F1771/Tabla2[[#This Row],[Cosecha Mensual]]</f>
        <v>7.60805288461538</v>
      </c>
      <c r="I1771" s="2" t="n">
        <f aca="false">H1771*_xlfn.XLOOKUP(Tabla2[[#This Row],[Unidad de producción]],Tabla3[Medida],Tabla3[Equivalencia en Kg],"ELVIS",0)</f>
        <v>345.101278846154</v>
      </c>
      <c r="J1771" s="2" t="n">
        <v>1257.57142857143</v>
      </c>
      <c r="K1771" s="2" t="s">
        <v>18</v>
      </c>
      <c r="L1771" s="2" t="n">
        <f aca="false">J1771/_xlfn.XLOOKUP(Tabla2[[#This Row],[Unidad de precio]],Tabla3[Medida],Tabla3[Equivalencia en Kg],"ELVIS",0)</f>
        <v>27.7242378432855</v>
      </c>
      <c r="M1771" s="2" t="n">
        <v>8104.7130577284</v>
      </c>
      <c r="N1771" s="3" t="n">
        <f aca="false">(Tabla2[[#This Row],[Productividad (kg/TAS)]]*Tabla2[[#This Row],[Precio por kg]]-Tabla2[[#This Row],[Costos (En RD$/Tarea)]])</f>
        <v>1462.95687702436</v>
      </c>
      <c r="O1771" s="9" t="n">
        <f aca="false">IF(Tabla2[[#This Row],[Costos (En RD$/Tarea)]]=0,0,Tabla2[[#This Row],[Beneficio Neto  (En RD$/Tarea)]]/Tabla2[[#This Row],[Costos (En RD$/Tarea)]])</f>
        <v>0.180506930548186</v>
      </c>
      <c r="P1771" s="7" t="n">
        <f aca="false">Tabla2[[#This Row],[Rentabilidad (%)]]/12</f>
        <v>0.0150422442123488</v>
      </c>
    </row>
    <row r="1772" customFormat="false" ht="14.25" hidden="false" customHeight="false" outlineLevel="0" collapsed="false">
      <c r="A1772" s="1" t="n">
        <v>41000</v>
      </c>
      <c r="B1772" s="2" t="s">
        <v>25</v>
      </c>
      <c r="C1772" s="3" t="n">
        <v>23298</v>
      </c>
      <c r="D1772" s="8" t="s">
        <v>17</v>
      </c>
      <c r="E1772" s="3" t="n">
        <f aca="false">IF(Tabla2[[#This Row],[Frecuencia]]="Annual", Tabla2[[#This Row],[Cosecha/Tarea]]/12,Tabla2[[#This Row],[Cosecha/Tarea]])</f>
        <v>23298</v>
      </c>
      <c r="F1772" s="3" t="n">
        <v>265489</v>
      </c>
      <c r="G1772" s="2" t="s">
        <v>18</v>
      </c>
      <c r="H1772" s="2" t="n">
        <f aca="false">F1772/Tabla2[[#This Row],[Cosecha Mensual]]</f>
        <v>11.3953558245343</v>
      </c>
      <c r="I1772" s="2" t="n">
        <f aca="false">H1772*_xlfn.XLOOKUP(Tabla2[[#This Row],[Unidad de producción]],Tabla3[Medida],Tabla3[Equivalencia en Kg],"ELVIS",0)</f>
        <v>516.893340200876</v>
      </c>
      <c r="J1772" s="2" t="n">
        <v>355.86</v>
      </c>
      <c r="K1772" s="2" t="s">
        <v>18</v>
      </c>
      <c r="L1772" s="2" t="n">
        <f aca="false">J1772/_xlfn.XLOOKUP(Tabla2[[#This Row],[Unidad de precio]],Tabla3[Medida],Tabla3[Equivalencia en Kg],"ELVIS",0)</f>
        <v>7.8452380952381</v>
      </c>
      <c r="M1772" s="2" t="n">
        <v>4628.4219376425</v>
      </c>
      <c r="N1772" s="3" t="n">
        <f aca="false">(Tabla2[[#This Row],[Productividad (kg/TAS)]]*Tabla2[[#This Row],[Precio por kg]]-Tabla2[[#This Row],[Costos (En RD$/Tarea)]])</f>
        <v>-573.270613923725</v>
      </c>
      <c r="O1772" s="9" t="n">
        <f aca="false">IF(Tabla2[[#This Row],[Costos (En RD$/Tarea)]]=0,0,Tabla2[[#This Row],[Beneficio Neto  (En RD$/Tarea)]]/Tabla2[[#This Row],[Costos (En RD$/Tarea)]])</f>
        <v>-0.123858762586309</v>
      </c>
      <c r="P1772" s="7" t="n">
        <f aca="false">Tabla2[[#This Row],[Rentabilidad (%)]]/12</f>
        <v>-0.0103215635488591</v>
      </c>
    </row>
    <row r="1773" customFormat="false" ht="14.25" hidden="false" customHeight="false" outlineLevel="0" collapsed="false">
      <c r="A1773" s="1" t="n">
        <v>41000</v>
      </c>
      <c r="B1773" s="2" t="s">
        <v>26</v>
      </c>
      <c r="C1773" s="3" t="n">
        <v>12550</v>
      </c>
      <c r="D1773" s="8" t="s">
        <v>17</v>
      </c>
      <c r="E1773" s="3" t="n">
        <f aca="false">IF(Tabla2[[#This Row],[Frecuencia]]="Annual", Tabla2[[#This Row],[Cosecha/Tarea]]/12,Tabla2[[#This Row],[Cosecha/Tarea]])</f>
        <v>12550</v>
      </c>
      <c r="F1773" s="3" t="n">
        <v>73454</v>
      </c>
      <c r="G1773" s="2" t="s">
        <v>18</v>
      </c>
      <c r="H1773" s="2" t="n">
        <f aca="false">F1773/Tabla2[[#This Row],[Cosecha Mensual]]</f>
        <v>5.85290836653387</v>
      </c>
      <c r="I1773" s="2" t="n">
        <f aca="false">H1773*_xlfn.XLOOKUP(Tabla2[[#This Row],[Unidad de producción]],Tabla3[Medida],Tabla3[Equivalencia en Kg],"ELVIS",0)</f>
        <v>265.487923505976</v>
      </c>
      <c r="J1773" s="2" t="n">
        <v>727.216666666667</v>
      </c>
      <c r="K1773" s="2" t="s">
        <v>18</v>
      </c>
      <c r="L1773" s="2" t="n">
        <f aca="false">J1773/_xlfn.XLOOKUP(Tabla2[[#This Row],[Unidad de precio]],Tabla3[Medida],Tabla3[Equivalencia en Kg],"ELVIS",0)</f>
        <v>16.032113462669</v>
      </c>
      <c r="M1773" s="2" t="n">
        <v>2035.793320573</v>
      </c>
      <c r="N1773" s="3" t="n">
        <f aca="false">(Tabla2[[#This Row],[Productividad (kg/TAS)]]*Tabla2[[#This Row],[Precio por kg]]-Tabla2[[#This Row],[Costos (En RD$/Tarea)]])</f>
        <v>2220.5391920432</v>
      </c>
      <c r="O1773" s="9" t="n">
        <f aca="false">IF(Tabla2[[#This Row],[Costos (En RD$/Tarea)]]=0,0,Tabla2[[#This Row],[Beneficio Neto  (En RD$/Tarea)]]/Tabla2[[#This Row],[Costos (En RD$/Tarea)]])</f>
        <v>1.09074883466962</v>
      </c>
      <c r="P1773" s="7" t="n">
        <f aca="false">Tabla2[[#This Row],[Rentabilidad (%)]]/12</f>
        <v>0.0908957362224687</v>
      </c>
    </row>
    <row r="1774" customFormat="false" ht="14.25" hidden="false" customHeight="false" outlineLevel="0" collapsed="false">
      <c r="A1774" s="1" t="n">
        <v>41000</v>
      </c>
      <c r="B1774" s="2" t="s">
        <v>27</v>
      </c>
      <c r="C1774" s="3" t="n">
        <v>7555</v>
      </c>
      <c r="D1774" s="8" t="s">
        <v>17</v>
      </c>
      <c r="E1774" s="3" t="n">
        <f aca="false">IF(Tabla2[[#This Row],[Frecuencia]]="Annual", Tabla2[[#This Row],[Cosecha/Tarea]]/12,Tabla2[[#This Row],[Cosecha/Tarea]])</f>
        <v>7555</v>
      </c>
      <c r="F1774" s="3" t="n">
        <v>77444</v>
      </c>
      <c r="G1774" s="2" t="s">
        <v>18</v>
      </c>
      <c r="H1774" s="2" t="n">
        <f aca="false">F1774/Tabla2[[#This Row],[Cosecha Mensual]]</f>
        <v>10.2506949040371</v>
      </c>
      <c r="I1774" s="2" t="n">
        <f aca="false">H1774*_xlfn.XLOOKUP(Tabla2[[#This Row],[Unidad de producción]],Tabla3[Medida],Tabla3[Equivalencia en Kg],"ELVIS",0)</f>
        <v>464.971520847121</v>
      </c>
      <c r="J1774" s="2" t="n">
        <v>637.868333333333</v>
      </c>
      <c r="K1774" s="2" t="s">
        <v>18</v>
      </c>
      <c r="L1774" s="2" t="n">
        <f aca="false">J1774/_xlfn.XLOOKUP(Tabla2[[#This Row],[Unidad de precio]],Tabla3[Medida],Tabla3[Equivalencia en Kg],"ELVIS",0)</f>
        <v>14.0623530276308</v>
      </c>
      <c r="M1774" s="2" t="n">
        <v>7766.250013275</v>
      </c>
      <c r="N1774" s="3" t="n">
        <f aca="false">(Tabla2[[#This Row],[Productividad (kg/TAS)]]*Tabla2[[#This Row],[Precio por kg]]-Tabla2[[#This Row],[Costos (En RD$/Tarea)]])</f>
        <v>-1227.65633932839</v>
      </c>
      <c r="O1774" s="9" t="n">
        <f aca="false">IF(Tabla2[[#This Row],[Costos (En RD$/Tarea)]]=0,0,Tabla2[[#This Row],[Beneficio Neto  (En RD$/Tarea)]]/Tabla2[[#This Row],[Costos (En RD$/Tarea)]])</f>
        <v>-0.15807582001995</v>
      </c>
      <c r="P1774" s="7" t="n">
        <f aca="false">Tabla2[[#This Row],[Rentabilidad (%)]]/12</f>
        <v>-0.0131729850016625</v>
      </c>
    </row>
    <row r="1775" customFormat="false" ht="14.25" hidden="false" customHeight="false" outlineLevel="0" collapsed="false">
      <c r="A1775" s="1" t="n">
        <v>41000</v>
      </c>
      <c r="B1775" s="2" t="s">
        <v>28</v>
      </c>
      <c r="C1775" s="3" t="n">
        <v>12969</v>
      </c>
      <c r="D1775" s="8" t="s">
        <v>17</v>
      </c>
      <c r="E1775" s="3" t="n">
        <f aca="false">IF(Tabla2[[#This Row],[Frecuencia]]="Annual", Tabla2[[#This Row],[Cosecha/Tarea]]/12,Tabla2[[#This Row],[Cosecha/Tarea]])</f>
        <v>12969</v>
      </c>
      <c r="F1775" s="3" t="n">
        <v>6181</v>
      </c>
      <c r="G1775" s="2" t="s">
        <v>29</v>
      </c>
      <c r="H1775" s="2" t="n">
        <f aca="false">F1775/Tabla2[[#This Row],[Cosecha Mensual]]</f>
        <v>0.476598041483538</v>
      </c>
      <c r="I1775" s="2" t="n">
        <f aca="false">H1775*_xlfn.XLOOKUP(Tabla2[[#This Row],[Unidad de producción]],Tabla3[Medida],Tabla3[Equivalencia en Kg],"ELVIS",0)</f>
        <v>268.010142647853</v>
      </c>
      <c r="J1775" s="2" t="n">
        <v>8133.25</v>
      </c>
      <c r="K1775" s="2" t="s">
        <v>29</v>
      </c>
      <c r="L1775" s="2" t="n">
        <f aca="false">J1775/_xlfn.XLOOKUP(Tabla2[[#This Row],[Unidad de precio]],Tabla3[Medida],Tabla3[Equivalencia en Kg],"ELVIS",0)</f>
        <v>14.4632250951382</v>
      </c>
      <c r="M1775" s="2" t="n">
        <v>6923.3397737334</v>
      </c>
      <c r="N1775" s="3" t="n">
        <f aca="false">(Tabla2[[#This Row],[Productividad (kg/TAS)]]*Tabla2[[#This Row],[Precio por kg]]-Tabla2[[#This Row],[Costos (En RD$/Tarea)]])</f>
        <v>-3047.04875283742</v>
      </c>
      <c r="O1775" s="9" t="n">
        <f aca="false">IF(Tabla2[[#This Row],[Costos (En RD$/Tarea)]]=0,0,Tabla2[[#This Row],[Beneficio Neto  (En RD$/Tarea)]]/Tabla2[[#This Row],[Costos (En RD$/Tarea)]])</f>
        <v>-0.440112554405849</v>
      </c>
      <c r="P1775" s="7" t="n">
        <f aca="false">Tabla2[[#This Row],[Rentabilidad (%)]]/12</f>
        <v>-0.0366760462004874</v>
      </c>
    </row>
    <row r="1776" customFormat="false" ht="14.25" hidden="false" customHeight="false" outlineLevel="0" collapsed="false">
      <c r="A1776" s="1" t="n">
        <v>41000</v>
      </c>
      <c r="B1776" s="2" t="s">
        <v>30</v>
      </c>
      <c r="C1776" s="3" t="n">
        <v>370688</v>
      </c>
      <c r="D1776" s="3" t="s">
        <v>31</v>
      </c>
      <c r="E1776" s="3" t="n">
        <f aca="false">IF(Tabla2[[#This Row],[Frecuencia]]="Annual", Tabla2[[#This Row],[Cosecha/Tarea]]/12,Tabla2[[#This Row],[Cosecha/Tarea]])</f>
        <v>30890.6666666667</v>
      </c>
      <c r="F1776" s="3" t="n">
        <v>3201777</v>
      </c>
      <c r="G1776" s="2" t="s">
        <v>32</v>
      </c>
      <c r="H1776" s="2" t="n">
        <f aca="false">F1776/Tabla2[[#This Row],[Cosecha Mensual]]</f>
        <v>103.648685687155</v>
      </c>
      <c r="I1776" s="2" t="n">
        <f aca="false">H1776*_xlfn.XLOOKUP(Tabla2[[#This Row],[Unidad de producción]],Tabla3[Medida],Tabla3[Equivalencia en Kg],"ELVIS",0)</f>
        <v>2820.28073754748</v>
      </c>
      <c r="J1776" s="2" t="n">
        <v>173.944444444444</v>
      </c>
      <c r="K1776" s="2" t="s">
        <v>32</v>
      </c>
      <c r="L1776" s="2" t="n">
        <f aca="false">J1776/_xlfn.XLOOKUP(Tabla2[[#This Row],[Unidad de precio]],Tabla3[Medida],Tabla3[Equivalencia en Kg],"ELVIS",0)</f>
        <v>6.3926660949814</v>
      </c>
      <c r="M1776" s="3" t="n">
        <v>12463.8060770282</v>
      </c>
      <c r="N1776" s="3" t="n">
        <f aca="false">(Tabla2[[#This Row],[Productividad (kg/TAS)]]*Tabla2[[#This Row],[Precio por kg]]-Tabla2[[#This Row],[Costos (En RD$/Tarea)]])</f>
        <v>5565.30697222072</v>
      </c>
      <c r="O1776" s="9" t="n">
        <f aca="false">IF(Tabla2[[#This Row],[Costos (En RD$/Tarea)]]=0,0,Tabla2[[#This Row],[Beneficio Neto  (En RD$/Tarea)]]/Tabla2[[#This Row],[Costos (En RD$/Tarea)]])</f>
        <v>0.446517455248123</v>
      </c>
      <c r="P1776" s="7" t="n">
        <f aca="false">Tabla2[[#This Row],[Rentabilidad (%)]]/12</f>
        <v>0.0372097879373435</v>
      </c>
    </row>
    <row r="1777" customFormat="false" ht="14.25" hidden="false" customHeight="false" outlineLevel="0" collapsed="false">
      <c r="A1777" s="1" t="n">
        <v>41000</v>
      </c>
      <c r="B1777" s="2" t="s">
        <v>33</v>
      </c>
      <c r="C1777" s="3" t="n">
        <v>722410</v>
      </c>
      <c r="D1777" s="3" t="s">
        <v>31</v>
      </c>
      <c r="E1777" s="11" t="n">
        <f aca="false">IF(Tabla2[[#This Row],[Frecuencia]]="Annual", Tabla2[[#This Row],[Cosecha/Tarea]]/12,Tabla2[[#This Row],[Cosecha/Tarea]])</f>
        <v>60200.8333333333</v>
      </c>
      <c r="F1777" s="3" t="n">
        <v>185808</v>
      </c>
      <c r="G1777" s="2" t="s">
        <v>34</v>
      </c>
      <c r="H1777" s="2" t="n">
        <f aca="false">F1777/Tabla2[[#This Row],[Cosecha Mensual]]</f>
        <v>3.08646890270068</v>
      </c>
      <c r="I1777" s="2" t="n">
        <f aca="false">H1777*_xlfn.XLOOKUP(Tabla2[[#This Row],[Unidad de producción]],Tabla3[Medida],Tabla3[Equivalencia en Kg],"ELVIS",0)</f>
        <v>1259.74228263728</v>
      </c>
      <c r="J1777" s="2" t="n">
        <v>4530.74489795918</v>
      </c>
      <c r="K1777" s="2" t="s">
        <v>34</v>
      </c>
      <c r="L1777" s="2" t="n">
        <f aca="false">J1777/_xlfn.XLOOKUP(Tabla2[[#This Row],[Unidad de precio]],Tabla3[Medida],Tabla3[Equivalencia en Kg],"ELVIS",0)</f>
        <v>11.1006857722876</v>
      </c>
      <c r="M1777" s="3" t="n">
        <v>11933.7643424532</v>
      </c>
      <c r="N1777" s="3" t="n">
        <f aca="false">(Tabla2[[#This Row],[Productividad (kg/TAS)]]*Tabla2[[#This Row],[Precio por kg]]-Tabla2[[#This Row],[Costos (En RD$/Tarea)]])</f>
        <v>2050.23889116758</v>
      </c>
      <c r="O1777" s="9" t="n">
        <f aca="false">IF(Tabla2[[#This Row],[Costos (En RD$/Tarea)]]=0,0,Tabla2[[#This Row],[Beneficio Neto  (En RD$/Tarea)]]/Tabla2[[#This Row],[Costos (En RD$/Tarea)]])</f>
        <v>0.171801523168516</v>
      </c>
      <c r="P1777" s="7" t="n">
        <f aca="false">Tabla2[[#This Row],[Rentabilidad (%)]]/12</f>
        <v>0.0143167935973763</v>
      </c>
    </row>
    <row r="1778" customFormat="false" ht="14.25" hidden="false" customHeight="false" outlineLevel="0" collapsed="false">
      <c r="A1778" s="1" t="n">
        <v>41030</v>
      </c>
      <c r="B1778" s="2" t="s">
        <v>16</v>
      </c>
      <c r="C1778" s="3" t="n">
        <v>583917</v>
      </c>
      <c r="D1778" s="8" t="s">
        <v>17</v>
      </c>
      <c r="E1778" s="3" t="n">
        <f aca="false">IF(Tabla2[[#This Row],[Frecuencia]]="Annual", Tabla2[[#This Row],[Cosecha/Tarea]]/12,Tabla2[[#This Row],[Cosecha/Tarea]])</f>
        <v>583917</v>
      </c>
      <c r="F1778" s="3" t="n">
        <v>2714505</v>
      </c>
      <c r="G1778" s="2" t="s">
        <v>18</v>
      </c>
      <c r="H1778" s="2" t="n">
        <f aca="false">F1778/Tabla2[[#This Row],[Cosecha Mensual]]</f>
        <v>4.64878570070746</v>
      </c>
      <c r="I1778" s="2" t="n">
        <f aca="false">H1778*_xlfn.XLOOKUP(Tabla2[[#This Row],[Unidad de producción]],Tabla3[Medida],Tabla3[Equivalencia en Kg],"ELVIS",0)</f>
        <v>210.868919384091</v>
      </c>
      <c r="J1778" s="2" t="n">
        <v>1499.16391639164</v>
      </c>
      <c r="K1778" s="2" t="s">
        <v>19</v>
      </c>
      <c r="L1778" s="2" t="n">
        <f aca="false">J1778/_xlfn.XLOOKUP(Tabla2[[#This Row],[Unidad de precio]],Tabla3[Medida],Tabla3[Equivalencia en Kg],"ELVIS",0)</f>
        <v>13.6287628762876</v>
      </c>
      <c r="M1778" s="2" t="n">
        <v>7982.61905212344</v>
      </c>
      <c r="N1778" s="3" t="n">
        <f aca="false">(Tabla2[[#This Row],[Productividad (kg/TAS)]]*Tabla2[[#This Row],[Precio por kg]]-Tabla2[[#This Row],[Costos (En RD$/Tarea)]])</f>
        <v>-5108.73655185866</v>
      </c>
      <c r="O1778" s="9" t="n">
        <f aca="false">IF(Tabla2[[#This Row],[Costos (En RD$/Tarea)]]=0,0,Tabla2[[#This Row],[Beneficio Neto  (En RD$/Tarea)]]/Tabla2[[#This Row],[Costos (En RD$/Tarea)]])</f>
        <v>-0.639982506806421</v>
      </c>
      <c r="P1778" s="7" t="n">
        <f aca="false">Tabla2[[#This Row],[Rentabilidad (%)]]/12</f>
        <v>-0.0533318755672018</v>
      </c>
    </row>
    <row r="1779" customFormat="false" ht="14.25" hidden="false" customHeight="false" outlineLevel="0" collapsed="false">
      <c r="A1779" s="1" t="n">
        <v>41030</v>
      </c>
      <c r="B1779" s="2" t="s">
        <v>20</v>
      </c>
      <c r="C1779" s="3" t="n">
        <v>27657</v>
      </c>
      <c r="D1779" s="8" t="s">
        <v>17</v>
      </c>
      <c r="E1779" s="3" t="n">
        <f aca="false">IF(Tabla2[[#This Row],[Frecuencia]]="Annual", Tabla2[[#This Row],[Cosecha/Tarea]]/12,Tabla2[[#This Row],[Cosecha/Tarea]])</f>
        <v>27657</v>
      </c>
      <c r="F1779" s="3" t="n">
        <v>74210</v>
      </c>
      <c r="G1779" s="2" t="s">
        <v>18</v>
      </c>
      <c r="H1779" s="2" t="n">
        <f aca="false">F1779/Tabla2[[#This Row],[Cosecha Mensual]]</f>
        <v>2.68322666955924</v>
      </c>
      <c r="I1779" s="2" t="n">
        <f aca="false">H1779*_xlfn.XLOOKUP(Tabla2[[#This Row],[Unidad de producción]],Tabla3[Medida],Tabla3[Equivalencia en Kg],"ELVIS",0)</f>
        <v>121.711161731207</v>
      </c>
      <c r="J1779" s="2" t="n">
        <v>767.142857142857</v>
      </c>
      <c r="K1779" s="2" t="s">
        <v>18</v>
      </c>
      <c r="L1779" s="2" t="n">
        <f aca="false">J1779/_xlfn.XLOOKUP(Tabla2[[#This Row],[Unidad de precio]],Tabla3[Medida],Tabla3[Equivalencia en Kg],"ELVIS",0)</f>
        <v>16.9123204837491</v>
      </c>
      <c r="M1779" s="2" t="n">
        <v>2248.3053412475</v>
      </c>
      <c r="N1779" s="3" t="n">
        <f aca="false">(Tabla2[[#This Row],[Productividad (kg/TAS)]]*Tabla2[[#This Row],[Precio por kg]]-Tabla2[[#This Row],[Costos (En RD$/Tarea)]])</f>
        <v>-189.887167599909</v>
      </c>
      <c r="O1779" s="9" t="n">
        <f aca="false">IF(Tabla2[[#This Row],[Costos (En RD$/Tarea)]]=0,0,Tabla2[[#This Row],[Beneficio Neto  (En RD$/Tarea)]]/Tabla2[[#This Row],[Costos (En RD$/Tarea)]])</f>
        <v>-0.0844579088597228</v>
      </c>
      <c r="P1779" s="7" t="n">
        <f aca="false">Tabla2[[#This Row],[Rentabilidad (%)]]/12</f>
        <v>-0.00703815907164357</v>
      </c>
    </row>
    <row r="1780" customFormat="false" ht="14.25" hidden="false" customHeight="false" outlineLevel="0" collapsed="false">
      <c r="A1780" s="1" t="n">
        <v>41030</v>
      </c>
      <c r="B1780" s="2" t="s">
        <v>21</v>
      </c>
      <c r="C1780" s="3" t="n">
        <v>9101</v>
      </c>
      <c r="D1780" s="8" t="s">
        <v>17</v>
      </c>
      <c r="E1780" s="3" t="n">
        <f aca="false">IF(Tabla2[[#This Row],[Frecuencia]]="Annual", Tabla2[[#This Row],[Cosecha/Tarea]]/12,Tabla2[[#This Row],[Cosecha/Tarea]])</f>
        <v>9101</v>
      </c>
      <c r="F1780" s="3" t="n">
        <v>94102</v>
      </c>
      <c r="G1780" s="2" t="s">
        <v>18</v>
      </c>
      <c r="H1780" s="2" t="n">
        <f aca="false">F1780/Tabla2[[#This Row],[Cosecha Mensual]]</f>
        <v>10.3397428853972</v>
      </c>
      <c r="I1780" s="2" t="n">
        <f aca="false">H1780*_xlfn.XLOOKUP(Tabla2[[#This Row],[Unidad de producción]],Tabla3[Medida],Tabla3[Equivalencia en Kg],"ELVIS",0)</f>
        <v>469.010737281617</v>
      </c>
      <c r="J1780" s="2" t="n">
        <v>187.183928571429</v>
      </c>
      <c r="K1780" s="2" t="s">
        <v>18</v>
      </c>
      <c r="L1780" s="2" t="n">
        <f aca="false">J1780/_xlfn.XLOOKUP(Tabla2[[#This Row],[Unidad de precio]],Tabla3[Medida],Tabla3[Equivalencia en Kg],"ELVIS",0)</f>
        <v>4.12662981859411</v>
      </c>
      <c r="M1780" s="2" t="n">
        <v>5350.20172000917</v>
      </c>
      <c r="N1780" s="3" t="n">
        <f aca="false">(Tabla2[[#This Row],[Productividad (kg/TAS)]]*Tabla2[[#This Row],[Precio por kg]]-Tabla2[[#This Row],[Costos (En RD$/Tarea)]])</f>
        <v>-3414.76802630204</v>
      </c>
      <c r="O1780" s="9" t="n">
        <f aca="false">IF(Tabla2[[#This Row],[Costos (En RD$/Tarea)]]=0,0,Tabla2[[#This Row],[Beneficio Neto  (En RD$/Tarea)]]/Tabla2[[#This Row],[Costos (En RD$/Tarea)]])</f>
        <v>-0.638250332418529</v>
      </c>
      <c r="P1780" s="7" t="n">
        <f aca="false">Tabla2[[#This Row],[Rentabilidad (%)]]/12</f>
        <v>-0.0531875277015441</v>
      </c>
    </row>
    <row r="1781" customFormat="false" ht="14.25" hidden="false" customHeight="false" outlineLevel="0" collapsed="false">
      <c r="A1781" s="1" t="n">
        <v>41030</v>
      </c>
      <c r="B1781" s="2" t="s">
        <v>22</v>
      </c>
      <c r="C1781" s="3" t="n">
        <v>6721</v>
      </c>
      <c r="D1781" s="8" t="s">
        <v>17</v>
      </c>
      <c r="E1781" s="3" t="n">
        <f aca="false">IF(Tabla2[[#This Row],[Frecuencia]]="Annual", Tabla2[[#This Row],[Cosecha/Tarea]]/12,Tabla2[[#This Row],[Cosecha/Tarea]])</f>
        <v>6721</v>
      </c>
      <c r="F1781" s="3" t="n">
        <v>66104</v>
      </c>
      <c r="G1781" s="2" t="s">
        <v>18</v>
      </c>
      <c r="H1781" s="2" t="n">
        <f aca="false">F1781/Tabla2[[#This Row],[Cosecha Mensual]]</f>
        <v>9.83544115459009</v>
      </c>
      <c r="I1781" s="2" t="n">
        <f aca="false">H1781*_xlfn.XLOOKUP(Tabla2[[#This Row],[Unidad de producción]],Tabla3[Medida],Tabla3[Equivalencia en Kg],"ELVIS",0)</f>
        <v>446.135610772207</v>
      </c>
      <c r="J1781" s="2" t="n">
        <v>1075.16027777778</v>
      </c>
      <c r="K1781" s="2" t="s">
        <v>18</v>
      </c>
      <c r="L1781" s="2" t="n">
        <f aca="false">J1781/_xlfn.XLOOKUP(Tabla2[[#This Row],[Unidad de precio]],Tabla3[Medida],Tabla3[Equivalencia en Kg],"ELVIS",0)</f>
        <v>23.7028279933373</v>
      </c>
      <c r="M1781" s="2" t="n">
        <v>8360.190555</v>
      </c>
      <c r="N1781" s="3" t="n">
        <f aca="false">(Tabla2[[#This Row],[Productividad (kg/TAS)]]*Tabla2[[#This Row],[Precio por kg]]-Tabla2[[#This Row],[Costos (En RD$/Tarea)]])</f>
        <v>2214.48508883609</v>
      </c>
      <c r="O1781" s="9" t="n">
        <f aca="false">IF(Tabla2[[#This Row],[Costos (En RD$/Tarea)]]=0,0,Tabla2[[#This Row],[Beneficio Neto  (En RD$/Tarea)]]/Tabla2[[#This Row],[Costos (En RD$/Tarea)]])</f>
        <v>0.264884523177725</v>
      </c>
      <c r="P1781" s="7" t="n">
        <f aca="false">Tabla2[[#This Row],[Rentabilidad (%)]]/12</f>
        <v>0.0220737102648104</v>
      </c>
    </row>
    <row r="1782" customFormat="false" ht="14.25" hidden="false" customHeight="false" outlineLevel="0" collapsed="false">
      <c r="A1782" s="1" t="n">
        <v>41030</v>
      </c>
      <c r="B1782" s="2" t="s">
        <v>23</v>
      </c>
      <c r="C1782" s="3" t="n">
        <v>2987</v>
      </c>
      <c r="D1782" s="8" t="s">
        <v>17</v>
      </c>
      <c r="E1782" s="3" t="n">
        <f aca="false">IF(Tabla2[[#This Row],[Frecuencia]]="Annual", Tabla2[[#This Row],[Cosecha/Tarea]]/12,Tabla2[[#This Row],[Cosecha/Tarea]])</f>
        <v>2987</v>
      </c>
      <c r="F1782" s="3" t="n">
        <v>82147</v>
      </c>
      <c r="G1782" s="2" t="s">
        <v>18</v>
      </c>
      <c r="H1782" s="2" t="n">
        <f aca="false">F1782/Tabla2[[#This Row],[Cosecha Mensual]]</f>
        <v>27.5015065282893</v>
      </c>
      <c r="I1782" s="2" t="n">
        <f aca="false">H1782*_xlfn.XLOOKUP(Tabla2[[#This Row],[Unidad de producción]],Tabla3[Medida],Tabla3[Equivalencia en Kg],"ELVIS",0)</f>
        <v>1247.4683361232</v>
      </c>
      <c r="J1782" s="2" t="n">
        <v>631.428571428571</v>
      </c>
      <c r="K1782" s="2" t="s">
        <v>18</v>
      </c>
      <c r="L1782" s="2" t="n">
        <f aca="false">J1782/_xlfn.XLOOKUP(Tabla2[[#This Row],[Unidad de precio]],Tabla3[Medida],Tabla3[Equivalencia en Kg],"ELVIS",0)</f>
        <v>13.920382968002</v>
      </c>
      <c r="M1782" s="2" t="n">
        <v>24344.842076238</v>
      </c>
      <c r="N1782" s="3" t="n">
        <f aca="false">(Tabla2[[#This Row],[Productividad (kg/TAS)]]*Tabla2[[#This Row],[Precio por kg]]-Tabla2[[#This Row],[Costos (En RD$/Tarea)]])</f>
        <v>-6979.6050969468</v>
      </c>
      <c r="O1782" s="9" t="n">
        <f aca="false">IF(Tabla2[[#This Row],[Costos (En RD$/Tarea)]]=0,0,Tabla2[[#This Row],[Beneficio Neto  (En RD$/Tarea)]]/Tabla2[[#This Row],[Costos (En RD$/Tarea)]])</f>
        <v>-0.286697489147375</v>
      </c>
      <c r="P1782" s="7" t="n">
        <f aca="false">Tabla2[[#This Row],[Rentabilidad (%)]]/12</f>
        <v>-0.0238914574289479</v>
      </c>
    </row>
    <row r="1783" customFormat="false" ht="14.25" hidden="false" customHeight="false" outlineLevel="0" collapsed="false">
      <c r="A1783" s="1" t="n">
        <v>41030</v>
      </c>
      <c r="B1783" s="2" t="s">
        <v>24</v>
      </c>
      <c r="C1783" s="3" t="n">
        <v>6710</v>
      </c>
      <c r="D1783" s="8" t="s">
        <v>17</v>
      </c>
      <c r="E1783" s="3" t="n">
        <f aca="false">IF(Tabla2[[#This Row],[Frecuencia]]="Annual", Tabla2[[#This Row],[Cosecha/Tarea]]/12,Tabla2[[#This Row],[Cosecha/Tarea]])</f>
        <v>6710</v>
      </c>
      <c r="F1783" s="3" t="n">
        <v>107985</v>
      </c>
      <c r="G1783" s="2" t="s">
        <v>18</v>
      </c>
      <c r="H1783" s="2" t="n">
        <f aca="false">F1783/Tabla2[[#This Row],[Cosecha Mensual]]</f>
        <v>16.0931445603577</v>
      </c>
      <c r="I1783" s="2" t="n">
        <f aca="false">H1783*_xlfn.XLOOKUP(Tabla2[[#This Row],[Unidad de producción]],Tabla3[Medida],Tabla3[Equivalencia en Kg],"ELVIS",0)</f>
        <v>729.985037257824</v>
      </c>
      <c r="J1783" s="2" t="n">
        <v>1239.35185185185</v>
      </c>
      <c r="K1783" s="2" t="s">
        <v>18</v>
      </c>
      <c r="L1783" s="2" t="n">
        <f aca="false">J1783/_xlfn.XLOOKUP(Tabla2[[#This Row],[Unidad de precio]],Tabla3[Medida],Tabla3[Equivalencia en Kg],"ELVIS",0)</f>
        <v>27.3225716898556</v>
      </c>
      <c r="M1783" s="2" t="n">
        <v>8104.7130577284</v>
      </c>
      <c r="N1783" s="3" t="n">
        <f aca="false">(Tabla2[[#This Row],[Productividad (kg/TAS)]]*Tabla2[[#This Row],[Precio por kg]]-Tabla2[[#This Row],[Costos (En RD$/Tarea)]])</f>
        <v>11840.3554552704</v>
      </c>
      <c r="O1783" s="9" t="n">
        <f aca="false">IF(Tabla2[[#This Row],[Costos (En RD$/Tarea)]]=0,0,Tabla2[[#This Row],[Beneficio Neto  (En RD$/Tarea)]]/Tabla2[[#This Row],[Costos (En RD$/Tarea)]])</f>
        <v>1.4609222277129</v>
      </c>
      <c r="P1783" s="7" t="n">
        <f aca="false">Tabla2[[#This Row],[Rentabilidad (%)]]/12</f>
        <v>0.121743518976075</v>
      </c>
    </row>
    <row r="1784" customFormat="false" ht="14.25" hidden="false" customHeight="false" outlineLevel="0" collapsed="false">
      <c r="A1784" s="1" t="n">
        <v>41030</v>
      </c>
      <c r="B1784" s="2" t="s">
        <v>25</v>
      </c>
      <c r="C1784" s="3" t="n">
        <v>21468</v>
      </c>
      <c r="D1784" s="8" t="s">
        <v>17</v>
      </c>
      <c r="E1784" s="3" t="n">
        <f aca="false">IF(Tabla2[[#This Row],[Frecuencia]]="Annual", Tabla2[[#This Row],[Cosecha/Tarea]]/12,Tabla2[[#This Row],[Cosecha/Tarea]])</f>
        <v>21468</v>
      </c>
      <c r="F1784" s="3" t="n">
        <v>354788</v>
      </c>
      <c r="G1784" s="2" t="s">
        <v>18</v>
      </c>
      <c r="H1784" s="2" t="n">
        <f aca="false">F1784/Tabla2[[#This Row],[Cosecha Mensual]]</f>
        <v>16.5263648220607</v>
      </c>
      <c r="I1784" s="2" t="n">
        <f aca="false">H1784*_xlfn.XLOOKUP(Tabla2[[#This Row],[Unidad de producción]],Tabla3[Medida],Tabla3[Equivalencia en Kg],"ELVIS",0)</f>
        <v>749.635908328675</v>
      </c>
      <c r="J1784" s="2" t="n">
        <v>359.2674</v>
      </c>
      <c r="K1784" s="2" t="s">
        <v>18</v>
      </c>
      <c r="L1784" s="2" t="n">
        <f aca="false">J1784/_xlfn.XLOOKUP(Tabla2[[#This Row],[Unidad de precio]],Tabla3[Medida],Tabla3[Equivalencia en Kg],"ELVIS",0)</f>
        <v>7.92035714285714</v>
      </c>
      <c r="M1784" s="2" t="n">
        <v>4628.4219376425</v>
      </c>
      <c r="N1784" s="3" t="n">
        <f aca="false">(Tabla2[[#This Row],[Productividad (kg/TAS)]]*Tabla2[[#This Row],[Precio por kg]]-Tabla2[[#This Row],[Costos (En RD$/Tarea)]])</f>
        <v>1308.96218343073</v>
      </c>
      <c r="O1784" s="9" t="n">
        <f aca="false">IF(Tabla2[[#This Row],[Costos (En RD$/Tarea)]]=0,0,Tabla2[[#This Row],[Beneficio Neto  (En RD$/Tarea)]]/Tabla2[[#This Row],[Costos (En RD$/Tarea)]])</f>
        <v>0.282809605750302</v>
      </c>
      <c r="P1784" s="7" t="n">
        <f aca="false">Tabla2[[#This Row],[Rentabilidad (%)]]/12</f>
        <v>0.0235674671458585</v>
      </c>
    </row>
    <row r="1785" customFormat="false" ht="14.25" hidden="false" customHeight="false" outlineLevel="0" collapsed="false">
      <c r="A1785" s="1" t="n">
        <v>41030</v>
      </c>
      <c r="B1785" s="2" t="s">
        <v>26</v>
      </c>
      <c r="C1785" s="3" t="n">
        <v>12933</v>
      </c>
      <c r="D1785" s="8" t="s">
        <v>17</v>
      </c>
      <c r="E1785" s="3" t="n">
        <f aca="false">IF(Tabla2[[#This Row],[Frecuencia]]="Annual", Tabla2[[#This Row],[Cosecha/Tarea]]/12,Tabla2[[#This Row],[Cosecha/Tarea]])</f>
        <v>12933</v>
      </c>
      <c r="F1785" s="3" t="n">
        <v>89757</v>
      </c>
      <c r="G1785" s="2" t="s">
        <v>18</v>
      </c>
      <c r="H1785" s="2" t="n">
        <f aca="false">F1785/Tabla2[[#This Row],[Cosecha Mensual]]</f>
        <v>6.9401530967293</v>
      </c>
      <c r="I1785" s="2" t="n">
        <f aca="false">H1785*_xlfn.XLOOKUP(Tabla2[[#This Row],[Unidad de producción]],Tabla3[Medida],Tabla3[Equivalencia en Kg],"ELVIS",0)</f>
        <v>314.805344467641</v>
      </c>
      <c r="J1785" s="2" t="n">
        <v>668.690476190476</v>
      </c>
      <c r="K1785" s="2" t="s">
        <v>18</v>
      </c>
      <c r="L1785" s="2" t="n">
        <f aca="false">J1785/_xlfn.XLOOKUP(Tabla2[[#This Row],[Unidad de precio]],Tabla3[Medida],Tabla3[Equivalencia en Kg],"ELVIS",0)</f>
        <v>14.7418535315361</v>
      </c>
      <c r="M1785" s="2" t="n">
        <v>2035.793320573</v>
      </c>
      <c r="N1785" s="3" t="n">
        <f aca="false">(Tabla2[[#This Row],[Productividad (kg/TAS)]]*Tabla2[[#This Row],[Precio por kg]]-Tabla2[[#This Row],[Costos (En RD$/Tarea)]])</f>
        <v>2605.02095851372</v>
      </c>
      <c r="O1785" s="9" t="n">
        <f aca="false">IF(Tabla2[[#This Row],[Costos (En RD$/Tarea)]]=0,0,Tabla2[[#This Row],[Beneficio Neto  (En RD$/Tarea)]]/Tabla2[[#This Row],[Costos (En RD$/Tarea)]])</f>
        <v>1.2796097384682</v>
      </c>
      <c r="P1785" s="7" t="n">
        <f aca="false">Tabla2[[#This Row],[Rentabilidad (%)]]/12</f>
        <v>0.10663414487235</v>
      </c>
    </row>
    <row r="1786" customFormat="false" ht="14.25" hidden="false" customHeight="false" outlineLevel="0" collapsed="false">
      <c r="A1786" s="1" t="n">
        <v>41030</v>
      </c>
      <c r="B1786" s="2" t="s">
        <v>27</v>
      </c>
      <c r="C1786" s="3" t="n">
        <v>7104</v>
      </c>
      <c r="D1786" s="8" t="s">
        <v>17</v>
      </c>
      <c r="E1786" s="3" t="n">
        <f aca="false">IF(Tabla2[[#This Row],[Frecuencia]]="Annual", Tabla2[[#This Row],[Cosecha/Tarea]]/12,Tabla2[[#This Row],[Cosecha/Tarea]])</f>
        <v>7104</v>
      </c>
      <c r="F1786" s="3" t="n">
        <v>53741</v>
      </c>
      <c r="G1786" s="2" t="s">
        <v>18</v>
      </c>
      <c r="H1786" s="2" t="n">
        <f aca="false">F1786/Tabla2[[#This Row],[Cosecha Mensual]]</f>
        <v>7.56489301801802</v>
      </c>
      <c r="I1786" s="2" t="n">
        <f aca="false">H1786*_xlfn.XLOOKUP(Tabla2[[#This Row],[Unidad de producción]],Tabla3[Medida],Tabla3[Equivalencia en Kg],"ELVIS",0)</f>
        <v>343.143547297297</v>
      </c>
      <c r="J1786" s="2" t="n">
        <v>668.488571428571</v>
      </c>
      <c r="K1786" s="2" t="s">
        <v>18</v>
      </c>
      <c r="L1786" s="2" t="n">
        <f aca="false">J1786/_xlfn.XLOOKUP(Tabla2[[#This Row],[Unidad de precio]],Tabla3[Medida],Tabla3[Equivalencia en Kg],"ELVIS",0)</f>
        <v>14.7374023683547</v>
      </c>
      <c r="M1786" s="2" t="n">
        <v>7766.250013275</v>
      </c>
      <c r="N1786" s="3" t="n">
        <f aca="false">(Tabla2[[#This Row],[Productividad (kg/TAS)]]*Tabla2[[#This Row],[Precio por kg]]-Tabla2[[#This Row],[Costos (En RD$/Tarea)]])</f>
        <v>-2709.20548665016</v>
      </c>
      <c r="O1786" s="9" t="n">
        <f aca="false">IF(Tabla2[[#This Row],[Costos (En RD$/Tarea)]]=0,0,Tabla2[[#This Row],[Beneficio Neto  (En RD$/Tarea)]]/Tabla2[[#This Row],[Costos (En RD$/Tarea)]])</f>
        <v>-0.348843454951781</v>
      </c>
      <c r="P1786" s="7" t="n">
        <f aca="false">Tabla2[[#This Row],[Rentabilidad (%)]]/12</f>
        <v>-0.0290702879126484</v>
      </c>
    </row>
    <row r="1787" customFormat="false" ht="14.25" hidden="false" customHeight="false" outlineLevel="0" collapsed="false">
      <c r="A1787" s="1" t="n">
        <v>41030</v>
      </c>
      <c r="B1787" s="2" t="s">
        <v>28</v>
      </c>
      <c r="C1787" s="3" t="n">
        <v>510</v>
      </c>
      <c r="D1787" s="8" t="s">
        <v>17</v>
      </c>
      <c r="E1787" s="3" t="n">
        <f aca="false">IF(Tabla2[[#This Row],[Frecuencia]]="Annual", Tabla2[[#This Row],[Cosecha/Tarea]]/12,Tabla2[[#This Row],[Cosecha/Tarea]])</f>
        <v>510</v>
      </c>
      <c r="F1787" s="3" t="n">
        <v>1854</v>
      </c>
      <c r="G1787" s="2" t="s">
        <v>29</v>
      </c>
      <c r="H1787" s="2" t="n">
        <f aca="false">F1787/Tabla2[[#This Row],[Cosecha Mensual]]</f>
        <v>3.63529411764706</v>
      </c>
      <c r="I1787" s="2" t="n">
        <f aca="false">H1787*_xlfn.XLOOKUP(Tabla2[[#This Row],[Unidad de producción]],Tabla3[Medida],Tabla3[Equivalencia en Kg],"ELVIS",0)</f>
        <v>2044.27129411765</v>
      </c>
      <c r="J1787" s="2" t="n">
        <v>4959.5</v>
      </c>
      <c r="K1787" s="2" t="s">
        <v>29</v>
      </c>
      <c r="L1787" s="2" t="n">
        <f aca="false">J1787/_xlfn.XLOOKUP(Tabla2[[#This Row],[Unidad de precio]],Tabla3[Medida],Tabla3[Equivalencia en Kg],"ELVIS",0)</f>
        <v>8.81939751751609</v>
      </c>
      <c r="M1787" s="2" t="n">
        <v>6923.3397737334</v>
      </c>
      <c r="N1787" s="3" t="n">
        <f aca="false">(Tabla2[[#This Row],[Productividad (kg/TAS)]]*Tabla2[[#This Row],[Precio por kg]]-Tabla2[[#This Row],[Costos (En RD$/Tarea)]])</f>
        <v>11105.9014027372</v>
      </c>
      <c r="O1787" s="9" t="n">
        <f aca="false">IF(Tabla2[[#This Row],[Costos (En RD$/Tarea)]]=0,0,Tabla2[[#This Row],[Beneficio Neto  (En RD$/Tarea)]]/Tabla2[[#This Row],[Costos (En RD$/Tarea)]])</f>
        <v>1.60412485385624</v>
      </c>
      <c r="P1787" s="7" t="n">
        <f aca="false">Tabla2[[#This Row],[Rentabilidad (%)]]/12</f>
        <v>0.133677071154687</v>
      </c>
    </row>
    <row r="1788" customFormat="false" ht="14.25" hidden="false" customHeight="false" outlineLevel="0" collapsed="false">
      <c r="A1788" s="1" t="n">
        <v>41030</v>
      </c>
      <c r="B1788" s="2" t="s">
        <v>30</v>
      </c>
      <c r="C1788" s="3" t="n">
        <v>364163</v>
      </c>
      <c r="D1788" s="3" t="s">
        <v>31</v>
      </c>
      <c r="E1788" s="3" t="n">
        <f aca="false">IF(Tabla2[[#This Row],[Frecuencia]]="Annual", Tabla2[[#This Row],[Cosecha/Tarea]]/12,Tabla2[[#This Row],[Cosecha/Tarea]])</f>
        <v>30346.9166666667</v>
      </c>
      <c r="F1788" s="3" t="n">
        <v>3201444</v>
      </c>
      <c r="G1788" s="2" t="s">
        <v>32</v>
      </c>
      <c r="H1788" s="2" t="n">
        <f aca="false">F1788/Tabla2[[#This Row],[Cosecha Mensual]]</f>
        <v>105.49486905589</v>
      </c>
      <c r="I1788" s="2" t="n">
        <f aca="false">H1788*_xlfn.XLOOKUP(Tabla2[[#This Row],[Unidad de producción]],Tabla3[Medida],Tabla3[Equivalencia en Kg],"ELVIS",0)</f>
        <v>2870.51538701076</v>
      </c>
      <c r="J1788" s="2" t="n">
        <v>174.740740740741</v>
      </c>
      <c r="K1788" s="2" t="s">
        <v>32</v>
      </c>
      <c r="L1788" s="2" t="n">
        <f aca="false">J1788/_xlfn.XLOOKUP(Tabla2[[#This Row],[Unidad de precio]],Tabla3[Medida],Tabla3[Equivalencia en Kg],"ELVIS",0)</f>
        <v>6.42193093497762</v>
      </c>
      <c r="M1788" s="3" t="n">
        <v>12463.8060770282</v>
      </c>
      <c r="N1788" s="3" t="n">
        <f aca="false">(Tabla2[[#This Row],[Productividad (kg/TAS)]]*Tabla2[[#This Row],[Precio por kg]]-Tabla2[[#This Row],[Costos (En RD$/Tarea)]])</f>
        <v>5970.44548614546</v>
      </c>
      <c r="O1788" s="9" t="n">
        <f aca="false">IF(Tabla2[[#This Row],[Costos (En RD$/Tarea)]]=0,0,Tabla2[[#This Row],[Beneficio Neto  (En RD$/Tarea)]]/Tabla2[[#This Row],[Costos (En RD$/Tarea)]])</f>
        <v>0.479022655619576</v>
      </c>
      <c r="P1788" s="7" t="n">
        <f aca="false">Tabla2[[#This Row],[Rentabilidad (%)]]/12</f>
        <v>0.0399185546349647</v>
      </c>
    </row>
    <row r="1789" customFormat="false" ht="14.25" hidden="false" customHeight="false" outlineLevel="0" collapsed="false">
      <c r="A1789" s="1" t="n">
        <v>41030</v>
      </c>
      <c r="B1789" s="2" t="s">
        <v>33</v>
      </c>
      <c r="C1789" s="3" t="n">
        <v>717546</v>
      </c>
      <c r="D1789" s="3" t="s">
        <v>31</v>
      </c>
      <c r="E1789" s="3" t="n">
        <f aca="false">IF(Tabla2[[#This Row],[Frecuencia]]="Annual", Tabla2[[#This Row],[Cosecha/Tarea]]/12,Tabla2[[#This Row],[Cosecha/Tarea]])</f>
        <v>59795.5</v>
      </c>
      <c r="F1789" s="3" t="n">
        <v>144741</v>
      </c>
      <c r="G1789" s="2" t="s">
        <v>34</v>
      </c>
      <c r="H1789" s="2" t="n">
        <f aca="false">F1789/Tabla2[[#This Row],[Cosecha Mensual]]</f>
        <v>2.42060021239056</v>
      </c>
      <c r="I1789" s="2" t="n">
        <f aca="false">H1789*_xlfn.XLOOKUP(Tabla2[[#This Row],[Unidad de producción]],Tabla3[Medida],Tabla3[Equivalencia en Kg],"ELVIS",0)</f>
        <v>987.967976687209</v>
      </c>
      <c r="J1789" s="2" t="n">
        <v>4001.2037037037</v>
      </c>
      <c r="K1789" s="2" t="s">
        <v>34</v>
      </c>
      <c r="L1789" s="2" t="n">
        <f aca="false">J1789/_xlfn.XLOOKUP(Tabla2[[#This Row],[Unidad de precio]],Tabla3[Medida],Tabla3[Equivalencia en Kg],"ELVIS",0)</f>
        <v>9.80326768027367</v>
      </c>
      <c r="M1789" s="3" t="n">
        <v>11933.7643424532</v>
      </c>
      <c r="N1789" s="3" t="n">
        <f aca="false">(Tabla2[[#This Row],[Productividad (kg/TAS)]]*Tabla2[[#This Row],[Precio por kg]]-Tabla2[[#This Row],[Costos (En RD$/Tarea)]])</f>
        <v>-2248.44980745011</v>
      </c>
      <c r="O1789" s="9" t="n">
        <f aca="false">IF(Tabla2[[#This Row],[Costos (En RD$/Tarea)]]=0,0,Tabla2[[#This Row],[Beneficio Neto  (En RD$/Tarea)]]/Tabla2[[#This Row],[Costos (En RD$/Tarea)]])</f>
        <v>-0.188410776593892</v>
      </c>
      <c r="P1789" s="7" t="n">
        <f aca="false">Tabla2[[#This Row],[Rentabilidad (%)]]/12</f>
        <v>-0.015700898049491</v>
      </c>
    </row>
    <row r="1790" customFormat="false" ht="14.25" hidden="false" customHeight="false" outlineLevel="0" collapsed="false">
      <c r="A1790" s="1" t="n">
        <v>41061</v>
      </c>
      <c r="B1790" s="2" t="s">
        <v>16</v>
      </c>
      <c r="C1790" s="3" t="n">
        <v>301265</v>
      </c>
      <c r="D1790" s="8" t="s">
        <v>17</v>
      </c>
      <c r="E1790" s="3" t="n">
        <f aca="false">IF(Tabla2[[#This Row],[Frecuencia]]="Annual", Tabla2[[#This Row],[Cosecha/Tarea]]/12,Tabla2[[#This Row],[Cosecha/Tarea]])</f>
        <v>301265</v>
      </c>
      <c r="F1790" s="3" t="n">
        <v>1525215</v>
      </c>
      <c r="G1790" s="2" t="s">
        <v>18</v>
      </c>
      <c r="H1790" s="2" t="n">
        <f aca="false">F1790/Tabla2[[#This Row],[Cosecha Mensual]]</f>
        <v>5.06270227208604</v>
      </c>
      <c r="I1790" s="2" t="n">
        <f aca="false">H1790*_xlfn.XLOOKUP(Tabla2[[#This Row],[Unidad de producción]],Tabla3[Medida],Tabla3[Equivalencia en Kg],"ELVIS",0)</f>
        <v>229.644175061823</v>
      </c>
      <c r="J1790" s="2" t="n">
        <v>1549.9145056839</v>
      </c>
      <c r="K1790" s="2" t="s">
        <v>19</v>
      </c>
      <c r="L1790" s="2" t="n">
        <f aca="false">J1790/_xlfn.XLOOKUP(Tabla2[[#This Row],[Unidad de precio]],Tabla3[Medida],Tabla3[Equivalencia en Kg],"ELVIS",0)</f>
        <v>14.0901318698536</v>
      </c>
      <c r="M1790" s="2" t="n">
        <v>7982.61905212344</v>
      </c>
      <c r="N1790" s="3" t="n">
        <f aca="false">(Tabla2[[#This Row],[Productividad (kg/TAS)]]*Tabla2[[#This Row],[Precio por kg]]-Tabla2[[#This Row],[Costos (En RD$/Tarea)]])</f>
        <v>-4746.90234235861</v>
      </c>
      <c r="O1790" s="9" t="n">
        <f aca="false">IF(Tabla2[[#This Row],[Costos (En RD$/Tarea)]]=0,0,Tabla2[[#This Row],[Beneficio Neto  (En RD$/Tarea)]]/Tabla2[[#This Row],[Costos (En RD$/Tarea)]])</f>
        <v>-0.59465475069813</v>
      </c>
      <c r="P1790" s="7" t="n">
        <f aca="false">Tabla2[[#This Row],[Rentabilidad (%)]]/12</f>
        <v>-0.0495545625581775</v>
      </c>
    </row>
    <row r="1791" customFormat="false" ht="14.25" hidden="false" customHeight="false" outlineLevel="0" collapsed="false">
      <c r="A1791" s="1" t="n">
        <v>41061</v>
      </c>
      <c r="B1791" s="2" t="s">
        <v>20</v>
      </c>
      <c r="C1791" s="3" t="n">
        <v>35274</v>
      </c>
      <c r="D1791" s="8" t="s">
        <v>17</v>
      </c>
      <c r="E1791" s="3" t="n">
        <f aca="false">IF(Tabla2[[#This Row],[Frecuencia]]="Annual", Tabla2[[#This Row],[Cosecha/Tarea]]/12,Tabla2[[#This Row],[Cosecha/Tarea]])</f>
        <v>35274</v>
      </c>
      <c r="F1791" s="3" t="n">
        <v>94367</v>
      </c>
      <c r="G1791" s="2" t="s">
        <v>18</v>
      </c>
      <c r="H1791" s="2" t="n">
        <f aca="false">F1791/Tabla2[[#This Row],[Cosecha Mensual]]</f>
        <v>2.67525656290752</v>
      </c>
      <c r="I1791" s="2" t="n">
        <f aca="false">H1791*_xlfn.XLOOKUP(Tabla2[[#This Row],[Unidad de producción]],Tabla3[Medida],Tabla3[Equivalencia en Kg],"ELVIS",0)</f>
        <v>121.349637693485</v>
      </c>
      <c r="J1791" s="2" t="n">
        <v>670.149857142857</v>
      </c>
      <c r="K1791" s="2" t="s">
        <v>18</v>
      </c>
      <c r="L1791" s="2" t="n">
        <f aca="false">J1791/_xlfn.XLOOKUP(Tabla2[[#This Row],[Unidad de precio]],Tabla3[Medida],Tabla3[Equivalencia en Kg],"ELVIS",0)</f>
        <v>14.7740268329554</v>
      </c>
      <c r="M1791" s="2" t="n">
        <v>2248.3053412475</v>
      </c>
      <c r="N1791" s="3" t="n">
        <f aca="false">(Tabla2[[#This Row],[Productividad (kg/TAS)]]*Tabla2[[#This Row],[Precio por kg]]-Tabla2[[#This Row],[Costos (En RD$/Tarea)]])</f>
        <v>-455.482537794533</v>
      </c>
      <c r="O1791" s="9" t="n">
        <f aca="false">IF(Tabla2[[#This Row],[Costos (En RD$/Tarea)]]=0,0,Tabla2[[#This Row],[Beneficio Neto  (En RD$/Tarea)]]/Tabla2[[#This Row],[Costos (En RD$/Tarea)]])</f>
        <v>-0.202589269988481</v>
      </c>
      <c r="P1791" s="7" t="n">
        <f aca="false">Tabla2[[#This Row],[Rentabilidad (%)]]/12</f>
        <v>-0.0168824391657067</v>
      </c>
    </row>
    <row r="1792" customFormat="false" ht="14.25" hidden="false" customHeight="false" outlineLevel="0" collapsed="false">
      <c r="A1792" s="1" t="n">
        <v>41061</v>
      </c>
      <c r="B1792" s="2" t="s">
        <v>21</v>
      </c>
      <c r="C1792" s="3" t="n">
        <v>8709</v>
      </c>
      <c r="D1792" s="8" t="s">
        <v>17</v>
      </c>
      <c r="E1792" s="3" t="n">
        <f aca="false">IF(Tabla2[[#This Row],[Frecuencia]]="Annual", Tabla2[[#This Row],[Cosecha/Tarea]]/12,Tabla2[[#This Row],[Cosecha/Tarea]])</f>
        <v>8709</v>
      </c>
      <c r="F1792" s="3" t="n">
        <v>98535</v>
      </c>
      <c r="G1792" s="2" t="s">
        <v>18</v>
      </c>
      <c r="H1792" s="2" t="n">
        <f aca="false">F1792/Tabla2[[#This Row],[Cosecha Mensual]]</f>
        <v>11.3141577678264</v>
      </c>
      <c r="I1792" s="2" t="n">
        <f aca="false">H1792*_xlfn.XLOOKUP(Tabla2[[#This Row],[Unidad de producción]],Tabla3[Medida],Tabla3[Equivalencia en Kg],"ELVIS",0)</f>
        <v>513.210196348605</v>
      </c>
      <c r="J1792" s="2" t="n">
        <v>195.544928571429</v>
      </c>
      <c r="K1792" s="2" t="s">
        <v>18</v>
      </c>
      <c r="L1792" s="2" t="n">
        <f aca="false">J1792/_xlfn.XLOOKUP(Tabla2[[#This Row],[Unidad de precio]],Tabla3[Medida],Tabla3[Equivalencia en Kg],"ELVIS",0)</f>
        <v>4.31095521541951</v>
      </c>
      <c r="M1792" s="2" t="n">
        <v>5350.20172000917</v>
      </c>
      <c r="N1792" s="3" t="n">
        <f aca="false">(Tabla2[[#This Row],[Productividad (kg/TAS)]]*Tabla2[[#This Row],[Precio por kg]]-Tabla2[[#This Row],[Costos (En RD$/Tarea)]])</f>
        <v>-3137.77554745368</v>
      </c>
      <c r="O1792" s="9" t="n">
        <f aca="false">IF(Tabla2[[#This Row],[Costos (En RD$/Tarea)]]=0,0,Tabla2[[#This Row],[Beneficio Neto  (En RD$/Tarea)]]/Tabla2[[#This Row],[Costos (En RD$/Tarea)]])</f>
        <v>-0.586477989366035</v>
      </c>
      <c r="P1792" s="7" t="n">
        <f aca="false">Tabla2[[#This Row],[Rentabilidad (%)]]/12</f>
        <v>-0.0488731657805029</v>
      </c>
    </row>
    <row r="1793" customFormat="false" ht="14.25" hidden="false" customHeight="false" outlineLevel="0" collapsed="false">
      <c r="A1793" s="1" t="n">
        <v>41061</v>
      </c>
      <c r="B1793" s="2" t="s">
        <v>22</v>
      </c>
      <c r="C1793" s="3" t="n">
        <v>5064</v>
      </c>
      <c r="D1793" s="8" t="s">
        <v>17</v>
      </c>
      <c r="E1793" s="3" t="n">
        <f aca="false">IF(Tabla2[[#This Row],[Frecuencia]]="Annual", Tabla2[[#This Row],[Cosecha/Tarea]]/12,Tabla2[[#This Row],[Cosecha/Tarea]])</f>
        <v>5064</v>
      </c>
      <c r="F1793" s="3" t="n">
        <v>41268</v>
      </c>
      <c r="G1793" s="2" t="s">
        <v>18</v>
      </c>
      <c r="H1793" s="2" t="n">
        <f aca="false">F1793/Tabla2[[#This Row],[Cosecha Mensual]]</f>
        <v>8.14928909952607</v>
      </c>
      <c r="I1793" s="2" t="n">
        <f aca="false">H1793*_xlfn.XLOOKUP(Tabla2[[#This Row],[Unidad de producción]],Tabla3[Medida],Tabla3[Equivalencia en Kg],"ELVIS",0)</f>
        <v>369.651753554502</v>
      </c>
      <c r="J1793" s="2" t="n">
        <v>1291.02380952381</v>
      </c>
      <c r="K1793" s="2" t="s">
        <v>18</v>
      </c>
      <c r="L1793" s="2" t="n">
        <f aca="false">J1793/_xlfn.XLOOKUP(Tabla2[[#This Row],[Unidad de precio]],Tabla3[Medida],Tabla3[Equivalencia en Kg],"ELVIS",0)</f>
        <v>28.4617241958512</v>
      </c>
      <c r="M1793" s="2" t="n">
        <v>8360.190555</v>
      </c>
      <c r="N1793" s="3" t="n">
        <f aca="false">(Tabla2[[#This Row],[Productividad (kg/TAS)]]*Tabla2[[#This Row],[Precio por kg]]-Tabla2[[#This Row],[Costos (En RD$/Tarea)]])</f>
        <v>2160.735703181</v>
      </c>
      <c r="O1793" s="9" t="n">
        <f aca="false">IF(Tabla2[[#This Row],[Costos (En RD$/Tarea)]]=0,0,Tabla2[[#This Row],[Beneficio Neto  (En RD$/Tarea)]]/Tabla2[[#This Row],[Costos (En RD$/Tarea)]])</f>
        <v>0.258455317371771</v>
      </c>
      <c r="P1793" s="7" t="n">
        <f aca="false">Tabla2[[#This Row],[Rentabilidad (%)]]/12</f>
        <v>0.0215379431143142</v>
      </c>
    </row>
    <row r="1794" customFormat="false" ht="14.25" hidden="false" customHeight="false" outlineLevel="0" collapsed="false">
      <c r="A1794" s="1" t="n">
        <v>41061</v>
      </c>
      <c r="B1794" s="2" t="s">
        <v>23</v>
      </c>
      <c r="C1794" s="3" t="n">
        <v>3001</v>
      </c>
      <c r="D1794" s="8" t="s">
        <v>17</v>
      </c>
      <c r="E1794" s="3" t="n">
        <f aca="false">IF(Tabla2[[#This Row],[Frecuencia]]="Annual", Tabla2[[#This Row],[Cosecha/Tarea]]/12,Tabla2[[#This Row],[Cosecha/Tarea]])</f>
        <v>3001</v>
      </c>
      <c r="F1794" s="3" t="n">
        <v>83125</v>
      </c>
      <c r="G1794" s="2" t="s">
        <v>18</v>
      </c>
      <c r="H1794" s="2" t="n">
        <f aca="false">F1794/Tabla2[[#This Row],[Cosecha Mensual]]</f>
        <v>27.6991002999</v>
      </c>
      <c r="I1794" s="2" t="n">
        <f aca="false">H1794*_xlfn.XLOOKUP(Tabla2[[#This Row],[Unidad de producción]],Tabla3[Medida],Tabla3[Equivalencia en Kg],"ELVIS",0)</f>
        <v>1256.43118960347</v>
      </c>
      <c r="J1794" s="2" t="n">
        <v>717.115654761905</v>
      </c>
      <c r="K1794" s="2" t="s">
        <v>18</v>
      </c>
      <c r="L1794" s="2" t="n">
        <f aca="false">J1794/_xlfn.XLOOKUP(Tabla2[[#This Row],[Unidad de precio]],Tabla3[Medida],Tabla3[Equivalencia en Kg],"ELVIS",0)</f>
        <v>15.8094280150332</v>
      </c>
      <c r="M1794" s="2" t="n">
        <v>24344.842076238</v>
      </c>
      <c r="N1794" s="3" t="n">
        <f aca="false">(Tabla2[[#This Row],[Productividad (kg/TAS)]]*Tabla2[[#This Row],[Precio por kg]]-Tabla2[[#This Row],[Costos (En RD$/Tarea)]])</f>
        <v>-4481.38362835951</v>
      </c>
      <c r="O1794" s="9" t="n">
        <f aca="false">IF(Tabla2[[#This Row],[Costos (En RD$/Tarea)]]=0,0,Tabla2[[#This Row],[Beneficio Neto  (En RD$/Tarea)]]/Tabla2[[#This Row],[Costos (En RD$/Tarea)]])</f>
        <v>-0.184079387918215</v>
      </c>
      <c r="P1794" s="7" t="n">
        <f aca="false">Tabla2[[#This Row],[Rentabilidad (%)]]/12</f>
        <v>-0.0153399489931846</v>
      </c>
    </row>
    <row r="1795" customFormat="false" ht="14.25" hidden="false" customHeight="false" outlineLevel="0" collapsed="false">
      <c r="A1795" s="1" t="n">
        <v>41061</v>
      </c>
      <c r="B1795" s="2" t="s">
        <v>24</v>
      </c>
      <c r="C1795" s="3" t="n">
        <v>7817</v>
      </c>
      <c r="D1795" s="8" t="s">
        <v>17</v>
      </c>
      <c r="E1795" s="3" t="n">
        <f aca="false">IF(Tabla2[[#This Row],[Frecuencia]]="Annual", Tabla2[[#This Row],[Cosecha/Tarea]]/12,Tabla2[[#This Row],[Cosecha/Tarea]])</f>
        <v>7817</v>
      </c>
      <c r="F1795" s="3" t="n">
        <v>61148</v>
      </c>
      <c r="G1795" s="2" t="s">
        <v>18</v>
      </c>
      <c r="H1795" s="2" t="n">
        <f aca="false">F1795/Tabla2[[#This Row],[Cosecha Mensual]]</f>
        <v>7.82243827555328</v>
      </c>
      <c r="I1795" s="2" t="n">
        <f aca="false">H1795*_xlfn.XLOOKUP(Tabla2[[#This Row],[Unidad de producción]],Tabla3[Medida],Tabla3[Equivalencia en Kg],"ELVIS",0)</f>
        <v>354.825800179097</v>
      </c>
      <c r="J1795" s="2" t="n">
        <v>1081.39591836735</v>
      </c>
      <c r="K1795" s="2" t="s">
        <v>18</v>
      </c>
      <c r="L1795" s="2" t="n">
        <f aca="false">J1795/_xlfn.XLOOKUP(Tabla2[[#This Row],[Unidad de precio]],Tabla3[Medida],Tabla3[Equivalencia en Kg],"ELVIS",0)</f>
        <v>23.8402980239716</v>
      </c>
      <c r="M1795" s="2" t="n">
        <v>8104.7130577284</v>
      </c>
      <c r="N1795" s="3" t="n">
        <f aca="false">(Tabla2[[#This Row],[Productividad (kg/TAS)]]*Tabla2[[#This Row],[Precio por kg]]-Tabla2[[#This Row],[Costos (En RD$/Tarea)]])</f>
        <v>354.439765135451</v>
      </c>
      <c r="O1795" s="9" t="n">
        <f aca="false">IF(Tabla2[[#This Row],[Costos (En RD$/Tarea)]]=0,0,Tabla2[[#This Row],[Beneficio Neto  (En RD$/Tarea)]]/Tabla2[[#This Row],[Costos (En RD$/Tarea)]])</f>
        <v>0.0437325495191305</v>
      </c>
      <c r="P1795" s="7" t="n">
        <f aca="false">Tabla2[[#This Row],[Rentabilidad (%)]]/12</f>
        <v>0.00364437912659421</v>
      </c>
    </row>
    <row r="1796" customFormat="false" ht="14.25" hidden="false" customHeight="false" outlineLevel="0" collapsed="false">
      <c r="A1796" s="1" t="n">
        <v>41061</v>
      </c>
      <c r="B1796" s="2" t="s">
        <v>25</v>
      </c>
      <c r="C1796" s="3" t="n">
        <v>26387</v>
      </c>
      <c r="D1796" s="8" t="s">
        <v>17</v>
      </c>
      <c r="E1796" s="3" t="n">
        <f aca="false">IF(Tabla2[[#This Row],[Frecuencia]]="Annual", Tabla2[[#This Row],[Cosecha/Tarea]]/12,Tabla2[[#This Row],[Cosecha/Tarea]])</f>
        <v>26387</v>
      </c>
      <c r="F1796" s="3" t="n">
        <v>276221</v>
      </c>
      <c r="G1796" s="2" t="s">
        <v>18</v>
      </c>
      <c r="H1796" s="2" t="n">
        <f aca="false">F1796/Tabla2[[#This Row],[Cosecha Mensual]]</f>
        <v>10.4680713987949</v>
      </c>
      <c r="I1796" s="2" t="n">
        <f aca="false">H1796*_xlfn.XLOOKUP(Tabla2[[#This Row],[Unidad de producción]],Tabla3[Medida],Tabla3[Equivalencia en Kg],"ELVIS",0)</f>
        <v>474.831718649335</v>
      </c>
      <c r="J1796" s="2" t="n">
        <v>474.167261904762</v>
      </c>
      <c r="K1796" s="2" t="s">
        <v>18</v>
      </c>
      <c r="L1796" s="2" t="n">
        <f aca="false">J1796/_xlfn.XLOOKUP(Tabla2[[#This Row],[Unidad de precio]],Tabla3[Medida],Tabla3[Equivalencia en Kg],"ELVIS",0)</f>
        <v>10.4534228814983</v>
      </c>
      <c r="M1796" s="2" t="n">
        <v>4628.4219376425</v>
      </c>
      <c r="N1796" s="3" t="n">
        <f aca="false">(Tabla2[[#This Row],[Productividad (kg/TAS)]]*Tabla2[[#This Row],[Precio por kg]]-Tabla2[[#This Row],[Costos (En RD$/Tarea)]])</f>
        <v>335.194814947611</v>
      </c>
      <c r="O1796" s="9" t="n">
        <f aca="false">IF(Tabla2[[#This Row],[Costos (En RD$/Tarea)]]=0,0,Tabla2[[#This Row],[Beneficio Neto  (En RD$/Tarea)]]/Tabla2[[#This Row],[Costos (En RD$/Tarea)]])</f>
        <v>0.0724209718698083</v>
      </c>
      <c r="P1796" s="7" t="n">
        <f aca="false">Tabla2[[#This Row],[Rentabilidad (%)]]/12</f>
        <v>0.00603508098915069</v>
      </c>
    </row>
    <row r="1797" customFormat="false" ht="14.25" hidden="false" customHeight="false" outlineLevel="0" collapsed="false">
      <c r="A1797" s="1" t="n">
        <v>41061</v>
      </c>
      <c r="B1797" s="2" t="s">
        <v>26</v>
      </c>
      <c r="C1797" s="3" t="n">
        <v>17617</v>
      </c>
      <c r="D1797" s="8" t="s">
        <v>17</v>
      </c>
      <c r="E1797" s="3" t="n">
        <f aca="false">IF(Tabla2[[#This Row],[Frecuencia]]="Annual", Tabla2[[#This Row],[Cosecha/Tarea]]/12,Tabla2[[#This Row],[Cosecha/Tarea]])</f>
        <v>17617</v>
      </c>
      <c r="F1797" s="3" t="n">
        <v>148906</v>
      </c>
      <c r="G1797" s="2" t="s">
        <v>18</v>
      </c>
      <c r="H1797" s="2" t="n">
        <f aca="false">F1797/Tabla2[[#This Row],[Cosecha Mensual]]</f>
        <v>8.45240392802407</v>
      </c>
      <c r="I1797" s="2" t="n">
        <f aca="false">H1797*_xlfn.XLOOKUP(Tabla2[[#This Row],[Unidad de producción]],Tabla3[Medida],Tabla3[Equivalencia en Kg],"ELVIS",0)</f>
        <v>383.401042175172</v>
      </c>
      <c r="J1797" s="2" t="n">
        <v>713.952380952381</v>
      </c>
      <c r="K1797" s="2" t="s">
        <v>18</v>
      </c>
      <c r="L1797" s="2" t="n">
        <f aca="false">J1797/_xlfn.XLOOKUP(Tabla2[[#This Row],[Unidad de precio]],Tabla3[Medida],Tabla3[Equivalencia en Kg],"ELVIS",0)</f>
        <v>15.7396909381036</v>
      </c>
      <c r="M1797" s="2" t="n">
        <v>2035.793320573</v>
      </c>
      <c r="N1797" s="3" t="n">
        <f aca="false">(Tabla2[[#This Row],[Productividad (kg/TAS)]]*Tabla2[[#This Row],[Precio por kg]]-Tabla2[[#This Row],[Costos (En RD$/Tarea)]])</f>
        <v>3998.82058861104</v>
      </c>
      <c r="O1797" s="9" t="n">
        <f aca="false">IF(Tabla2[[#This Row],[Costos (En RD$/Tarea)]]=0,0,Tabla2[[#This Row],[Beneficio Neto  (En RD$/Tarea)]]/Tabla2[[#This Row],[Costos (En RD$/Tarea)]])</f>
        <v>1.96425666014344</v>
      </c>
      <c r="P1797" s="7" t="n">
        <f aca="false">Tabla2[[#This Row],[Rentabilidad (%)]]/12</f>
        <v>0.163688055011953</v>
      </c>
    </row>
    <row r="1798" customFormat="false" ht="14.25" hidden="false" customHeight="false" outlineLevel="0" collapsed="false">
      <c r="A1798" s="1" t="n">
        <v>41061</v>
      </c>
      <c r="B1798" s="2" t="s">
        <v>27</v>
      </c>
      <c r="C1798" s="3" t="n">
        <v>6987</v>
      </c>
      <c r="D1798" s="8" t="s">
        <v>17</v>
      </c>
      <c r="E1798" s="3" t="n">
        <f aca="false">IF(Tabla2[[#This Row],[Frecuencia]]="Annual", Tabla2[[#This Row],[Cosecha/Tarea]]/12,Tabla2[[#This Row],[Cosecha/Tarea]])</f>
        <v>6987</v>
      </c>
      <c r="F1798" s="3" t="n">
        <v>35327</v>
      </c>
      <c r="G1798" s="2" t="s">
        <v>18</v>
      </c>
      <c r="H1798" s="2" t="n">
        <f aca="false">F1798/Tabla2[[#This Row],[Cosecha Mensual]]</f>
        <v>5.05610419350222</v>
      </c>
      <c r="I1798" s="2" t="n">
        <f aca="false">H1798*_xlfn.XLOOKUP(Tabla2[[#This Row],[Unidad de producción]],Tabla3[Medida],Tabla3[Equivalencia en Kg],"ELVIS",0)</f>
        <v>229.344886217261</v>
      </c>
      <c r="J1798" s="2" t="n">
        <v>597.319285714286</v>
      </c>
      <c r="K1798" s="2" t="s">
        <v>18</v>
      </c>
      <c r="L1798" s="2" t="n">
        <f aca="false">J1798/_xlfn.XLOOKUP(Tabla2[[#This Row],[Unidad de precio]],Tabla3[Medida],Tabla3[Equivalencia en Kg],"ELVIS",0)</f>
        <v>13.1684145880575</v>
      </c>
      <c r="M1798" s="2" t="n">
        <v>7766.250013275</v>
      </c>
      <c r="N1798" s="3" t="n">
        <f aca="false">(Tabla2[[#This Row],[Productividad (kg/TAS)]]*Tabla2[[#This Row],[Precio por kg]]-Tabla2[[#This Row],[Costos (En RD$/Tarea)]])</f>
        <v>-4746.14146791525</v>
      </c>
      <c r="O1798" s="9" t="n">
        <f aca="false">IF(Tabla2[[#This Row],[Costos (En RD$/Tarea)]]=0,0,Tabla2[[#This Row],[Beneficio Neto  (En RD$/Tarea)]]/Tabla2[[#This Row],[Costos (En RD$/Tarea)]])</f>
        <v>-0.611123960702086</v>
      </c>
      <c r="P1798" s="7" t="n">
        <f aca="false">Tabla2[[#This Row],[Rentabilidad (%)]]/12</f>
        <v>-0.0509269967251739</v>
      </c>
    </row>
    <row r="1799" customFormat="false" ht="14.25" hidden="false" customHeight="false" outlineLevel="0" collapsed="false">
      <c r="A1799" s="1" t="n">
        <v>41061</v>
      </c>
      <c r="B1799" s="2" t="s">
        <v>28</v>
      </c>
      <c r="C1799" s="3" t="n">
        <v>985</v>
      </c>
      <c r="D1799" s="8" t="s">
        <v>17</v>
      </c>
      <c r="E1799" s="3" t="n">
        <f aca="false">IF(Tabla2[[#This Row],[Frecuencia]]="Annual", Tabla2[[#This Row],[Cosecha/Tarea]]/12,Tabla2[[#This Row],[Cosecha/Tarea]])</f>
        <v>985</v>
      </c>
      <c r="F1799" s="3" t="n">
        <v>1801</v>
      </c>
      <c r="G1799" s="2" t="s">
        <v>29</v>
      </c>
      <c r="H1799" s="2" t="n">
        <f aca="false">F1799/Tabla2[[#This Row],[Cosecha Mensual]]</f>
        <v>1.82842639593909</v>
      </c>
      <c r="I1799" s="2" t="n">
        <f aca="false">H1799*_xlfn.XLOOKUP(Tabla2[[#This Row],[Unidad de producción]],Tabla3[Medida],Tabla3[Equivalencia en Kg],"ELVIS",0)</f>
        <v>1028.19729949239</v>
      </c>
      <c r="J1799" s="2" t="n">
        <v>4750</v>
      </c>
      <c r="K1799" s="2" t="s">
        <v>29</v>
      </c>
      <c r="L1799" s="2" t="n">
        <f aca="false">J1799/_xlfn.XLOOKUP(Tabla2[[#This Row],[Unidad de precio]],Tabla3[Medida],Tabla3[Equivalencia en Kg],"ELVIS",0)</f>
        <v>8.44684710317601</v>
      </c>
      <c r="M1799" s="2" t="n">
        <v>6923.3397737334</v>
      </c>
      <c r="N1799" s="3" t="n">
        <f aca="false">(Tabla2[[#This Row],[Productividad (kg/TAS)]]*Tabla2[[#This Row],[Precio por kg]]-Tabla2[[#This Row],[Costos (En RD$/Tarea)]])</f>
        <v>1761.68560697726</v>
      </c>
      <c r="O1799" s="9" t="n">
        <f aca="false">IF(Tabla2[[#This Row],[Costos (En RD$/Tarea)]]=0,0,Tabla2[[#This Row],[Beneficio Neto  (En RD$/Tarea)]]/Tabla2[[#This Row],[Costos (En RD$/Tarea)]])</f>
        <v>0.254456037772543</v>
      </c>
      <c r="P1799" s="7" t="n">
        <f aca="false">Tabla2[[#This Row],[Rentabilidad (%)]]/12</f>
        <v>0.0212046698143786</v>
      </c>
    </row>
    <row r="1800" customFormat="false" ht="14.25" hidden="false" customHeight="false" outlineLevel="0" collapsed="false">
      <c r="A1800" s="1" t="n">
        <v>41061</v>
      </c>
      <c r="B1800" s="2" t="s">
        <v>30</v>
      </c>
      <c r="C1800" s="3" t="n">
        <v>372114</v>
      </c>
      <c r="D1800" s="3" t="s">
        <v>31</v>
      </c>
      <c r="E1800" s="3" t="n">
        <f aca="false">IF(Tabla2[[#This Row],[Frecuencia]]="Annual", Tabla2[[#This Row],[Cosecha/Tarea]]/12,Tabla2[[#This Row],[Cosecha/Tarea]])</f>
        <v>31009.5</v>
      </c>
      <c r="F1800" s="3" t="n">
        <v>3392063</v>
      </c>
      <c r="G1800" s="2" t="s">
        <v>32</v>
      </c>
      <c r="H1800" s="2" t="n">
        <f aca="false">F1800/Tabla2[[#This Row],[Cosecha Mensual]]</f>
        <v>109.38786500911</v>
      </c>
      <c r="I1800" s="2" t="n">
        <f aca="false">H1800*_xlfn.XLOOKUP(Tabla2[[#This Row],[Unidad de producción]],Tabla3[Medida],Tabla3[Equivalencia en Kg],"ELVIS",0)</f>
        <v>2976.44380689789</v>
      </c>
      <c r="J1800" s="2" t="n">
        <v>144.64880952381</v>
      </c>
      <c r="K1800" s="2" t="s">
        <v>32</v>
      </c>
      <c r="L1800" s="2" t="n">
        <f aca="false">J1800/_xlfn.XLOOKUP(Tabla2[[#This Row],[Unidad de precio]],Tabla3[Medida],Tabla3[Equivalencia en Kg],"ELVIS",0)</f>
        <v>5.31601652053694</v>
      </c>
      <c r="M1800" s="3" t="n">
        <v>12463.8060770282</v>
      </c>
      <c r="N1800" s="3" t="n">
        <f aca="false">(Tabla2[[#This Row],[Productividad (kg/TAS)]]*Tabla2[[#This Row],[Precio por kg]]-Tabla2[[#This Row],[Costos (En RD$/Tarea)]])</f>
        <v>3359.01837289081</v>
      </c>
      <c r="O1800" s="9" t="n">
        <f aca="false">IF(Tabla2[[#This Row],[Costos (En RD$/Tarea)]]=0,0,Tabla2[[#This Row],[Beneficio Neto  (En RD$/Tarea)]]/Tabla2[[#This Row],[Costos (En RD$/Tarea)]])</f>
        <v>0.26950181606899</v>
      </c>
      <c r="P1800" s="7" t="n">
        <f aca="false">Tabla2[[#This Row],[Rentabilidad (%)]]/12</f>
        <v>0.0224584846724158</v>
      </c>
    </row>
    <row r="1801" customFormat="false" ht="14.25" hidden="false" customHeight="false" outlineLevel="0" collapsed="false">
      <c r="A1801" s="1" t="n">
        <v>41061</v>
      </c>
      <c r="B1801" s="2" t="s">
        <v>33</v>
      </c>
      <c r="C1801" s="3" t="n">
        <v>738508</v>
      </c>
      <c r="D1801" s="3" t="s">
        <v>31</v>
      </c>
      <c r="E1801" s="3" t="n">
        <f aca="false">IF(Tabla2[[#This Row],[Frecuencia]]="Annual", Tabla2[[#This Row],[Cosecha/Tarea]]/12,Tabla2[[#This Row],[Cosecha/Tarea]])</f>
        <v>61542.3333333333</v>
      </c>
      <c r="F1801" s="3" t="n">
        <v>173731</v>
      </c>
      <c r="G1801" s="2" t="s">
        <v>34</v>
      </c>
      <c r="H1801" s="2" t="n">
        <f aca="false">F1801/Tabla2[[#This Row],[Cosecha Mensual]]</f>
        <v>2.82295113932415</v>
      </c>
      <c r="I1801" s="2" t="n">
        <f aca="false">H1801*_xlfn.XLOOKUP(Tabla2[[#This Row],[Unidad de producción]],Tabla3[Medida],Tabla3[Equivalencia en Kg],"ELVIS",0)</f>
        <v>1152.18750751515</v>
      </c>
      <c r="J1801" s="2" t="n">
        <v>3845.69387755102</v>
      </c>
      <c r="K1801" s="2" t="s">
        <v>34</v>
      </c>
      <c r="L1801" s="2" t="n">
        <f aca="false">J1801/_xlfn.XLOOKUP(Tabla2[[#This Row],[Unidad de precio]],Tabla3[Medida],Tabla3[Equivalencia en Kg],"ELVIS",0)</f>
        <v>9.42225622332726</v>
      </c>
      <c r="M1801" s="3" t="n">
        <v>11933.7643424532</v>
      </c>
      <c r="N1801" s="3" t="n">
        <f aca="false">(Tabla2[[#This Row],[Productividad (kg/TAS)]]*Tabla2[[#This Row],[Precio por kg]]-Tabla2[[#This Row],[Costos (En RD$/Tarea)]])</f>
        <v>-1077.55842932864</v>
      </c>
      <c r="O1801" s="9" t="n">
        <f aca="false">IF(Tabla2[[#This Row],[Costos (En RD$/Tarea)]]=0,0,Tabla2[[#This Row],[Beneficio Neto  (En RD$/Tarea)]]/Tabla2[[#This Row],[Costos (En RD$/Tarea)]])</f>
        <v>-0.0902949311220541</v>
      </c>
      <c r="P1801" s="7" t="n">
        <f aca="false">Tabla2[[#This Row],[Rentabilidad (%)]]/12</f>
        <v>-0.00752457759350451</v>
      </c>
    </row>
    <row r="1802" customFormat="false" ht="14.25" hidden="false" customHeight="false" outlineLevel="0" collapsed="false">
      <c r="A1802" s="1" t="n">
        <v>41091</v>
      </c>
      <c r="B1802" s="2" t="s">
        <v>16</v>
      </c>
      <c r="C1802" s="3" t="n">
        <v>79073</v>
      </c>
      <c r="D1802" s="8" t="s">
        <v>17</v>
      </c>
      <c r="E1802" s="3" t="n">
        <f aca="false">IF(Tabla2[[#This Row],[Frecuencia]]="Annual", Tabla2[[#This Row],[Cosecha/Tarea]]/12,Tabla2[[#This Row],[Cosecha/Tarea]])</f>
        <v>79073</v>
      </c>
      <c r="F1802" s="3" t="n">
        <v>360887</v>
      </c>
      <c r="G1802" s="2" t="s">
        <v>18</v>
      </c>
      <c r="H1802" s="2" t="n">
        <f aca="false">F1802/Tabla2[[#This Row],[Cosecha Mensual]]</f>
        <v>4.5639725317112</v>
      </c>
      <c r="I1802" s="2" t="n">
        <f aca="false">H1802*_xlfn.XLOOKUP(Tabla2[[#This Row],[Unidad de producción]],Tabla3[Medida],Tabla3[Equivalencia en Kg],"ELVIS",0)</f>
        <v>207.02179403842</v>
      </c>
      <c r="J1802" s="2" t="n">
        <v>1564.61344224422</v>
      </c>
      <c r="K1802" s="2" t="s">
        <v>19</v>
      </c>
      <c r="L1802" s="2" t="n">
        <f aca="false">J1802/_xlfn.XLOOKUP(Tabla2[[#This Row],[Unidad de precio]],Tabla3[Medida],Tabla3[Equivalencia en Kg],"ELVIS",0)</f>
        <v>14.2237585658565</v>
      </c>
      <c r="M1802" s="2" t="n">
        <v>7982.61905212344</v>
      </c>
      <c r="N1802" s="3" t="n">
        <f aca="false">(Tabla2[[#This Row],[Productividad (kg/TAS)]]*Tabla2[[#This Row],[Precio por kg]]-Tabla2[[#This Row],[Costos (En RD$/Tarea)]])</f>
        <v>-5037.99103585047</v>
      </c>
      <c r="O1802" s="9" t="n">
        <f aca="false">IF(Tabla2[[#This Row],[Costos (En RD$/Tarea)]]=0,0,Tabla2[[#This Row],[Beneficio Neto  (En RD$/Tarea)]]/Tabla2[[#This Row],[Costos (En RD$/Tarea)]])</f>
        <v>-0.631120062595286</v>
      </c>
      <c r="P1802" s="7" t="n">
        <f aca="false">Tabla2[[#This Row],[Rentabilidad (%)]]/12</f>
        <v>-0.0525933385496072</v>
      </c>
    </row>
    <row r="1803" customFormat="false" ht="14.25" hidden="false" customHeight="false" outlineLevel="0" collapsed="false">
      <c r="A1803" s="1" t="n">
        <v>41091</v>
      </c>
      <c r="B1803" s="2" t="s">
        <v>20</v>
      </c>
      <c r="C1803" s="3" t="n">
        <v>43081</v>
      </c>
      <c r="D1803" s="8" t="s">
        <v>17</v>
      </c>
      <c r="E1803" s="3" t="n">
        <f aca="false">IF(Tabla2[[#This Row],[Frecuencia]]="Annual", Tabla2[[#This Row],[Cosecha/Tarea]]/12,Tabla2[[#This Row],[Cosecha/Tarea]])</f>
        <v>43081</v>
      </c>
      <c r="F1803" s="3" t="n">
        <v>96731</v>
      </c>
      <c r="G1803" s="2" t="s">
        <v>18</v>
      </c>
      <c r="H1803" s="2" t="n">
        <f aca="false">F1803/Tabla2[[#This Row],[Cosecha Mensual]]</f>
        <v>2.24532856711775</v>
      </c>
      <c r="I1803" s="2" t="n">
        <f aca="false">H1803*_xlfn.XLOOKUP(Tabla2[[#This Row],[Unidad de producción]],Tabla3[Medida],Tabla3[Equivalencia en Kg],"ELVIS",0)</f>
        <v>101.848103804461</v>
      </c>
      <c r="J1803" s="2" t="n">
        <v>659.4642</v>
      </c>
      <c r="K1803" s="2" t="s">
        <v>18</v>
      </c>
      <c r="L1803" s="2" t="n">
        <f aca="false">J1803/_xlfn.XLOOKUP(Tabla2[[#This Row],[Unidad de precio]],Tabla3[Medida],Tabla3[Equivalencia en Kg],"ELVIS",0)</f>
        <v>14.5384523809524</v>
      </c>
      <c r="M1803" s="2" t="n">
        <v>2248.3053412475</v>
      </c>
      <c r="N1803" s="3" t="n">
        <f aca="false">(Tabla2[[#This Row],[Productividad (kg/TAS)]]*Tabla2[[#This Row],[Precio por kg]]-Tabla2[[#This Row],[Costos (En RD$/Tarea)]])</f>
        <v>-767.591533996044</v>
      </c>
      <c r="O1803" s="9" t="n">
        <f aca="false">IF(Tabla2[[#This Row],[Costos (En RD$/Tarea)]]=0,0,Tabla2[[#This Row],[Beneficio Neto  (En RD$/Tarea)]]/Tabla2[[#This Row],[Costos (En RD$/Tarea)]])</f>
        <v>-0.34140893583882</v>
      </c>
      <c r="P1803" s="7" t="n">
        <f aca="false">Tabla2[[#This Row],[Rentabilidad (%)]]/12</f>
        <v>-0.028450744653235</v>
      </c>
    </row>
    <row r="1804" customFormat="false" ht="14.25" hidden="false" customHeight="false" outlineLevel="0" collapsed="false">
      <c r="A1804" s="1" t="n">
        <v>41091</v>
      </c>
      <c r="B1804" s="2" t="s">
        <v>21</v>
      </c>
      <c r="C1804" s="3" t="n">
        <v>5573</v>
      </c>
      <c r="D1804" s="8" t="s">
        <v>17</v>
      </c>
      <c r="E1804" s="3" t="n">
        <f aca="false">IF(Tabla2[[#This Row],[Frecuencia]]="Annual", Tabla2[[#This Row],[Cosecha/Tarea]]/12,Tabla2[[#This Row],[Cosecha/Tarea]])</f>
        <v>5573</v>
      </c>
      <c r="F1804" s="3" t="n">
        <v>61464</v>
      </c>
      <c r="G1804" s="2" t="s">
        <v>18</v>
      </c>
      <c r="H1804" s="2" t="n">
        <f aca="false">F1804/Tabla2[[#This Row],[Cosecha Mensual]]</f>
        <v>11.0288892876368</v>
      </c>
      <c r="I1804" s="2" t="n">
        <f aca="false">H1804*_xlfn.XLOOKUP(Tabla2[[#This Row],[Unidad de producción]],Tabla3[Medida],Tabla3[Equivalencia en Kg],"ELVIS",0)</f>
        <v>500.270418087206</v>
      </c>
      <c r="J1804" s="2" t="n">
        <v>230.197062857143</v>
      </c>
      <c r="K1804" s="2" t="s">
        <v>18</v>
      </c>
      <c r="L1804" s="2" t="n">
        <f aca="false">J1804/_xlfn.XLOOKUP(Tabla2[[#This Row],[Unidad de precio]],Tabla3[Medida],Tabla3[Equivalencia en Kg],"ELVIS",0)</f>
        <v>5.07489115646259</v>
      </c>
      <c r="M1804" s="2" t="n">
        <v>5350.20172000917</v>
      </c>
      <c r="N1804" s="3" t="n">
        <f aca="false">(Tabla2[[#This Row],[Productividad (kg/TAS)]]*Tabla2[[#This Row],[Precio por kg]]-Tabla2[[#This Row],[Costos (En RD$/Tarea)]])</f>
        <v>-2811.38379941857</v>
      </c>
      <c r="O1804" s="9" t="n">
        <f aca="false">IF(Tabla2[[#This Row],[Costos (En RD$/Tarea)]]=0,0,Tabla2[[#This Row],[Beneficio Neto  (En RD$/Tarea)]]/Tabla2[[#This Row],[Costos (En RD$/Tarea)]])</f>
        <v>-0.525472486187632</v>
      </c>
      <c r="P1804" s="7" t="n">
        <f aca="false">Tabla2[[#This Row],[Rentabilidad (%)]]/12</f>
        <v>-0.0437893738489694</v>
      </c>
    </row>
    <row r="1805" customFormat="false" ht="14.25" hidden="false" customHeight="false" outlineLevel="0" collapsed="false">
      <c r="A1805" s="1" t="n">
        <v>41091</v>
      </c>
      <c r="B1805" s="2" t="s">
        <v>22</v>
      </c>
      <c r="C1805" s="3" t="n">
        <v>3001</v>
      </c>
      <c r="D1805" s="8" t="s">
        <v>17</v>
      </c>
      <c r="E1805" s="3" t="n">
        <f aca="false">IF(Tabla2[[#This Row],[Frecuencia]]="Annual", Tabla2[[#This Row],[Cosecha/Tarea]]/12,Tabla2[[#This Row],[Cosecha/Tarea]])</f>
        <v>3001</v>
      </c>
      <c r="F1805" s="3" t="n">
        <v>25998</v>
      </c>
      <c r="G1805" s="2" t="s">
        <v>18</v>
      </c>
      <c r="H1805" s="2" t="n">
        <f aca="false">F1805/Tabla2[[#This Row],[Cosecha Mensual]]</f>
        <v>8.66311229590137</v>
      </c>
      <c r="I1805" s="2" t="n">
        <f aca="false">H1805*_xlfn.XLOOKUP(Tabla2[[#This Row],[Unidad de producción]],Tabla3[Medida],Tabla3[Equivalencia en Kg],"ELVIS",0)</f>
        <v>392.958773742086</v>
      </c>
      <c r="J1805" s="2" t="n">
        <v>1184.92428571429</v>
      </c>
      <c r="K1805" s="2" t="s">
        <v>18</v>
      </c>
      <c r="L1805" s="2" t="n">
        <f aca="false">J1805/_xlfn.XLOOKUP(Tabla2[[#This Row],[Unidad de precio]],Tabla3[Medida],Tabla3[Equivalencia en Kg],"ELVIS",0)</f>
        <v>26.1226694381457</v>
      </c>
      <c r="M1805" s="2" t="n">
        <v>8360.190555</v>
      </c>
      <c r="N1805" s="3" t="n">
        <f aca="false">(Tabla2[[#This Row],[Productividad (kg/TAS)]]*Tabla2[[#This Row],[Precio por kg]]-Tabla2[[#This Row],[Costos (En RD$/Tarea)]])</f>
        <v>1904.94159428361</v>
      </c>
      <c r="O1805" s="9" t="n">
        <f aca="false">IF(Tabla2[[#This Row],[Costos (En RD$/Tarea)]]=0,0,Tabla2[[#This Row],[Beneficio Neto  (En RD$/Tarea)]]/Tabla2[[#This Row],[Costos (En RD$/Tarea)]])</f>
        <v>0.227858633335136</v>
      </c>
      <c r="P1805" s="7" t="n">
        <f aca="false">Tabla2[[#This Row],[Rentabilidad (%)]]/12</f>
        <v>0.0189882194445946</v>
      </c>
    </row>
    <row r="1806" customFormat="false" ht="14.25" hidden="false" customHeight="false" outlineLevel="0" collapsed="false">
      <c r="A1806" s="1" t="n">
        <v>41091</v>
      </c>
      <c r="B1806" s="2" t="s">
        <v>23</v>
      </c>
      <c r="C1806" s="3" t="n">
        <v>4729</v>
      </c>
      <c r="D1806" s="8" t="s">
        <v>17</v>
      </c>
      <c r="E1806" s="3" t="n">
        <f aca="false">IF(Tabla2[[#This Row],[Frecuencia]]="Annual", Tabla2[[#This Row],[Cosecha/Tarea]]/12,Tabla2[[#This Row],[Cosecha/Tarea]])</f>
        <v>4729</v>
      </c>
      <c r="F1806" s="3" t="n">
        <v>182810</v>
      </c>
      <c r="G1806" s="2" t="s">
        <v>18</v>
      </c>
      <c r="H1806" s="2" t="n">
        <f aca="false">F1806/Tabla2[[#This Row],[Cosecha Mensual]]</f>
        <v>38.6572213998731</v>
      </c>
      <c r="I1806" s="2" t="n">
        <f aca="false">H1806*_xlfn.XLOOKUP(Tabla2[[#This Row],[Unidad de producción]],Tabla3[Medida],Tabla3[Equivalencia en Kg],"ELVIS",0)</f>
        <v>1753.49156269825</v>
      </c>
      <c r="J1806" s="2" t="n">
        <v>1072.5</v>
      </c>
      <c r="K1806" s="2" t="s">
        <v>18</v>
      </c>
      <c r="L1806" s="2" t="n">
        <f aca="false">J1806/_xlfn.XLOOKUP(Tabla2[[#This Row],[Unidad de precio]],Tabla3[Medida],Tabla3[Equivalencia en Kg],"ELVIS",0)</f>
        <v>23.6441798941799</v>
      </c>
      <c r="M1806" s="2" t="n">
        <v>24344.842076238</v>
      </c>
      <c r="N1806" s="3" t="n">
        <f aca="false">(Tabla2[[#This Row],[Productividad (kg/TAS)]]*Tabla2[[#This Row],[Precio por kg]]-Tabla2[[#This Row],[Costos (En RD$/Tarea)]])</f>
        <v>17115.0278751259</v>
      </c>
      <c r="O1806" s="9" t="n">
        <f aca="false">IF(Tabla2[[#This Row],[Costos (En RD$/Tarea)]]=0,0,Tabla2[[#This Row],[Beneficio Neto  (En RD$/Tarea)]]/Tabla2[[#This Row],[Costos (En RD$/Tarea)]])</f>
        <v>0.7030248058923</v>
      </c>
      <c r="P1806" s="7" t="n">
        <f aca="false">Tabla2[[#This Row],[Rentabilidad (%)]]/12</f>
        <v>0.058585400491025</v>
      </c>
    </row>
    <row r="1807" customFormat="false" ht="14.25" hidden="false" customHeight="false" outlineLevel="0" collapsed="false">
      <c r="A1807" s="1" t="n">
        <v>41091</v>
      </c>
      <c r="B1807" s="2" t="s">
        <v>24</v>
      </c>
      <c r="C1807" s="3" t="n">
        <v>6241</v>
      </c>
      <c r="D1807" s="8" t="s">
        <v>17</v>
      </c>
      <c r="E1807" s="3" t="n">
        <f aca="false">IF(Tabla2[[#This Row],[Frecuencia]]="Annual", Tabla2[[#This Row],[Cosecha/Tarea]]/12,Tabla2[[#This Row],[Cosecha/Tarea]])</f>
        <v>6241</v>
      </c>
      <c r="F1807" s="3" t="n">
        <v>52366</v>
      </c>
      <c r="G1807" s="2" t="s">
        <v>18</v>
      </c>
      <c r="H1807" s="2" t="n">
        <f aca="false">F1807/Tabla2[[#This Row],[Cosecha Mensual]]</f>
        <v>8.39064252523634</v>
      </c>
      <c r="I1807" s="2" t="n">
        <f aca="false">H1807*_xlfn.XLOOKUP(Tabla2[[#This Row],[Unidad de producción]],Tabla3[Medida],Tabla3[Equivalencia en Kg],"ELVIS",0)</f>
        <v>380.59954494472</v>
      </c>
      <c r="J1807" s="2" t="n">
        <v>1289.59183673469</v>
      </c>
      <c r="K1807" s="2" t="s">
        <v>18</v>
      </c>
      <c r="L1807" s="2" t="n">
        <f aca="false">J1807/_xlfn.XLOOKUP(Tabla2[[#This Row],[Unidad de precio]],Tabla3[Medida],Tabla3[Equivalencia en Kg],"ELVIS",0)</f>
        <v>28.4301551308353</v>
      </c>
      <c r="M1807" s="2" t="n">
        <v>8104.7130577284</v>
      </c>
      <c r="N1807" s="3" t="n">
        <f aca="false">(Tabla2[[#This Row],[Productividad (kg/TAS)]]*Tabla2[[#This Row],[Precio por kg]]-Tabla2[[#This Row],[Costos (En RD$/Tarea)]])</f>
        <v>2715.79104777533</v>
      </c>
      <c r="O1807" s="9" t="n">
        <f aca="false">IF(Tabla2[[#This Row],[Costos (En RD$/Tarea)]]=0,0,Tabla2[[#This Row],[Beneficio Neto  (En RD$/Tarea)]]/Tabla2[[#This Row],[Costos (En RD$/Tarea)]])</f>
        <v>0.335087871517627</v>
      </c>
      <c r="P1807" s="7" t="n">
        <f aca="false">Tabla2[[#This Row],[Rentabilidad (%)]]/12</f>
        <v>0.0279239892931356</v>
      </c>
    </row>
    <row r="1808" customFormat="false" ht="14.25" hidden="false" customHeight="false" outlineLevel="0" collapsed="false">
      <c r="A1808" s="1" t="n">
        <v>41091</v>
      </c>
      <c r="B1808" s="2" t="s">
        <v>25</v>
      </c>
      <c r="C1808" s="3" t="n">
        <v>20298</v>
      </c>
      <c r="D1808" s="8" t="s">
        <v>17</v>
      </c>
      <c r="E1808" s="3" t="n">
        <f aca="false">IF(Tabla2[[#This Row],[Frecuencia]]="Annual", Tabla2[[#This Row],[Cosecha/Tarea]]/12,Tabla2[[#This Row],[Cosecha/Tarea]])</f>
        <v>20298</v>
      </c>
      <c r="F1808" s="3" t="n">
        <v>223799</v>
      </c>
      <c r="G1808" s="2" t="s">
        <v>18</v>
      </c>
      <c r="H1808" s="2" t="n">
        <f aca="false">F1808/Tabla2[[#This Row],[Cosecha Mensual]]</f>
        <v>11.0256675534535</v>
      </c>
      <c r="I1808" s="2" t="n">
        <f aca="false">H1808*_xlfn.XLOOKUP(Tabla2[[#This Row],[Unidad de producción]],Tabla3[Medida],Tabla3[Equivalencia en Kg],"ELVIS",0)</f>
        <v>500.124280224653</v>
      </c>
      <c r="J1808" s="2" t="n">
        <v>427.219362142857</v>
      </c>
      <c r="K1808" s="2" t="s">
        <v>18</v>
      </c>
      <c r="L1808" s="2" t="n">
        <f aca="false">J1808/_xlfn.XLOOKUP(Tabla2[[#This Row],[Unidad de precio]],Tabla3[Medida],Tabla3[Equivalencia en Kg],"ELVIS",0)</f>
        <v>9.41841627299067</v>
      </c>
      <c r="M1808" s="2" t="n">
        <v>4628.4219376425</v>
      </c>
      <c r="N1808" s="3" t="n">
        <f aca="false">(Tabla2[[#This Row],[Productividad (kg/TAS)]]*Tabla2[[#This Row],[Precio por kg]]-Tabla2[[#This Row],[Costos (En RD$/Tarea)]])</f>
        <v>81.9567217431168</v>
      </c>
      <c r="O1808" s="9" t="n">
        <f aca="false">IF(Tabla2[[#This Row],[Costos (En RD$/Tarea)]]=0,0,Tabla2[[#This Row],[Beneficio Neto  (En RD$/Tarea)]]/Tabla2[[#This Row],[Costos (En RD$/Tarea)]])</f>
        <v>0.0177072710412529</v>
      </c>
      <c r="P1808" s="7" t="n">
        <f aca="false">Tabla2[[#This Row],[Rentabilidad (%)]]/12</f>
        <v>0.00147560592010441</v>
      </c>
    </row>
    <row r="1809" customFormat="false" ht="14.25" hidden="false" customHeight="false" outlineLevel="0" collapsed="false">
      <c r="A1809" s="1" t="n">
        <v>41091</v>
      </c>
      <c r="B1809" s="2" t="s">
        <v>26</v>
      </c>
      <c r="C1809" s="3" t="n">
        <v>7792</v>
      </c>
      <c r="D1809" s="8" t="s">
        <v>17</v>
      </c>
      <c r="E1809" s="3" t="n">
        <f aca="false">IF(Tabla2[[#This Row],[Frecuencia]]="Annual", Tabla2[[#This Row],[Cosecha/Tarea]]/12,Tabla2[[#This Row],[Cosecha/Tarea]])</f>
        <v>7792</v>
      </c>
      <c r="F1809" s="3" t="n">
        <v>55751</v>
      </c>
      <c r="G1809" s="2" t="s">
        <v>18</v>
      </c>
      <c r="H1809" s="2" t="n">
        <f aca="false">F1809/Tabla2[[#This Row],[Cosecha Mensual]]</f>
        <v>7.15490246406571</v>
      </c>
      <c r="I1809" s="2" t="n">
        <f aca="false">H1809*_xlfn.XLOOKUP(Tabla2[[#This Row],[Unidad de producción]],Tabla3[Medida],Tabla3[Equivalencia en Kg],"ELVIS",0)</f>
        <v>324.546375770021</v>
      </c>
      <c r="J1809" s="2" t="n">
        <v>730.976190476191</v>
      </c>
      <c r="K1809" s="2" t="s">
        <v>18</v>
      </c>
      <c r="L1809" s="2" t="n">
        <f aca="false">J1809/_xlfn.XLOOKUP(Tabla2[[#This Row],[Unidad de precio]],Tabla3[Medida],Tabla3[Equivalencia en Kg],"ELVIS",0)</f>
        <v>16.1149953808684</v>
      </c>
      <c r="M1809" s="2" t="n">
        <v>2035.793320573</v>
      </c>
      <c r="N1809" s="3" t="n">
        <f aca="false">(Tabla2[[#This Row],[Productividad (kg/TAS)]]*Tabla2[[#This Row],[Precio por kg]]-Tabla2[[#This Row],[Costos (En RD$/Tarea)]])</f>
        <v>3194.27002583846</v>
      </c>
      <c r="O1809" s="9" t="n">
        <f aca="false">IF(Tabla2[[#This Row],[Costos (En RD$/Tarea)]]=0,0,Tabla2[[#This Row],[Beneficio Neto  (En RD$/Tarea)]]/Tabla2[[#This Row],[Costos (En RD$/Tarea)]])</f>
        <v>1.56905418323084</v>
      </c>
      <c r="P1809" s="7" t="n">
        <f aca="false">Tabla2[[#This Row],[Rentabilidad (%)]]/12</f>
        <v>0.130754515269237</v>
      </c>
    </row>
    <row r="1810" customFormat="false" ht="14.25" hidden="false" customHeight="false" outlineLevel="0" collapsed="false">
      <c r="A1810" s="1" t="n">
        <v>41091</v>
      </c>
      <c r="B1810" s="2" t="s">
        <v>27</v>
      </c>
      <c r="C1810" s="3" t="n">
        <v>5495</v>
      </c>
      <c r="D1810" s="8" t="s">
        <v>17</v>
      </c>
      <c r="E1810" s="3" t="n">
        <f aca="false">IF(Tabla2[[#This Row],[Frecuencia]]="Annual", Tabla2[[#This Row],[Cosecha/Tarea]]/12,Tabla2[[#This Row],[Cosecha/Tarea]])</f>
        <v>5495</v>
      </c>
      <c r="F1810" s="3" t="n">
        <v>48198</v>
      </c>
      <c r="G1810" s="2" t="s">
        <v>18</v>
      </c>
      <c r="H1810" s="2" t="n">
        <f aca="false">F1810/Tabla2[[#This Row],[Cosecha Mensual]]</f>
        <v>8.7712465878071</v>
      </c>
      <c r="I1810" s="2" t="n">
        <f aca="false">H1810*_xlfn.XLOOKUP(Tabla2[[#This Row],[Unidad de producción]],Tabla3[Medida],Tabla3[Equivalencia en Kg],"ELVIS",0)</f>
        <v>397.86374522293</v>
      </c>
      <c r="J1810" s="2" t="n">
        <v>600.962142857143</v>
      </c>
      <c r="K1810" s="2" t="s">
        <v>18</v>
      </c>
      <c r="L1810" s="2" t="n">
        <f aca="false">J1810/_xlfn.XLOOKUP(Tabla2[[#This Row],[Unidad de precio]],Tabla3[Medida],Tabla3[Equivalencia en Kg],"ELVIS",0)</f>
        <v>13.2487244897959</v>
      </c>
      <c r="M1810" s="2" t="n">
        <v>7766.250013275</v>
      </c>
      <c r="N1810" s="3" t="n">
        <f aca="false">(Tabla2[[#This Row],[Productividad (kg/TAS)]]*Tabla2[[#This Row],[Precio por kg]]-Tabla2[[#This Row],[Costos (En RD$/Tarea)]])</f>
        <v>-2495.06286833804</v>
      </c>
      <c r="O1810" s="9" t="n">
        <f aca="false">IF(Tabla2[[#This Row],[Costos (En RD$/Tarea)]]=0,0,Tabla2[[#This Row],[Beneficio Neto  (En RD$/Tarea)]]/Tabla2[[#This Row],[Costos (En RD$/Tarea)]])</f>
        <v>-0.321269964792942</v>
      </c>
      <c r="P1810" s="7" t="n">
        <f aca="false">Tabla2[[#This Row],[Rentabilidad (%)]]/12</f>
        <v>-0.0267724970660785</v>
      </c>
    </row>
    <row r="1811" customFormat="false" ht="14.25" hidden="false" customHeight="false" outlineLevel="0" collapsed="false">
      <c r="A1811" s="1" t="n">
        <v>41091</v>
      </c>
      <c r="B1811" s="2" t="s">
        <v>28</v>
      </c>
      <c r="C1811" s="3" t="n">
        <v>50511</v>
      </c>
      <c r="D1811" s="8" t="s">
        <v>17</v>
      </c>
      <c r="E1811" s="3" t="n">
        <f aca="false">IF(Tabla2[[#This Row],[Frecuencia]]="Annual", Tabla2[[#This Row],[Cosecha/Tarea]]/12,Tabla2[[#This Row],[Cosecha/Tarea]])</f>
        <v>50511</v>
      </c>
      <c r="F1811" s="3" t="n">
        <v>79260</v>
      </c>
      <c r="G1811" s="2" t="s">
        <v>29</v>
      </c>
      <c r="H1811" s="2" t="n">
        <f aca="false">F1811/Tabla2[[#This Row],[Cosecha Mensual]]</f>
        <v>1.56916315258063</v>
      </c>
      <c r="I1811" s="2" t="n">
        <f aca="false">H1811*_xlfn.XLOOKUP(Tabla2[[#This Row],[Unidad de producción]],Tabla3[Medida],Tabla3[Equivalencia en Kg],"ELVIS",0)</f>
        <v>882.403207222189</v>
      </c>
      <c r="J1811" s="2" t="n">
        <v>6267.83333333333</v>
      </c>
      <c r="K1811" s="2" t="s">
        <v>29</v>
      </c>
      <c r="L1811" s="2" t="n">
        <f aca="false">J1811/_xlfn.XLOOKUP(Tabla2[[#This Row],[Unidad de precio]],Tabla3[Medida],Tabla3[Equivalencia en Kg],"ELVIS",0)</f>
        <v>11.1459852283909</v>
      </c>
      <c r="M1811" s="2" t="n">
        <v>6923.3397737334</v>
      </c>
      <c r="N1811" s="3" t="n">
        <f aca="false">(Tabla2[[#This Row],[Productividad (kg/TAS)]]*Tabla2[[#This Row],[Precio por kg]]-Tabla2[[#This Row],[Costos (En RD$/Tarea)]])</f>
        <v>2911.91333944986</v>
      </c>
      <c r="O1811" s="9" t="n">
        <f aca="false">IF(Tabla2[[#This Row],[Costos (En RD$/Tarea)]]=0,0,Tabla2[[#This Row],[Beneficio Neto  (En RD$/Tarea)]]/Tabla2[[#This Row],[Costos (En RD$/Tarea)]])</f>
        <v>0.420593735771488</v>
      </c>
      <c r="P1811" s="7" t="n">
        <f aca="false">Tabla2[[#This Row],[Rentabilidad (%)]]/12</f>
        <v>0.0350494779809574</v>
      </c>
    </row>
    <row r="1812" customFormat="false" ht="14.25" hidden="false" customHeight="false" outlineLevel="0" collapsed="false">
      <c r="A1812" s="1" t="n">
        <v>41091</v>
      </c>
      <c r="B1812" s="2" t="s">
        <v>30</v>
      </c>
      <c r="C1812" s="3" t="n">
        <v>376038</v>
      </c>
      <c r="D1812" s="3" t="s">
        <v>31</v>
      </c>
      <c r="E1812" s="3" t="n">
        <f aca="false">IF(Tabla2[[#This Row],[Frecuencia]]="Annual", Tabla2[[#This Row],[Cosecha/Tarea]]/12,Tabla2[[#This Row],[Cosecha/Tarea]])</f>
        <v>31336.5</v>
      </c>
      <c r="F1812" s="3" t="n">
        <v>3269802</v>
      </c>
      <c r="G1812" s="2" t="s">
        <v>32</v>
      </c>
      <c r="H1812" s="2" t="n">
        <f aca="false">F1812/Tabla2[[#This Row],[Cosecha Mensual]]</f>
        <v>104.344837489828</v>
      </c>
      <c r="I1812" s="2" t="n">
        <f aca="false">H1812*_xlfn.XLOOKUP(Tabla2[[#This Row],[Unidad de producción]],Tabla3[Medida],Tabla3[Equivalencia en Kg],"ELVIS",0)</f>
        <v>2839.22302809822</v>
      </c>
      <c r="J1812" s="2" t="n">
        <v>126.785714285714</v>
      </c>
      <c r="K1812" s="2" t="s">
        <v>32</v>
      </c>
      <c r="L1812" s="2" t="n">
        <f aca="false">J1812/_xlfn.XLOOKUP(Tabla2[[#This Row],[Unidad de precio]],Tabla3[Medida],Tabla3[Equivalencia en Kg],"ELVIS",0)</f>
        <v>4.65952643460911</v>
      </c>
      <c r="M1812" s="3" t="n">
        <v>12463.8060770282</v>
      </c>
      <c r="N1812" s="3" t="n">
        <f aca="false">(Tabla2[[#This Row],[Productividad (kg/TAS)]]*Tabla2[[#This Row],[Precio por kg]]-Tabla2[[#This Row],[Costos (En RD$/Tarea)]])</f>
        <v>765.628676146407</v>
      </c>
      <c r="O1812" s="9" t="n">
        <f aca="false">IF(Tabla2[[#This Row],[Costos (En RD$/Tarea)]]=0,0,Tabla2[[#This Row],[Beneficio Neto  (En RD$/Tarea)]]/Tabla2[[#This Row],[Costos (En RD$/Tarea)]])</f>
        <v>0.0614281601795396</v>
      </c>
      <c r="P1812" s="7" t="n">
        <f aca="false">Tabla2[[#This Row],[Rentabilidad (%)]]/12</f>
        <v>0.00511901334829496</v>
      </c>
    </row>
    <row r="1813" customFormat="false" ht="14.25" hidden="false" customHeight="false" outlineLevel="0" collapsed="false">
      <c r="A1813" s="1" t="n">
        <v>41091</v>
      </c>
      <c r="B1813" s="2" t="s">
        <v>33</v>
      </c>
      <c r="C1813" s="3" t="n">
        <v>755478</v>
      </c>
      <c r="D1813" s="3" t="s">
        <v>31</v>
      </c>
      <c r="E1813" s="3" t="n">
        <f aca="false">IF(Tabla2[[#This Row],[Frecuencia]]="Annual", Tabla2[[#This Row],[Cosecha/Tarea]]/12,Tabla2[[#This Row],[Cosecha/Tarea]])</f>
        <v>62956.5</v>
      </c>
      <c r="F1813" s="3" t="n">
        <v>178779</v>
      </c>
      <c r="G1813" s="2" t="s">
        <v>34</v>
      </c>
      <c r="H1813" s="2" t="n">
        <f aca="false">F1813/Tabla2[[#This Row],[Cosecha Mensual]]</f>
        <v>2.83972266565009</v>
      </c>
      <c r="I1813" s="2" t="n">
        <f aca="false">H1813*_xlfn.XLOOKUP(Tabla2[[#This Row],[Unidad de producción]],Tabla3[Medida],Tabla3[Equivalencia en Kg],"ELVIS",0)</f>
        <v>1159.03280598509</v>
      </c>
      <c r="J1813" s="2" t="n">
        <v>3267.67346938775</v>
      </c>
      <c r="K1813" s="2" t="s">
        <v>34</v>
      </c>
      <c r="L1813" s="2" t="n">
        <f aca="false">J1813/_xlfn.XLOOKUP(Tabla2[[#This Row],[Unidad de precio]],Tabla3[Medida],Tabla3[Equivalencia en Kg],"ELVIS",0)</f>
        <v>8.00606019695639</v>
      </c>
      <c r="M1813" s="3" t="n">
        <v>11933.7643424532</v>
      </c>
      <c r="N1813" s="3" t="n">
        <f aca="false">(Tabla2[[#This Row],[Productividad (kg/TAS)]]*Tabla2[[#This Row],[Precio por kg]]-Tabla2[[#This Row],[Costos (En RD$/Tarea)]])</f>
        <v>-2654.47792748934</v>
      </c>
      <c r="O1813" s="9" t="n">
        <f aca="false">IF(Tabla2[[#This Row],[Costos (En RD$/Tarea)]]=0,0,Tabla2[[#This Row],[Beneficio Neto  (En RD$/Tarea)]]/Tabla2[[#This Row],[Costos (En RD$/Tarea)]])</f>
        <v>-0.222434250527831</v>
      </c>
      <c r="P1813" s="7" t="n">
        <f aca="false">Tabla2[[#This Row],[Rentabilidad (%)]]/12</f>
        <v>-0.0185361875439859</v>
      </c>
    </row>
    <row r="1814" customFormat="false" ht="14.25" hidden="false" customHeight="false" outlineLevel="0" collapsed="false">
      <c r="A1814" s="1" t="n">
        <v>41122</v>
      </c>
      <c r="B1814" s="2" t="s">
        <v>16</v>
      </c>
      <c r="C1814" s="3" t="n">
        <v>38883</v>
      </c>
      <c r="D1814" s="8" t="s">
        <v>17</v>
      </c>
      <c r="E1814" s="3" t="n">
        <f aca="false">IF(Tabla2[[#This Row],[Frecuencia]]="Annual", Tabla2[[#This Row],[Cosecha/Tarea]]/12,Tabla2[[#This Row],[Cosecha/Tarea]])</f>
        <v>38883</v>
      </c>
      <c r="F1814" s="3" t="n">
        <v>141611</v>
      </c>
      <c r="G1814" s="2" t="s">
        <v>18</v>
      </c>
      <c r="H1814" s="2" t="n">
        <f aca="false">F1814/Tabla2[[#This Row],[Cosecha Mensual]]</f>
        <v>3.64197721369236</v>
      </c>
      <c r="I1814" s="2" t="n">
        <f aca="false">H1814*_xlfn.XLOOKUP(Tabla2[[#This Row],[Unidad de producción]],Tabla3[Medida],Tabla3[Equivalencia en Kg],"ELVIS",0)</f>
        <v>165.200086413085</v>
      </c>
      <c r="J1814" s="2" t="n">
        <v>1576.92647598093</v>
      </c>
      <c r="K1814" s="2" t="s">
        <v>19</v>
      </c>
      <c r="L1814" s="2" t="n">
        <f aca="false">J1814/_xlfn.XLOOKUP(Tabla2[[#This Row],[Unidad de precio]],Tabla3[Medida],Tabla3[Equivalencia en Kg],"ELVIS",0)</f>
        <v>14.3356952361903</v>
      </c>
      <c r="M1814" s="2" t="n">
        <v>7982.61905212344</v>
      </c>
      <c r="N1814" s="3" t="n">
        <f aca="false">(Tabla2[[#This Row],[Productividad (kg/TAS)]]*Tabla2[[#This Row],[Precio por kg]]-Tabla2[[#This Row],[Costos (En RD$/Tarea)]])</f>
        <v>-5614.36096031315</v>
      </c>
      <c r="O1814" s="9" t="n">
        <f aca="false">IF(Tabla2[[#This Row],[Costos (En RD$/Tarea)]]=0,0,Tabla2[[#This Row],[Beneficio Neto  (En RD$/Tarea)]]/Tabla2[[#This Row],[Costos (En RD$/Tarea)]])</f>
        <v>-0.703323172965355</v>
      </c>
      <c r="P1814" s="7" t="n">
        <f aca="false">Tabla2[[#This Row],[Rentabilidad (%)]]/12</f>
        <v>-0.0586102644137796</v>
      </c>
    </row>
    <row r="1815" customFormat="false" ht="14.25" hidden="false" customHeight="false" outlineLevel="0" collapsed="false">
      <c r="A1815" s="1" t="n">
        <v>41122</v>
      </c>
      <c r="B1815" s="2" t="s">
        <v>20</v>
      </c>
      <c r="C1815" s="3" t="n">
        <v>37975</v>
      </c>
      <c r="D1815" s="8" t="s">
        <v>17</v>
      </c>
      <c r="E1815" s="3" t="n">
        <f aca="false">IF(Tabla2[[#This Row],[Frecuencia]]="Annual", Tabla2[[#This Row],[Cosecha/Tarea]]/12,Tabla2[[#This Row],[Cosecha/Tarea]])</f>
        <v>37975</v>
      </c>
      <c r="F1815" s="3" t="n">
        <v>81910</v>
      </c>
      <c r="G1815" s="2" t="s">
        <v>18</v>
      </c>
      <c r="H1815" s="2" t="n">
        <f aca="false">F1815/Tabla2[[#This Row],[Cosecha Mensual]]</f>
        <v>2.15694535878868</v>
      </c>
      <c r="I1815" s="2" t="n">
        <f aca="false">H1815*_xlfn.XLOOKUP(Tabla2[[#This Row],[Unidad de producción]],Tabla3[Medida],Tabla3[Equivalencia en Kg],"ELVIS",0)</f>
        <v>97.8390414746544</v>
      </c>
      <c r="J1815" s="2" t="n">
        <v>752.740529100529</v>
      </c>
      <c r="K1815" s="2" t="s">
        <v>18</v>
      </c>
      <c r="L1815" s="2" t="n">
        <f aca="false">J1815/_xlfn.XLOOKUP(Tabla2[[#This Row],[Unidad de precio]],Tabla3[Medida],Tabla3[Equivalencia en Kg],"ELVIS",0)</f>
        <v>16.5948088426043</v>
      </c>
      <c r="M1815" s="2" t="n">
        <v>2248.3053412475</v>
      </c>
      <c r="N1815" s="3" t="n">
        <f aca="false">(Tabla2[[#This Row],[Productividad (kg/TAS)]]*Tabla2[[#This Row],[Precio por kg]]-Tabla2[[#This Row],[Costos (En RD$/Tarea)]])</f>
        <v>-624.685150631981</v>
      </c>
      <c r="O1815" s="9" t="n">
        <f aca="false">IF(Tabla2[[#This Row],[Costos (En RD$/Tarea)]]=0,0,Tabla2[[#This Row],[Beneficio Neto  (En RD$/Tarea)]]/Tabla2[[#This Row],[Costos (En RD$/Tarea)]])</f>
        <v>-0.277847114078094</v>
      </c>
      <c r="P1815" s="7" t="n">
        <f aca="false">Tabla2[[#This Row],[Rentabilidad (%)]]/12</f>
        <v>-0.0231539261731745</v>
      </c>
    </row>
    <row r="1816" customFormat="false" ht="14.25" hidden="false" customHeight="false" outlineLevel="0" collapsed="false">
      <c r="A1816" s="1" t="n">
        <v>41122</v>
      </c>
      <c r="B1816" s="2" t="s">
        <v>21</v>
      </c>
      <c r="C1816" s="3" t="n">
        <v>5703</v>
      </c>
      <c r="D1816" s="8" t="s">
        <v>17</v>
      </c>
      <c r="E1816" s="3" t="n">
        <f aca="false">IF(Tabla2[[#This Row],[Frecuencia]]="Annual", Tabla2[[#This Row],[Cosecha/Tarea]]/12,Tabla2[[#This Row],[Cosecha/Tarea]])</f>
        <v>5703</v>
      </c>
      <c r="F1816" s="3" t="n">
        <v>70695</v>
      </c>
      <c r="G1816" s="2" t="s">
        <v>18</v>
      </c>
      <c r="H1816" s="2" t="n">
        <f aca="false">F1816/Tabla2[[#This Row],[Cosecha Mensual]]</f>
        <v>12.3961073119411</v>
      </c>
      <c r="I1816" s="2" t="n">
        <f aca="false">H1816*_xlfn.XLOOKUP(Tabla2[[#This Row],[Unidad de producción]],Tabla3[Medida],Tabla3[Equivalencia en Kg],"ELVIS",0)</f>
        <v>562.287427669648</v>
      </c>
      <c r="J1816" s="2" t="n">
        <v>341.824074074074</v>
      </c>
      <c r="K1816" s="2" t="s">
        <v>18</v>
      </c>
      <c r="L1816" s="2" t="n">
        <f aca="false">J1816/_xlfn.XLOOKUP(Tabla2[[#This Row],[Unidad de precio]],Tabla3[Medida],Tabla3[Equivalencia en Kg],"ELVIS",0)</f>
        <v>7.53580410216213</v>
      </c>
      <c r="M1816" s="2" t="n">
        <v>5350.20172000917</v>
      </c>
      <c r="N1816" s="3" t="n">
        <f aca="false">(Tabla2[[#This Row],[Productividad (kg/TAS)]]*Tabla2[[#This Row],[Precio por kg]]-Tabla2[[#This Row],[Costos (En RD$/Tarea)]])</f>
        <v>-1112.91381598205</v>
      </c>
      <c r="O1816" s="9" t="n">
        <f aca="false">IF(Tabla2[[#This Row],[Costos (En RD$/Tarea)]]=0,0,Tabla2[[#This Row],[Beneficio Neto  (En RD$/Tarea)]]/Tabla2[[#This Row],[Costos (En RD$/Tarea)]])</f>
        <v>-0.208013430936608</v>
      </c>
      <c r="P1816" s="7" t="n">
        <f aca="false">Tabla2[[#This Row],[Rentabilidad (%)]]/12</f>
        <v>-0.0173344525780507</v>
      </c>
    </row>
    <row r="1817" customFormat="false" ht="14.25" hidden="false" customHeight="false" outlineLevel="0" collapsed="false">
      <c r="A1817" s="1" t="n">
        <v>41122</v>
      </c>
      <c r="B1817" s="2" t="s">
        <v>22</v>
      </c>
      <c r="C1817" s="3" t="n">
        <v>1984</v>
      </c>
      <c r="D1817" s="8" t="s">
        <v>17</v>
      </c>
      <c r="E1817" s="3" t="n">
        <f aca="false">IF(Tabla2[[#This Row],[Frecuencia]]="Annual", Tabla2[[#This Row],[Cosecha/Tarea]]/12,Tabla2[[#This Row],[Cosecha/Tarea]])</f>
        <v>1984</v>
      </c>
      <c r="F1817" s="3" t="n">
        <v>24191</v>
      </c>
      <c r="G1817" s="2" t="s">
        <v>18</v>
      </c>
      <c r="H1817" s="2" t="n">
        <f aca="false">F1817/Tabla2[[#This Row],[Cosecha Mensual]]</f>
        <v>12.1930443548387</v>
      </c>
      <c r="I1817" s="2" t="n">
        <f aca="false">H1817*_xlfn.XLOOKUP(Tabla2[[#This Row],[Unidad de producción]],Tabla3[Medida],Tabla3[Equivalencia en Kg],"ELVIS",0)</f>
        <v>553.076491935484</v>
      </c>
      <c r="J1817" s="2" t="n">
        <v>1063.03125</v>
      </c>
      <c r="K1817" s="2" t="s">
        <v>18</v>
      </c>
      <c r="L1817" s="2" t="n">
        <f aca="false">J1817/_xlfn.XLOOKUP(Tabla2[[#This Row],[Unidad de precio]],Tabla3[Medida],Tabla3[Equivalencia en Kg],"ELVIS",0)</f>
        <v>23.4354332010582</v>
      </c>
      <c r="M1817" s="2" t="n">
        <v>8360.190555</v>
      </c>
      <c r="N1817" s="3" t="n">
        <f aca="false">(Tabla2[[#This Row],[Productividad (kg/TAS)]]*Tabla2[[#This Row],[Precio por kg]]-Tabla2[[#This Row],[Costos (En RD$/Tarea)]])</f>
        <v>4601.39662682964</v>
      </c>
      <c r="O1817" s="9" t="n">
        <f aca="false">IF(Tabla2[[#This Row],[Costos (En RD$/Tarea)]]=0,0,Tabla2[[#This Row],[Beneficio Neto  (En RD$/Tarea)]]/Tabla2[[#This Row],[Costos (En RD$/Tarea)]])</f>
        <v>0.550393749587164</v>
      </c>
      <c r="P1817" s="7" t="n">
        <f aca="false">Tabla2[[#This Row],[Rentabilidad (%)]]/12</f>
        <v>0.0458661457989303</v>
      </c>
    </row>
    <row r="1818" customFormat="false" ht="14.25" hidden="false" customHeight="false" outlineLevel="0" collapsed="false">
      <c r="A1818" s="1" t="n">
        <v>41122</v>
      </c>
      <c r="B1818" s="2" t="s">
        <v>23</v>
      </c>
      <c r="C1818" s="3" t="n">
        <v>2883</v>
      </c>
      <c r="D1818" s="8" t="s">
        <v>17</v>
      </c>
      <c r="E1818" s="3" t="n">
        <f aca="false">IF(Tabla2[[#This Row],[Frecuencia]]="Annual", Tabla2[[#This Row],[Cosecha/Tarea]]/12,Tabla2[[#This Row],[Cosecha/Tarea]])</f>
        <v>2883</v>
      </c>
      <c r="F1818" s="3" t="n">
        <v>124210</v>
      </c>
      <c r="G1818" s="2" t="s">
        <v>18</v>
      </c>
      <c r="H1818" s="2" t="n">
        <f aca="false">F1818/Tabla2[[#This Row],[Cosecha Mensual]]</f>
        <v>43.0835934790149</v>
      </c>
      <c r="I1818" s="2" t="n">
        <f aca="false">H1818*_xlfn.XLOOKUP(Tabla2[[#This Row],[Unidad de producción]],Tabla3[Medida],Tabla3[Equivalencia en Kg],"ELVIS",0)</f>
        <v>1954.27180020812</v>
      </c>
      <c r="J1818" s="2" t="n">
        <v>1414.33166666667</v>
      </c>
      <c r="K1818" s="2" t="s">
        <v>18</v>
      </c>
      <c r="L1818" s="2" t="n">
        <f aca="false">J1818/_xlfn.XLOOKUP(Tabla2[[#This Row],[Unidad de precio]],Tabla3[Medida],Tabla3[Equivalencia en Kg],"ELVIS",0)</f>
        <v>31.1801513815403</v>
      </c>
      <c r="M1818" s="2" t="n">
        <v>24344.842076238</v>
      </c>
      <c r="N1818" s="3" t="n">
        <f aca="false">(Tabla2[[#This Row],[Productividad (kg/TAS)]]*Tabla2[[#This Row],[Precio por kg]]-Tabla2[[#This Row],[Costos (En RD$/Tarea)]])</f>
        <v>36589.6484949264</v>
      </c>
      <c r="O1818" s="9" t="n">
        <f aca="false">IF(Tabla2[[#This Row],[Costos (En RD$/Tarea)]]=0,0,Tabla2[[#This Row],[Beneficio Neto  (En RD$/Tarea)]]/Tabla2[[#This Row],[Costos (En RD$/Tarea)]])</f>
        <v>1.50297333539247</v>
      </c>
      <c r="P1818" s="7" t="n">
        <f aca="false">Tabla2[[#This Row],[Rentabilidad (%)]]/12</f>
        <v>0.125247777949373</v>
      </c>
    </row>
    <row r="1819" customFormat="false" ht="14.25" hidden="false" customHeight="false" outlineLevel="0" collapsed="false">
      <c r="A1819" s="1" t="n">
        <v>41122</v>
      </c>
      <c r="B1819" s="2" t="s">
        <v>24</v>
      </c>
      <c r="C1819" s="3" t="n">
        <v>4368</v>
      </c>
      <c r="D1819" s="8" t="s">
        <v>17</v>
      </c>
      <c r="E1819" s="3" t="n">
        <f aca="false">IF(Tabla2[[#This Row],[Frecuencia]]="Annual", Tabla2[[#This Row],[Cosecha/Tarea]]/12,Tabla2[[#This Row],[Cosecha/Tarea]])</f>
        <v>4368</v>
      </c>
      <c r="F1819" s="3" t="n">
        <v>50416</v>
      </c>
      <c r="G1819" s="2" t="s">
        <v>18</v>
      </c>
      <c r="H1819" s="2" t="n">
        <f aca="false">F1819/Tabla2[[#This Row],[Cosecha Mensual]]</f>
        <v>11.5421245421245</v>
      </c>
      <c r="I1819" s="2" t="n">
        <f aca="false">H1819*_xlfn.XLOOKUP(Tabla2[[#This Row],[Unidad de producción]],Tabla3[Medida],Tabla3[Equivalencia en Kg],"ELVIS",0)</f>
        <v>523.550769230769</v>
      </c>
      <c r="J1819" s="2" t="n">
        <v>1278.82936507937</v>
      </c>
      <c r="K1819" s="2" t="s">
        <v>18</v>
      </c>
      <c r="L1819" s="2" t="n">
        <f aca="false">J1819/_xlfn.XLOOKUP(Tabla2[[#This Row],[Unidad de precio]],Tabla3[Medida],Tabla3[Equivalencia en Kg],"ELVIS",0)</f>
        <v>28.1928872371995</v>
      </c>
      <c r="M1819" s="2" t="n">
        <v>8104.7130577284</v>
      </c>
      <c r="N1819" s="3" t="n">
        <f aca="false">(Tabla2[[#This Row],[Productividad (kg/TAS)]]*Tabla2[[#This Row],[Precio por kg]]-Tabla2[[#This Row],[Costos (En RD$/Tarea)]])</f>
        <v>6655.69474214374</v>
      </c>
      <c r="O1819" s="9" t="n">
        <f aca="false">IF(Tabla2[[#This Row],[Costos (En RD$/Tarea)]]=0,0,Tabla2[[#This Row],[Beneficio Neto  (En RD$/Tarea)]]/Tabla2[[#This Row],[Costos (En RD$/Tarea)]])</f>
        <v>0.821212878819576</v>
      </c>
      <c r="P1819" s="7" t="n">
        <f aca="false">Tabla2[[#This Row],[Rentabilidad (%)]]/12</f>
        <v>0.068434406568298</v>
      </c>
    </row>
    <row r="1820" customFormat="false" ht="14.25" hidden="false" customHeight="false" outlineLevel="0" collapsed="false">
      <c r="A1820" s="1" t="n">
        <v>41122</v>
      </c>
      <c r="B1820" s="2" t="s">
        <v>25</v>
      </c>
      <c r="C1820" s="3" t="n">
        <v>25989</v>
      </c>
      <c r="D1820" s="8" t="s">
        <v>17</v>
      </c>
      <c r="E1820" s="3" t="n">
        <f aca="false">IF(Tabla2[[#This Row],[Frecuencia]]="Annual", Tabla2[[#This Row],[Cosecha/Tarea]]/12,Tabla2[[#This Row],[Cosecha/Tarea]])</f>
        <v>25989</v>
      </c>
      <c r="F1820" s="3" t="n">
        <v>312092</v>
      </c>
      <c r="G1820" s="2" t="s">
        <v>18</v>
      </c>
      <c r="H1820" s="2" t="n">
        <f aca="false">F1820/Tabla2[[#This Row],[Cosecha Mensual]]</f>
        <v>12.0086190311286</v>
      </c>
      <c r="I1820" s="2" t="n">
        <f aca="false">H1820*_xlfn.XLOOKUP(Tabla2[[#This Row],[Unidad de producción]],Tabla3[Medida],Tabla3[Equivalencia en Kg],"ELVIS",0)</f>
        <v>544.710959251991</v>
      </c>
      <c r="J1820" s="2" t="n">
        <v>420.97801984127</v>
      </c>
      <c r="K1820" s="2" t="s">
        <v>18</v>
      </c>
      <c r="L1820" s="2" t="n">
        <f aca="false">J1820/_xlfn.XLOOKUP(Tabla2[[#This Row],[Unidad de precio]],Tabla3[Medida],Tabla3[Equivalencia en Kg],"ELVIS",0)</f>
        <v>9.28082054323788</v>
      </c>
      <c r="M1820" s="2" t="n">
        <v>4628.4219376425</v>
      </c>
      <c r="N1820" s="3" t="n">
        <f aca="false">(Tabla2[[#This Row],[Productividad (kg/TAS)]]*Tabla2[[#This Row],[Precio por kg]]-Tabla2[[#This Row],[Costos (En RD$/Tarea)]])</f>
        <v>426.94272311019</v>
      </c>
      <c r="O1820" s="9" t="n">
        <f aca="false">IF(Tabla2[[#This Row],[Costos (En RD$/Tarea)]]=0,0,Tabla2[[#This Row],[Beneficio Neto  (En RD$/Tarea)]]/Tabla2[[#This Row],[Costos (En RD$/Tarea)]])</f>
        <v>0.0922436910165659</v>
      </c>
      <c r="P1820" s="7" t="n">
        <f aca="false">Tabla2[[#This Row],[Rentabilidad (%)]]/12</f>
        <v>0.00768697425138049</v>
      </c>
    </row>
    <row r="1821" customFormat="false" ht="14.25" hidden="false" customHeight="false" outlineLevel="0" collapsed="false">
      <c r="A1821" s="1" t="n">
        <v>41122</v>
      </c>
      <c r="B1821" s="2" t="s">
        <v>26</v>
      </c>
      <c r="C1821" s="3" t="n">
        <v>9733</v>
      </c>
      <c r="D1821" s="8" t="s">
        <v>17</v>
      </c>
      <c r="E1821" s="3" t="n">
        <f aca="false">IF(Tabla2[[#This Row],[Frecuencia]]="Annual", Tabla2[[#This Row],[Cosecha/Tarea]]/12,Tabla2[[#This Row],[Cosecha/Tarea]])</f>
        <v>9733</v>
      </c>
      <c r="F1821" s="3" t="n">
        <v>66495</v>
      </c>
      <c r="G1821" s="2" t="s">
        <v>18</v>
      </c>
      <c r="H1821" s="2" t="n">
        <f aca="false">F1821/Tabla2[[#This Row],[Cosecha Mensual]]</f>
        <v>6.8319120517826</v>
      </c>
      <c r="I1821" s="2" t="n">
        <f aca="false">H1821*_xlfn.XLOOKUP(Tabla2[[#This Row],[Unidad de producción]],Tabla3[Medida],Tabla3[Equivalencia en Kg],"ELVIS",0)</f>
        <v>309.895530668859</v>
      </c>
      <c r="J1821" s="2" t="n">
        <v>920.978280423281</v>
      </c>
      <c r="K1821" s="2" t="s">
        <v>18</v>
      </c>
      <c r="L1821" s="2" t="n">
        <f aca="false">J1821/_xlfn.XLOOKUP(Tabla2[[#This Row],[Unidad de precio]],Tabla3[Medida],Tabla3[Equivalencia en Kg],"ELVIS",0)</f>
        <v>20.3037539775856</v>
      </c>
      <c r="M1821" s="2" t="n">
        <v>2035.793320573</v>
      </c>
      <c r="N1821" s="3" t="n">
        <f aca="false">(Tabla2[[#This Row],[Productividad (kg/TAS)]]*Tabla2[[#This Row],[Precio por kg]]-Tabla2[[#This Row],[Costos (En RD$/Tarea)]])</f>
        <v>4256.24929288082</v>
      </c>
      <c r="O1821" s="9" t="n">
        <f aca="false">IF(Tabla2[[#This Row],[Costos (En RD$/Tarea)]]=0,0,Tabla2[[#This Row],[Beneficio Neto  (En RD$/Tarea)]]/Tabla2[[#This Row],[Costos (En RD$/Tarea)]])</f>
        <v>2.09070795638668</v>
      </c>
      <c r="P1821" s="7" t="n">
        <f aca="false">Tabla2[[#This Row],[Rentabilidad (%)]]/12</f>
        <v>0.174225663032223</v>
      </c>
    </row>
    <row r="1822" customFormat="false" ht="14.25" hidden="false" customHeight="false" outlineLevel="0" collapsed="false">
      <c r="A1822" s="1" t="n">
        <v>41122</v>
      </c>
      <c r="B1822" s="2" t="s">
        <v>27</v>
      </c>
      <c r="C1822" s="3" t="n">
        <v>3721</v>
      </c>
      <c r="D1822" s="8" t="s">
        <v>17</v>
      </c>
      <c r="E1822" s="3" t="n">
        <f aca="false">IF(Tabla2[[#This Row],[Frecuencia]]="Annual", Tabla2[[#This Row],[Cosecha/Tarea]]/12,Tabla2[[#This Row],[Cosecha/Tarea]])</f>
        <v>3721</v>
      </c>
      <c r="F1822" s="3" t="n">
        <v>33227</v>
      </c>
      <c r="G1822" s="2" t="s">
        <v>18</v>
      </c>
      <c r="H1822" s="2" t="n">
        <f aca="false">F1822/Tabla2[[#This Row],[Cosecha Mensual]]</f>
        <v>8.92958882020962</v>
      </c>
      <c r="I1822" s="2" t="n">
        <f aca="false">H1822*_xlfn.XLOOKUP(Tabla2[[#This Row],[Unidad de producción]],Tabla3[Medida],Tabla3[Equivalencia en Kg],"ELVIS",0)</f>
        <v>405.046148884708</v>
      </c>
      <c r="J1822" s="2" t="n">
        <v>615.069466931217</v>
      </c>
      <c r="K1822" s="2" t="s">
        <v>18</v>
      </c>
      <c r="L1822" s="2" t="n">
        <f aca="false">J1822/_xlfn.XLOOKUP(Tabla2[[#This Row],[Unidad de precio]],Tabla3[Medida],Tabla3[Equivalencia en Kg],"ELVIS",0)</f>
        <v>13.5597325161203</v>
      </c>
      <c r="M1822" s="2" t="n">
        <v>7766.250013275</v>
      </c>
      <c r="N1822" s="3" t="n">
        <f aca="false">(Tabla2[[#This Row],[Productividad (kg/TAS)]]*Tabla2[[#This Row],[Precio por kg]]-Tabla2[[#This Row],[Costos (En RD$/Tarea)]])</f>
        <v>-2273.93257771371</v>
      </c>
      <c r="O1822" s="9" t="n">
        <f aca="false">IF(Tabla2[[#This Row],[Costos (En RD$/Tarea)]]=0,0,Tabla2[[#This Row],[Beneficio Neto  (En RD$/Tarea)]]/Tabla2[[#This Row],[Costos (En RD$/Tarea)]])</f>
        <v>-0.292796726068159</v>
      </c>
      <c r="P1822" s="7" t="n">
        <f aca="false">Tabla2[[#This Row],[Rentabilidad (%)]]/12</f>
        <v>-0.0243997271723466</v>
      </c>
    </row>
    <row r="1823" customFormat="false" ht="14.25" hidden="false" customHeight="false" outlineLevel="0" collapsed="false">
      <c r="A1823" s="1" t="n">
        <v>41122</v>
      </c>
      <c r="B1823" s="2" t="s">
        <v>28</v>
      </c>
      <c r="C1823" s="3" t="n">
        <v>60789</v>
      </c>
      <c r="D1823" s="8" t="s">
        <v>17</v>
      </c>
      <c r="E1823" s="3" t="n">
        <f aca="false">IF(Tabla2[[#This Row],[Frecuencia]]="Annual", Tabla2[[#This Row],[Cosecha/Tarea]]/12,Tabla2[[#This Row],[Cosecha/Tarea]])</f>
        <v>60789</v>
      </c>
      <c r="F1823" s="3" t="n">
        <v>165020</v>
      </c>
      <c r="G1823" s="2" t="s">
        <v>29</v>
      </c>
      <c r="H1823" s="2" t="n">
        <f aca="false">F1823/Tabla2[[#This Row],[Cosecha Mensual]]</f>
        <v>2.71463587162151</v>
      </c>
      <c r="I1823" s="2" t="n">
        <f aca="false">H1823*_xlfn.XLOOKUP(Tabla2[[#This Row],[Unidad de producción]],Tabla3[Medida],Tabla3[Equivalencia en Kg],"ELVIS",0)</f>
        <v>1526.54833604764</v>
      </c>
      <c r="J1823" s="2" t="n">
        <v>4849.52380952381</v>
      </c>
      <c r="K1823" s="2" t="s">
        <v>29</v>
      </c>
      <c r="L1823" s="2" t="n">
        <f aca="false">J1823/_xlfn.XLOOKUP(Tabla2[[#This Row],[Unidad de precio]],Tabla3[Medida],Tabla3[Equivalencia en Kg],"ELVIS",0)</f>
        <v>8.62382866152827</v>
      </c>
      <c r="M1823" s="2" t="n">
        <v>6923.3397737334</v>
      </c>
      <c r="N1823" s="3" t="n">
        <f aca="false">(Tabla2[[#This Row],[Productividad (kg/TAS)]]*Tabla2[[#This Row],[Precio por kg]]-Tabla2[[#This Row],[Costos (En RD$/Tarea)]])</f>
        <v>6241.35151988254</v>
      </c>
      <c r="O1823" s="9" t="n">
        <f aca="false">IF(Tabla2[[#This Row],[Costos (En RD$/Tarea)]]=0,0,Tabla2[[#This Row],[Beneficio Neto  (En RD$/Tarea)]]/Tabla2[[#This Row],[Costos (En RD$/Tarea)]])</f>
        <v>0.901494325551048</v>
      </c>
      <c r="P1823" s="7" t="n">
        <f aca="false">Tabla2[[#This Row],[Rentabilidad (%)]]/12</f>
        <v>0.075124527129254</v>
      </c>
    </row>
    <row r="1824" customFormat="false" ht="14.25" hidden="false" customHeight="false" outlineLevel="0" collapsed="false">
      <c r="A1824" s="1" t="n">
        <v>41122</v>
      </c>
      <c r="B1824" s="2" t="s">
        <v>30</v>
      </c>
      <c r="C1824" s="3" t="n">
        <v>381667</v>
      </c>
      <c r="D1824" s="3" t="s">
        <v>31</v>
      </c>
      <c r="E1824" s="3" t="n">
        <f aca="false">IF(Tabla2[[#This Row],[Frecuencia]]="Annual", Tabla2[[#This Row],[Cosecha/Tarea]]/12,Tabla2[[#This Row],[Cosecha/Tarea]])</f>
        <v>31805.5833333333</v>
      </c>
      <c r="F1824" s="3" t="n">
        <v>3262404</v>
      </c>
      <c r="G1824" s="2" t="s">
        <v>32</v>
      </c>
      <c r="H1824" s="2" t="n">
        <f aca="false">F1824/Tabla2[[#This Row],[Cosecha Mensual]]</f>
        <v>102.573311289684</v>
      </c>
      <c r="I1824" s="2" t="n">
        <f aca="false">H1824*_xlfn.XLOOKUP(Tabla2[[#This Row],[Unidad de producción]],Tabla3[Medida],Tabla3[Equivalencia en Kg],"ELVIS",0)</f>
        <v>2791.01980019231</v>
      </c>
      <c r="J1824" s="2" t="n">
        <v>138.544444444444</v>
      </c>
      <c r="K1824" s="2" t="s">
        <v>32</v>
      </c>
      <c r="L1824" s="2" t="n">
        <f aca="false">J1824/_xlfn.XLOOKUP(Tabla2[[#This Row],[Unidad de precio]],Tabla3[Medida],Tabla3[Equivalencia en Kg],"ELVIS",0)</f>
        <v>5.09167381273223</v>
      </c>
      <c r="M1824" s="3" t="n">
        <v>12463.8060770282</v>
      </c>
      <c r="N1824" s="3" t="n">
        <f aca="false">(Tabla2[[#This Row],[Productividad (kg/TAS)]]*Tabla2[[#This Row],[Precio por kg]]-Tabla2[[#This Row],[Costos (En RD$/Tarea)]])</f>
        <v>1747.15635042815</v>
      </c>
      <c r="O1824" s="9" t="n">
        <f aca="false">IF(Tabla2[[#This Row],[Costos (En RD$/Tarea)]]=0,0,Tabla2[[#This Row],[Beneficio Neto  (En RD$/Tarea)]]/Tabla2[[#This Row],[Costos (En RD$/Tarea)]])</f>
        <v>0.140178396521132</v>
      </c>
      <c r="P1824" s="7" t="n">
        <f aca="false">Tabla2[[#This Row],[Rentabilidad (%)]]/12</f>
        <v>0.0116815330434276</v>
      </c>
    </row>
    <row r="1825" customFormat="false" ht="14.25" hidden="false" customHeight="false" outlineLevel="0" collapsed="false">
      <c r="A1825" s="1" t="n">
        <v>41122</v>
      </c>
      <c r="B1825" s="2" t="s">
        <v>33</v>
      </c>
      <c r="C1825" s="3" t="n">
        <v>765399</v>
      </c>
      <c r="D1825" s="3" t="s">
        <v>31</v>
      </c>
      <c r="E1825" s="11" t="n">
        <f aca="false">IF(Tabla2[[#This Row],[Frecuencia]]="Annual", Tabla2[[#This Row],[Cosecha/Tarea]]/12,Tabla2[[#This Row],[Cosecha/Tarea]])</f>
        <v>63783.25</v>
      </c>
      <c r="F1825" s="3" t="n">
        <v>218755</v>
      </c>
      <c r="G1825" s="2" t="s">
        <v>34</v>
      </c>
      <c r="H1825" s="2" t="n">
        <f aca="false">F1825/Tabla2[[#This Row],[Cosecha Mensual]]</f>
        <v>3.4296621761983</v>
      </c>
      <c r="I1825" s="2" t="n">
        <f aca="false">H1825*_xlfn.XLOOKUP(Tabla2[[#This Row],[Unidad de producción]],Tabla3[Medida],Tabla3[Equivalencia en Kg],"ELVIS",0)</f>
        <v>1399.81661721533</v>
      </c>
      <c r="J1825" s="2" t="n">
        <v>3774.53835978836</v>
      </c>
      <c r="K1825" s="2" t="s">
        <v>34</v>
      </c>
      <c r="L1825" s="2" t="n">
        <f aca="false">J1825/_xlfn.XLOOKUP(Tabla2[[#This Row],[Unidad de precio]],Tabla3[Medida],Tabla3[Equivalencia en Kg],"ELVIS",0)</f>
        <v>9.2479195388665</v>
      </c>
      <c r="M1825" s="3" t="n">
        <v>11933.7643424532</v>
      </c>
      <c r="N1825" s="3" t="n">
        <f aca="false">(Tabla2[[#This Row],[Productividad (kg/TAS)]]*Tabla2[[#This Row],[Precio por kg]]-Tabla2[[#This Row],[Costos (En RD$/Tarea)]])</f>
        <v>1011.6271027225</v>
      </c>
      <c r="O1825" s="9" t="n">
        <f aca="false">IF(Tabla2[[#This Row],[Costos (En RD$/Tarea)]]=0,0,Tabla2[[#This Row],[Beneficio Neto  (En RD$/Tarea)]]/Tabla2[[#This Row],[Costos (En RD$/Tarea)]])</f>
        <v>0.0847701591629165</v>
      </c>
      <c r="P1825" s="7" t="n">
        <f aca="false">Tabla2[[#This Row],[Rentabilidad (%)]]/12</f>
        <v>0.00706417993024304</v>
      </c>
    </row>
    <row r="1826" customFormat="false" ht="14.25" hidden="false" customHeight="false" outlineLevel="0" collapsed="false">
      <c r="A1826" s="1" t="n">
        <v>41153</v>
      </c>
      <c r="B1826" s="2" t="s">
        <v>16</v>
      </c>
      <c r="C1826" s="3" t="n">
        <v>217410</v>
      </c>
      <c r="D1826" s="8" t="s">
        <v>17</v>
      </c>
      <c r="E1826" s="3" t="n">
        <f aca="false">IF(Tabla2[[#This Row],[Frecuencia]]="Annual", Tabla2[[#This Row],[Cosecha/Tarea]]/12,Tabla2[[#This Row],[Cosecha/Tarea]])</f>
        <v>217410</v>
      </c>
      <c r="F1826" s="3" t="n">
        <v>892819</v>
      </c>
      <c r="G1826" s="2" t="s">
        <v>18</v>
      </c>
      <c r="H1826" s="2" t="n">
        <f aca="false">F1826/Tabla2[[#This Row],[Cosecha Mensual]]</f>
        <v>4.10661423117612</v>
      </c>
      <c r="I1826" s="2" t="n">
        <f aca="false">H1826*_xlfn.XLOOKUP(Tabla2[[#This Row],[Unidad de producción]],Tabla3[Medida],Tabla3[Equivalencia en Kg],"ELVIS",0)</f>
        <v>186.276021526149</v>
      </c>
      <c r="J1826" s="2" t="n">
        <v>1568.8428676201</v>
      </c>
      <c r="K1826" s="2" t="s">
        <v>19</v>
      </c>
      <c r="L1826" s="2" t="n">
        <f aca="false">J1826/_xlfn.XLOOKUP(Tabla2[[#This Row],[Unidad de precio]],Tabla3[Medida],Tabla3[Equivalencia en Kg],"ELVIS",0)</f>
        <v>14.2622078874555</v>
      </c>
      <c r="M1826" s="2" t="n">
        <v>7982.61905212344</v>
      </c>
      <c r="N1826" s="3" t="n">
        <f aca="false">(Tabla2[[#This Row],[Productividad (kg/TAS)]]*Tabla2[[#This Row],[Precio por kg]]-Tabla2[[#This Row],[Costos (En RD$/Tarea)]])</f>
        <v>-5325.91170866938</v>
      </c>
      <c r="O1826" s="9" t="n">
        <f aca="false">IF(Tabla2[[#This Row],[Costos (En RD$/Tarea)]]=0,0,Tabla2[[#This Row],[Beneficio Neto  (En RD$/Tarea)]]/Tabla2[[#This Row],[Costos (En RD$/Tarea)]])</f>
        <v>-0.66718850967248</v>
      </c>
      <c r="P1826" s="7" t="n">
        <f aca="false">Tabla2[[#This Row],[Rentabilidad (%)]]/12</f>
        <v>-0.0555990424727066</v>
      </c>
    </row>
    <row r="1827" customFormat="false" ht="14.25" hidden="false" customHeight="false" outlineLevel="0" collapsed="false">
      <c r="A1827" s="1" t="n">
        <v>41153</v>
      </c>
      <c r="B1827" s="2" t="s">
        <v>20</v>
      </c>
      <c r="C1827" s="3" t="n">
        <v>54775</v>
      </c>
      <c r="D1827" s="8" t="s">
        <v>17</v>
      </c>
      <c r="E1827" s="3" t="n">
        <f aca="false">IF(Tabla2[[#This Row],[Frecuencia]]="Annual", Tabla2[[#This Row],[Cosecha/Tarea]]/12,Tabla2[[#This Row],[Cosecha/Tarea]])</f>
        <v>54775</v>
      </c>
      <c r="F1827" s="3" t="n">
        <v>106172</v>
      </c>
      <c r="G1827" s="2" t="s">
        <v>18</v>
      </c>
      <c r="H1827" s="2" t="n">
        <f aca="false">F1827/Tabla2[[#This Row],[Cosecha Mensual]]</f>
        <v>1.93832952989503</v>
      </c>
      <c r="I1827" s="2" t="n">
        <f aca="false">H1827*_xlfn.XLOOKUP(Tabla2[[#This Row],[Unidad de producción]],Tabla3[Medida],Tabla3[Equivalencia en Kg],"ELVIS",0)</f>
        <v>87.9226274760383</v>
      </c>
      <c r="J1827" s="2" t="n">
        <v>722.522619047619</v>
      </c>
      <c r="K1827" s="2" t="s">
        <v>18</v>
      </c>
      <c r="L1827" s="2" t="n">
        <f aca="false">J1827/_xlfn.XLOOKUP(Tabla2[[#This Row],[Unidad de precio]],Tabla3[Medida],Tabla3[Equivalencia en Kg],"ELVIS",0)</f>
        <v>15.9286291677165</v>
      </c>
      <c r="M1827" s="2" t="n">
        <v>2248.3053412475</v>
      </c>
      <c r="N1827" s="3" t="n">
        <f aca="false">(Tabla2[[#This Row],[Productividad (kg/TAS)]]*Tabla2[[#This Row],[Precio por kg]]-Tabla2[[#This Row],[Costos (En RD$/Tarea)]])</f>
        <v>-847.818412730406</v>
      </c>
      <c r="O1827" s="9" t="n">
        <f aca="false">IF(Tabla2[[#This Row],[Costos (En RD$/Tarea)]]=0,0,Tabla2[[#This Row],[Beneficio Neto  (En RD$/Tarea)]]/Tabla2[[#This Row],[Costos (En RD$/Tarea)]])</f>
        <v>-0.377092202369623</v>
      </c>
      <c r="P1827" s="7" t="n">
        <f aca="false">Tabla2[[#This Row],[Rentabilidad (%)]]/12</f>
        <v>-0.0314243501974686</v>
      </c>
    </row>
    <row r="1828" customFormat="false" ht="14.25" hidden="false" customHeight="false" outlineLevel="0" collapsed="false">
      <c r="A1828" s="1" t="n">
        <v>41153</v>
      </c>
      <c r="B1828" s="2" t="s">
        <v>21</v>
      </c>
      <c r="C1828" s="3" t="n">
        <v>3698</v>
      </c>
      <c r="D1828" s="8" t="s">
        <v>17</v>
      </c>
      <c r="E1828" s="3" t="n">
        <f aca="false">IF(Tabla2[[#This Row],[Frecuencia]]="Annual", Tabla2[[#This Row],[Cosecha/Tarea]]/12,Tabla2[[#This Row],[Cosecha/Tarea]])</f>
        <v>3698</v>
      </c>
      <c r="F1828" s="3" t="n">
        <v>41157</v>
      </c>
      <c r="G1828" s="2" t="s">
        <v>18</v>
      </c>
      <c r="H1828" s="2" t="n">
        <f aca="false">F1828/Tabla2[[#This Row],[Cosecha Mensual]]</f>
        <v>11.1295294753921</v>
      </c>
      <c r="I1828" s="2" t="n">
        <f aca="false">H1828*_xlfn.XLOOKUP(Tabla2[[#This Row],[Unidad de producción]],Tabla3[Medida],Tabla3[Equivalencia en Kg],"ELVIS",0)</f>
        <v>504.835457003786</v>
      </c>
      <c r="J1828" s="2" t="n">
        <v>412.083333333333</v>
      </c>
      <c r="K1828" s="2" t="s">
        <v>18</v>
      </c>
      <c r="L1828" s="2" t="n">
        <f aca="false">J1828/_xlfn.XLOOKUP(Tabla2[[#This Row],[Unidad de precio]],Tabla3[Medida],Tabla3[Equivalencia en Kg],"ELVIS",0)</f>
        <v>9.08472957084067</v>
      </c>
      <c r="M1828" s="2" t="n">
        <v>5350.20172000917</v>
      </c>
      <c r="N1828" s="3" t="n">
        <f aca="false">(Tabla2[[#This Row],[Productividad (kg/TAS)]]*Tabla2[[#This Row],[Precio por kg]]-Tabla2[[#This Row],[Costos (En RD$/Tarea)]])</f>
        <v>-763.908115358011</v>
      </c>
      <c r="O1828" s="9" t="n">
        <f aca="false">IF(Tabla2[[#This Row],[Costos (En RD$/Tarea)]]=0,0,Tabla2[[#This Row],[Beneficio Neto  (En RD$/Tarea)]]/Tabla2[[#This Row],[Costos (En RD$/Tarea)]])</f>
        <v>-0.142781180100384</v>
      </c>
      <c r="P1828" s="7" t="n">
        <f aca="false">Tabla2[[#This Row],[Rentabilidad (%)]]/12</f>
        <v>-0.011898431675032</v>
      </c>
    </row>
    <row r="1829" customFormat="false" ht="14.25" hidden="false" customHeight="false" outlineLevel="0" collapsed="false">
      <c r="A1829" s="1" t="n">
        <v>41153</v>
      </c>
      <c r="B1829" s="2" t="s">
        <v>22</v>
      </c>
      <c r="C1829" s="3" t="n">
        <v>1993</v>
      </c>
      <c r="D1829" s="8" t="s">
        <v>17</v>
      </c>
      <c r="E1829" s="3" t="n">
        <f aca="false">IF(Tabla2[[#This Row],[Frecuencia]]="Annual", Tabla2[[#This Row],[Cosecha/Tarea]]/12,Tabla2[[#This Row],[Cosecha/Tarea]])</f>
        <v>1993</v>
      </c>
      <c r="F1829" s="3" t="n">
        <v>17728</v>
      </c>
      <c r="G1829" s="2" t="s">
        <v>18</v>
      </c>
      <c r="H1829" s="2" t="n">
        <f aca="false">F1829/Tabla2[[#This Row],[Cosecha Mensual]]</f>
        <v>8.89513296537883</v>
      </c>
      <c r="I1829" s="2" t="n">
        <f aca="false">H1829*_xlfn.XLOOKUP(Tabla2[[#This Row],[Unidad de producción]],Tabla3[Medida],Tabla3[Equivalencia en Kg],"ELVIS",0)</f>
        <v>403.483231309584</v>
      </c>
      <c r="J1829" s="2" t="n">
        <v>1085.875</v>
      </c>
      <c r="K1829" s="2" t="s">
        <v>18</v>
      </c>
      <c r="L1829" s="2" t="n">
        <f aca="false">J1829/_xlfn.XLOOKUP(Tabla2[[#This Row],[Unidad de precio]],Tabla3[Medida],Tabla3[Equivalencia en Kg],"ELVIS",0)</f>
        <v>23.9390432098765</v>
      </c>
      <c r="M1829" s="2" t="n">
        <v>8360.190555</v>
      </c>
      <c r="N1829" s="3" t="n">
        <f aca="false">(Tabla2[[#This Row],[Productividad (kg/TAS)]]*Tabla2[[#This Row],[Precio por kg]]-Tabla2[[#This Row],[Costos (En RD$/Tarea)]])</f>
        <v>1298.81195378073</v>
      </c>
      <c r="O1829" s="9" t="n">
        <f aca="false">IF(Tabla2[[#This Row],[Costos (En RD$/Tarea)]]=0,0,Tabla2[[#This Row],[Beneficio Neto  (En RD$/Tarea)]]/Tabla2[[#This Row],[Costos (En RD$/Tarea)]])</f>
        <v>0.155356740403955</v>
      </c>
      <c r="P1829" s="7" t="n">
        <f aca="false">Tabla2[[#This Row],[Rentabilidad (%)]]/12</f>
        <v>0.0129463950336629</v>
      </c>
    </row>
    <row r="1830" customFormat="false" ht="14.25" hidden="false" customHeight="false" outlineLevel="0" collapsed="false">
      <c r="A1830" s="1" t="n">
        <v>41153</v>
      </c>
      <c r="B1830" s="2" t="s">
        <v>23</v>
      </c>
      <c r="C1830" s="3" t="n">
        <v>2276</v>
      </c>
      <c r="D1830" s="8" t="s">
        <v>17</v>
      </c>
      <c r="E1830" s="3" t="n">
        <f aca="false">IF(Tabla2[[#This Row],[Frecuencia]]="Annual", Tabla2[[#This Row],[Cosecha/Tarea]]/12,Tabla2[[#This Row],[Cosecha/Tarea]])</f>
        <v>2276</v>
      </c>
      <c r="F1830" s="3" t="n">
        <v>81505</v>
      </c>
      <c r="G1830" s="2" t="s">
        <v>18</v>
      </c>
      <c r="H1830" s="2" t="n">
        <f aca="false">F1830/Tabla2[[#This Row],[Cosecha Mensual]]</f>
        <v>35.8106326889279</v>
      </c>
      <c r="I1830" s="2" t="n">
        <f aca="false">H1830*_xlfn.XLOOKUP(Tabla2[[#This Row],[Unidad de producción]],Tabla3[Medida],Tabla3[Equivalencia en Kg],"ELVIS",0)</f>
        <v>1624.37029876977</v>
      </c>
      <c r="J1830" s="2" t="n">
        <v>706.041875</v>
      </c>
      <c r="K1830" s="2" t="s">
        <v>18</v>
      </c>
      <c r="L1830" s="2" t="n">
        <f aca="false">J1830/_xlfn.XLOOKUP(Tabla2[[#This Row],[Unidad de precio]],Tabla3[Medida],Tabla3[Equivalencia en Kg],"ELVIS",0)</f>
        <v>15.5652970679012</v>
      </c>
      <c r="M1830" s="2" t="n">
        <v>24344.842076238</v>
      </c>
      <c r="N1830" s="3" t="n">
        <f aca="false">(Tabla2[[#This Row],[Productividad (kg/TAS)]]*Tabla2[[#This Row],[Precio por kg]]-Tabla2[[#This Row],[Costos (En RD$/Tarea)]])</f>
        <v>938.964172388976</v>
      </c>
      <c r="O1830" s="9" t="n">
        <f aca="false">IF(Tabla2[[#This Row],[Costos (En RD$/Tarea)]]=0,0,Tabla2[[#This Row],[Beneficio Neto  (En RD$/Tarea)]]/Tabla2[[#This Row],[Costos (En RD$/Tarea)]])</f>
        <v>0.0385693269008905</v>
      </c>
      <c r="P1830" s="7" t="n">
        <f aca="false">Tabla2[[#This Row],[Rentabilidad (%)]]/12</f>
        <v>0.00321411057507421</v>
      </c>
    </row>
    <row r="1831" customFormat="false" ht="14.25" hidden="false" customHeight="false" outlineLevel="0" collapsed="false">
      <c r="A1831" s="1" t="n">
        <v>41153</v>
      </c>
      <c r="B1831" s="2" t="s">
        <v>24</v>
      </c>
      <c r="C1831" s="3" t="n">
        <v>3150</v>
      </c>
      <c r="D1831" s="8" t="s">
        <v>17</v>
      </c>
      <c r="E1831" s="3" t="n">
        <f aca="false">IF(Tabla2[[#This Row],[Frecuencia]]="Annual", Tabla2[[#This Row],[Cosecha/Tarea]]/12,Tabla2[[#This Row],[Cosecha/Tarea]])</f>
        <v>3150</v>
      </c>
      <c r="F1831" s="3" t="n">
        <v>26266</v>
      </c>
      <c r="G1831" s="2" t="s">
        <v>18</v>
      </c>
      <c r="H1831" s="2" t="n">
        <f aca="false">F1831/Tabla2[[#This Row],[Cosecha Mensual]]</f>
        <v>8.3384126984127</v>
      </c>
      <c r="I1831" s="2" t="n">
        <f aca="false">H1831*_xlfn.XLOOKUP(Tabla2[[#This Row],[Unidad de producción]],Tabla3[Medida],Tabla3[Equivalencia en Kg],"ELVIS",0)</f>
        <v>378.2304</v>
      </c>
      <c r="J1831" s="2" t="n">
        <v>1278.80952380952</v>
      </c>
      <c r="K1831" s="2" t="s">
        <v>18</v>
      </c>
      <c r="L1831" s="2" t="n">
        <f aca="false">J1831/_xlfn.XLOOKUP(Tabla2[[#This Row],[Unidad de precio]],Tabla3[Medida],Tabla3[Equivalencia en Kg],"ELVIS",0)</f>
        <v>28.1924498194339</v>
      </c>
      <c r="M1831" s="2" t="n">
        <v>8104.7130577284</v>
      </c>
      <c r="N1831" s="3" t="n">
        <f aca="false">(Tabla2[[#This Row],[Productividad (kg/TAS)]]*Tabla2[[#This Row],[Precio por kg]]-Tabla2[[#This Row],[Costos (En RD$/Tarea)]])</f>
        <v>2558.528514456</v>
      </c>
      <c r="O1831" s="9" t="n">
        <f aca="false">IF(Tabla2[[#This Row],[Costos (En RD$/Tarea)]]=0,0,Tabla2[[#This Row],[Beneficio Neto  (En RD$/Tarea)]]/Tabla2[[#This Row],[Costos (En RD$/Tarea)]])</f>
        <v>0.31568403424428</v>
      </c>
      <c r="P1831" s="7" t="n">
        <f aca="false">Tabla2[[#This Row],[Rentabilidad (%)]]/12</f>
        <v>0.02630700285369</v>
      </c>
    </row>
    <row r="1832" customFormat="false" ht="14.25" hidden="false" customHeight="false" outlineLevel="0" collapsed="false">
      <c r="A1832" s="1" t="n">
        <v>41153</v>
      </c>
      <c r="B1832" s="2" t="s">
        <v>25</v>
      </c>
      <c r="C1832" s="3" t="n">
        <v>18569</v>
      </c>
      <c r="D1832" s="8" t="s">
        <v>17</v>
      </c>
      <c r="E1832" s="3" t="n">
        <f aca="false">IF(Tabla2[[#This Row],[Frecuencia]]="Annual", Tabla2[[#This Row],[Cosecha/Tarea]]/12,Tabla2[[#This Row],[Cosecha/Tarea]])</f>
        <v>18569</v>
      </c>
      <c r="F1832" s="3" t="n">
        <v>209595</v>
      </c>
      <c r="G1832" s="2" t="s">
        <v>18</v>
      </c>
      <c r="H1832" s="2" t="n">
        <f aca="false">F1832/Tabla2[[#This Row],[Cosecha Mensual]]</f>
        <v>11.2873606548549</v>
      </c>
      <c r="I1832" s="2" t="n">
        <f aca="false">H1832*_xlfn.XLOOKUP(Tabla2[[#This Row],[Unidad de producción]],Tabla3[Medida],Tabla3[Equivalencia en Kg],"ELVIS",0)</f>
        <v>511.994679304217</v>
      </c>
      <c r="J1832" s="2" t="n">
        <v>461.320166666667</v>
      </c>
      <c r="K1832" s="2" t="s">
        <v>18</v>
      </c>
      <c r="L1832" s="2" t="n">
        <f aca="false">J1832/_xlfn.XLOOKUP(Tabla2[[#This Row],[Unidad de precio]],Tabla3[Medida],Tabla3[Equivalencia en Kg],"ELVIS",0)</f>
        <v>10.1701976778366</v>
      </c>
      <c r="M1832" s="2" t="n">
        <v>4628.4219376425</v>
      </c>
      <c r="N1832" s="3" t="n">
        <f aca="false">(Tabla2[[#This Row],[Productividad (kg/TAS)]]*Tabla2[[#This Row],[Precio por kg]]-Tabla2[[#This Row],[Costos (En RD$/Tarea)]])</f>
        <v>578.665160881927</v>
      </c>
      <c r="O1832" s="9" t="n">
        <f aca="false">IF(Tabla2[[#This Row],[Costos (En RD$/Tarea)]]=0,0,Tabla2[[#This Row],[Beneficio Neto  (En RD$/Tarea)]]/Tabla2[[#This Row],[Costos (En RD$/Tarea)]])</f>
        <v>0.125024288770153</v>
      </c>
      <c r="P1832" s="7" t="n">
        <f aca="false">Tabla2[[#This Row],[Rentabilidad (%)]]/12</f>
        <v>0.0104186907308461</v>
      </c>
    </row>
    <row r="1833" customFormat="false" ht="14.25" hidden="false" customHeight="false" outlineLevel="0" collapsed="false">
      <c r="A1833" s="1" t="n">
        <v>41153</v>
      </c>
      <c r="B1833" s="2" t="s">
        <v>26</v>
      </c>
      <c r="C1833" s="3" t="n">
        <v>6942</v>
      </c>
      <c r="D1833" s="8" t="s">
        <v>17</v>
      </c>
      <c r="E1833" s="3" t="n">
        <f aca="false">IF(Tabla2[[#This Row],[Frecuencia]]="Annual", Tabla2[[#This Row],[Cosecha/Tarea]]/12,Tabla2[[#This Row],[Cosecha/Tarea]])</f>
        <v>6942</v>
      </c>
      <c r="F1833" s="3" t="n">
        <v>62948</v>
      </c>
      <c r="G1833" s="2" t="s">
        <v>18</v>
      </c>
      <c r="H1833" s="2" t="n">
        <f aca="false">F1833/Tabla2[[#This Row],[Cosecha Mensual]]</f>
        <v>9.06770383174878</v>
      </c>
      <c r="I1833" s="2" t="n">
        <f aca="false">H1833*_xlfn.XLOOKUP(Tabla2[[#This Row],[Unidad de producción]],Tabla3[Medida],Tabla3[Equivalencia en Kg],"ELVIS",0)</f>
        <v>411.311045808125</v>
      </c>
      <c r="J1833" s="2" t="n">
        <v>1029.16666666667</v>
      </c>
      <c r="K1833" s="2" t="s">
        <v>18</v>
      </c>
      <c r="L1833" s="2" t="n">
        <f aca="false">J1833/_xlfn.XLOOKUP(Tabla2[[#This Row],[Unidad de precio]],Tabla3[Medida],Tabla3[Equivalencia en Kg],"ELVIS",0)</f>
        <v>22.6888594944151</v>
      </c>
      <c r="M1833" s="2" t="n">
        <v>2035.793320573</v>
      </c>
      <c r="N1833" s="3" t="n">
        <f aca="false">(Tabla2[[#This Row],[Productividad (kg/TAS)]]*Tabla2[[#This Row],[Precio por kg]]-Tabla2[[#This Row],[Costos (En RD$/Tarea)]])</f>
        <v>7296.38520626848</v>
      </c>
      <c r="O1833" s="9" t="n">
        <f aca="false">IF(Tabla2[[#This Row],[Costos (En RD$/Tarea)]]=0,0,Tabla2[[#This Row],[Beneficio Neto  (En RD$/Tarea)]]/Tabla2[[#This Row],[Costos (En RD$/Tarea)]])</f>
        <v>3.58405007646592</v>
      </c>
      <c r="P1833" s="7" t="n">
        <f aca="false">Tabla2[[#This Row],[Rentabilidad (%)]]/12</f>
        <v>0.298670839705494</v>
      </c>
    </row>
    <row r="1834" customFormat="false" ht="14.25" hidden="false" customHeight="false" outlineLevel="0" collapsed="false">
      <c r="A1834" s="1" t="n">
        <v>41153</v>
      </c>
      <c r="B1834" s="2" t="s">
        <v>27</v>
      </c>
      <c r="C1834" s="3" t="n">
        <v>3580</v>
      </c>
      <c r="D1834" s="8" t="s">
        <v>17</v>
      </c>
      <c r="E1834" s="3" t="n">
        <f aca="false">IF(Tabla2[[#This Row],[Frecuencia]]="Annual", Tabla2[[#This Row],[Cosecha/Tarea]]/12,Tabla2[[#This Row],[Cosecha/Tarea]])</f>
        <v>3580</v>
      </c>
      <c r="F1834" s="3" t="n">
        <v>38471</v>
      </c>
      <c r="G1834" s="2" t="s">
        <v>18</v>
      </c>
      <c r="H1834" s="2" t="n">
        <f aca="false">F1834/Tabla2[[#This Row],[Cosecha Mensual]]</f>
        <v>10.7460893854749</v>
      </c>
      <c r="I1834" s="2" t="n">
        <f aca="false">H1834*_xlfn.XLOOKUP(Tabla2[[#This Row],[Unidad de producción]],Tabla3[Medida],Tabla3[Equivalencia en Kg],"ELVIS",0)</f>
        <v>487.44261452514</v>
      </c>
      <c r="J1834" s="2" t="n">
        <v>664.028095238095</v>
      </c>
      <c r="K1834" s="2" t="s">
        <v>18</v>
      </c>
      <c r="L1834" s="2" t="n">
        <f aca="false">J1834/_xlfn.XLOOKUP(Tabla2[[#This Row],[Unidad de precio]],Tabla3[Medida],Tabla3[Equivalencia en Kg],"ELVIS",0)</f>
        <v>14.6390673553372</v>
      </c>
      <c r="M1834" s="2" t="n">
        <v>7766.250013275</v>
      </c>
      <c r="N1834" s="3" t="n">
        <f aca="false">(Tabla2[[#This Row],[Productividad (kg/TAS)]]*Tabla2[[#This Row],[Precio por kg]]-Tabla2[[#This Row],[Costos (En RD$/Tarea)]])</f>
        <v>-630.544747379818</v>
      </c>
      <c r="O1834" s="9" t="n">
        <f aca="false">IF(Tabla2[[#This Row],[Costos (En RD$/Tarea)]]=0,0,Tabla2[[#This Row],[Beneficio Neto  (En RD$/Tarea)]]/Tabla2[[#This Row],[Costos (En RD$/Tarea)]])</f>
        <v>-0.0811903745439582</v>
      </c>
      <c r="P1834" s="7" t="n">
        <f aca="false">Tabla2[[#This Row],[Rentabilidad (%)]]/12</f>
        <v>-0.00676586454532985</v>
      </c>
    </row>
    <row r="1835" customFormat="false" ht="14.25" hidden="false" customHeight="false" outlineLevel="0" collapsed="false">
      <c r="A1835" s="1" t="n">
        <v>41153</v>
      </c>
      <c r="B1835" s="2" t="s">
        <v>28</v>
      </c>
      <c r="C1835" s="3" t="n">
        <v>75862</v>
      </c>
      <c r="D1835" s="8" t="s">
        <v>17</v>
      </c>
      <c r="E1835" s="3" t="n">
        <f aca="false">IF(Tabla2[[#This Row],[Frecuencia]]="Annual", Tabla2[[#This Row],[Cosecha/Tarea]]/12,Tabla2[[#This Row],[Cosecha/Tarea]])</f>
        <v>75862</v>
      </c>
      <c r="F1835" s="3" t="n">
        <v>104000</v>
      </c>
      <c r="G1835" s="2" t="s">
        <v>29</v>
      </c>
      <c r="H1835" s="2" t="n">
        <f aca="false">F1835/Tabla2[[#This Row],[Cosecha Mensual]]</f>
        <v>1.37091033719122</v>
      </c>
      <c r="I1835" s="2" t="n">
        <f aca="false">H1835*_xlfn.XLOOKUP(Tabla2[[#This Row],[Unidad de producción]],Tabla3[Medida],Tabla3[Equivalencia en Kg],"ELVIS",0)</f>
        <v>770.917719016108</v>
      </c>
      <c r="J1835" s="2" t="n">
        <v>3732.7380952381</v>
      </c>
      <c r="K1835" s="2" t="s">
        <v>29</v>
      </c>
      <c r="L1835" s="2" t="n">
        <f aca="false">J1835/_xlfn.XLOOKUP(Tabla2[[#This Row],[Unidad de precio]],Tabla3[Medida],Tabla3[Equivalencia en Kg],"ELVIS",0)</f>
        <v>6.63786694035299</v>
      </c>
      <c r="M1835" s="2" t="n">
        <v>6923.3397737334</v>
      </c>
      <c r="N1835" s="3" t="n">
        <f aca="false">(Tabla2[[#This Row],[Productividad (kg/TAS)]]*Tabla2[[#This Row],[Precio por kg]]-Tabla2[[#This Row],[Costos (En RD$/Tarea)]])</f>
        <v>-1806.09053294404</v>
      </c>
      <c r="O1835" s="9" t="n">
        <f aca="false">IF(Tabla2[[#This Row],[Costos (En RD$/Tarea)]]=0,0,Tabla2[[#This Row],[Beneficio Neto  (En RD$/Tarea)]]/Tabla2[[#This Row],[Costos (En RD$/Tarea)]])</f>
        <v>-0.260869839119583</v>
      </c>
      <c r="P1835" s="7" t="n">
        <f aca="false">Tabla2[[#This Row],[Rentabilidad (%)]]/12</f>
        <v>-0.0217391532599652</v>
      </c>
    </row>
    <row r="1836" customFormat="false" ht="14.25" hidden="false" customHeight="false" outlineLevel="0" collapsed="false">
      <c r="A1836" s="1" t="n">
        <v>41153</v>
      </c>
      <c r="B1836" s="2" t="s">
        <v>30</v>
      </c>
      <c r="C1836" s="3" t="n">
        <v>357415</v>
      </c>
      <c r="D1836" s="3" t="s">
        <v>31</v>
      </c>
      <c r="E1836" s="3" t="n">
        <f aca="false">IF(Tabla2[[#This Row],[Frecuencia]]="Annual", Tabla2[[#This Row],[Cosecha/Tarea]]/12,Tabla2[[#This Row],[Cosecha/Tarea]])</f>
        <v>29784.5833333333</v>
      </c>
      <c r="F1836" s="3" t="n">
        <v>3133117</v>
      </c>
      <c r="G1836" s="2" t="s">
        <v>32</v>
      </c>
      <c r="H1836" s="2" t="n">
        <f aca="false">F1836/Tabla2[[#This Row],[Cosecha Mensual]]</f>
        <v>105.192574458263</v>
      </c>
      <c r="I1836" s="2" t="n">
        <f aca="false">H1836*_xlfn.XLOOKUP(Tabla2[[#This Row],[Unidad de producción]],Tabla3[Medida],Tabla3[Equivalencia en Kg],"ELVIS",0)</f>
        <v>2862.28995100933</v>
      </c>
      <c r="J1836" s="2" t="n">
        <v>150.298285714286</v>
      </c>
      <c r="K1836" s="2" t="s">
        <v>32</v>
      </c>
      <c r="L1836" s="2" t="n">
        <f aca="false">J1836/_xlfn.XLOOKUP(Tabla2[[#This Row],[Unidad de precio]],Tabla3[Medida],Tabla3[Equivalencia en Kg],"ELVIS",0)</f>
        <v>5.52364151834936</v>
      </c>
      <c r="M1836" s="3" t="n">
        <v>12463.8060770282</v>
      </c>
      <c r="N1836" s="3" t="n">
        <f aca="false">(Tabla2[[#This Row],[Productividad (kg/TAS)]]*Tabla2[[#This Row],[Precio por kg]]-Tabla2[[#This Row],[Costos (En RD$/Tarea)]])</f>
        <v>3346.45753392109</v>
      </c>
      <c r="O1836" s="9" t="n">
        <f aca="false">IF(Tabla2[[#This Row],[Costos (En RD$/Tarea)]]=0,0,Tabla2[[#This Row],[Beneficio Neto  (En RD$/Tarea)]]/Tabla2[[#This Row],[Costos (En RD$/Tarea)]])</f>
        <v>0.268494030895497</v>
      </c>
      <c r="P1836" s="7" t="n">
        <f aca="false">Tabla2[[#This Row],[Rentabilidad (%)]]/12</f>
        <v>0.0223745025746247</v>
      </c>
    </row>
    <row r="1837" customFormat="false" ht="14.25" hidden="false" customHeight="false" outlineLevel="0" collapsed="false">
      <c r="A1837" s="1" t="n">
        <v>41153</v>
      </c>
      <c r="B1837" s="2" t="s">
        <v>33</v>
      </c>
      <c r="C1837" s="3" t="n">
        <v>723294</v>
      </c>
      <c r="D1837" s="3" t="s">
        <v>31</v>
      </c>
      <c r="E1837" s="3" t="n">
        <f aca="false">IF(Tabla2[[#This Row],[Frecuencia]]="Annual", Tabla2[[#This Row],[Cosecha/Tarea]]/12,Tabla2[[#This Row],[Cosecha/Tarea]])</f>
        <v>60274.5</v>
      </c>
      <c r="F1837" s="3" t="n">
        <v>178324</v>
      </c>
      <c r="G1837" s="2" t="s">
        <v>34</v>
      </c>
      <c r="H1837" s="2" t="n">
        <f aca="false">F1837/Tabla2[[#This Row],[Cosecha Mensual]]</f>
        <v>2.95853138557765</v>
      </c>
      <c r="I1837" s="2" t="n">
        <f aca="false">H1837*_xlfn.XLOOKUP(Tabla2[[#This Row],[Unidad de producción]],Tabla3[Medida],Tabla3[Equivalencia en Kg],"ELVIS",0)</f>
        <v>1207.52458502352</v>
      </c>
      <c r="J1837" s="2" t="n">
        <v>3960.56547619048</v>
      </c>
      <c r="K1837" s="2" t="s">
        <v>34</v>
      </c>
      <c r="L1837" s="2" t="n">
        <f aca="false">J1837/_xlfn.XLOOKUP(Tabla2[[#This Row],[Unidad de precio]],Tabla3[Medida],Tabla3[Equivalencia en Kg],"ELVIS",0)</f>
        <v>9.70370078694225</v>
      </c>
      <c r="M1837" s="3" t="n">
        <v>11933.7643424532</v>
      </c>
      <c r="N1837" s="3" t="n">
        <f aca="false">(Tabla2[[#This Row],[Productividad (kg/TAS)]]*Tabla2[[#This Row],[Precio por kg]]-Tabla2[[#This Row],[Costos (En RD$/Tarea)]])</f>
        <v>-216.307076508381</v>
      </c>
      <c r="O1837" s="9" t="n">
        <f aca="false">IF(Tabla2[[#This Row],[Costos (En RD$/Tarea)]]=0,0,Tabla2[[#This Row],[Beneficio Neto  (En RD$/Tarea)]]/Tabla2[[#This Row],[Costos (En RD$/Tarea)]])</f>
        <v>-0.0181256366642745</v>
      </c>
      <c r="P1837" s="7" t="n">
        <f aca="false">Tabla2[[#This Row],[Rentabilidad (%)]]/12</f>
        <v>-0.00151046972202287</v>
      </c>
    </row>
    <row r="1838" customFormat="false" ht="14.25" hidden="false" customHeight="false" outlineLevel="0" collapsed="false">
      <c r="A1838" s="1" t="n">
        <v>41183</v>
      </c>
      <c r="B1838" s="2" t="s">
        <v>16</v>
      </c>
      <c r="C1838" s="3" t="n">
        <v>487161</v>
      </c>
      <c r="D1838" s="8" t="s">
        <v>17</v>
      </c>
      <c r="E1838" s="3" t="n">
        <f aca="false">IF(Tabla2[[#This Row],[Frecuencia]]="Annual", Tabla2[[#This Row],[Cosecha/Tarea]]/12,Tabla2[[#This Row],[Cosecha/Tarea]])</f>
        <v>487161</v>
      </c>
      <c r="F1838" s="3" t="n">
        <v>1924522</v>
      </c>
      <c r="G1838" s="2" t="s">
        <v>18</v>
      </c>
      <c r="H1838" s="2" t="n">
        <f aca="false">F1838/Tabla2[[#This Row],[Cosecha Mensual]]</f>
        <v>3.95048454207131</v>
      </c>
      <c r="I1838" s="2" t="n">
        <f aca="false">H1838*_xlfn.XLOOKUP(Tabla2[[#This Row],[Unidad de producción]],Tabla3[Medida],Tabla3[Equivalencia en Kg],"ELVIS",0)</f>
        <v>179.193978828355</v>
      </c>
      <c r="J1838" s="2" t="n">
        <v>1635.50953428676</v>
      </c>
      <c r="K1838" s="2" t="s">
        <v>19</v>
      </c>
      <c r="L1838" s="2" t="n">
        <f aca="false">J1838/_xlfn.XLOOKUP(Tabla2[[#This Row],[Unidad de precio]],Tabla3[Medida],Tabla3[Equivalencia en Kg],"ELVIS",0)</f>
        <v>14.868268493516</v>
      </c>
      <c r="M1838" s="2" t="n">
        <v>7982.61905212344</v>
      </c>
      <c r="N1838" s="3" t="n">
        <f aca="false">(Tabla2[[#This Row],[Productividad (kg/TAS)]]*Tabla2[[#This Row],[Precio por kg]]-Tabla2[[#This Row],[Costos (En RD$/Tarea)]])</f>
        <v>-5318.31486248204</v>
      </c>
      <c r="O1838" s="9" t="n">
        <f aca="false">IF(Tabla2[[#This Row],[Costos (En RD$/Tarea)]]=0,0,Tabla2[[#This Row],[Beneficio Neto  (En RD$/Tarea)]]/Tabla2[[#This Row],[Costos (En RD$/Tarea)]])</f>
        <v>-0.66623683627585</v>
      </c>
      <c r="P1838" s="7" t="n">
        <f aca="false">Tabla2[[#This Row],[Rentabilidad (%)]]/12</f>
        <v>-0.0555197363563208</v>
      </c>
    </row>
    <row r="1839" customFormat="false" ht="14.25" hidden="false" customHeight="false" outlineLevel="0" collapsed="false">
      <c r="A1839" s="1" t="n">
        <v>41183</v>
      </c>
      <c r="B1839" s="2" t="s">
        <v>20</v>
      </c>
      <c r="C1839" s="3" t="n">
        <v>28043</v>
      </c>
      <c r="D1839" s="8" t="s">
        <v>17</v>
      </c>
      <c r="E1839" s="3" t="n">
        <f aca="false">IF(Tabla2[[#This Row],[Frecuencia]]="Annual", Tabla2[[#This Row],[Cosecha/Tarea]]/12,Tabla2[[#This Row],[Cosecha/Tarea]])</f>
        <v>28043</v>
      </c>
      <c r="F1839" s="3" t="n">
        <v>49747</v>
      </c>
      <c r="G1839" s="2" t="s">
        <v>18</v>
      </c>
      <c r="H1839" s="2" t="n">
        <f aca="false">F1839/Tabla2[[#This Row],[Cosecha Mensual]]</f>
        <v>1.77395428449167</v>
      </c>
      <c r="I1839" s="2" t="n">
        <f aca="false">H1839*_xlfn.XLOOKUP(Tabla2[[#This Row],[Unidad de producción]],Tabla3[Medida],Tabla3[Equivalencia en Kg],"ELVIS",0)</f>
        <v>80.4665663445423</v>
      </c>
      <c r="J1839" s="2" t="n">
        <v>701.761904761905</v>
      </c>
      <c r="K1839" s="2" t="s">
        <v>18</v>
      </c>
      <c r="L1839" s="2" t="n">
        <f aca="false">J1839/_xlfn.XLOOKUP(Tabla2[[#This Row],[Unidad de precio]],Tabla3[Medida],Tabla3[Equivalencia en Kg],"ELVIS",0)</f>
        <v>15.470941463005</v>
      </c>
      <c r="M1839" s="2" t="n">
        <v>2248.3053412475</v>
      </c>
      <c r="N1839" s="3" t="n">
        <f aca="false">(Tabla2[[#This Row],[Productividad (kg/TAS)]]*Tabla2[[#This Row],[Precio por kg]]-Tabla2[[#This Row],[Costos (En RD$/Tarea)]])</f>
        <v>-1003.41180360208</v>
      </c>
      <c r="O1839" s="9" t="n">
        <f aca="false">IF(Tabla2[[#This Row],[Costos (En RD$/Tarea)]]=0,0,Tabla2[[#This Row],[Beneficio Neto  (En RD$/Tarea)]]/Tabla2[[#This Row],[Costos (En RD$/Tarea)]])</f>
        <v>-0.44629694427774</v>
      </c>
      <c r="P1839" s="7" t="n">
        <f aca="false">Tabla2[[#This Row],[Rentabilidad (%)]]/12</f>
        <v>-0.037191412023145</v>
      </c>
    </row>
    <row r="1840" customFormat="false" ht="14.25" hidden="false" customHeight="false" outlineLevel="0" collapsed="false">
      <c r="A1840" s="1" t="n">
        <v>41183</v>
      </c>
      <c r="B1840" s="2" t="s">
        <v>21</v>
      </c>
      <c r="C1840" s="3" t="n">
        <v>2605</v>
      </c>
      <c r="D1840" s="8" t="s">
        <v>17</v>
      </c>
      <c r="E1840" s="3" t="n">
        <f aca="false">IF(Tabla2[[#This Row],[Frecuencia]]="Annual", Tabla2[[#This Row],[Cosecha/Tarea]]/12,Tabla2[[#This Row],[Cosecha/Tarea]])</f>
        <v>2605</v>
      </c>
      <c r="F1840" s="3" t="n">
        <v>27385</v>
      </c>
      <c r="G1840" s="2" t="s">
        <v>18</v>
      </c>
      <c r="H1840" s="2" t="n">
        <f aca="false">F1840/Tabla2[[#This Row],[Cosecha Mensual]]</f>
        <v>10.5124760076775</v>
      </c>
      <c r="I1840" s="2" t="n">
        <f aca="false">H1840*_xlfn.XLOOKUP(Tabla2[[#This Row],[Unidad de producción]],Tabla3[Medida],Tabla3[Equivalencia en Kg],"ELVIS",0)</f>
        <v>476.845911708253</v>
      </c>
      <c r="J1840" s="2" t="n">
        <v>634.52380952381</v>
      </c>
      <c r="K1840" s="2" t="s">
        <v>18</v>
      </c>
      <c r="L1840" s="2" t="n">
        <f aca="false">J1840/_xlfn.XLOOKUP(Tabla2[[#This Row],[Unidad de precio]],Tabla3[Medida],Tabla3[Equivalencia en Kg],"ELVIS",0)</f>
        <v>13.9886201394138</v>
      </c>
      <c r="M1840" s="2" t="n">
        <v>5350.20172000917</v>
      </c>
      <c r="N1840" s="3" t="n">
        <f aca="false">(Tabla2[[#This Row],[Productividad (kg/TAS)]]*Tabla2[[#This Row],[Precio por kg]]-Tabla2[[#This Row],[Costos (En RD$/Tarea)]])</f>
        <v>1320.21460391004</v>
      </c>
      <c r="O1840" s="9" t="n">
        <f aca="false">IF(Tabla2[[#This Row],[Costos (En RD$/Tarea)]]=0,0,Tabla2[[#This Row],[Beneficio Neto  (En RD$/Tarea)]]/Tabla2[[#This Row],[Costos (En RD$/Tarea)]])</f>
        <v>0.246759780845754</v>
      </c>
      <c r="P1840" s="7" t="n">
        <f aca="false">Tabla2[[#This Row],[Rentabilidad (%)]]/12</f>
        <v>0.0205633150704795</v>
      </c>
    </row>
    <row r="1841" customFormat="false" ht="14.25" hidden="false" customHeight="false" outlineLevel="0" collapsed="false">
      <c r="A1841" s="1" t="n">
        <v>41183</v>
      </c>
      <c r="B1841" s="2" t="s">
        <v>22</v>
      </c>
      <c r="C1841" s="3" t="n">
        <v>4624</v>
      </c>
      <c r="D1841" s="8" t="s">
        <v>17</v>
      </c>
      <c r="E1841" s="3" t="n">
        <f aca="false">IF(Tabla2[[#This Row],[Frecuencia]]="Annual", Tabla2[[#This Row],[Cosecha/Tarea]]/12,Tabla2[[#This Row],[Cosecha/Tarea]])</f>
        <v>4624</v>
      </c>
      <c r="F1841" s="3" t="n">
        <v>45345</v>
      </c>
      <c r="G1841" s="2" t="s">
        <v>18</v>
      </c>
      <c r="H1841" s="2" t="n">
        <f aca="false">F1841/Tabla2[[#This Row],[Cosecha Mensual]]</f>
        <v>9.8064446366782</v>
      </c>
      <c r="I1841" s="2" t="n">
        <f aca="false">H1841*_xlfn.XLOOKUP(Tabla2[[#This Row],[Unidad de producción]],Tabla3[Medida],Tabla3[Equivalencia en Kg],"ELVIS",0)</f>
        <v>444.820328719723</v>
      </c>
      <c r="J1841" s="2" t="n">
        <v>1057.06991666667</v>
      </c>
      <c r="K1841" s="2" t="s">
        <v>18</v>
      </c>
      <c r="L1841" s="2" t="n">
        <f aca="false">J1841/_xlfn.XLOOKUP(Tabla2[[#This Row],[Unidad de precio]],Tabla3[Medida],Tabla3[Equivalencia en Kg],"ELVIS",0)</f>
        <v>23.3040105085245</v>
      </c>
      <c r="M1841" s="2" t="n">
        <v>8360.190555</v>
      </c>
      <c r="N1841" s="3" t="n">
        <f aca="false">(Tabla2[[#This Row],[Productividad (kg/TAS)]]*Tabla2[[#This Row],[Precio por kg]]-Tabla2[[#This Row],[Costos (En RD$/Tarea)]])</f>
        <v>2005.90705988974</v>
      </c>
      <c r="O1841" s="9" t="n">
        <f aca="false">IF(Tabla2[[#This Row],[Costos (En RD$/Tarea)]]=0,0,Tabla2[[#This Row],[Beneficio Neto  (En RD$/Tarea)]]/Tabla2[[#This Row],[Costos (En RD$/Tarea)]])</f>
        <v>0.239935566862177</v>
      </c>
      <c r="P1841" s="7" t="n">
        <f aca="false">Tabla2[[#This Row],[Rentabilidad (%)]]/12</f>
        <v>0.0199946305718481</v>
      </c>
    </row>
    <row r="1842" customFormat="false" ht="14.25" hidden="false" customHeight="false" outlineLevel="0" collapsed="false">
      <c r="A1842" s="1" t="n">
        <v>41183</v>
      </c>
      <c r="B1842" s="2" t="s">
        <v>23</v>
      </c>
      <c r="C1842" s="3" t="n">
        <v>2450</v>
      </c>
      <c r="D1842" s="8" t="s">
        <v>17</v>
      </c>
      <c r="E1842" s="3" t="n">
        <f aca="false">IF(Tabla2[[#This Row],[Frecuencia]]="Annual", Tabla2[[#This Row],[Cosecha/Tarea]]/12,Tabla2[[#This Row],[Cosecha/Tarea]])</f>
        <v>2450</v>
      </c>
      <c r="F1842" s="3" t="n">
        <v>97300</v>
      </c>
      <c r="G1842" s="2" t="s">
        <v>18</v>
      </c>
      <c r="H1842" s="2" t="n">
        <f aca="false">F1842/Tabla2[[#This Row],[Cosecha Mensual]]</f>
        <v>39.7142857142857</v>
      </c>
      <c r="I1842" s="2" t="n">
        <f aca="false">H1842*_xlfn.XLOOKUP(Tabla2[[#This Row],[Unidad de producción]],Tabla3[Medida],Tabla3[Equivalencia en Kg],"ELVIS",0)</f>
        <v>1801.44</v>
      </c>
      <c r="J1842" s="2" t="n">
        <v>681.549833333333</v>
      </c>
      <c r="K1842" s="2" t="s">
        <v>18</v>
      </c>
      <c r="L1842" s="2" t="n">
        <f aca="false">J1842/_xlfn.XLOOKUP(Tabla2[[#This Row],[Unidad de precio]],Tabla3[Medida],Tabla3[Equivalencia en Kg],"ELVIS",0)</f>
        <v>15.0253490593768</v>
      </c>
      <c r="M1842" s="2" t="n">
        <v>24344.842076238</v>
      </c>
      <c r="N1842" s="3" t="n">
        <f aca="false">(Tabla2[[#This Row],[Productividad (kg/TAS)]]*Tabla2[[#This Row],[Precio por kg]]-Tabla2[[#This Row],[Costos (En RD$/Tarea)]])</f>
        <v>2722.4227332858</v>
      </c>
      <c r="O1842" s="9" t="n">
        <f aca="false">IF(Tabla2[[#This Row],[Costos (En RD$/Tarea)]]=0,0,Tabla2[[#This Row],[Beneficio Neto  (En RD$/Tarea)]]/Tabla2[[#This Row],[Costos (En RD$/Tarea)]])</f>
        <v>0.11182749613903</v>
      </c>
      <c r="P1842" s="7" t="n">
        <f aca="false">Tabla2[[#This Row],[Rentabilidad (%)]]/12</f>
        <v>0.00931895801158583</v>
      </c>
    </row>
    <row r="1843" customFormat="false" ht="14.25" hidden="false" customHeight="false" outlineLevel="0" collapsed="false">
      <c r="A1843" s="1" t="n">
        <v>41183</v>
      </c>
      <c r="B1843" s="2" t="s">
        <v>24</v>
      </c>
      <c r="C1843" s="3" t="n">
        <v>3539</v>
      </c>
      <c r="D1843" s="8" t="s">
        <v>17</v>
      </c>
      <c r="E1843" s="3" t="n">
        <f aca="false">IF(Tabla2[[#This Row],[Frecuencia]]="Annual", Tabla2[[#This Row],[Cosecha/Tarea]]/12,Tabla2[[#This Row],[Cosecha/Tarea]])</f>
        <v>3539</v>
      </c>
      <c r="F1843" s="3" t="n">
        <v>28423</v>
      </c>
      <c r="G1843" s="2" t="s">
        <v>18</v>
      </c>
      <c r="H1843" s="2" t="n">
        <f aca="false">F1843/Tabla2[[#This Row],[Cosecha Mensual]]</f>
        <v>8.03136479231421</v>
      </c>
      <c r="I1843" s="2" t="n">
        <f aca="false">H1843*_xlfn.XLOOKUP(Tabla2[[#This Row],[Unidad de producción]],Tabla3[Medida],Tabla3[Equivalencia en Kg],"ELVIS",0)</f>
        <v>364.302706979373</v>
      </c>
      <c r="J1843" s="2" t="n">
        <v>1278.76928571429</v>
      </c>
      <c r="K1843" s="2" t="s">
        <v>18</v>
      </c>
      <c r="L1843" s="2" t="n">
        <f aca="false">J1843/_xlfn.XLOOKUP(Tabla2[[#This Row],[Unidad de precio]],Tabla3[Medida],Tabla3[Equivalencia en Kg],"ELVIS",0)</f>
        <v>28.1915627362057</v>
      </c>
      <c r="M1843" s="2" t="n">
        <v>8104.7130577284</v>
      </c>
      <c r="N1843" s="3" t="n">
        <f aca="false">(Tabla2[[#This Row],[Productividad (kg/TAS)]]*Tabla2[[#This Row],[Precio por kg]]-Tabla2[[#This Row],[Costos (En RD$/Tarea)]])</f>
        <v>2165.54956105014</v>
      </c>
      <c r="O1843" s="9" t="n">
        <f aca="false">IF(Tabla2[[#This Row],[Costos (En RD$/Tarea)]]=0,0,Tabla2[[#This Row],[Beneficio Neto  (En RD$/Tarea)]]/Tabla2[[#This Row],[Costos (En RD$/Tarea)]])</f>
        <v>0.267196327078494</v>
      </c>
      <c r="P1843" s="7" t="n">
        <f aca="false">Tabla2[[#This Row],[Rentabilidad (%)]]/12</f>
        <v>0.0222663605898745</v>
      </c>
    </row>
    <row r="1844" customFormat="false" ht="14.25" hidden="false" customHeight="false" outlineLevel="0" collapsed="false">
      <c r="A1844" s="1" t="n">
        <v>41183</v>
      </c>
      <c r="B1844" s="2" t="s">
        <v>25</v>
      </c>
      <c r="C1844" s="3" t="n">
        <v>18527</v>
      </c>
      <c r="D1844" s="8" t="s">
        <v>17</v>
      </c>
      <c r="E1844" s="3" t="n">
        <f aca="false">IF(Tabla2[[#This Row],[Frecuencia]]="Annual", Tabla2[[#This Row],[Cosecha/Tarea]]/12,Tabla2[[#This Row],[Cosecha/Tarea]])</f>
        <v>18527</v>
      </c>
      <c r="F1844" s="3" t="n">
        <v>205357</v>
      </c>
      <c r="G1844" s="2" t="s">
        <v>18</v>
      </c>
      <c r="H1844" s="2" t="n">
        <f aca="false">F1844/Tabla2[[#This Row],[Cosecha Mensual]]</f>
        <v>11.0842014357424</v>
      </c>
      <c r="I1844" s="2" t="n">
        <f aca="false">H1844*_xlfn.XLOOKUP(Tabla2[[#This Row],[Unidad de producción]],Tabla3[Medida],Tabla3[Equivalencia en Kg],"ELVIS",0)</f>
        <v>502.779377125277</v>
      </c>
      <c r="J1844" s="2" t="n">
        <v>442.12123015873</v>
      </c>
      <c r="K1844" s="2" t="s">
        <v>18</v>
      </c>
      <c r="L1844" s="2" t="n">
        <f aca="false">J1844/_xlfn.XLOOKUP(Tabla2[[#This Row],[Unidad de precio]],Tabla3[Medida],Tabla3[Equivalencia en Kg],"ELVIS",0)</f>
        <v>9.74694070014837</v>
      </c>
      <c r="M1844" s="2" t="n">
        <v>4628.4219376425</v>
      </c>
      <c r="N1844" s="3" t="n">
        <f aca="false">(Tabla2[[#This Row],[Productividad (kg/TAS)]]*Tabla2[[#This Row],[Precio por kg]]-Tabla2[[#This Row],[Costos (En RD$/Tarea)]])</f>
        <v>272.138836455105</v>
      </c>
      <c r="O1844" s="9" t="n">
        <f aca="false">IF(Tabla2[[#This Row],[Costos (En RD$/Tarea)]]=0,0,Tabla2[[#This Row],[Beneficio Neto  (En RD$/Tarea)]]/Tabla2[[#This Row],[Costos (En RD$/Tarea)]])</f>
        <v>0.0587973266313139</v>
      </c>
      <c r="P1844" s="7" t="n">
        <f aca="false">Tabla2[[#This Row],[Rentabilidad (%)]]/12</f>
        <v>0.00489977721927616</v>
      </c>
    </row>
    <row r="1845" customFormat="false" ht="14.25" hidden="false" customHeight="false" outlineLevel="0" collapsed="false">
      <c r="A1845" s="1" t="n">
        <v>41183</v>
      </c>
      <c r="B1845" s="2" t="s">
        <v>26</v>
      </c>
      <c r="C1845" s="3" t="n">
        <v>7059</v>
      </c>
      <c r="D1845" s="8" t="s">
        <v>17</v>
      </c>
      <c r="E1845" s="3" t="n">
        <f aca="false">IF(Tabla2[[#This Row],[Frecuencia]]="Annual", Tabla2[[#This Row],[Cosecha/Tarea]]/12,Tabla2[[#This Row],[Cosecha/Tarea]])</f>
        <v>7059</v>
      </c>
      <c r="F1845" s="3" t="n">
        <v>37767</v>
      </c>
      <c r="G1845" s="2" t="s">
        <v>18</v>
      </c>
      <c r="H1845" s="2" t="n">
        <f aca="false">F1845/Tabla2[[#This Row],[Cosecha Mensual]]</f>
        <v>5.35019124521887</v>
      </c>
      <c r="I1845" s="2" t="n">
        <f aca="false">H1845*_xlfn.XLOOKUP(Tabla2[[#This Row],[Unidad de producción]],Tabla3[Medida],Tabla3[Equivalencia en Kg],"ELVIS",0)</f>
        <v>242.684674883128</v>
      </c>
      <c r="J1845" s="2" t="n">
        <v>950.714285714286</v>
      </c>
      <c r="K1845" s="2" t="s">
        <v>18</v>
      </c>
      <c r="L1845" s="2" t="n">
        <f aca="false">J1845/_xlfn.XLOOKUP(Tabla2[[#This Row],[Unidad de precio]],Tabla3[Medida],Tabla3[Equivalencia en Kg],"ELVIS",0)</f>
        <v>20.9593096497858</v>
      </c>
      <c r="M1845" s="2" t="n">
        <v>2035.793320573</v>
      </c>
      <c r="N1845" s="3" t="n">
        <f aca="false">(Tabla2[[#This Row],[Productividad (kg/TAS)]]*Tabla2[[#This Row],[Precio por kg]]-Tabla2[[#This Row],[Costos (En RD$/Tarea)]])</f>
        <v>3050.70992756008</v>
      </c>
      <c r="O1845" s="9" t="n">
        <f aca="false">IF(Tabla2[[#This Row],[Costos (En RD$/Tarea)]]=0,0,Tabla2[[#This Row],[Beneficio Neto  (En RD$/Tarea)]]/Tabla2[[#This Row],[Costos (En RD$/Tarea)]])</f>
        <v>1.49853617100061</v>
      </c>
      <c r="P1845" s="7" t="n">
        <f aca="false">Tabla2[[#This Row],[Rentabilidad (%)]]/12</f>
        <v>0.124878014250051</v>
      </c>
    </row>
    <row r="1846" customFormat="false" ht="14.25" hidden="false" customHeight="false" outlineLevel="0" collapsed="false">
      <c r="A1846" s="1" t="n">
        <v>41183</v>
      </c>
      <c r="B1846" s="2" t="s">
        <v>27</v>
      </c>
      <c r="C1846" s="3" t="n">
        <v>2915</v>
      </c>
      <c r="D1846" s="8" t="s">
        <v>17</v>
      </c>
      <c r="E1846" s="3" t="n">
        <f aca="false">IF(Tabla2[[#This Row],[Frecuencia]]="Annual", Tabla2[[#This Row],[Cosecha/Tarea]]/12,Tabla2[[#This Row],[Cosecha/Tarea]])</f>
        <v>2915</v>
      </c>
      <c r="F1846" s="3" t="n">
        <v>25445</v>
      </c>
      <c r="G1846" s="2" t="s">
        <v>18</v>
      </c>
      <c r="H1846" s="2" t="n">
        <f aca="false">F1846/Tabla2[[#This Row],[Cosecha Mensual]]</f>
        <v>8.72898799313894</v>
      </c>
      <c r="I1846" s="2" t="n">
        <f aca="false">H1846*_xlfn.XLOOKUP(Tabla2[[#This Row],[Unidad de producción]],Tabla3[Medida],Tabla3[Equivalencia en Kg],"ELVIS",0)</f>
        <v>395.946895368782</v>
      </c>
      <c r="J1846" s="2" t="n">
        <v>597.342857142857</v>
      </c>
      <c r="K1846" s="2" t="s">
        <v>18</v>
      </c>
      <c r="L1846" s="2" t="n">
        <f aca="false">J1846/_xlfn.XLOOKUP(Tabla2[[#This Row],[Unidad de precio]],Tabla3[Medida],Tabla3[Equivalencia en Kg],"ELVIS",0)</f>
        <v>13.1689342403628</v>
      </c>
      <c r="M1846" s="2" t="n">
        <v>7766.250013275</v>
      </c>
      <c r="N1846" s="3" t="n">
        <f aca="false">(Tabla2[[#This Row],[Productividad (kg/TAS)]]*Tabla2[[#This Row],[Precio por kg]]-Tabla2[[#This Row],[Costos (En RD$/Tarea)]])</f>
        <v>-2552.05138548769</v>
      </c>
      <c r="O1846" s="9" t="n">
        <f aca="false">IF(Tabla2[[#This Row],[Costos (En RD$/Tarea)]]=0,0,Tabla2[[#This Row],[Beneficio Neto  (En RD$/Tarea)]]/Tabla2[[#This Row],[Costos (En RD$/Tarea)]])</f>
        <v>-0.328607935763776</v>
      </c>
      <c r="P1846" s="7" t="n">
        <f aca="false">Tabla2[[#This Row],[Rentabilidad (%)]]/12</f>
        <v>-0.0273839946469813</v>
      </c>
    </row>
    <row r="1847" customFormat="false" ht="14.25" hidden="false" customHeight="false" outlineLevel="0" collapsed="false">
      <c r="A1847" s="1" t="n">
        <v>41183</v>
      </c>
      <c r="B1847" s="2" t="s">
        <v>28</v>
      </c>
      <c r="C1847" s="3" t="n">
        <v>41901</v>
      </c>
      <c r="D1847" s="8" t="s">
        <v>17</v>
      </c>
      <c r="E1847" s="3" t="n">
        <f aca="false">IF(Tabla2[[#This Row],[Frecuencia]]="Annual", Tabla2[[#This Row],[Cosecha/Tarea]]/12,Tabla2[[#This Row],[Cosecha/Tarea]])</f>
        <v>41901</v>
      </c>
      <c r="F1847" s="3" t="n">
        <v>29713</v>
      </c>
      <c r="G1847" s="2" t="s">
        <v>29</v>
      </c>
      <c r="H1847" s="2" t="n">
        <f aca="false">F1847/Tabla2[[#This Row],[Cosecha Mensual]]</f>
        <v>0.709123887258061</v>
      </c>
      <c r="I1847" s="2" t="n">
        <f aca="false">H1847*_xlfn.XLOOKUP(Tabla2[[#This Row],[Unidad de producción]],Tabla3[Medida],Tabla3[Equivalencia en Kg],"ELVIS",0)</f>
        <v>398.768726760698</v>
      </c>
      <c r="J1847" s="2" t="n">
        <v>4251.15476190476</v>
      </c>
      <c r="K1847" s="2" t="s">
        <v>29</v>
      </c>
      <c r="L1847" s="2" t="n">
        <f aca="false">J1847/_xlfn.XLOOKUP(Tabla2[[#This Row],[Unidad de precio]],Tabla3[Medida],Tabla3[Equivalencia en Kg],"ELVIS",0)</f>
        <v>7.55975879699961</v>
      </c>
      <c r="M1847" s="2" t="n">
        <v>6923.3397737334</v>
      </c>
      <c r="N1847" s="3" t="n">
        <f aca="false">(Tabla2[[#This Row],[Productividad (kg/TAS)]]*Tabla2[[#This Row],[Precio por kg]]-Tabla2[[#This Row],[Costos (En RD$/Tarea)]])</f>
        <v>-3908.74438363588</v>
      </c>
      <c r="O1847" s="9" t="n">
        <f aca="false">IF(Tabla2[[#This Row],[Costos (En RD$/Tarea)]]=0,0,Tabla2[[#This Row],[Beneficio Neto  (En RD$/Tarea)]]/Tabla2[[#This Row],[Costos (En RD$/Tarea)]])</f>
        <v>-0.564574975572533</v>
      </c>
      <c r="P1847" s="7" t="n">
        <f aca="false">Tabla2[[#This Row],[Rentabilidad (%)]]/12</f>
        <v>-0.0470479146310444</v>
      </c>
    </row>
    <row r="1848" customFormat="false" ht="14.25" hidden="false" customHeight="false" outlineLevel="0" collapsed="false">
      <c r="A1848" s="1" t="n">
        <v>41183</v>
      </c>
      <c r="B1848" s="2" t="s">
        <v>30</v>
      </c>
      <c r="C1848" s="3" t="n">
        <v>327884</v>
      </c>
      <c r="D1848" s="3" t="s">
        <v>31</v>
      </c>
      <c r="E1848" s="3" t="n">
        <f aca="false">IF(Tabla2[[#This Row],[Frecuencia]]="Annual", Tabla2[[#This Row],[Cosecha/Tarea]]/12,Tabla2[[#This Row],[Cosecha/Tarea]])</f>
        <v>27323.6666666667</v>
      </c>
      <c r="F1848" s="3" t="n">
        <v>2785456</v>
      </c>
      <c r="G1848" s="2" t="s">
        <v>32</v>
      </c>
      <c r="H1848" s="2" t="n">
        <f aca="false">F1848/Tabla2[[#This Row],[Cosecha Mensual]]</f>
        <v>101.942979834332</v>
      </c>
      <c r="I1848" s="2" t="n">
        <f aca="false">H1848*_xlfn.XLOOKUP(Tabla2[[#This Row],[Unidad de producción]],Tabla3[Medida],Tabla3[Equivalencia en Kg],"ELVIS",0)</f>
        <v>2773.86848129216</v>
      </c>
      <c r="J1848" s="2" t="n">
        <v>153.812698412698</v>
      </c>
      <c r="K1848" s="2" t="s">
        <v>32</v>
      </c>
      <c r="L1848" s="2" t="n">
        <f aca="false">J1848/_xlfn.XLOOKUP(Tabla2[[#This Row],[Unidad de precio]],Tabla3[Medida],Tabla3[Equivalencia en Kg],"ELVIS",0)</f>
        <v>5.65280038267909</v>
      </c>
      <c r="M1848" s="3" t="n">
        <v>12463.8060770282</v>
      </c>
      <c r="N1848" s="3" t="n">
        <f aca="false">(Tabla2[[#This Row],[Productividad (kg/TAS)]]*Tabla2[[#This Row],[Precio por kg]]-Tabla2[[#This Row],[Costos (En RD$/Tarea)]])</f>
        <v>3216.31873552161</v>
      </c>
      <c r="O1848" s="9" t="n">
        <f aca="false">IF(Tabla2[[#This Row],[Costos (En RD$/Tarea)]]=0,0,Tabla2[[#This Row],[Beneficio Neto  (En RD$/Tarea)]]/Tabla2[[#This Row],[Costos (En RD$/Tarea)]])</f>
        <v>0.258052693988038</v>
      </c>
      <c r="P1848" s="7" t="n">
        <f aca="false">Tabla2[[#This Row],[Rentabilidad (%)]]/12</f>
        <v>0.0215043911656698</v>
      </c>
    </row>
    <row r="1849" customFormat="false" ht="14.25" hidden="false" customHeight="false" outlineLevel="0" collapsed="false">
      <c r="A1849" s="1" t="n">
        <v>41183</v>
      </c>
      <c r="B1849" s="2" t="s">
        <v>33</v>
      </c>
      <c r="C1849" s="3" t="n">
        <v>630117</v>
      </c>
      <c r="D1849" s="3" t="s">
        <v>31</v>
      </c>
      <c r="E1849" s="11" t="n">
        <f aca="false">IF(Tabla2[[#This Row],[Frecuencia]]="Annual", Tabla2[[#This Row],[Cosecha/Tarea]]/12,Tabla2[[#This Row],[Cosecha/Tarea]])</f>
        <v>52509.75</v>
      </c>
      <c r="F1849" s="3" t="n">
        <v>157706</v>
      </c>
      <c r="G1849" s="2" t="s">
        <v>34</v>
      </c>
      <c r="H1849" s="2" t="n">
        <f aca="false">F1849/Tabla2[[#This Row],[Cosecha Mensual]]</f>
        <v>3.00336604154467</v>
      </c>
      <c r="I1849" s="2" t="n">
        <f aca="false">H1849*_xlfn.XLOOKUP(Tabla2[[#This Row],[Unidad de producción]],Tabla3[Medida],Tabla3[Equivalencia en Kg],"ELVIS",0)</f>
        <v>1225.82384985646</v>
      </c>
      <c r="J1849" s="2" t="n">
        <v>4746.07482993197</v>
      </c>
      <c r="K1849" s="2" t="s">
        <v>34</v>
      </c>
      <c r="L1849" s="2" t="n">
        <f aca="false">J1849/_xlfn.XLOOKUP(Tabla2[[#This Row],[Unidad de precio]],Tabla3[Medida],Tabla3[Equivalencia en Kg],"ELVIS",0)</f>
        <v>11.628261251824</v>
      </c>
      <c r="M1849" s="3" t="n">
        <v>11933.7643424532</v>
      </c>
      <c r="N1849" s="3" t="n">
        <f aca="false">(Tabla2[[#This Row],[Productividad (kg/TAS)]]*Tabla2[[#This Row],[Precio por kg]]-Tabla2[[#This Row],[Costos (En RD$/Tarea)]])</f>
        <v>2320.43563239435</v>
      </c>
      <c r="O1849" s="9" t="n">
        <f aca="false">IF(Tabla2[[#This Row],[Costos (En RD$/Tarea)]]=0,0,Tabla2[[#This Row],[Beneficio Neto  (En RD$/Tarea)]]/Tabla2[[#This Row],[Costos (En RD$/Tarea)]])</f>
        <v>0.194442890424745</v>
      </c>
      <c r="P1849" s="7" t="n">
        <f aca="false">Tabla2[[#This Row],[Rentabilidad (%)]]/12</f>
        <v>0.0162035742020621</v>
      </c>
    </row>
    <row r="1850" customFormat="false" ht="14.25" hidden="false" customHeight="false" outlineLevel="0" collapsed="false">
      <c r="A1850" s="1" t="n">
        <v>41214</v>
      </c>
      <c r="B1850" s="2" t="s">
        <v>16</v>
      </c>
      <c r="C1850" s="3" t="n">
        <v>441005</v>
      </c>
      <c r="D1850" s="8" t="s">
        <v>17</v>
      </c>
      <c r="E1850" s="3" t="n">
        <f aca="false">IF(Tabla2[[#This Row],[Frecuencia]]="Annual", Tabla2[[#This Row],[Cosecha/Tarea]]/12,Tabla2[[#This Row],[Cosecha/Tarea]])</f>
        <v>441005</v>
      </c>
      <c r="F1850" s="3" t="n">
        <v>1513472</v>
      </c>
      <c r="G1850" s="2" t="s">
        <v>18</v>
      </c>
      <c r="H1850" s="2" t="n">
        <f aca="false">F1850/Tabla2[[#This Row],[Cosecha Mensual]]</f>
        <v>3.43187038695706</v>
      </c>
      <c r="I1850" s="2" t="n">
        <f aca="false">H1850*_xlfn.XLOOKUP(Tabla2[[#This Row],[Unidad de producción]],Tabla3[Medida],Tabla3[Equivalencia en Kg],"ELVIS",0)</f>
        <v>155.669640752372</v>
      </c>
      <c r="J1850" s="2" t="n">
        <v>1569.40704070407</v>
      </c>
      <c r="K1850" s="2" t="s">
        <v>19</v>
      </c>
      <c r="L1850" s="2" t="n">
        <f aca="false">J1850/_xlfn.XLOOKUP(Tabla2[[#This Row],[Unidad de precio]],Tabla3[Medida],Tabla3[Equivalencia en Kg],"ELVIS",0)</f>
        <v>14.2673367336734</v>
      </c>
      <c r="M1850" s="2" t="n">
        <v>7982.61905212344</v>
      </c>
      <c r="N1850" s="3" t="n">
        <f aca="false">(Tabla2[[#This Row],[Productividad (kg/TAS)]]*Tabla2[[#This Row],[Precio por kg]]-Tabla2[[#This Row],[Costos (En RD$/Tarea)]])</f>
        <v>-5761.62786829938</v>
      </c>
      <c r="O1850" s="9" t="n">
        <f aca="false">IF(Tabla2[[#This Row],[Costos (En RD$/Tarea)]]=0,0,Tabla2[[#This Row],[Beneficio Neto  (En RD$/Tarea)]]/Tabla2[[#This Row],[Costos (En RD$/Tarea)]])</f>
        <v>-0.721771617896102</v>
      </c>
      <c r="P1850" s="7" t="n">
        <f aca="false">Tabla2[[#This Row],[Rentabilidad (%)]]/12</f>
        <v>-0.0601476348246751</v>
      </c>
    </row>
    <row r="1851" customFormat="false" ht="14.25" hidden="false" customHeight="false" outlineLevel="0" collapsed="false">
      <c r="A1851" s="1" t="n">
        <v>41214</v>
      </c>
      <c r="B1851" s="2" t="s">
        <v>20</v>
      </c>
      <c r="C1851" s="3" t="n">
        <v>31001</v>
      </c>
      <c r="D1851" s="8" t="s">
        <v>17</v>
      </c>
      <c r="E1851" s="3" t="n">
        <f aca="false">IF(Tabla2[[#This Row],[Frecuencia]]="Annual", Tabla2[[#This Row],[Cosecha/Tarea]]/12,Tabla2[[#This Row],[Cosecha/Tarea]])</f>
        <v>31001</v>
      </c>
      <c r="F1851" s="3" t="n">
        <v>64514</v>
      </c>
      <c r="G1851" s="2" t="s">
        <v>18</v>
      </c>
      <c r="H1851" s="2" t="n">
        <f aca="false">F1851/Tabla2[[#This Row],[Cosecha Mensual]]</f>
        <v>2.08102964420503</v>
      </c>
      <c r="I1851" s="2" t="n">
        <f aca="false">H1851*_xlfn.XLOOKUP(Tabla2[[#This Row],[Unidad de producción]],Tabla3[Medida],Tabla3[Equivalencia en Kg],"ELVIS",0)</f>
        <v>94.39550466114</v>
      </c>
      <c r="J1851" s="2" t="n">
        <v>689.25</v>
      </c>
      <c r="K1851" s="2" t="s">
        <v>18</v>
      </c>
      <c r="L1851" s="2" t="n">
        <f aca="false">J1851/_xlfn.XLOOKUP(Tabla2[[#This Row],[Unidad de precio]],Tabla3[Medida],Tabla3[Equivalencia en Kg],"ELVIS",0)</f>
        <v>15.1951058201058</v>
      </c>
      <c r="M1851" s="2" t="n">
        <v>2248.3053412475</v>
      </c>
      <c r="N1851" s="3" t="n">
        <f aca="false">(Tabla2[[#This Row],[Productividad (kg/TAS)]]*Tabla2[[#This Row],[Precio por kg]]-Tabla2[[#This Row],[Costos (En RD$/Tarea)]])</f>
        <v>-813.955658979186</v>
      </c>
      <c r="O1851" s="9" t="n">
        <f aca="false">IF(Tabla2[[#This Row],[Costos (En RD$/Tarea)]]=0,0,Tabla2[[#This Row],[Beneficio Neto  (En RD$/Tarea)]]/Tabla2[[#This Row],[Costos (En RD$/Tarea)]])</f>
        <v>-0.362030745578157</v>
      </c>
      <c r="P1851" s="7" t="n">
        <f aca="false">Tabla2[[#This Row],[Rentabilidad (%)]]/12</f>
        <v>-0.0301692287981798</v>
      </c>
    </row>
    <row r="1852" customFormat="false" ht="14.25" hidden="false" customHeight="false" outlineLevel="0" collapsed="false">
      <c r="A1852" s="1" t="n">
        <v>41214</v>
      </c>
      <c r="B1852" s="2" t="s">
        <v>21</v>
      </c>
      <c r="C1852" s="3" t="n">
        <v>8654</v>
      </c>
      <c r="D1852" s="8" t="s">
        <v>17</v>
      </c>
      <c r="E1852" s="3" t="n">
        <f aca="false">IF(Tabla2[[#This Row],[Frecuencia]]="Annual", Tabla2[[#This Row],[Cosecha/Tarea]]/12,Tabla2[[#This Row],[Cosecha/Tarea]])</f>
        <v>8654</v>
      </c>
      <c r="F1852" s="3" t="n">
        <v>95874</v>
      </c>
      <c r="G1852" s="2" t="s">
        <v>18</v>
      </c>
      <c r="H1852" s="2" t="n">
        <f aca="false">F1852/Tabla2[[#This Row],[Cosecha Mensual]]</f>
        <v>11.0785763808643</v>
      </c>
      <c r="I1852" s="2" t="n">
        <f aca="false">H1852*_xlfn.XLOOKUP(Tabla2[[#This Row],[Unidad de producción]],Tabla3[Medida],Tabla3[Equivalencia en Kg],"ELVIS",0)</f>
        <v>502.524224636007</v>
      </c>
      <c r="J1852" s="2" t="n">
        <v>503.533333333333</v>
      </c>
      <c r="K1852" s="2" t="s">
        <v>18</v>
      </c>
      <c r="L1852" s="2" t="n">
        <f aca="false">J1852/_xlfn.XLOOKUP(Tabla2[[#This Row],[Unidad de precio]],Tabla3[Medida],Tabla3[Equivalencia en Kg],"ELVIS",0)</f>
        <v>11.1008230452675</v>
      </c>
      <c r="M1852" s="2" t="n">
        <v>5350.20172000917</v>
      </c>
      <c r="N1852" s="3" t="n">
        <f aca="false">(Tabla2[[#This Row],[Productividad (kg/TAS)]]*Tabla2[[#This Row],[Precio por kg]]-Tabla2[[#This Row],[Costos (En RD$/Tarea)]])</f>
        <v>228.230773635385</v>
      </c>
      <c r="O1852" s="9" t="n">
        <f aca="false">IF(Tabla2[[#This Row],[Costos (En RD$/Tarea)]]=0,0,Tabla2[[#This Row],[Beneficio Neto  (En RD$/Tarea)]]/Tabla2[[#This Row],[Costos (En RD$/Tarea)]])</f>
        <v>0.0426583492696784</v>
      </c>
      <c r="P1852" s="7" t="n">
        <f aca="false">Tabla2[[#This Row],[Rentabilidad (%)]]/12</f>
        <v>0.00355486243913986</v>
      </c>
    </row>
    <row r="1853" customFormat="false" ht="14.25" hidden="false" customHeight="false" outlineLevel="0" collapsed="false">
      <c r="A1853" s="1" t="n">
        <v>41214</v>
      </c>
      <c r="B1853" s="2" t="s">
        <v>22</v>
      </c>
      <c r="C1853" s="3" t="n">
        <v>6194</v>
      </c>
      <c r="D1853" s="8" t="s">
        <v>17</v>
      </c>
      <c r="E1853" s="3" t="n">
        <f aca="false">IF(Tabla2[[#This Row],[Frecuencia]]="Annual", Tabla2[[#This Row],[Cosecha/Tarea]]/12,Tabla2[[#This Row],[Cosecha/Tarea]])</f>
        <v>6194</v>
      </c>
      <c r="F1853" s="3" t="n">
        <v>46998</v>
      </c>
      <c r="G1853" s="2" t="s">
        <v>18</v>
      </c>
      <c r="H1853" s="2" t="n">
        <f aca="false">F1853/Tabla2[[#This Row],[Cosecha Mensual]]</f>
        <v>7.58766548272522</v>
      </c>
      <c r="I1853" s="2" t="n">
        <f aca="false">H1853*_xlfn.XLOOKUP(Tabla2[[#This Row],[Unidad de producción]],Tabla3[Medida],Tabla3[Equivalencia en Kg],"ELVIS",0)</f>
        <v>344.176506296416</v>
      </c>
      <c r="J1853" s="2" t="n">
        <v>1088.721375</v>
      </c>
      <c r="K1853" s="2" t="s">
        <v>18</v>
      </c>
      <c r="L1853" s="2" t="n">
        <f aca="false">J1853/_xlfn.XLOOKUP(Tabla2[[#This Row],[Unidad de precio]],Tabla3[Medida],Tabla3[Equivalencia en Kg],"ELVIS",0)</f>
        <v>24.0017939814815</v>
      </c>
      <c r="M1853" s="2" t="n">
        <v>8360.190555</v>
      </c>
      <c r="N1853" s="3" t="n">
        <f aca="false">(Tabla2[[#This Row],[Productividad (kg/TAS)]]*Tabla2[[#This Row],[Precio por kg]]-Tabla2[[#This Row],[Costos (En RD$/Tarea)]])</f>
        <v>-99.3369576073601</v>
      </c>
      <c r="O1853" s="9" t="n">
        <f aca="false">IF(Tabla2[[#This Row],[Costos (En RD$/Tarea)]]=0,0,Tabla2[[#This Row],[Beneficio Neto  (En RD$/Tarea)]]/Tabla2[[#This Row],[Costos (En RD$/Tarea)]])</f>
        <v>-0.0118821403595818</v>
      </c>
      <c r="P1853" s="7" t="n">
        <f aca="false">Tabla2[[#This Row],[Rentabilidad (%)]]/12</f>
        <v>-0.000990178363298484</v>
      </c>
    </row>
    <row r="1854" customFormat="false" ht="14.25" hidden="false" customHeight="false" outlineLevel="0" collapsed="false">
      <c r="A1854" s="1" t="n">
        <v>41214</v>
      </c>
      <c r="B1854" s="2" t="s">
        <v>23</v>
      </c>
      <c r="C1854" s="3" t="n">
        <v>3550</v>
      </c>
      <c r="D1854" s="8" t="s">
        <v>17</v>
      </c>
      <c r="E1854" s="3" t="n">
        <f aca="false">IF(Tabla2[[#This Row],[Frecuencia]]="Annual", Tabla2[[#This Row],[Cosecha/Tarea]]/12,Tabla2[[#This Row],[Cosecha/Tarea]])</f>
        <v>3550</v>
      </c>
      <c r="F1854" s="3" t="n">
        <v>110444</v>
      </c>
      <c r="G1854" s="2" t="s">
        <v>18</v>
      </c>
      <c r="H1854" s="2" t="n">
        <f aca="false">F1854/Tabla2[[#This Row],[Cosecha Mensual]]</f>
        <v>31.110985915493</v>
      </c>
      <c r="I1854" s="2" t="n">
        <f aca="false">H1854*_xlfn.XLOOKUP(Tabla2[[#This Row],[Unidad de producción]],Tabla3[Medida],Tabla3[Equivalencia en Kg],"ELVIS",0)</f>
        <v>1411.19432112676</v>
      </c>
      <c r="J1854" s="2" t="n">
        <v>1067</v>
      </c>
      <c r="K1854" s="2" t="s">
        <v>18</v>
      </c>
      <c r="L1854" s="2" t="n">
        <f aca="false">J1854/_xlfn.XLOOKUP(Tabla2[[#This Row],[Unidad de precio]],Tabla3[Medida],Tabla3[Equivalencia en Kg],"ELVIS",0)</f>
        <v>23.5229276895944</v>
      </c>
      <c r="M1854" s="2" t="n">
        <v>24344.842076238</v>
      </c>
      <c r="N1854" s="3" t="n">
        <f aca="false">(Tabla2[[#This Row],[Productividad (kg/TAS)]]*Tabla2[[#This Row],[Precio por kg]]-Tabla2[[#This Row],[Costos (En RD$/Tarea)]])</f>
        <v>8850.57989559299</v>
      </c>
      <c r="O1854" s="9" t="n">
        <f aca="false">IF(Tabla2[[#This Row],[Costos (En RD$/Tarea)]]=0,0,Tabla2[[#This Row],[Beneficio Neto  (En RD$/Tarea)]]/Tabla2[[#This Row],[Costos (En RD$/Tarea)]])</f>
        <v>0.363550515870123</v>
      </c>
      <c r="P1854" s="7" t="n">
        <f aca="false">Tabla2[[#This Row],[Rentabilidad (%)]]/12</f>
        <v>0.0302958763225102</v>
      </c>
    </row>
    <row r="1855" customFormat="false" ht="14.25" hidden="false" customHeight="false" outlineLevel="0" collapsed="false">
      <c r="A1855" s="1" t="n">
        <v>41214</v>
      </c>
      <c r="B1855" s="2" t="s">
        <v>24</v>
      </c>
      <c r="C1855" s="3" t="n">
        <v>6544</v>
      </c>
      <c r="D1855" s="8" t="s">
        <v>17</v>
      </c>
      <c r="E1855" s="3" t="n">
        <f aca="false">IF(Tabla2[[#This Row],[Frecuencia]]="Annual", Tabla2[[#This Row],[Cosecha/Tarea]]/12,Tabla2[[#This Row],[Cosecha/Tarea]])</f>
        <v>6544</v>
      </c>
      <c r="F1855" s="3" t="n">
        <v>58321</v>
      </c>
      <c r="G1855" s="2" t="s">
        <v>18</v>
      </c>
      <c r="H1855" s="2" t="n">
        <f aca="false">F1855/Tabla2[[#This Row],[Cosecha Mensual]]</f>
        <v>8.91213325183374</v>
      </c>
      <c r="I1855" s="2" t="n">
        <f aca="false">H1855*_xlfn.XLOOKUP(Tabla2[[#This Row],[Unidad de producción]],Tabla3[Medida],Tabla3[Equivalencia en Kg],"ELVIS",0)</f>
        <v>404.254364303179</v>
      </c>
      <c r="J1855" s="2" t="n">
        <v>1512.36111111111</v>
      </c>
      <c r="K1855" s="2" t="s">
        <v>18</v>
      </c>
      <c r="L1855" s="2" t="n">
        <f aca="false">J1855/_xlfn.XLOOKUP(Tabla2[[#This Row],[Unidad de precio]],Tabla3[Medida],Tabla3[Equivalencia en Kg],"ELVIS",0)</f>
        <v>33.3412943366647</v>
      </c>
      <c r="M1855" s="2" t="n">
        <v>8104.7130577284</v>
      </c>
      <c r="N1855" s="3" t="n">
        <f aca="false">(Tabla2[[#This Row],[Productividad (kg/TAS)]]*Tabla2[[#This Row],[Precio por kg]]-Tabla2[[#This Row],[Costos (En RD$/Tarea)]])</f>
        <v>5373.65068938515</v>
      </c>
      <c r="O1855" s="9" t="n">
        <f aca="false">IF(Tabla2[[#This Row],[Costos (En RD$/Tarea)]]=0,0,Tabla2[[#This Row],[Beneficio Neto  (En RD$/Tarea)]]/Tabla2[[#This Row],[Costos (En RD$/Tarea)]])</f>
        <v>0.663027876632968</v>
      </c>
      <c r="P1855" s="7" t="n">
        <f aca="false">Tabla2[[#This Row],[Rentabilidad (%)]]/12</f>
        <v>0.0552523230527473</v>
      </c>
    </row>
    <row r="1856" customFormat="false" ht="14.25" hidden="false" customHeight="false" outlineLevel="0" collapsed="false">
      <c r="A1856" s="1" t="n">
        <v>41214</v>
      </c>
      <c r="B1856" s="2" t="s">
        <v>25</v>
      </c>
      <c r="C1856" s="3" t="n">
        <v>44514</v>
      </c>
      <c r="D1856" s="8" t="s">
        <v>17</v>
      </c>
      <c r="E1856" s="3" t="n">
        <f aca="false">IF(Tabla2[[#This Row],[Frecuencia]]="Annual", Tabla2[[#This Row],[Cosecha/Tarea]]/12,Tabla2[[#This Row],[Cosecha/Tarea]])</f>
        <v>44514</v>
      </c>
      <c r="F1856" s="3" t="n">
        <v>416021</v>
      </c>
      <c r="G1856" s="2" t="s">
        <v>18</v>
      </c>
      <c r="H1856" s="2" t="n">
        <f aca="false">F1856/Tabla2[[#This Row],[Cosecha Mensual]]</f>
        <v>9.34584625061778</v>
      </c>
      <c r="I1856" s="2" t="n">
        <f aca="false">H1856*_xlfn.XLOOKUP(Tabla2[[#This Row],[Unidad de producción]],Tabla3[Medida],Tabla3[Equivalencia en Kg],"ELVIS",0)</f>
        <v>423.927585928023</v>
      </c>
      <c r="J1856" s="2" t="n">
        <v>393.293745</v>
      </c>
      <c r="K1856" s="2" t="s">
        <v>18</v>
      </c>
      <c r="L1856" s="2" t="n">
        <f aca="false">J1856/_xlfn.XLOOKUP(Tabla2[[#This Row],[Unidad de precio]],Tabla3[Medida],Tabla3[Equivalencia en Kg],"ELVIS",0)</f>
        <v>8.67049702380952</v>
      </c>
      <c r="M1856" s="2" t="n">
        <v>4628.4219376425</v>
      </c>
      <c r="N1856" s="3" t="n">
        <f aca="false">(Tabla2[[#This Row],[Productividad (kg/TAS)]]*Tabla2[[#This Row],[Precio por kg]]-Tabla2[[#This Row],[Costos (En RD$/Tarea)]])</f>
        <v>-952.759065542824</v>
      </c>
      <c r="O1856" s="9" t="n">
        <f aca="false">IF(Tabla2[[#This Row],[Costos (En RD$/Tarea)]]=0,0,Tabla2[[#This Row],[Beneficio Neto  (En RD$/Tarea)]]/Tabla2[[#This Row],[Costos (En RD$/Tarea)]])</f>
        <v>-0.205849656401057</v>
      </c>
      <c r="P1856" s="7" t="n">
        <f aca="false">Tabla2[[#This Row],[Rentabilidad (%)]]/12</f>
        <v>-0.0171541380334214</v>
      </c>
    </row>
    <row r="1857" customFormat="false" ht="14.25" hidden="false" customHeight="false" outlineLevel="0" collapsed="false">
      <c r="A1857" s="1" t="n">
        <v>41214</v>
      </c>
      <c r="B1857" s="2" t="s">
        <v>26</v>
      </c>
      <c r="C1857" s="3" t="n">
        <v>12041</v>
      </c>
      <c r="D1857" s="8" t="s">
        <v>17</v>
      </c>
      <c r="E1857" s="3" t="n">
        <f aca="false">IF(Tabla2[[#This Row],[Frecuencia]]="Annual", Tabla2[[#This Row],[Cosecha/Tarea]]/12,Tabla2[[#This Row],[Cosecha/Tarea]])</f>
        <v>12041</v>
      </c>
      <c r="F1857" s="3" t="n">
        <v>63214</v>
      </c>
      <c r="G1857" s="2" t="s">
        <v>18</v>
      </c>
      <c r="H1857" s="2" t="n">
        <f aca="false">F1857/Tabla2[[#This Row],[Cosecha Mensual]]</f>
        <v>5.24989618802425</v>
      </c>
      <c r="I1857" s="2" t="n">
        <f aca="false">H1857*_xlfn.XLOOKUP(Tabla2[[#This Row],[Unidad de producción]],Tabla3[Medida],Tabla3[Equivalencia en Kg],"ELVIS",0)</f>
        <v>238.13529108878</v>
      </c>
      <c r="J1857" s="2" t="n">
        <v>790.416666666667</v>
      </c>
      <c r="K1857" s="2" t="s">
        <v>18</v>
      </c>
      <c r="L1857" s="2" t="n">
        <f aca="false">J1857/_xlfn.XLOOKUP(Tabla2[[#This Row],[Unidad de precio]],Tabla3[Medida],Tabla3[Equivalencia en Kg],"ELVIS",0)</f>
        <v>17.4254115226338</v>
      </c>
      <c r="M1857" s="2" t="n">
        <v>2035.793320573</v>
      </c>
      <c r="N1857" s="3" t="n">
        <f aca="false">(Tabla2[[#This Row],[Productividad (kg/TAS)]]*Tabla2[[#This Row],[Precio por kg]]-Tabla2[[#This Row],[Costos (En RD$/Tarea)]])</f>
        <v>2113.81212471117</v>
      </c>
      <c r="O1857" s="9" t="n">
        <f aca="false">IF(Tabla2[[#This Row],[Costos (En RD$/Tarea)]]=0,0,Tabla2[[#This Row],[Beneficio Neto  (En RD$/Tarea)]]/Tabla2[[#This Row],[Costos (En RD$/Tarea)]])</f>
        <v>1.03832353871571</v>
      </c>
      <c r="P1857" s="7" t="n">
        <f aca="false">Tabla2[[#This Row],[Rentabilidad (%)]]/12</f>
        <v>0.0865269615596427</v>
      </c>
    </row>
    <row r="1858" customFormat="false" ht="14.25" hidden="false" customHeight="false" outlineLevel="0" collapsed="false">
      <c r="A1858" s="1" t="n">
        <v>41214</v>
      </c>
      <c r="B1858" s="2" t="s">
        <v>27</v>
      </c>
      <c r="C1858" s="3" t="n">
        <v>8101</v>
      </c>
      <c r="D1858" s="8" t="s">
        <v>17</v>
      </c>
      <c r="E1858" s="3" t="n">
        <f aca="false">IF(Tabla2[[#This Row],[Frecuencia]]="Annual", Tabla2[[#This Row],[Cosecha/Tarea]]/12,Tabla2[[#This Row],[Cosecha/Tarea]])</f>
        <v>8101</v>
      </c>
      <c r="F1858" s="3" t="n">
        <v>43651</v>
      </c>
      <c r="G1858" s="2" t="s">
        <v>18</v>
      </c>
      <c r="H1858" s="2" t="n">
        <f aca="false">F1858/Tabla2[[#This Row],[Cosecha Mensual]]</f>
        <v>5.3883471176398</v>
      </c>
      <c r="I1858" s="2" t="n">
        <f aca="false">H1858*_xlfn.XLOOKUP(Tabla2[[#This Row],[Unidad de producción]],Tabla3[Medida],Tabla3[Equivalencia en Kg],"ELVIS",0)</f>
        <v>244.415425256141</v>
      </c>
      <c r="J1858" s="2" t="n">
        <v>757.53</v>
      </c>
      <c r="K1858" s="2" t="s">
        <v>18</v>
      </c>
      <c r="L1858" s="2" t="n">
        <f aca="false">J1858/_xlfn.XLOOKUP(Tabla2[[#This Row],[Unidad de precio]],Tabla3[Medida],Tabla3[Equivalencia en Kg],"ELVIS",0)</f>
        <v>16.7003968253968</v>
      </c>
      <c r="M1858" s="2" t="n">
        <v>7766.250013275</v>
      </c>
      <c r="N1858" s="3" t="n">
        <f aca="false">(Tabla2[[#This Row],[Productividad (kg/TAS)]]*Tabla2[[#This Row],[Precio por kg]]-Tabla2[[#This Row],[Costos (En RD$/Tarea)]])</f>
        <v>-3684.41542124932</v>
      </c>
      <c r="O1858" s="9" t="n">
        <f aca="false">IF(Tabla2[[#This Row],[Costos (En RD$/Tarea)]]=0,0,Tabla2[[#This Row],[Beneficio Neto  (En RD$/Tarea)]]/Tabla2[[#This Row],[Costos (En RD$/Tarea)]])</f>
        <v>-0.474413702230997</v>
      </c>
      <c r="P1858" s="7" t="n">
        <f aca="false">Tabla2[[#This Row],[Rentabilidad (%)]]/12</f>
        <v>-0.0395344751859164</v>
      </c>
    </row>
    <row r="1859" customFormat="false" ht="14.25" hidden="false" customHeight="false" outlineLevel="0" collapsed="false">
      <c r="A1859" s="1" t="n">
        <v>41214</v>
      </c>
      <c r="B1859" s="2" t="s">
        <v>28</v>
      </c>
      <c r="C1859" s="3" t="n">
        <v>33448</v>
      </c>
      <c r="D1859" s="8" t="s">
        <v>17</v>
      </c>
      <c r="E1859" s="3" t="n">
        <f aca="false">IF(Tabla2[[#This Row],[Frecuencia]]="Annual", Tabla2[[#This Row],[Cosecha/Tarea]]/12,Tabla2[[#This Row],[Cosecha/Tarea]])</f>
        <v>33448</v>
      </c>
      <c r="F1859" s="3" t="n">
        <v>53133</v>
      </c>
      <c r="G1859" s="2" t="s">
        <v>29</v>
      </c>
      <c r="H1859" s="2" t="n">
        <f aca="false">F1859/Tabla2[[#This Row],[Cosecha Mensual]]</f>
        <v>1.58852547237503</v>
      </c>
      <c r="I1859" s="2" t="n">
        <f aca="false">H1859*_xlfn.XLOOKUP(Tabla2[[#This Row],[Unidad de producción]],Tabla3[Medida],Tabla3[Equivalencia en Kg],"ELVIS",0)</f>
        <v>893.291414135374</v>
      </c>
      <c r="J1859" s="2" t="n">
        <v>4333.33333333333</v>
      </c>
      <c r="K1859" s="2" t="s">
        <v>29</v>
      </c>
      <c r="L1859" s="2" t="n">
        <f aca="false">J1859/_xlfn.XLOOKUP(Tabla2[[#This Row],[Unidad de precio]],Tabla3[Medida],Tabla3[Equivalencia en Kg],"ELVIS",0)</f>
        <v>7.70589560289741</v>
      </c>
      <c r="M1859" s="2" t="n">
        <v>6923.3397737334</v>
      </c>
      <c r="N1859" s="3" t="n">
        <f aca="false">(Tabla2[[#This Row],[Productividad (kg/TAS)]]*Tabla2[[#This Row],[Precio por kg]]-Tabla2[[#This Row],[Costos (En RD$/Tarea)]])</f>
        <v>-39.7293934416084</v>
      </c>
      <c r="O1859" s="9" t="n">
        <f aca="false">IF(Tabla2[[#This Row],[Costos (En RD$/Tarea)]]=0,0,Tabla2[[#This Row],[Beneficio Neto  (En RD$/Tarea)]]/Tabla2[[#This Row],[Costos (En RD$/Tarea)]])</f>
        <v>-0.00573847228939111</v>
      </c>
      <c r="P1859" s="7" t="n">
        <f aca="false">Tabla2[[#This Row],[Rentabilidad (%)]]/12</f>
        <v>-0.000478206024115926</v>
      </c>
    </row>
    <row r="1860" customFormat="false" ht="14.25" hidden="false" customHeight="false" outlineLevel="0" collapsed="false">
      <c r="A1860" s="1" t="n">
        <v>41214</v>
      </c>
      <c r="B1860" s="2" t="s">
        <v>30</v>
      </c>
      <c r="C1860" s="3" t="n">
        <v>357939</v>
      </c>
      <c r="D1860" s="3" t="s">
        <v>31</v>
      </c>
      <c r="E1860" s="3" t="n">
        <f aca="false">IF(Tabla2[[#This Row],[Frecuencia]]="Annual", Tabla2[[#This Row],[Cosecha/Tarea]]/12,Tabla2[[#This Row],[Cosecha/Tarea]])</f>
        <v>29828.25</v>
      </c>
      <c r="F1860" s="3" t="n">
        <v>2890144</v>
      </c>
      <c r="G1860" s="2" t="s">
        <v>32</v>
      </c>
      <c r="H1860" s="2" t="n">
        <f aca="false">F1860/Tabla2[[#This Row],[Cosecha Mensual]]</f>
        <v>96.8928448702153</v>
      </c>
      <c r="I1860" s="2" t="n">
        <f aca="false">H1860*_xlfn.XLOOKUP(Tabla2[[#This Row],[Unidad de producción]],Tabla3[Medida],Tabla3[Equivalencia en Kg],"ELVIS",0)</f>
        <v>2636.45430891856</v>
      </c>
      <c r="J1860" s="2" t="n">
        <v>149.8</v>
      </c>
      <c r="K1860" s="2" t="s">
        <v>32</v>
      </c>
      <c r="L1860" s="2" t="n">
        <f aca="false">J1860/_xlfn.XLOOKUP(Tabla2[[#This Row],[Unidad de precio]],Tabla3[Medida],Tabla3[Equivalencia en Kg],"ELVIS",0)</f>
        <v>5.50532892319</v>
      </c>
      <c r="M1860" s="3" t="n">
        <v>12463.8060770282</v>
      </c>
      <c r="N1860" s="3" t="n">
        <f aca="false">(Tabla2[[#This Row],[Productividad (kg/TAS)]]*Tabla2[[#This Row],[Precio por kg]]-Tabla2[[#This Row],[Costos (En RD$/Tarea)]])</f>
        <v>2050.74208453005</v>
      </c>
      <c r="O1860" s="9" t="n">
        <f aca="false">IF(Tabla2[[#This Row],[Costos (En RD$/Tarea)]]=0,0,Tabla2[[#This Row],[Beneficio Neto  (En RD$/Tarea)]]/Tabla2[[#This Row],[Costos (En RD$/Tarea)]])</f>
        <v>0.164535782397139</v>
      </c>
      <c r="P1860" s="7" t="n">
        <f aca="false">Tabla2[[#This Row],[Rentabilidad (%)]]/12</f>
        <v>0.0137113151997616</v>
      </c>
    </row>
    <row r="1861" customFormat="false" ht="14.25" hidden="false" customHeight="false" outlineLevel="0" collapsed="false">
      <c r="A1861" s="1" t="n">
        <v>41214</v>
      </c>
      <c r="B1861" s="2" t="s">
        <v>33</v>
      </c>
      <c r="C1861" s="3" t="n">
        <v>737599</v>
      </c>
      <c r="D1861" s="3" t="s">
        <v>31</v>
      </c>
      <c r="E1861" s="11" t="n">
        <f aca="false">IF(Tabla2[[#This Row],[Frecuencia]]="Annual", Tabla2[[#This Row],[Cosecha/Tarea]]/12,Tabla2[[#This Row],[Cosecha/Tarea]])</f>
        <v>61466.5833333333</v>
      </c>
      <c r="F1861" s="3" t="n">
        <v>127178</v>
      </c>
      <c r="G1861" s="2" t="s">
        <v>34</v>
      </c>
      <c r="H1861" s="2" t="n">
        <f aca="false">F1861/Tabla2[[#This Row],[Cosecha Mensual]]</f>
        <v>2.06905920425597</v>
      </c>
      <c r="I1861" s="2" t="n">
        <f aca="false">H1861*_xlfn.XLOOKUP(Tabla2[[#This Row],[Unidad de producción]],Tabla3[Medida],Tabla3[Equivalencia en Kg],"ELVIS",0)</f>
        <v>844.486514217075</v>
      </c>
      <c r="J1861" s="2" t="n">
        <v>6508.58333333333</v>
      </c>
      <c r="K1861" s="2" t="s">
        <v>34</v>
      </c>
      <c r="L1861" s="2" t="n">
        <f aca="false">J1861/_xlfn.XLOOKUP(Tabla2[[#This Row],[Unidad de precio]],Tabla3[Medida],Tabla3[Equivalencia en Kg],"ELVIS",0)</f>
        <v>15.9465474294581</v>
      </c>
      <c r="M1861" s="3" t="n">
        <v>11933.7643424532</v>
      </c>
      <c r="N1861" s="3" t="n">
        <f aca="false">(Tabla2[[#This Row],[Productividad (kg/TAS)]]*Tabla2[[#This Row],[Precio por kg]]-Tabla2[[#This Row],[Costos (En RD$/Tarea)]])</f>
        <v>1532.87991004714</v>
      </c>
      <c r="O1861" s="9" t="n">
        <f aca="false">IF(Tabla2[[#This Row],[Costos (En RD$/Tarea)]]=0,0,Tabla2[[#This Row],[Beneficio Neto  (En RD$/Tarea)]]/Tabla2[[#This Row],[Costos (En RD$/Tarea)]])</f>
        <v>0.128448984415929</v>
      </c>
      <c r="P1861" s="7" t="n">
        <f aca="false">Tabla2[[#This Row],[Rentabilidad (%)]]/12</f>
        <v>0.0107040820346607</v>
      </c>
    </row>
    <row r="1862" customFormat="false" ht="14.25" hidden="false" customHeight="false" outlineLevel="0" collapsed="false">
      <c r="A1862" s="1" t="n">
        <v>41244</v>
      </c>
      <c r="B1862" s="2" t="s">
        <v>16</v>
      </c>
      <c r="C1862" s="3" t="n">
        <v>78975</v>
      </c>
      <c r="D1862" s="8" t="s">
        <v>17</v>
      </c>
      <c r="E1862" s="3" t="n">
        <f aca="false">IF(Tabla2[[#This Row],[Frecuencia]]="Annual", Tabla2[[#This Row],[Cosecha/Tarea]]/12,Tabla2[[#This Row],[Cosecha/Tarea]])</f>
        <v>78975</v>
      </c>
      <c r="F1862" s="3" t="n">
        <v>264146</v>
      </c>
      <c r="G1862" s="2" t="s">
        <v>18</v>
      </c>
      <c r="H1862" s="2" t="n">
        <f aca="false">F1862/Tabla2[[#This Row],[Cosecha Mensual]]</f>
        <v>3.34467869578981</v>
      </c>
      <c r="I1862" s="2" t="n">
        <f aca="false">H1862*_xlfn.XLOOKUP(Tabla2[[#This Row],[Unidad de producción]],Tabla3[Medida],Tabla3[Equivalencia en Kg],"ELVIS",0)</f>
        <v>151.714625641026</v>
      </c>
      <c r="J1862" s="2" t="n">
        <v>1530</v>
      </c>
      <c r="K1862" s="2" t="s">
        <v>19</v>
      </c>
      <c r="L1862" s="2" t="n">
        <f aca="false">J1862/_xlfn.XLOOKUP(Tabla2[[#This Row],[Unidad de precio]],Tabla3[Medida],Tabla3[Equivalencia en Kg],"ELVIS",0)</f>
        <v>13.9090909090909</v>
      </c>
      <c r="M1862" s="2" t="n">
        <v>7982.61905212344</v>
      </c>
      <c r="N1862" s="3" t="n">
        <f aca="false">(Tabla2[[#This Row],[Productividad (kg/TAS)]]*Tabla2[[#This Row],[Precio por kg]]-Tabla2[[#This Row],[Costos (En RD$/Tarea)]])</f>
        <v>-5872.40653184372</v>
      </c>
      <c r="O1862" s="9" t="n">
        <f aca="false">IF(Tabla2[[#This Row],[Costos (En RD$/Tarea)]]=0,0,Tabla2[[#This Row],[Beneficio Neto  (En RD$/Tarea)]]/Tabla2[[#This Row],[Costos (En RD$/Tarea)]])</f>
        <v>-0.735649101316142</v>
      </c>
      <c r="P1862" s="7" t="n">
        <f aca="false">Tabla2[[#This Row],[Rentabilidad (%)]]/12</f>
        <v>-0.0613040917763452</v>
      </c>
    </row>
    <row r="1863" customFormat="false" ht="14.25" hidden="false" customHeight="false" outlineLevel="0" collapsed="false">
      <c r="A1863" s="1" t="n">
        <v>41244</v>
      </c>
      <c r="B1863" s="2" t="s">
        <v>20</v>
      </c>
      <c r="C1863" s="3" t="n">
        <v>57380</v>
      </c>
      <c r="D1863" s="8" t="s">
        <v>17</v>
      </c>
      <c r="E1863" s="3" t="n">
        <f aca="false">IF(Tabla2[[#This Row],[Frecuencia]]="Annual", Tabla2[[#This Row],[Cosecha/Tarea]]/12,Tabla2[[#This Row],[Cosecha/Tarea]])</f>
        <v>57380</v>
      </c>
      <c r="F1863" s="3" t="n">
        <v>108609</v>
      </c>
      <c r="G1863" s="2" t="s">
        <v>18</v>
      </c>
      <c r="H1863" s="2" t="n">
        <f aca="false">F1863/Tabla2[[#This Row],[Cosecha Mensual]]</f>
        <v>1.89280237016382</v>
      </c>
      <c r="I1863" s="2" t="n">
        <f aca="false">H1863*_xlfn.XLOOKUP(Tabla2[[#This Row],[Unidad de producción]],Tabla3[Medida],Tabla3[Equivalencia en Kg],"ELVIS",0)</f>
        <v>85.8575155106309</v>
      </c>
      <c r="J1863" s="2" t="n">
        <v>756.5625</v>
      </c>
      <c r="K1863" s="2" t="s">
        <v>18</v>
      </c>
      <c r="L1863" s="2" t="n">
        <f aca="false">J1863/_xlfn.XLOOKUP(Tabla2[[#This Row],[Unidad de precio]],Tabla3[Medida],Tabla3[Equivalencia en Kg],"ELVIS",0)</f>
        <v>16.6790674603175</v>
      </c>
      <c r="M1863" s="2" t="n">
        <v>2248.3053412475</v>
      </c>
      <c r="N1863" s="3" t="n">
        <f aca="false">(Tabla2[[#This Row],[Productividad (kg/TAS)]]*Tabla2[[#This Row],[Precio por kg]]-Tabla2[[#This Row],[Costos (En RD$/Tarea)]])</f>
        <v>-816.282048070435</v>
      </c>
      <c r="O1863" s="9" t="n">
        <f aca="false">IF(Tabla2[[#This Row],[Costos (En RD$/Tarea)]]=0,0,Tabla2[[#This Row],[Beneficio Neto  (En RD$/Tarea)]]/Tabla2[[#This Row],[Costos (En RD$/Tarea)]])</f>
        <v>-0.363065475625082</v>
      </c>
      <c r="P1863" s="7" t="n">
        <f aca="false">Tabla2[[#This Row],[Rentabilidad (%)]]/12</f>
        <v>-0.0302554563020901</v>
      </c>
    </row>
    <row r="1864" customFormat="false" ht="14.25" hidden="false" customHeight="false" outlineLevel="0" collapsed="false">
      <c r="A1864" s="1" t="n">
        <v>41244</v>
      </c>
      <c r="B1864" s="2" t="s">
        <v>21</v>
      </c>
      <c r="C1864" s="3" t="n">
        <v>7524</v>
      </c>
      <c r="D1864" s="8" t="s">
        <v>17</v>
      </c>
      <c r="E1864" s="3" t="n">
        <f aca="false">IF(Tabla2[[#This Row],[Frecuencia]]="Annual", Tabla2[[#This Row],[Cosecha/Tarea]]/12,Tabla2[[#This Row],[Cosecha/Tarea]])</f>
        <v>7524</v>
      </c>
      <c r="F1864" s="3" t="n">
        <v>72571</v>
      </c>
      <c r="G1864" s="2" t="s">
        <v>18</v>
      </c>
      <c r="H1864" s="2" t="n">
        <f aca="false">F1864/Tabla2[[#This Row],[Cosecha Mensual]]</f>
        <v>9.64526847421584</v>
      </c>
      <c r="I1864" s="2" t="n">
        <f aca="false">H1864*_xlfn.XLOOKUP(Tabla2[[#This Row],[Unidad de producción]],Tabla3[Medida],Tabla3[Equivalencia en Kg],"ELVIS",0)</f>
        <v>437.509377990431</v>
      </c>
      <c r="J1864" s="2" t="n">
        <v>547.5</v>
      </c>
      <c r="K1864" s="2" t="s">
        <v>18</v>
      </c>
      <c r="L1864" s="2" t="n">
        <f aca="false">J1864/_xlfn.XLOOKUP(Tabla2[[#This Row],[Unidad de precio]],Tabla3[Medida],Tabla3[Equivalencia en Kg],"ELVIS",0)</f>
        <v>12.0701058201058</v>
      </c>
      <c r="M1864" s="2" t="n">
        <v>5350.20172000917</v>
      </c>
      <c r="N1864" s="3" t="n">
        <f aca="false">(Tabla2[[#This Row],[Productividad (kg/TAS)]]*Tabla2[[#This Row],[Precio por kg]]-Tabla2[[#This Row],[Costos (En RD$/Tarea)]])</f>
        <v>-69.4172303759951</v>
      </c>
      <c r="O1864" s="9" t="n">
        <f aca="false">IF(Tabla2[[#This Row],[Costos (En RD$/Tarea)]]=0,0,Tabla2[[#This Row],[Beneficio Neto  (En RD$/Tarea)]]/Tabla2[[#This Row],[Costos (En RD$/Tarea)]])</f>
        <v>-0.0129746940412326</v>
      </c>
      <c r="P1864" s="7" t="n">
        <f aca="false">Tabla2[[#This Row],[Rentabilidad (%)]]/12</f>
        <v>-0.00108122450343605</v>
      </c>
    </row>
    <row r="1865" customFormat="false" ht="14.25" hidden="false" customHeight="false" outlineLevel="0" collapsed="false">
      <c r="A1865" s="1" t="n">
        <v>41244</v>
      </c>
      <c r="B1865" s="2" t="s">
        <v>22</v>
      </c>
      <c r="C1865" s="3" t="n">
        <v>5647</v>
      </c>
      <c r="D1865" s="8" t="s">
        <v>17</v>
      </c>
      <c r="E1865" s="3" t="n">
        <f aca="false">IF(Tabla2[[#This Row],[Frecuencia]]="Annual", Tabla2[[#This Row],[Cosecha/Tarea]]/12,Tabla2[[#This Row],[Cosecha/Tarea]])</f>
        <v>5647</v>
      </c>
      <c r="F1865" s="3" t="n">
        <v>55471</v>
      </c>
      <c r="G1865" s="2" t="s">
        <v>18</v>
      </c>
      <c r="H1865" s="2" t="n">
        <f aca="false">F1865/Tabla2[[#This Row],[Cosecha Mensual]]</f>
        <v>9.82309190720737</v>
      </c>
      <c r="I1865" s="2" t="n">
        <f aca="false">H1865*_xlfn.XLOOKUP(Tabla2[[#This Row],[Unidad de producción]],Tabla3[Medida],Tabla3[Equivalencia en Kg],"ELVIS",0)</f>
        <v>445.575448910926</v>
      </c>
      <c r="J1865" s="2" t="n">
        <v>1133.03571428571</v>
      </c>
      <c r="K1865" s="2" t="s">
        <v>18</v>
      </c>
      <c r="L1865" s="2" t="n">
        <f aca="false">J1865/_xlfn.XLOOKUP(Tabla2[[#This Row],[Unidad de precio]],Tabla3[Medida],Tabla3[Equivalencia en Kg],"ELVIS",0)</f>
        <v>24.9787414965985</v>
      </c>
      <c r="M1865" s="2" t="n">
        <v>8360.190555</v>
      </c>
      <c r="N1865" s="3" t="n">
        <f aca="false">(Tabla2[[#This Row],[Productividad (kg/TAS)]]*Tabla2[[#This Row],[Precio por kg]]-Tabla2[[#This Row],[Costos (En RD$/Tarea)]])</f>
        <v>2769.72340057688</v>
      </c>
      <c r="O1865" s="9" t="n">
        <f aca="false">IF(Tabla2[[#This Row],[Costos (En RD$/Tarea)]]=0,0,Tabla2[[#This Row],[Beneficio Neto  (En RD$/Tarea)]]/Tabla2[[#This Row],[Costos (En RD$/Tarea)]])</f>
        <v>0.331299075344686</v>
      </c>
      <c r="P1865" s="7" t="n">
        <f aca="false">Tabla2[[#This Row],[Rentabilidad (%)]]/12</f>
        <v>0.0276082562787238</v>
      </c>
    </row>
    <row r="1866" customFormat="false" ht="14.25" hidden="false" customHeight="false" outlineLevel="0" collapsed="false">
      <c r="A1866" s="1" t="n">
        <v>41244</v>
      </c>
      <c r="B1866" s="2" t="s">
        <v>23</v>
      </c>
      <c r="C1866" s="3" t="n">
        <v>2642</v>
      </c>
      <c r="D1866" s="8" t="s">
        <v>17</v>
      </c>
      <c r="E1866" s="3" t="n">
        <f aca="false">IF(Tabla2[[#This Row],[Frecuencia]]="Annual", Tabla2[[#This Row],[Cosecha/Tarea]]/12,Tabla2[[#This Row],[Cosecha/Tarea]])</f>
        <v>2642</v>
      </c>
      <c r="F1866" s="3" t="n">
        <v>88320</v>
      </c>
      <c r="G1866" s="2" t="s">
        <v>18</v>
      </c>
      <c r="H1866" s="2" t="n">
        <f aca="false">F1866/Tabla2[[#This Row],[Cosecha Mensual]]</f>
        <v>33.4292202876609</v>
      </c>
      <c r="I1866" s="2" t="n">
        <f aca="false">H1866*_xlfn.XLOOKUP(Tabla2[[#This Row],[Unidad de producción]],Tabla3[Medida],Tabla3[Equivalencia en Kg],"ELVIS",0)</f>
        <v>1516.3494322483</v>
      </c>
      <c r="J1866" s="2" t="n">
        <v>1114.28571428571</v>
      </c>
      <c r="K1866" s="2" t="s">
        <v>18</v>
      </c>
      <c r="L1866" s="2" t="n">
        <f aca="false">J1866/_xlfn.XLOOKUP(Tabla2[[#This Row],[Unidad de precio]],Tabla3[Medida],Tabla3[Equivalencia en Kg],"ELVIS",0)</f>
        <v>24.5653817082388</v>
      </c>
      <c r="M1866" s="2" t="n">
        <v>24344.842076238</v>
      </c>
      <c r="N1866" s="3" t="n">
        <f aca="false">(Tabla2[[#This Row],[Productividad (kg/TAS)]]*Tabla2[[#This Row],[Precio por kg]]-Tabla2[[#This Row],[Costos (En RD$/Tarea)]])</f>
        <v>12904.8605300125</v>
      </c>
      <c r="O1866" s="9" t="n">
        <f aca="false">IF(Tabla2[[#This Row],[Costos (En RD$/Tarea)]]=0,0,Tabla2[[#This Row],[Beneficio Neto  (En RD$/Tarea)]]/Tabla2[[#This Row],[Costos (En RD$/Tarea)]])</f>
        <v>0.530086023544529</v>
      </c>
      <c r="P1866" s="7" t="n">
        <f aca="false">Tabla2[[#This Row],[Rentabilidad (%)]]/12</f>
        <v>0.0441738352953774</v>
      </c>
    </row>
    <row r="1867" customFormat="false" ht="14.25" hidden="false" customHeight="false" outlineLevel="0" collapsed="false">
      <c r="A1867" s="1" t="n">
        <v>41244</v>
      </c>
      <c r="B1867" s="2" t="s">
        <v>24</v>
      </c>
      <c r="C1867" s="3" t="n">
        <v>11554</v>
      </c>
      <c r="D1867" s="8" t="s">
        <v>17</v>
      </c>
      <c r="E1867" s="3" t="n">
        <f aca="false">IF(Tabla2[[#This Row],[Frecuencia]]="Annual", Tabla2[[#This Row],[Cosecha/Tarea]]/12,Tabla2[[#This Row],[Cosecha/Tarea]])</f>
        <v>11554</v>
      </c>
      <c r="F1867" s="3" t="n">
        <v>83155</v>
      </c>
      <c r="G1867" s="2" t="s">
        <v>18</v>
      </c>
      <c r="H1867" s="2" t="n">
        <f aca="false">F1867/Tabla2[[#This Row],[Cosecha Mensual]]</f>
        <v>7.19707460619699</v>
      </c>
      <c r="I1867" s="2" t="n">
        <f aca="false">H1867*_xlfn.XLOOKUP(Tabla2[[#This Row],[Unidad de producción]],Tabla3[Medida],Tabla3[Equivalencia en Kg],"ELVIS",0)</f>
        <v>326.459304137095</v>
      </c>
      <c r="J1867" s="2" t="n">
        <v>1322.38095238095</v>
      </c>
      <c r="K1867" s="2" t="s">
        <v>18</v>
      </c>
      <c r="L1867" s="2" t="n">
        <f aca="false">J1867/_xlfn.XLOOKUP(Tabla2[[#This Row],[Unidad de precio]],Tabla3[Medida],Tabla3[Equivalencia en Kg],"ELVIS",0)</f>
        <v>29.1530192323843</v>
      </c>
      <c r="M1867" s="2" t="n">
        <v>8104.7130577284</v>
      </c>
      <c r="N1867" s="3" t="n">
        <f aca="false">(Tabla2[[#This Row],[Productividad (kg/TAS)]]*Tabla2[[#This Row],[Precio por kg]]-Tabla2[[#This Row],[Costos (En RD$/Tarea)]])</f>
        <v>1412.56131437112</v>
      </c>
      <c r="O1867" s="9" t="n">
        <f aca="false">IF(Tabla2[[#This Row],[Costos (En RD$/Tarea)]]=0,0,Tabla2[[#This Row],[Beneficio Neto  (En RD$/Tarea)]]/Tabla2[[#This Row],[Costos (En RD$/Tarea)]])</f>
        <v>0.174288874178482</v>
      </c>
      <c r="P1867" s="7" t="n">
        <f aca="false">Tabla2[[#This Row],[Rentabilidad (%)]]/12</f>
        <v>0.0145240728482068</v>
      </c>
    </row>
    <row r="1868" customFormat="false" ht="14.25" hidden="false" customHeight="false" outlineLevel="0" collapsed="false">
      <c r="A1868" s="1" t="n">
        <v>41244</v>
      </c>
      <c r="B1868" s="2" t="s">
        <v>25</v>
      </c>
      <c r="C1868" s="3" t="n">
        <v>26874</v>
      </c>
      <c r="D1868" s="8" t="s">
        <v>17</v>
      </c>
      <c r="E1868" s="3" t="n">
        <f aca="false">IF(Tabla2[[#This Row],[Frecuencia]]="Annual", Tabla2[[#This Row],[Cosecha/Tarea]]/12,Tabla2[[#This Row],[Cosecha/Tarea]])</f>
        <v>26874</v>
      </c>
      <c r="F1868" s="3" t="n">
        <v>336547</v>
      </c>
      <c r="G1868" s="2" t="s">
        <v>18</v>
      </c>
      <c r="H1868" s="2" t="n">
        <f aca="false">F1868/Tabla2[[#This Row],[Cosecha Mensual]]</f>
        <v>12.5231450472576</v>
      </c>
      <c r="I1868" s="2" t="n">
        <f aca="false">H1868*_xlfn.XLOOKUP(Tabla2[[#This Row],[Unidad de producción]],Tabla3[Medida],Tabla3[Equivalencia en Kg],"ELVIS",0)</f>
        <v>568.049859343603</v>
      </c>
      <c r="J1868" s="2" t="n">
        <v>440.916666666667</v>
      </c>
      <c r="K1868" s="2" t="s">
        <v>18</v>
      </c>
      <c r="L1868" s="2" t="n">
        <f aca="false">J1868/_xlfn.XLOOKUP(Tabla2[[#This Row],[Unidad de precio]],Tabla3[Medida],Tabla3[Equivalencia en Kg],"ELVIS",0)</f>
        <v>9.7203850676073</v>
      </c>
      <c r="M1868" s="2" t="n">
        <v>4628.4219376425</v>
      </c>
      <c r="N1868" s="3" t="n">
        <f aca="false">(Tabla2[[#This Row],[Productividad (kg/TAS)]]*Tabla2[[#This Row],[Precio por kg]]-Tabla2[[#This Row],[Costos (En RD$/Tarea)]])</f>
        <v>893.241432777489</v>
      </c>
      <c r="O1868" s="9" t="n">
        <f aca="false">IF(Tabla2[[#This Row],[Costos (En RD$/Tarea)]]=0,0,Tabla2[[#This Row],[Beneficio Neto  (En RD$/Tarea)]]/Tabla2[[#This Row],[Costos (En RD$/Tarea)]])</f>
        <v>0.192990493263556</v>
      </c>
      <c r="P1868" s="7" t="n">
        <f aca="false">Tabla2[[#This Row],[Rentabilidad (%)]]/12</f>
        <v>0.0160825411052963</v>
      </c>
    </row>
    <row r="1869" customFormat="false" ht="14.25" hidden="false" customHeight="false" outlineLevel="0" collapsed="false">
      <c r="A1869" s="1" t="n">
        <v>41244</v>
      </c>
      <c r="B1869" s="2" t="s">
        <v>26</v>
      </c>
      <c r="C1869" s="3" t="n">
        <v>14644</v>
      </c>
      <c r="D1869" s="8" t="s">
        <v>17</v>
      </c>
      <c r="E1869" s="3" t="n">
        <f aca="false">IF(Tabla2[[#This Row],[Frecuencia]]="Annual", Tabla2[[#This Row],[Cosecha/Tarea]]/12,Tabla2[[#This Row],[Cosecha/Tarea]])</f>
        <v>14644</v>
      </c>
      <c r="F1869" s="3" t="n">
        <v>83547</v>
      </c>
      <c r="G1869" s="2" t="s">
        <v>18</v>
      </c>
      <c r="H1869" s="2" t="n">
        <f aca="false">F1869/Tabla2[[#This Row],[Cosecha Mensual]]</f>
        <v>5.70520349631248</v>
      </c>
      <c r="I1869" s="2" t="n">
        <f aca="false">H1869*_xlfn.XLOOKUP(Tabla2[[#This Row],[Unidad de producción]],Tabla3[Medida],Tabla3[Equivalencia en Kg],"ELVIS",0)</f>
        <v>258.788030592734</v>
      </c>
      <c r="J1869" s="2" t="n">
        <v>895.166666666667</v>
      </c>
      <c r="K1869" s="2" t="s">
        <v>18</v>
      </c>
      <c r="L1869" s="2" t="n">
        <f aca="false">J1869/_xlfn.XLOOKUP(Tabla2[[#This Row],[Unidad de precio]],Tabla3[Medida],Tabla3[Equivalencia en Kg],"ELVIS",0)</f>
        <v>19.7347148736038</v>
      </c>
      <c r="M1869" s="2" t="n">
        <v>2035.793320573</v>
      </c>
      <c r="N1869" s="3" t="n">
        <f aca="false">(Tabla2[[#This Row],[Productividad (kg/TAS)]]*Tabla2[[#This Row],[Precio por kg]]-Tabla2[[#This Row],[Costos (En RD$/Tarea)]])</f>
        <v>3071.31467587606</v>
      </c>
      <c r="O1869" s="9" t="n">
        <f aca="false">IF(Tabla2[[#This Row],[Costos (En RD$/Tarea)]]=0,0,Tabla2[[#This Row],[Beneficio Neto  (En RD$/Tarea)]]/Tabla2[[#This Row],[Costos (En RD$/Tarea)]])</f>
        <v>1.50865740880395</v>
      </c>
      <c r="P1869" s="7" t="n">
        <f aca="false">Tabla2[[#This Row],[Rentabilidad (%)]]/12</f>
        <v>0.125721450733663</v>
      </c>
    </row>
    <row r="1870" customFormat="false" ht="14.25" hidden="false" customHeight="false" outlineLevel="0" collapsed="false">
      <c r="A1870" s="1" t="n">
        <v>41244</v>
      </c>
      <c r="B1870" s="2" t="s">
        <v>27</v>
      </c>
      <c r="C1870" s="3" t="n">
        <v>7547</v>
      </c>
      <c r="D1870" s="8" t="s">
        <v>17</v>
      </c>
      <c r="E1870" s="3" t="n">
        <f aca="false">IF(Tabla2[[#This Row],[Frecuencia]]="Annual", Tabla2[[#This Row],[Cosecha/Tarea]]/12,Tabla2[[#This Row],[Cosecha/Tarea]])</f>
        <v>7547</v>
      </c>
      <c r="F1870" s="3" t="n">
        <v>43233</v>
      </c>
      <c r="G1870" s="2" t="s">
        <v>18</v>
      </c>
      <c r="H1870" s="2" t="n">
        <f aca="false">F1870/Tabla2[[#This Row],[Cosecha Mensual]]</f>
        <v>5.7285013912813</v>
      </c>
      <c r="I1870" s="2" t="n">
        <f aca="false">H1870*_xlfn.XLOOKUP(Tabla2[[#This Row],[Unidad de producción]],Tabla3[Medida],Tabla3[Equivalencia en Kg],"ELVIS",0)</f>
        <v>259.84482310852</v>
      </c>
      <c r="J1870" s="2" t="n">
        <v>752.7</v>
      </c>
      <c r="K1870" s="2" t="s">
        <v>18</v>
      </c>
      <c r="L1870" s="2" t="n">
        <f aca="false">J1870/_xlfn.XLOOKUP(Tabla2[[#This Row],[Unidad de precio]],Tabla3[Medida],Tabla3[Equivalencia en Kg],"ELVIS",0)</f>
        <v>16.5939153439153</v>
      </c>
      <c r="M1870" s="2" t="n">
        <v>7766.250013275</v>
      </c>
      <c r="N1870" s="3" t="n">
        <f aca="false">(Tabla2[[#This Row],[Productividad (kg/TAS)]]*Tabla2[[#This Row],[Precio por kg]]-Tabla2[[#This Row],[Costos (En RD$/Tarea)]])</f>
        <v>-3454.40701605756</v>
      </c>
      <c r="O1870" s="9" t="n">
        <f aca="false">IF(Tabla2[[#This Row],[Costos (En RD$/Tarea)]]=0,0,Tabla2[[#This Row],[Beneficio Neto  (En RD$/Tarea)]]/Tabla2[[#This Row],[Costos (En RD$/Tarea)]])</f>
        <v>-0.444797297299582</v>
      </c>
      <c r="P1870" s="7" t="n">
        <f aca="false">Tabla2[[#This Row],[Rentabilidad (%)]]/12</f>
        <v>-0.0370664414416318</v>
      </c>
    </row>
    <row r="1871" customFormat="false" ht="14.25" hidden="false" customHeight="false" outlineLevel="0" collapsed="false">
      <c r="A1871" s="1" t="n">
        <v>41244</v>
      </c>
      <c r="B1871" s="2" t="s">
        <v>28</v>
      </c>
      <c r="C1871" s="3" t="n">
        <v>45474</v>
      </c>
      <c r="D1871" s="8" t="s">
        <v>17</v>
      </c>
      <c r="E1871" s="3" t="n">
        <f aca="false">IF(Tabla2[[#This Row],[Frecuencia]]="Annual", Tabla2[[#This Row],[Cosecha/Tarea]]/12,Tabla2[[#This Row],[Cosecha/Tarea]])</f>
        <v>45474</v>
      </c>
      <c r="F1871" s="3" t="n">
        <v>69702</v>
      </c>
      <c r="G1871" s="2" t="s">
        <v>29</v>
      </c>
      <c r="H1871" s="2" t="n">
        <f aca="false">F1871/Tabla2[[#This Row],[Cosecha Mensual]]</f>
        <v>1.53278796675023</v>
      </c>
      <c r="I1871" s="2" t="n">
        <f aca="false">H1871*_xlfn.XLOOKUP(Tabla2[[#This Row],[Unidad de producción]],Tabla3[Medida],Tabla3[Equivalencia en Kg],"ELVIS",0)</f>
        <v>861.947985222325</v>
      </c>
      <c r="J1871" s="2" t="n">
        <v>5000</v>
      </c>
      <c r="K1871" s="2" t="s">
        <v>29</v>
      </c>
      <c r="L1871" s="2" t="n">
        <f aca="false">J1871/_xlfn.XLOOKUP(Tabla2[[#This Row],[Unidad de precio]],Tabla3[Medida],Tabla3[Equivalencia en Kg],"ELVIS",0)</f>
        <v>8.89141800334317</v>
      </c>
      <c r="M1871" s="2" t="n">
        <v>6923.3397737334</v>
      </c>
      <c r="N1871" s="3" t="n">
        <f aca="false">(Tabla2[[#This Row],[Productividad (kg/TAS)]]*Tabla2[[#This Row],[Precio por kg]]-Tabla2[[#This Row],[Costos (En RD$/Tarea)]])</f>
        <v>740.600060017754</v>
      </c>
      <c r="O1871" s="9" t="n">
        <f aca="false">IF(Tabla2[[#This Row],[Costos (En RD$/Tarea)]]=0,0,Tabla2[[#This Row],[Beneficio Neto  (En RD$/Tarea)]]/Tabla2[[#This Row],[Costos (En RD$/Tarea)]])</f>
        <v>0.106971502803825</v>
      </c>
      <c r="P1871" s="7" t="n">
        <f aca="false">Tabla2[[#This Row],[Rentabilidad (%)]]/12</f>
        <v>0.00891429190031873</v>
      </c>
    </row>
    <row r="1872" customFormat="false" ht="14.25" hidden="false" customHeight="false" outlineLevel="0" collapsed="false">
      <c r="A1872" s="1" t="n">
        <v>41244</v>
      </c>
      <c r="B1872" s="2" t="s">
        <v>30</v>
      </c>
      <c r="C1872" s="3" t="n">
        <v>346957</v>
      </c>
      <c r="D1872" s="3" t="s">
        <v>31</v>
      </c>
      <c r="E1872" s="3" t="n">
        <f aca="false">IF(Tabla2[[#This Row],[Frecuencia]]="Annual", Tabla2[[#This Row],[Cosecha/Tarea]]/12,Tabla2[[#This Row],[Cosecha/Tarea]])</f>
        <v>28913.0833333333</v>
      </c>
      <c r="F1872" s="3" t="n">
        <v>2398414</v>
      </c>
      <c r="G1872" s="2" t="s">
        <v>32</v>
      </c>
      <c r="H1872" s="2" t="n">
        <f aca="false">F1872/Tabla2[[#This Row],[Cosecha Mensual]]</f>
        <v>82.9525503160334</v>
      </c>
      <c r="I1872" s="2" t="n">
        <f aca="false">H1872*_xlfn.XLOOKUP(Tabla2[[#This Row],[Unidad de producción]],Tabla3[Medida],Tabla3[Equivalencia en Kg],"ELVIS",0)</f>
        <v>2257.13889409927</v>
      </c>
      <c r="J1872" s="2" t="n">
        <v>163.444444444444</v>
      </c>
      <c r="K1872" s="2" t="s">
        <v>32</v>
      </c>
      <c r="L1872" s="2" t="n">
        <f aca="false">J1872/_xlfn.XLOOKUP(Tabla2[[#This Row],[Unidad de precio]],Tabla3[Medida],Tabla3[Equivalencia en Kg],"ELVIS",0)</f>
        <v>6.00677855363631</v>
      </c>
      <c r="M1872" s="3" t="n">
        <v>12463.8060770282</v>
      </c>
      <c r="N1872" s="3" t="n">
        <f aca="false">(Tabla2[[#This Row],[Productividad (kg/TAS)]]*Tabla2[[#This Row],[Precio por kg]]-Tabla2[[#This Row],[Costos (En RD$/Tarea)]])</f>
        <v>1094.32742462566</v>
      </c>
      <c r="O1872" s="9" t="n">
        <f aca="false">IF(Tabla2[[#This Row],[Costos (En RD$/Tarea)]]=0,0,Tabla2[[#This Row],[Beneficio Neto  (En RD$/Tarea)]]/Tabla2[[#This Row],[Costos (En RD$/Tarea)]])</f>
        <v>0.0878004213049012</v>
      </c>
      <c r="P1872" s="7" t="n">
        <f aca="false">Tabla2[[#This Row],[Rentabilidad (%)]]/12</f>
        <v>0.00731670177540844</v>
      </c>
    </row>
    <row r="1873" customFormat="false" ht="14.25" hidden="false" customHeight="false" outlineLevel="0" collapsed="false">
      <c r="A1873" s="1" t="n">
        <v>41244</v>
      </c>
      <c r="B1873" s="2" t="s">
        <v>33</v>
      </c>
      <c r="C1873" s="3" t="n">
        <v>687151</v>
      </c>
      <c r="D1873" s="3" t="s">
        <v>31</v>
      </c>
      <c r="E1873" s="11" t="n">
        <f aca="false">IF(Tabla2[[#This Row],[Frecuencia]]="Annual", Tabla2[[#This Row],[Cosecha/Tarea]]/12,Tabla2[[#This Row],[Cosecha/Tarea]])</f>
        <v>57262.5833333333</v>
      </c>
      <c r="F1873" s="3" t="n">
        <v>249100</v>
      </c>
      <c r="G1873" s="2" t="s">
        <v>34</v>
      </c>
      <c r="H1873" s="2" t="n">
        <f aca="false">F1873/Tabla2[[#This Row],[Cosecha Mensual]]</f>
        <v>4.35013555972414</v>
      </c>
      <c r="I1873" s="2" t="n">
        <f aca="false">H1873*_xlfn.XLOOKUP(Tabla2[[#This Row],[Unidad de producción]],Tabla3[Medida],Tabla3[Equivalencia en Kg],"ELVIS",0)</f>
        <v>1775.50782870141</v>
      </c>
      <c r="J1873" s="2" t="n">
        <v>6140.27777777778</v>
      </c>
      <c r="K1873" s="2" t="s">
        <v>34</v>
      </c>
      <c r="L1873" s="2" t="n">
        <f aca="false">J1873/_xlfn.XLOOKUP(Tabla2[[#This Row],[Unidad de precio]],Tabla3[Medida],Tabla3[Equivalencia en Kg],"ELVIS",0)</f>
        <v>15.044169491064</v>
      </c>
      <c r="M1873" s="3" t="n">
        <v>11933.7643424532</v>
      </c>
      <c r="N1873" s="3" t="n">
        <f aca="false">(Tabla2[[#This Row],[Productividad (kg/TAS)]]*Tabla2[[#This Row],[Precio por kg]]-Tabla2[[#This Row],[Costos (En RD$/Tarea)]])</f>
        <v>14777.2763652418</v>
      </c>
      <c r="O1873" s="9" t="n">
        <f aca="false">IF(Tabla2[[#This Row],[Costos (En RD$/Tarea)]]=0,0,Tabla2[[#This Row],[Beneficio Neto  (En RD$/Tarea)]]/Tabla2[[#This Row],[Costos (En RD$/Tarea)]])</f>
        <v>1.23827452438231</v>
      </c>
      <c r="P1873" s="7" t="n">
        <f aca="false">Tabla2[[#This Row],[Rentabilidad (%)]]/12</f>
        <v>0.103189543698526</v>
      </c>
    </row>
    <row r="1874" customFormat="false" ht="14.25" hidden="false" customHeight="false" outlineLevel="0" collapsed="false">
      <c r="A1874" s="1" t="n">
        <v>41275</v>
      </c>
      <c r="B1874" s="2" t="s">
        <v>16</v>
      </c>
      <c r="C1874" s="3" t="n">
        <v>8051</v>
      </c>
      <c r="D1874" s="8" t="s">
        <v>17</v>
      </c>
      <c r="E1874" s="3" t="n">
        <f aca="false">IF(Tabla2[[#This Row],[Frecuencia]]="Annual", Tabla2[[#This Row],[Cosecha/Tarea]]/12,Tabla2[[#This Row],[Cosecha/Tarea]])</f>
        <v>8051</v>
      </c>
      <c r="F1874" s="3" t="n">
        <v>21905</v>
      </c>
      <c r="G1874" s="2" t="s">
        <v>18</v>
      </c>
      <c r="H1874" s="2" t="n">
        <f aca="false">F1874/Tabla2[[#This Row],[Cosecha Mensual]]</f>
        <v>2.7207800273258</v>
      </c>
      <c r="I1874" s="2" t="n">
        <f aca="false">H1874*_xlfn.XLOOKUP(Tabla2[[#This Row],[Unidad de producción]],Tabla3[Medida],Tabla3[Equivalencia en Kg],"ELVIS",0)</f>
        <v>123.414582039498</v>
      </c>
      <c r="J1874" s="2" t="n">
        <v>1634.30849285714</v>
      </c>
      <c r="K1874" s="2" t="s">
        <v>19</v>
      </c>
      <c r="L1874" s="2" t="n">
        <f aca="false">J1874/_xlfn.XLOOKUP(Tabla2[[#This Row],[Unidad de precio]],Tabla3[Medida],Tabla3[Equivalencia en Kg],"ELVIS",0)</f>
        <v>14.8573499350649</v>
      </c>
      <c r="M1874" s="2" t="n">
        <v>7832.60797003155</v>
      </c>
      <c r="N1874" s="3" t="n">
        <f aca="false">(Tabla2[[#This Row],[Productividad (kg/TAS)]]*Tabla2[[#This Row],[Precio por kg]]-Tabla2[[#This Row],[Costos (En RD$/Tarea)]])</f>
        <v>-5998.99433758095</v>
      </c>
      <c r="O1874" s="9" t="n">
        <f aca="false">IF(Tabla2[[#This Row],[Costos (En RD$/Tarea)]]=0,0,Tabla2[[#This Row],[Beneficio Neto  (En RD$/Tarea)]]/Tabla2[[#This Row],[Costos (En RD$/Tarea)]])</f>
        <v>-0.765899986381775</v>
      </c>
      <c r="P1874" s="7" t="n">
        <f aca="false">Tabla2[[#This Row],[Rentabilidad (%)]]/12</f>
        <v>-0.0638249988651479</v>
      </c>
    </row>
    <row r="1875" customFormat="false" ht="14.25" hidden="false" customHeight="false" outlineLevel="0" collapsed="false">
      <c r="A1875" s="1" t="n">
        <v>41275</v>
      </c>
      <c r="B1875" s="2" t="s">
        <v>20</v>
      </c>
      <c r="C1875" s="3" t="n">
        <v>31021</v>
      </c>
      <c r="D1875" s="8" t="s">
        <v>17</v>
      </c>
      <c r="E1875" s="3" t="n">
        <f aca="false">IF(Tabla2[[#This Row],[Frecuencia]]="Annual", Tabla2[[#This Row],[Cosecha/Tarea]]/12,Tabla2[[#This Row],[Cosecha/Tarea]])</f>
        <v>31021</v>
      </c>
      <c r="F1875" s="3" t="n">
        <v>51002</v>
      </c>
      <c r="G1875" s="2" t="s">
        <v>18</v>
      </c>
      <c r="H1875" s="2" t="n">
        <f aca="false">F1875/Tabla2[[#This Row],[Cosecha Mensual]]</f>
        <v>1.6441120531253</v>
      </c>
      <c r="I1875" s="2" t="n">
        <f aca="false">H1875*_xlfn.XLOOKUP(Tabla2[[#This Row],[Unidad de producción]],Tabla3[Medida],Tabla3[Equivalencia en Kg],"ELVIS",0)</f>
        <v>74.5769227297637</v>
      </c>
      <c r="J1875" s="2" t="n">
        <v>776.716</v>
      </c>
      <c r="K1875" s="2" t="s">
        <v>18</v>
      </c>
      <c r="L1875" s="2" t="n">
        <f aca="false">J1875/_xlfn.XLOOKUP(Tabla2[[#This Row],[Unidad de precio]],Tabla3[Medida],Tabla3[Equivalencia en Kg],"ELVIS",0)</f>
        <v>17.1233686067019</v>
      </c>
      <c r="M1875" s="2" t="n">
        <v>2208.926382</v>
      </c>
      <c r="N1875" s="3" t="n">
        <f aca="false">(Tabla2[[#This Row],[Productividad (kg/TAS)]]*Tabla2[[#This Row],[Precio por kg]]-Tabla2[[#This Row],[Costos (En RD$/Tarea)]])</f>
        <v>-931.918244544728</v>
      </c>
      <c r="O1875" s="9" t="n">
        <f aca="false">IF(Tabla2[[#This Row],[Costos (En RD$/Tarea)]]=0,0,Tabla2[[#This Row],[Beneficio Neto  (En RD$/Tarea)]]/Tabla2[[#This Row],[Costos (En RD$/Tarea)]])</f>
        <v>-0.421887416501836</v>
      </c>
      <c r="P1875" s="7" t="n">
        <f aca="false">Tabla2[[#This Row],[Rentabilidad (%)]]/12</f>
        <v>-0.0351572847084863</v>
      </c>
    </row>
    <row r="1876" customFormat="false" ht="14.25" hidden="false" customHeight="false" outlineLevel="0" collapsed="false">
      <c r="A1876" s="1" t="n">
        <v>41275</v>
      </c>
      <c r="B1876" s="2" t="s">
        <v>21</v>
      </c>
      <c r="C1876" s="3" t="n">
        <v>9520</v>
      </c>
      <c r="D1876" s="8" t="s">
        <v>17</v>
      </c>
      <c r="E1876" s="3" t="n">
        <f aca="false">IF(Tabla2[[#This Row],[Frecuencia]]="Annual", Tabla2[[#This Row],[Cosecha/Tarea]]/12,Tabla2[[#This Row],[Cosecha/Tarea]])</f>
        <v>9520</v>
      </c>
      <c r="F1876" s="3" t="n">
        <v>109971</v>
      </c>
      <c r="G1876" s="2" t="s">
        <v>18</v>
      </c>
      <c r="H1876" s="2" t="n">
        <f aca="false">F1876/Tabla2[[#This Row],[Cosecha Mensual]]</f>
        <v>11.5515756302521</v>
      </c>
      <c r="I1876" s="2" t="n">
        <f aca="false">H1876*_xlfn.XLOOKUP(Tabla2[[#This Row],[Unidad de producción]],Tabla3[Medida],Tabla3[Equivalencia en Kg],"ELVIS",0)</f>
        <v>523.979470588235</v>
      </c>
      <c r="J1876" s="2" t="n">
        <v>553.5</v>
      </c>
      <c r="K1876" s="2" t="s">
        <v>18</v>
      </c>
      <c r="L1876" s="2" t="n">
        <f aca="false">J1876/_xlfn.XLOOKUP(Tabla2[[#This Row],[Unidad de precio]],Tabla3[Medida],Tabla3[Equivalencia en Kg],"ELVIS",0)</f>
        <v>12.202380952381</v>
      </c>
      <c r="M1876" s="2" t="n">
        <v>4893.7504665</v>
      </c>
      <c r="N1876" s="3" t="n">
        <f aca="false">(Tabla2[[#This Row],[Productividad (kg/TAS)]]*Tabla2[[#This Row],[Precio por kg]]-Tabla2[[#This Row],[Costos (En RD$/Tarea)]])</f>
        <v>1500.04664484454</v>
      </c>
      <c r="O1876" s="9" t="n">
        <f aca="false">IF(Tabla2[[#This Row],[Costos (En RD$/Tarea)]]=0,0,Tabla2[[#This Row],[Beneficio Neto  (En RD$/Tarea)]]/Tabla2[[#This Row],[Costos (En RD$/Tarea)]])</f>
        <v>0.306522912255755</v>
      </c>
      <c r="P1876" s="7" t="n">
        <f aca="false">Tabla2[[#This Row],[Rentabilidad (%)]]/12</f>
        <v>0.0255435760213129</v>
      </c>
    </row>
    <row r="1877" customFormat="false" ht="14.25" hidden="false" customHeight="false" outlineLevel="0" collapsed="false">
      <c r="A1877" s="1" t="n">
        <v>41275</v>
      </c>
      <c r="B1877" s="2" t="s">
        <v>22</v>
      </c>
      <c r="C1877" s="3" t="n">
        <v>8214</v>
      </c>
      <c r="D1877" s="8" t="s">
        <v>17</v>
      </c>
      <c r="E1877" s="3" t="n">
        <f aca="false">IF(Tabla2[[#This Row],[Frecuencia]]="Annual", Tabla2[[#This Row],[Cosecha/Tarea]]/12,Tabla2[[#This Row],[Cosecha/Tarea]])</f>
        <v>8214</v>
      </c>
      <c r="F1877" s="3" t="n">
        <v>82410</v>
      </c>
      <c r="G1877" s="2" t="s">
        <v>18</v>
      </c>
      <c r="H1877" s="2" t="n">
        <f aca="false">F1877/Tabla2[[#This Row],[Cosecha Mensual]]</f>
        <v>10.0328707085464</v>
      </c>
      <c r="I1877" s="2" t="n">
        <f aca="false">H1877*_xlfn.XLOOKUP(Tabla2[[#This Row],[Unidad de producción]],Tabla3[Medida],Tabla3[Equivalencia en Kg],"ELVIS",0)</f>
        <v>455.091015339664</v>
      </c>
      <c r="J1877" s="2" t="n">
        <v>1116.9</v>
      </c>
      <c r="K1877" s="2" t="s">
        <v>18</v>
      </c>
      <c r="L1877" s="2" t="n">
        <f aca="false">J1877/_xlfn.XLOOKUP(Tabla2[[#This Row],[Unidad de precio]],Tabla3[Medida],Tabla3[Equivalencia en Kg],"ELVIS",0)</f>
        <v>24.6230158730159</v>
      </c>
      <c r="M1877" s="2" t="n">
        <v>8667.0620736</v>
      </c>
      <c r="N1877" s="3" t="n">
        <f aca="false">(Tabla2[[#This Row],[Productividad (kg/TAS)]]*Tabla2[[#This Row],[Precio por kg]]-Tabla2[[#This Row],[Costos (En RD$/Tarea)]])</f>
        <v>2538.65122077546</v>
      </c>
      <c r="O1877" s="9" t="n">
        <f aca="false">IF(Tabla2[[#This Row],[Costos (En RD$/Tarea)]]=0,0,Tabla2[[#This Row],[Beneficio Neto  (En RD$/Tarea)]]/Tabla2[[#This Row],[Costos (En RD$/Tarea)]])</f>
        <v>0.292907931109462</v>
      </c>
      <c r="P1877" s="7" t="n">
        <f aca="false">Tabla2[[#This Row],[Rentabilidad (%)]]/12</f>
        <v>0.0244089942591218</v>
      </c>
    </row>
    <row r="1878" customFormat="false" ht="14.25" hidden="false" customHeight="false" outlineLevel="0" collapsed="false">
      <c r="A1878" s="1" t="n">
        <v>41275</v>
      </c>
      <c r="B1878" s="2" t="s">
        <v>23</v>
      </c>
      <c r="C1878" s="3" t="n">
        <v>3124</v>
      </c>
      <c r="D1878" s="8" t="s">
        <v>17</v>
      </c>
      <c r="E1878" s="3" t="n">
        <f aca="false">IF(Tabla2[[#This Row],[Frecuencia]]="Annual", Tabla2[[#This Row],[Cosecha/Tarea]]/12,Tabla2[[#This Row],[Cosecha/Tarea]])</f>
        <v>3124</v>
      </c>
      <c r="F1878" s="3" t="n">
        <v>127420</v>
      </c>
      <c r="G1878" s="2" t="s">
        <v>18</v>
      </c>
      <c r="H1878" s="2" t="n">
        <f aca="false">F1878/Tabla2[[#This Row],[Cosecha Mensual]]</f>
        <v>40.7874519846351</v>
      </c>
      <c r="I1878" s="2" t="n">
        <f aca="false">H1878*_xlfn.XLOOKUP(Tabla2[[#This Row],[Unidad de producción]],Tabla3[Medida],Tabla3[Equivalencia en Kg],"ELVIS",0)</f>
        <v>1850.11882202305</v>
      </c>
      <c r="J1878" s="2" t="n">
        <v>1112.5</v>
      </c>
      <c r="K1878" s="2" t="s">
        <v>18</v>
      </c>
      <c r="L1878" s="2" t="n">
        <f aca="false">J1878/_xlfn.XLOOKUP(Tabla2[[#This Row],[Unidad de precio]],Tabla3[Medida],Tabla3[Equivalencia en Kg],"ELVIS",0)</f>
        <v>24.5260141093474</v>
      </c>
      <c r="M1878" s="2" t="n">
        <v>24550.1208184162</v>
      </c>
      <c r="N1878" s="3" t="n">
        <f aca="false">(Tabla2[[#This Row],[Productividad (kg/TAS)]]*Tabla2[[#This Row],[Precio por kg]]-Tabla2[[#This Row],[Costos (En RD$/Tarea)]])</f>
        <v>20825.9195144903</v>
      </c>
      <c r="O1878" s="9" t="n">
        <f aca="false">IF(Tabla2[[#This Row],[Costos (En RD$/Tarea)]]=0,0,Tabla2[[#This Row],[Beneficio Neto  (En RD$/Tarea)]]/Tabla2[[#This Row],[Costos (En RD$/Tarea)]])</f>
        <v>0.848302119102723</v>
      </c>
      <c r="P1878" s="7" t="n">
        <f aca="false">Tabla2[[#This Row],[Rentabilidad (%)]]/12</f>
        <v>0.0706918432585602</v>
      </c>
    </row>
    <row r="1879" customFormat="false" ht="14.25" hidden="false" customHeight="false" outlineLevel="0" collapsed="false">
      <c r="A1879" s="1" t="n">
        <v>41275</v>
      </c>
      <c r="B1879" s="2" t="s">
        <v>24</v>
      </c>
      <c r="C1879" s="3" t="n">
        <v>9740</v>
      </c>
      <c r="D1879" s="8" t="s">
        <v>17</v>
      </c>
      <c r="E1879" s="3" t="n">
        <f aca="false">IF(Tabla2[[#This Row],[Frecuencia]]="Annual", Tabla2[[#This Row],[Cosecha/Tarea]]/12,Tabla2[[#This Row],[Cosecha/Tarea]])</f>
        <v>9740</v>
      </c>
      <c r="F1879" s="3" t="n">
        <v>85684</v>
      </c>
      <c r="G1879" s="2" t="s">
        <v>18</v>
      </c>
      <c r="H1879" s="2" t="n">
        <f aca="false">F1879/Tabla2[[#This Row],[Cosecha Mensual]]</f>
        <v>8.79712525667351</v>
      </c>
      <c r="I1879" s="2" t="n">
        <f aca="false">H1879*_xlfn.XLOOKUP(Tabla2[[#This Row],[Unidad de producción]],Tabla3[Medida],Tabla3[Equivalencia en Kg],"ELVIS",0)</f>
        <v>399.037601642711</v>
      </c>
      <c r="J1879" s="2" t="n">
        <v>1515.20833333333</v>
      </c>
      <c r="K1879" s="2" t="s">
        <v>18</v>
      </c>
      <c r="L1879" s="2" t="n">
        <f aca="false">J1879/_xlfn.XLOOKUP(Tabla2[[#This Row],[Unidad de precio]],Tabla3[Medida],Tabla3[Equivalencia en Kg],"ELVIS",0)</f>
        <v>33.4040637860082</v>
      </c>
      <c r="M1879" s="2" t="n">
        <v>8436.00230404646</v>
      </c>
      <c r="N1879" s="3" t="n">
        <f aca="false">(Tabla2[[#This Row],[Productividad (kg/TAS)]]*Tabla2[[#This Row],[Precio por kg]]-Tabla2[[#This Row],[Costos (En RD$/Tarea)]])</f>
        <v>4893.47519424236</v>
      </c>
      <c r="O1879" s="9" t="n">
        <f aca="false">IF(Tabla2[[#This Row],[Costos (En RD$/Tarea)]]=0,0,Tabla2[[#This Row],[Beneficio Neto  (En RD$/Tarea)]]/Tabla2[[#This Row],[Costos (En RD$/Tarea)]])</f>
        <v>0.580070395653534</v>
      </c>
      <c r="P1879" s="7" t="n">
        <f aca="false">Tabla2[[#This Row],[Rentabilidad (%)]]/12</f>
        <v>0.0483391996377945</v>
      </c>
    </row>
    <row r="1880" customFormat="false" ht="14.25" hidden="false" customHeight="false" outlineLevel="0" collapsed="false">
      <c r="A1880" s="1" t="n">
        <v>41275</v>
      </c>
      <c r="B1880" s="2" t="s">
        <v>25</v>
      </c>
      <c r="C1880" s="3" t="n">
        <v>37584</v>
      </c>
      <c r="D1880" s="8" t="s">
        <v>17</v>
      </c>
      <c r="E1880" s="3" t="n">
        <f aca="false">IF(Tabla2[[#This Row],[Frecuencia]]="Annual", Tabla2[[#This Row],[Cosecha/Tarea]]/12,Tabla2[[#This Row],[Cosecha/Tarea]])</f>
        <v>37584</v>
      </c>
      <c r="F1880" s="3" t="n">
        <v>341004</v>
      </c>
      <c r="G1880" s="2" t="s">
        <v>18</v>
      </c>
      <c r="H1880" s="2" t="n">
        <f aca="false">F1880/Tabla2[[#This Row],[Cosecha Mensual]]</f>
        <v>9.07311621966794</v>
      </c>
      <c r="I1880" s="2" t="n">
        <f aca="false">H1880*_xlfn.XLOOKUP(Tabla2[[#This Row],[Unidad de producción]],Tabla3[Medida],Tabla3[Equivalencia en Kg],"ELVIS",0)</f>
        <v>411.556551724138</v>
      </c>
      <c r="J1880" s="2" t="n">
        <v>455.325</v>
      </c>
      <c r="K1880" s="2" t="s">
        <v>18</v>
      </c>
      <c r="L1880" s="2" t="n">
        <f aca="false">J1880/_xlfn.XLOOKUP(Tabla2[[#This Row],[Unidad de precio]],Tabla3[Medida],Tabla3[Equivalencia en Kg],"ELVIS",0)</f>
        <v>10.0380291005291</v>
      </c>
      <c r="M1880" s="2" t="n">
        <v>4461.19405275347</v>
      </c>
      <c r="N1880" s="3" t="n">
        <f aca="false">(Tabla2[[#This Row],[Productividad (kg/TAS)]]*Tabla2[[#This Row],[Precio por kg]]-Tabla2[[#This Row],[Costos (En RD$/Tarea)]])</f>
        <v>-329.977410033164</v>
      </c>
      <c r="O1880" s="9" t="n">
        <f aca="false">IF(Tabla2[[#This Row],[Costos (En RD$/Tarea)]]=0,0,Tabla2[[#This Row],[Beneficio Neto  (En RD$/Tarea)]]/Tabla2[[#This Row],[Costos (En RD$/Tarea)]])</f>
        <v>-0.0739661637963273</v>
      </c>
      <c r="P1880" s="7" t="n">
        <f aca="false">Tabla2[[#This Row],[Rentabilidad (%)]]/12</f>
        <v>-0.00616384698302727</v>
      </c>
    </row>
    <row r="1881" customFormat="false" ht="14.25" hidden="false" customHeight="false" outlineLevel="0" collapsed="false">
      <c r="A1881" s="1" t="n">
        <v>41275</v>
      </c>
      <c r="B1881" s="2" t="s">
        <v>26</v>
      </c>
      <c r="C1881" s="3" t="n">
        <v>16646</v>
      </c>
      <c r="D1881" s="8" t="s">
        <v>17</v>
      </c>
      <c r="E1881" s="3" t="n">
        <f aca="false">IF(Tabla2[[#This Row],[Frecuencia]]="Annual", Tabla2[[#This Row],[Cosecha/Tarea]]/12,Tabla2[[#This Row],[Cosecha/Tarea]])</f>
        <v>16646</v>
      </c>
      <c r="F1881" s="3" t="n">
        <v>93844</v>
      </c>
      <c r="G1881" s="2" t="s">
        <v>18</v>
      </c>
      <c r="H1881" s="2" t="n">
        <f aca="false">F1881/Tabla2[[#This Row],[Cosecha Mensual]]</f>
        <v>5.63763066202091</v>
      </c>
      <c r="I1881" s="2" t="n">
        <f aca="false">H1881*_xlfn.XLOOKUP(Tabla2[[#This Row],[Unidad de producción]],Tabla3[Medida],Tabla3[Equivalencia en Kg],"ELVIS",0)</f>
        <v>255.722926829268</v>
      </c>
      <c r="J1881" s="2" t="n">
        <v>795.85</v>
      </c>
      <c r="K1881" s="2" t="s">
        <v>18</v>
      </c>
      <c r="L1881" s="2" t="n">
        <f aca="false">J1881/_xlfn.XLOOKUP(Tabla2[[#This Row],[Unidad de precio]],Tabla3[Medida],Tabla3[Equivalencia en Kg],"ELVIS",0)</f>
        <v>17.5451940035273</v>
      </c>
      <c r="M1881" s="2" t="n">
        <v>1856.821617</v>
      </c>
      <c r="N1881" s="3" t="n">
        <f aca="false">(Tabla2[[#This Row],[Productividad (kg/TAS)]]*Tabla2[[#This Row],[Precio por kg]]-Tabla2[[#This Row],[Costos (En RD$/Tarea)]])</f>
        <v>2629.88674536934</v>
      </c>
      <c r="O1881" s="9" t="n">
        <f aca="false">IF(Tabla2[[#This Row],[Costos (En RD$/Tarea)]]=0,0,Tabla2[[#This Row],[Beneficio Neto  (En RD$/Tarea)]]/Tabla2[[#This Row],[Costos (En RD$/Tarea)]])</f>
        <v>1.41633785458527</v>
      </c>
      <c r="P1881" s="7" t="n">
        <f aca="false">Tabla2[[#This Row],[Rentabilidad (%)]]/12</f>
        <v>0.118028154548773</v>
      </c>
    </row>
    <row r="1882" customFormat="false" ht="14.25" hidden="false" customHeight="false" outlineLevel="0" collapsed="false">
      <c r="A1882" s="1" t="n">
        <v>41275</v>
      </c>
      <c r="B1882" s="2" t="s">
        <v>27</v>
      </c>
      <c r="C1882" s="3" t="n">
        <v>6440</v>
      </c>
      <c r="D1882" s="8" t="s">
        <v>17</v>
      </c>
      <c r="E1882" s="3" t="n">
        <f aca="false">IF(Tabla2[[#This Row],[Frecuencia]]="Annual", Tabla2[[#This Row],[Cosecha/Tarea]]/12,Tabla2[[#This Row],[Cosecha/Tarea]])</f>
        <v>6440</v>
      </c>
      <c r="F1882" s="3" t="n">
        <v>41201</v>
      </c>
      <c r="G1882" s="2" t="s">
        <v>18</v>
      </c>
      <c r="H1882" s="2" t="n">
        <f aca="false">F1882/Tabla2[[#This Row],[Cosecha Mensual]]</f>
        <v>6.39767080745342</v>
      </c>
      <c r="I1882" s="2" t="n">
        <f aca="false">H1882*_xlfn.XLOOKUP(Tabla2[[#This Row],[Unidad de producción]],Tabla3[Medida],Tabla3[Equivalencia en Kg],"ELVIS",0)</f>
        <v>290.198347826087</v>
      </c>
      <c r="J1882" s="2" t="n">
        <v>530.34375</v>
      </c>
      <c r="K1882" s="2" t="s">
        <v>18</v>
      </c>
      <c r="L1882" s="2" t="n">
        <f aca="false">J1882/_xlfn.XLOOKUP(Tabla2[[#This Row],[Unidad de precio]],Tabla3[Medida],Tabla3[Equivalencia en Kg],"ELVIS",0)</f>
        <v>11.6918816137566</v>
      </c>
      <c r="M1882" s="2" t="n">
        <v>7498.499866956</v>
      </c>
      <c r="N1882" s="3" t="n">
        <f aca="false">(Tabla2[[#This Row],[Productividad (kg/TAS)]]*Tabla2[[#This Row],[Precio por kg]]-Tabla2[[#This Row],[Costos (En RD$/Tarea)]])</f>
        <v>-4105.53513966563</v>
      </c>
      <c r="O1882" s="9" t="n">
        <f aca="false">IF(Tabla2[[#This Row],[Costos (En RD$/Tarea)]]=0,0,Tabla2[[#This Row],[Beneficio Neto  (En RD$/Tarea)]]/Tabla2[[#This Row],[Costos (En RD$/Tarea)]])</f>
        <v>-0.547514197840782</v>
      </c>
      <c r="P1882" s="7" t="n">
        <f aca="false">Tabla2[[#This Row],[Rentabilidad (%)]]/12</f>
        <v>-0.0456261831533985</v>
      </c>
    </row>
    <row r="1883" customFormat="false" ht="14.25" hidden="false" customHeight="false" outlineLevel="0" collapsed="false">
      <c r="A1883" s="1" t="n">
        <v>41275</v>
      </c>
      <c r="B1883" s="2" t="s">
        <v>28</v>
      </c>
      <c r="C1883" s="3" t="n">
        <v>85478</v>
      </c>
      <c r="D1883" s="8" t="s">
        <v>17</v>
      </c>
      <c r="E1883" s="3" t="n">
        <f aca="false">IF(Tabla2[[#This Row],[Frecuencia]]="Annual", Tabla2[[#This Row],[Cosecha/Tarea]]/12,Tabla2[[#This Row],[Cosecha/Tarea]])</f>
        <v>85478</v>
      </c>
      <c r="F1883" s="3" t="n">
        <v>92182</v>
      </c>
      <c r="G1883" s="2" t="s">
        <v>29</v>
      </c>
      <c r="H1883" s="2" t="n">
        <f aca="false">F1883/Tabla2[[#This Row],[Cosecha Mensual]]</f>
        <v>1.07842953742483</v>
      </c>
      <c r="I1883" s="2" t="n">
        <f aca="false">H1883*_xlfn.XLOOKUP(Tabla2[[#This Row],[Unidad de producción]],Tabla3[Medida],Tabla3[Equivalencia en Kg],"ELVIS",0)</f>
        <v>606.444066075482</v>
      </c>
      <c r="J1883" s="2" t="n">
        <v>5156.25</v>
      </c>
      <c r="K1883" s="2" t="s">
        <v>29</v>
      </c>
      <c r="L1883" s="2" t="n">
        <f aca="false">J1883/_xlfn.XLOOKUP(Tabla2[[#This Row],[Unidad de precio]],Tabla3[Medida],Tabla3[Equivalencia en Kg],"ELVIS",0)</f>
        <v>9.16927481594765</v>
      </c>
      <c r="M1883" s="2" t="n">
        <v>6492.56103460413</v>
      </c>
      <c r="N1883" s="3" t="n">
        <f aca="false">(Tabla2[[#This Row],[Productividad (kg/TAS)]]*Tabla2[[#This Row],[Precio por kg]]-Tabla2[[#This Row],[Costos (En RD$/Tarea)]])</f>
        <v>-931.908732257327</v>
      </c>
      <c r="O1883" s="9" t="n">
        <f aca="false">IF(Tabla2[[#This Row],[Costos (En RD$/Tarea)]]=0,0,Tabla2[[#This Row],[Beneficio Neto  (En RD$/Tarea)]]/Tabla2[[#This Row],[Costos (En RD$/Tarea)]])</f>
        <v>-0.143534843537154</v>
      </c>
      <c r="P1883" s="7" t="n">
        <f aca="false">Tabla2[[#This Row],[Rentabilidad (%)]]/12</f>
        <v>-0.0119612369614295</v>
      </c>
    </row>
    <row r="1884" customFormat="false" ht="14.25" hidden="false" customHeight="false" outlineLevel="0" collapsed="false">
      <c r="A1884" s="1" t="n">
        <v>41275</v>
      </c>
      <c r="B1884" s="2" t="s">
        <v>30</v>
      </c>
      <c r="C1884" s="3" t="n">
        <v>349987</v>
      </c>
      <c r="D1884" s="3" t="s">
        <v>31</v>
      </c>
      <c r="E1884" s="3" t="n">
        <f aca="false">IF(Tabla2[[#This Row],[Frecuencia]]="Annual", Tabla2[[#This Row],[Cosecha/Tarea]]/12,Tabla2[[#This Row],[Cosecha/Tarea]])</f>
        <v>29165.5833333333</v>
      </c>
      <c r="F1884" s="3" t="n">
        <v>2645349</v>
      </c>
      <c r="G1884" s="2" t="s">
        <v>32</v>
      </c>
      <c r="H1884" s="2" t="n">
        <f aca="false">F1884/Tabla2[[#This Row],[Cosecha Mensual]]</f>
        <v>90.7010488961019</v>
      </c>
      <c r="I1884" s="2" t="n">
        <f aca="false">H1884*_xlfn.XLOOKUP(Tabla2[[#This Row],[Unidad de producción]],Tabla3[Medida],Tabla3[Equivalencia en Kg],"ELVIS",0)</f>
        <v>2467.97554046293</v>
      </c>
      <c r="J1884" s="2" t="n">
        <v>166.1</v>
      </c>
      <c r="K1884" s="2" t="s">
        <v>32</v>
      </c>
      <c r="L1884" s="2" t="n">
        <f aca="false">J1884/_xlfn.XLOOKUP(Tabla2[[#This Row],[Unidad de precio]],Tabla3[Medida],Tabla3[Equivalencia en Kg],"ELVIS",0)</f>
        <v>6.10437339213524</v>
      </c>
      <c r="M1884" s="3" t="n">
        <v>11852.2845542745</v>
      </c>
      <c r="N1884" s="3" t="n">
        <f aca="false">(Tabla2[[#This Row],[Productividad (kg/TAS)]]*Tabla2[[#This Row],[Precio por kg]]-Tabla2[[#This Row],[Costos (En RD$/Tarea)]])</f>
        <v>3213.15966736802</v>
      </c>
      <c r="O1884" s="9" t="n">
        <f aca="false">IF(Tabla2[[#This Row],[Costos (En RD$/Tarea)]]=0,0,Tabla2[[#This Row],[Beneficio Neto  (En RD$/Tarea)]]/Tabla2[[#This Row],[Costos (En RD$/Tarea)]])</f>
        <v>0.271100449255515</v>
      </c>
      <c r="P1884" s="7" t="n">
        <f aca="false">Tabla2[[#This Row],[Rentabilidad (%)]]/12</f>
        <v>0.0225917041046262</v>
      </c>
    </row>
    <row r="1885" customFormat="false" ht="14.25" hidden="false" customHeight="false" outlineLevel="0" collapsed="false">
      <c r="A1885" s="1" t="n">
        <v>41275</v>
      </c>
      <c r="B1885" s="2" t="s">
        <v>33</v>
      </c>
      <c r="C1885" s="3" t="n">
        <v>694120</v>
      </c>
      <c r="D1885" s="3" t="s">
        <v>31</v>
      </c>
      <c r="E1885" s="11" t="n">
        <f aca="false">IF(Tabla2[[#This Row],[Frecuencia]]="Annual", Tabla2[[#This Row],[Cosecha/Tarea]]/12,Tabla2[[#This Row],[Cosecha/Tarea]])</f>
        <v>57843.3333333333</v>
      </c>
      <c r="F1885" s="3" t="n">
        <v>125567</v>
      </c>
      <c r="G1885" s="2" t="s">
        <v>34</v>
      </c>
      <c r="H1885" s="2" t="n">
        <f aca="false">F1885/Tabla2[[#This Row],[Cosecha Mensual]]</f>
        <v>2.17081196334928</v>
      </c>
      <c r="I1885" s="2" t="n">
        <f aca="false">H1885*_xlfn.XLOOKUP(Tabla2[[#This Row],[Unidad de producción]],Tabla3[Medida],Tabla3[Equivalencia en Kg],"ELVIS",0)</f>
        <v>886.016902841007</v>
      </c>
      <c r="J1885" s="2" t="n">
        <v>6101.083</v>
      </c>
      <c r="K1885" s="2" t="s">
        <v>34</v>
      </c>
      <c r="L1885" s="2" t="n">
        <f aca="false">J1885/_xlfn.XLOOKUP(Tabla2[[#This Row],[Unidad de precio]],Tabla3[Medida],Tabla3[Equivalencia en Kg],"ELVIS",0)</f>
        <v>14.9481391645228</v>
      </c>
      <c r="M1885" s="3" t="n">
        <v>11461.3597912662</v>
      </c>
      <c r="N1885" s="3" t="n">
        <f aca="false">(Tabla2[[#This Row],[Productividad (kg/TAS)]]*Tabla2[[#This Row],[Precio por kg]]-Tabla2[[#This Row],[Costos (En RD$/Tarea)]])</f>
        <v>1782.9441745207</v>
      </c>
      <c r="O1885" s="9" t="n">
        <f aca="false">IF(Tabla2[[#This Row],[Costos (En RD$/Tarea)]]=0,0,Tabla2[[#This Row],[Beneficio Neto  (En RD$/Tarea)]]/Tabla2[[#This Row],[Costos (En RD$/Tarea)]])</f>
        <v>0.155561312705613</v>
      </c>
      <c r="P1885" s="7" t="n">
        <f aca="false">Tabla2[[#This Row],[Rentabilidad (%)]]/12</f>
        <v>0.0129634427254677</v>
      </c>
    </row>
    <row r="1886" customFormat="false" ht="14.25" hidden="false" customHeight="false" outlineLevel="0" collapsed="false">
      <c r="A1886" s="1" t="n">
        <v>41306</v>
      </c>
      <c r="B1886" s="2" t="s">
        <v>16</v>
      </c>
      <c r="C1886" s="3" t="n">
        <v>7418</v>
      </c>
      <c r="D1886" s="8" t="s">
        <v>17</v>
      </c>
      <c r="E1886" s="3" t="n">
        <f aca="false">IF(Tabla2[[#This Row],[Frecuencia]]="Annual", Tabla2[[#This Row],[Cosecha/Tarea]]/12,Tabla2[[#This Row],[Cosecha/Tarea]])</f>
        <v>7418</v>
      </c>
      <c r="F1886" s="3" t="n">
        <v>23694</v>
      </c>
      <c r="G1886" s="2" t="s">
        <v>18</v>
      </c>
      <c r="H1886" s="2" t="n">
        <f aca="false">F1886/Tabla2[[#This Row],[Cosecha Mensual]]</f>
        <v>3.19412240496091</v>
      </c>
      <c r="I1886" s="2" t="n">
        <f aca="false">H1886*_xlfn.XLOOKUP(Tabla2[[#This Row],[Unidad de producción]],Tabla3[Medida],Tabla3[Equivalencia en Kg],"ELVIS",0)</f>
        <v>144.885392289027</v>
      </c>
      <c r="J1886" s="2" t="n">
        <v>1595.78388333333</v>
      </c>
      <c r="K1886" s="2" t="s">
        <v>19</v>
      </c>
      <c r="L1886" s="2" t="n">
        <f aca="false">J1886/_xlfn.XLOOKUP(Tabla2[[#This Row],[Unidad de precio]],Tabla3[Medida],Tabla3[Equivalencia en Kg],"ELVIS",0)</f>
        <v>14.5071262121212</v>
      </c>
      <c r="M1886" s="2" t="n">
        <v>7832.60797003155</v>
      </c>
      <c r="N1886" s="3" t="n">
        <f aca="false">(Tabla2[[#This Row],[Productividad (kg/TAS)]]*Tabla2[[#This Row],[Precio por kg]]-Tabla2[[#This Row],[Costos (En RD$/Tarea)]])</f>
        <v>-5730.73729780195</v>
      </c>
      <c r="O1886" s="9" t="n">
        <f aca="false">IF(Tabla2[[#This Row],[Costos (En RD$/Tarea)]]=0,0,Tabla2[[#This Row],[Beneficio Neto  (En RD$/Tarea)]]/Tabla2[[#This Row],[Costos (En RD$/Tarea)]])</f>
        <v>-0.731651235415893</v>
      </c>
      <c r="P1886" s="7" t="n">
        <f aca="false">Tabla2[[#This Row],[Rentabilidad (%)]]/12</f>
        <v>-0.0609709362846577</v>
      </c>
    </row>
    <row r="1887" customFormat="false" ht="14.25" hidden="false" customHeight="false" outlineLevel="0" collapsed="false">
      <c r="A1887" s="1" t="n">
        <v>41306</v>
      </c>
      <c r="B1887" s="2" t="s">
        <v>20</v>
      </c>
      <c r="C1887" s="3" t="n">
        <v>30120</v>
      </c>
      <c r="D1887" s="8" t="s">
        <v>17</v>
      </c>
      <c r="E1887" s="3" t="n">
        <f aca="false">IF(Tabla2[[#This Row],[Frecuencia]]="Annual", Tabla2[[#This Row],[Cosecha/Tarea]]/12,Tabla2[[#This Row],[Cosecha/Tarea]])</f>
        <v>30120</v>
      </c>
      <c r="F1887" s="3" t="n">
        <v>72642</v>
      </c>
      <c r="G1887" s="2" t="s">
        <v>18</v>
      </c>
      <c r="H1887" s="2" t="n">
        <f aca="false">F1887/Tabla2[[#This Row],[Cosecha Mensual]]</f>
        <v>2.41175298804781</v>
      </c>
      <c r="I1887" s="2" t="n">
        <f aca="false">H1887*_xlfn.XLOOKUP(Tabla2[[#This Row],[Unidad de producción]],Tabla3[Medida],Tabla3[Equivalencia en Kg],"ELVIS",0)</f>
        <v>109.397115537849</v>
      </c>
      <c r="J1887" s="2" t="n">
        <v>753.92</v>
      </c>
      <c r="K1887" s="2" t="s">
        <v>18</v>
      </c>
      <c r="L1887" s="2" t="n">
        <f aca="false">J1887/_xlfn.XLOOKUP(Tabla2[[#This Row],[Unidad de precio]],Tabla3[Medida],Tabla3[Equivalencia en Kg],"ELVIS",0)</f>
        <v>16.620811287478</v>
      </c>
      <c r="M1887" s="2" t="n">
        <v>2208.926382</v>
      </c>
      <c r="N1887" s="3" t="n">
        <f aca="false">(Tabla2[[#This Row],[Productividad (kg/TAS)]]*Tabla2[[#This Row],[Precio por kg]]-Tabla2[[#This Row],[Costos (En RD$/Tarea)]])</f>
        <v>-390.657569250996</v>
      </c>
      <c r="O1887" s="9" t="n">
        <f aca="false">IF(Tabla2[[#This Row],[Costos (En RD$/Tarea)]]=0,0,Tabla2[[#This Row],[Beneficio Neto  (En RD$/Tarea)]]/Tabla2[[#This Row],[Costos (En RD$/Tarea)]])</f>
        <v>-0.176854046578632</v>
      </c>
      <c r="P1887" s="7" t="n">
        <f aca="false">Tabla2[[#This Row],[Rentabilidad (%)]]/12</f>
        <v>-0.014737837214886</v>
      </c>
    </row>
    <row r="1888" customFormat="false" ht="14.25" hidden="false" customHeight="false" outlineLevel="0" collapsed="false">
      <c r="A1888" s="1" t="n">
        <v>41306</v>
      </c>
      <c r="B1888" s="2" t="s">
        <v>21</v>
      </c>
      <c r="C1888" s="3" t="n">
        <v>8902</v>
      </c>
      <c r="D1888" s="8" t="s">
        <v>17</v>
      </c>
      <c r="E1888" s="3" t="n">
        <f aca="false">IF(Tabla2[[#This Row],[Frecuencia]]="Annual", Tabla2[[#This Row],[Cosecha/Tarea]]/12,Tabla2[[#This Row],[Cosecha/Tarea]])</f>
        <v>8902</v>
      </c>
      <c r="F1888" s="3" t="n">
        <v>99010</v>
      </c>
      <c r="G1888" s="2" t="s">
        <v>18</v>
      </c>
      <c r="H1888" s="2" t="n">
        <f aca="false">F1888/Tabla2[[#This Row],[Cosecha Mensual]]</f>
        <v>11.1222197259043</v>
      </c>
      <c r="I1888" s="2" t="n">
        <f aca="false">H1888*_xlfn.XLOOKUP(Tabla2[[#This Row],[Unidad de producción]],Tabla3[Medida],Tabla3[Equivalencia en Kg],"ELVIS",0)</f>
        <v>504.503886767019</v>
      </c>
      <c r="J1888" s="2" t="n">
        <v>499.325333333333</v>
      </c>
      <c r="K1888" s="2" t="s">
        <v>18</v>
      </c>
      <c r="L1888" s="2" t="n">
        <f aca="false">J1888/_xlfn.XLOOKUP(Tabla2[[#This Row],[Unidad de precio]],Tabla3[Medida],Tabla3[Equivalencia en Kg],"ELVIS",0)</f>
        <v>11.0080540858319</v>
      </c>
      <c r="M1888" s="2" t="n">
        <v>4893.7504665</v>
      </c>
      <c r="N1888" s="3" t="n">
        <f aca="false">(Tabla2[[#This Row],[Productividad (kg/TAS)]]*Tabla2[[#This Row],[Precio por kg]]-Tabla2[[#This Row],[Costos (En RD$/Tarea)]])</f>
        <v>659.855605543732</v>
      </c>
      <c r="O1888" s="9" t="n">
        <f aca="false">IF(Tabla2[[#This Row],[Costos (En RD$/Tarea)]]=0,0,Tabla2[[#This Row],[Beneficio Neto  (En RD$/Tarea)]]/Tabla2[[#This Row],[Costos (En RD$/Tarea)]])</f>
        <v>0.134836381638326</v>
      </c>
      <c r="P1888" s="7" t="n">
        <f aca="false">Tabla2[[#This Row],[Rentabilidad (%)]]/12</f>
        <v>0.0112363651365272</v>
      </c>
    </row>
    <row r="1889" customFormat="false" ht="14.25" hidden="false" customHeight="false" outlineLevel="0" collapsed="false">
      <c r="A1889" s="1" t="n">
        <v>41306</v>
      </c>
      <c r="B1889" s="2" t="s">
        <v>22</v>
      </c>
      <c r="C1889" s="3" t="n">
        <v>10710</v>
      </c>
      <c r="D1889" s="8" t="s">
        <v>17</v>
      </c>
      <c r="E1889" s="3" t="n">
        <f aca="false">IF(Tabla2[[#This Row],[Frecuencia]]="Annual", Tabla2[[#This Row],[Cosecha/Tarea]]/12,Tabla2[[#This Row],[Cosecha/Tarea]])</f>
        <v>10710</v>
      </c>
      <c r="F1889" s="3" t="n">
        <v>84810</v>
      </c>
      <c r="G1889" s="2" t="s">
        <v>18</v>
      </c>
      <c r="H1889" s="2" t="n">
        <f aca="false">F1889/Tabla2[[#This Row],[Cosecha Mensual]]</f>
        <v>7.9187675070028</v>
      </c>
      <c r="I1889" s="2" t="n">
        <f aca="false">H1889*_xlfn.XLOOKUP(Tabla2[[#This Row],[Unidad de producción]],Tabla3[Medida],Tabla3[Equivalencia en Kg],"ELVIS",0)</f>
        <v>359.195294117647</v>
      </c>
      <c r="J1889" s="2" t="n">
        <v>1028.875</v>
      </c>
      <c r="K1889" s="2" t="s">
        <v>18</v>
      </c>
      <c r="L1889" s="2" t="n">
        <f aca="false">J1889/_xlfn.XLOOKUP(Tabla2[[#This Row],[Unidad de precio]],Tabla3[Medida],Tabla3[Equivalencia en Kg],"ELVIS",0)</f>
        <v>22.6824294532628</v>
      </c>
      <c r="M1889" s="2" t="n">
        <v>8667.0620736</v>
      </c>
      <c r="N1889" s="3" t="n">
        <f aca="false">(Tabla2[[#This Row],[Productividad (kg/TAS)]]*Tabla2[[#This Row],[Precio por kg]]-Tabla2[[#This Row],[Costos (En RD$/Tarea)]])</f>
        <v>-519.640154832493</v>
      </c>
      <c r="O1889" s="9" t="n">
        <f aca="false">IF(Tabla2[[#This Row],[Costos (En RD$/Tarea)]]=0,0,Tabla2[[#This Row],[Beneficio Neto  (En RD$/Tarea)]]/Tabla2[[#This Row],[Costos (En RD$/Tarea)]])</f>
        <v>-0.0599557439902645</v>
      </c>
      <c r="P1889" s="7" t="n">
        <f aca="false">Tabla2[[#This Row],[Rentabilidad (%)]]/12</f>
        <v>-0.00499631199918871</v>
      </c>
    </row>
    <row r="1890" customFormat="false" ht="14.25" hidden="false" customHeight="false" outlineLevel="0" collapsed="false">
      <c r="A1890" s="1" t="n">
        <v>41306</v>
      </c>
      <c r="B1890" s="2" t="s">
        <v>23</v>
      </c>
      <c r="C1890" s="3" t="n">
        <v>3769</v>
      </c>
      <c r="D1890" s="8" t="s">
        <v>17</v>
      </c>
      <c r="E1890" s="3" t="n">
        <f aca="false">IF(Tabla2[[#This Row],[Frecuencia]]="Annual", Tabla2[[#This Row],[Cosecha/Tarea]]/12,Tabla2[[#This Row],[Cosecha/Tarea]])</f>
        <v>3769</v>
      </c>
      <c r="F1890" s="3" t="n">
        <v>132785</v>
      </c>
      <c r="G1890" s="2" t="s">
        <v>18</v>
      </c>
      <c r="H1890" s="2" t="n">
        <f aca="false">F1890/Tabla2[[#This Row],[Cosecha Mensual]]</f>
        <v>35.2308304590077</v>
      </c>
      <c r="I1890" s="2" t="n">
        <f aca="false">H1890*_xlfn.XLOOKUP(Tabla2[[#This Row],[Unidad de producción]],Tabla3[Medida],Tabla3[Equivalencia en Kg],"ELVIS",0)</f>
        <v>1598.07046962059</v>
      </c>
      <c r="J1890" s="2" t="n">
        <v>1031.25</v>
      </c>
      <c r="K1890" s="2" t="s">
        <v>18</v>
      </c>
      <c r="L1890" s="2" t="n">
        <f aca="false">J1890/_xlfn.XLOOKUP(Tabla2[[#This Row],[Unidad de precio]],Tabla3[Medida],Tabla3[Equivalencia en Kg],"ELVIS",0)</f>
        <v>22.7347883597884</v>
      </c>
      <c r="M1890" s="2" t="n">
        <v>24550.1208184162</v>
      </c>
      <c r="N1890" s="3" t="n">
        <f aca="false">(Tabla2[[#This Row],[Productividad (kg/TAS)]]*Tabla2[[#This Row],[Precio por kg]]-Tabla2[[#This Row],[Costos (En RD$/Tarea)]])</f>
        <v>11781.6730924355</v>
      </c>
      <c r="O1890" s="9" t="n">
        <f aca="false">IF(Tabla2[[#This Row],[Costos (En RD$/Tarea)]]=0,0,Tabla2[[#This Row],[Beneficio Neto  (En RD$/Tarea)]]/Tabla2[[#This Row],[Costos (En RD$/Tarea)]])</f>
        <v>0.479902855858758</v>
      </c>
      <c r="P1890" s="7" t="n">
        <f aca="false">Tabla2[[#This Row],[Rentabilidad (%)]]/12</f>
        <v>0.0399919046548965</v>
      </c>
    </row>
    <row r="1891" customFormat="false" ht="14.25" hidden="false" customHeight="false" outlineLevel="0" collapsed="false">
      <c r="A1891" s="1" t="n">
        <v>41306</v>
      </c>
      <c r="B1891" s="2" t="s">
        <v>24</v>
      </c>
      <c r="C1891" s="3" t="n">
        <v>8120</v>
      </c>
      <c r="D1891" s="8" t="s">
        <v>17</v>
      </c>
      <c r="E1891" s="3" t="n">
        <f aca="false">IF(Tabla2[[#This Row],[Frecuencia]]="Annual", Tabla2[[#This Row],[Cosecha/Tarea]]/12,Tabla2[[#This Row],[Cosecha/Tarea]])</f>
        <v>8120</v>
      </c>
      <c r="F1891" s="3" t="n">
        <v>62310</v>
      </c>
      <c r="G1891" s="2" t="s">
        <v>18</v>
      </c>
      <c r="H1891" s="2" t="n">
        <f aca="false">F1891/Tabla2[[#This Row],[Cosecha Mensual]]</f>
        <v>7.67364532019704</v>
      </c>
      <c r="I1891" s="2" t="n">
        <f aca="false">H1891*_xlfn.XLOOKUP(Tabla2[[#This Row],[Unidad de producción]],Tabla3[Medida],Tabla3[Equivalencia en Kg],"ELVIS",0)</f>
        <v>348.076551724138</v>
      </c>
      <c r="J1891" s="2" t="n">
        <v>1547.29166666667</v>
      </c>
      <c r="K1891" s="2" t="s">
        <v>18</v>
      </c>
      <c r="L1891" s="2" t="n">
        <f aca="false">J1891/_xlfn.XLOOKUP(Tabla2[[#This Row],[Unidad de precio]],Tabla3[Medida],Tabla3[Equivalencia en Kg],"ELVIS",0)</f>
        <v>34.1113683127573</v>
      </c>
      <c r="M1891" s="2" t="n">
        <v>8436.00230404646</v>
      </c>
      <c r="N1891" s="3" t="n">
        <f aca="false">(Tabla2[[#This Row],[Productividad (kg/TAS)]]*Tabla2[[#This Row],[Precio por kg]]-Tabla2[[#This Row],[Costos (En RD$/Tarea)]])</f>
        <v>3437.36515285012</v>
      </c>
      <c r="O1891" s="9" t="n">
        <f aca="false">IF(Tabla2[[#This Row],[Costos (En RD$/Tarea)]]=0,0,Tabla2[[#This Row],[Beneficio Neto  (En RD$/Tarea)]]/Tabla2[[#This Row],[Costos (En RD$/Tarea)]])</f>
        <v>0.407463752256366</v>
      </c>
      <c r="P1891" s="7" t="n">
        <f aca="false">Tabla2[[#This Row],[Rentabilidad (%)]]/12</f>
        <v>0.0339553126880305</v>
      </c>
    </row>
    <row r="1892" customFormat="false" ht="14.25" hidden="false" customHeight="false" outlineLevel="0" collapsed="false">
      <c r="A1892" s="1" t="n">
        <v>41306</v>
      </c>
      <c r="B1892" s="2" t="s">
        <v>25</v>
      </c>
      <c r="C1892" s="3" t="n">
        <v>70102</v>
      </c>
      <c r="D1892" s="8" t="s">
        <v>17</v>
      </c>
      <c r="E1892" s="3" t="n">
        <f aca="false">IF(Tabla2[[#This Row],[Frecuencia]]="Annual", Tabla2[[#This Row],[Cosecha/Tarea]]/12,Tabla2[[#This Row],[Cosecha/Tarea]])</f>
        <v>70102</v>
      </c>
      <c r="F1892" s="3" t="n">
        <v>537410</v>
      </c>
      <c r="G1892" s="2" t="s">
        <v>18</v>
      </c>
      <c r="H1892" s="2" t="n">
        <f aca="false">F1892/Tabla2[[#This Row],[Cosecha Mensual]]</f>
        <v>7.6661150894411</v>
      </c>
      <c r="I1892" s="2" t="n">
        <f aca="false">H1892*_xlfn.XLOOKUP(Tabla2[[#This Row],[Unidad de producción]],Tabla3[Medida],Tabla3[Equivalencia en Kg],"ELVIS",0)</f>
        <v>347.734980457048</v>
      </c>
      <c r="J1892" s="2" t="n">
        <v>449.907185</v>
      </c>
      <c r="K1892" s="2" t="s">
        <v>18</v>
      </c>
      <c r="L1892" s="2" t="n">
        <f aca="false">J1892/_xlfn.XLOOKUP(Tabla2[[#This Row],[Unidad de precio]],Tabla3[Medida],Tabla3[Equivalencia en Kg],"ELVIS",0)</f>
        <v>9.9185887345679</v>
      </c>
      <c r="M1892" s="2" t="n">
        <v>4461.19405275347</v>
      </c>
      <c r="N1892" s="3" t="n">
        <f aca="false">(Tabla2[[#This Row],[Productividad (kg/TAS)]]*Tabla2[[#This Row],[Precio por kg]]-Tabla2[[#This Row],[Costos (En RD$/Tarea)]])</f>
        <v>-1012.153792977</v>
      </c>
      <c r="O1892" s="9" t="n">
        <f aca="false">IF(Tabla2[[#This Row],[Costos (En RD$/Tarea)]]=0,0,Tabla2[[#This Row],[Beneficio Neto  (En RD$/Tarea)]]/Tabla2[[#This Row],[Costos (En RD$/Tarea)]])</f>
        <v>-0.226879571031503</v>
      </c>
      <c r="P1892" s="7" t="n">
        <f aca="false">Tabla2[[#This Row],[Rentabilidad (%)]]/12</f>
        <v>-0.0189066309192919</v>
      </c>
    </row>
    <row r="1893" customFormat="false" ht="14.25" hidden="false" customHeight="false" outlineLevel="0" collapsed="false">
      <c r="A1893" s="1" t="n">
        <v>41306</v>
      </c>
      <c r="B1893" s="2" t="s">
        <v>26</v>
      </c>
      <c r="C1893" s="3" t="n">
        <v>12131</v>
      </c>
      <c r="D1893" s="8" t="s">
        <v>17</v>
      </c>
      <c r="E1893" s="3" t="n">
        <f aca="false">IF(Tabla2[[#This Row],[Frecuencia]]="Annual", Tabla2[[#This Row],[Cosecha/Tarea]]/12,Tabla2[[#This Row],[Cosecha/Tarea]])</f>
        <v>12131</v>
      </c>
      <c r="F1893" s="3" t="n">
        <v>82668</v>
      </c>
      <c r="G1893" s="2" t="s">
        <v>18</v>
      </c>
      <c r="H1893" s="2" t="n">
        <f aca="false">F1893/Tabla2[[#This Row],[Cosecha Mensual]]</f>
        <v>6.81460720468222</v>
      </c>
      <c r="I1893" s="2" t="n">
        <f aca="false">H1893*_xlfn.XLOOKUP(Tabla2[[#This Row],[Unidad de producción]],Tabla3[Medida],Tabla3[Equivalencia en Kg],"ELVIS",0)</f>
        <v>309.110582804385</v>
      </c>
      <c r="J1893" s="2" t="n">
        <v>695.763333333333</v>
      </c>
      <c r="K1893" s="2" t="s">
        <v>18</v>
      </c>
      <c r="L1893" s="2" t="n">
        <f aca="false">J1893/_xlfn.XLOOKUP(Tabla2[[#This Row],[Unidad de precio]],Tabla3[Medida],Tabla3[Equivalencia en Kg],"ELVIS",0)</f>
        <v>15.3386978248089</v>
      </c>
      <c r="M1893" s="2" t="n">
        <v>1856.821617</v>
      </c>
      <c r="N1893" s="3" t="n">
        <f aca="false">(Tabla2[[#This Row],[Productividad (kg/TAS)]]*Tabla2[[#This Row],[Precio por kg]]-Tabla2[[#This Row],[Costos (En RD$/Tarea)]])</f>
        <v>2884.53220708705</v>
      </c>
      <c r="O1893" s="9" t="n">
        <f aca="false">IF(Tabla2[[#This Row],[Costos (En RD$/Tarea)]]=0,0,Tabla2[[#This Row],[Beneficio Neto  (En RD$/Tarea)]]/Tabla2[[#This Row],[Costos (En RD$/Tarea)]])</f>
        <v>1.55347836360688</v>
      </c>
      <c r="P1893" s="7" t="n">
        <f aca="false">Tabla2[[#This Row],[Rentabilidad (%)]]/12</f>
        <v>0.129456530300574</v>
      </c>
    </row>
    <row r="1894" customFormat="false" ht="14.25" hidden="false" customHeight="false" outlineLevel="0" collapsed="false">
      <c r="A1894" s="1" t="n">
        <v>41306</v>
      </c>
      <c r="B1894" s="2" t="s">
        <v>27</v>
      </c>
      <c r="C1894" s="3" t="n">
        <v>6310</v>
      </c>
      <c r="D1894" s="8" t="s">
        <v>17</v>
      </c>
      <c r="E1894" s="3" t="n">
        <f aca="false">IF(Tabla2[[#This Row],[Frecuencia]]="Annual", Tabla2[[#This Row],[Cosecha/Tarea]]/12,Tabla2[[#This Row],[Cosecha/Tarea]])</f>
        <v>6310</v>
      </c>
      <c r="F1894" s="3" t="n">
        <v>42010</v>
      </c>
      <c r="G1894" s="2" t="s">
        <v>18</v>
      </c>
      <c r="H1894" s="2" t="n">
        <f aca="false">F1894/Tabla2[[#This Row],[Cosecha Mensual]]</f>
        <v>6.65768621236133</v>
      </c>
      <c r="I1894" s="2" t="n">
        <f aca="false">H1894*_xlfn.XLOOKUP(Tabla2[[#This Row],[Unidad de producción]],Tabla3[Medida],Tabla3[Equivalencia en Kg],"ELVIS",0)</f>
        <v>301.99264659271</v>
      </c>
      <c r="J1894" s="2" t="n">
        <v>526.1264</v>
      </c>
      <c r="K1894" s="2" t="s">
        <v>18</v>
      </c>
      <c r="L1894" s="2" t="n">
        <f aca="false">J1894/_xlfn.XLOOKUP(Tabla2[[#This Row],[Unidad de precio]],Tabla3[Medida],Tabla3[Equivalencia en Kg],"ELVIS",0)</f>
        <v>11.5989065255732</v>
      </c>
      <c r="M1894" s="2" t="n">
        <v>7498.499866956</v>
      </c>
      <c r="N1894" s="3" t="n">
        <f aca="false">(Tabla2[[#This Row],[Productividad (kg/TAS)]]*Tabla2[[#This Row],[Precio por kg]]-Tabla2[[#This Row],[Costos (En RD$/Tarea)]])</f>
        <v>-3995.7153877167</v>
      </c>
      <c r="O1894" s="9" t="n">
        <f aca="false">IF(Tabla2[[#This Row],[Costos (En RD$/Tarea)]]=0,0,Tabla2[[#This Row],[Beneficio Neto  (En RD$/Tarea)]]/Tabla2[[#This Row],[Costos (En RD$/Tarea)]])</f>
        <v>-0.532868634875198</v>
      </c>
      <c r="P1894" s="7" t="n">
        <f aca="false">Tabla2[[#This Row],[Rentabilidad (%)]]/12</f>
        <v>-0.0444057195729332</v>
      </c>
    </row>
    <row r="1895" customFormat="false" ht="14.25" hidden="false" customHeight="false" outlineLevel="0" collapsed="false">
      <c r="A1895" s="1" t="n">
        <v>41306</v>
      </c>
      <c r="B1895" s="2" t="s">
        <v>28</v>
      </c>
      <c r="C1895" s="3" t="n">
        <v>84100</v>
      </c>
      <c r="D1895" s="8" t="s">
        <v>17</v>
      </c>
      <c r="E1895" s="3" t="n">
        <f aca="false">IF(Tabla2[[#This Row],[Frecuencia]]="Annual", Tabla2[[#This Row],[Cosecha/Tarea]]/12,Tabla2[[#This Row],[Cosecha/Tarea]])</f>
        <v>84100</v>
      </c>
      <c r="F1895" s="3" t="n">
        <v>94079</v>
      </c>
      <c r="G1895" s="2" t="s">
        <v>29</v>
      </c>
      <c r="H1895" s="2" t="n">
        <f aca="false">F1895/Tabla2[[#This Row],[Cosecha Mensual]]</f>
        <v>1.11865636147444</v>
      </c>
      <c r="I1895" s="2" t="n">
        <f aca="false">H1895*_xlfn.XLOOKUP(Tabla2[[#This Row],[Unidad de producción]],Tabla3[Medida],Tabla3[Equivalencia en Kg],"ELVIS",0)</f>
        <v>629.065218311534</v>
      </c>
      <c r="J1895" s="2" t="n">
        <v>6140</v>
      </c>
      <c r="K1895" s="2" t="s">
        <v>29</v>
      </c>
      <c r="L1895" s="2" t="n">
        <f aca="false">J1895/_xlfn.XLOOKUP(Tabla2[[#This Row],[Unidad de precio]],Tabla3[Medida],Tabla3[Equivalencia en Kg],"ELVIS",0)</f>
        <v>10.9186613081054</v>
      </c>
      <c r="M1895" s="2" t="n">
        <v>6492.56103460413</v>
      </c>
      <c r="N1895" s="3" t="n">
        <f aca="false">(Tabla2[[#This Row],[Productividad (kg/TAS)]]*Tabla2[[#This Row],[Precio por kg]]-Tabla2[[#This Row],[Costos (En RD$/Tarea)]])</f>
        <v>375.989024848902</v>
      </c>
      <c r="O1895" s="9" t="n">
        <f aca="false">IF(Tabla2[[#This Row],[Costos (En RD$/Tarea)]]=0,0,Tabla2[[#This Row],[Beneficio Neto  (En RD$/Tarea)]]/Tabla2[[#This Row],[Costos (En RD$/Tarea)]])</f>
        <v>0.057910741669574</v>
      </c>
      <c r="P1895" s="7" t="n">
        <f aca="false">Tabla2[[#This Row],[Rentabilidad (%)]]/12</f>
        <v>0.00482589513913117</v>
      </c>
    </row>
    <row r="1896" customFormat="false" ht="14.25" hidden="false" customHeight="false" outlineLevel="0" collapsed="false">
      <c r="A1896" s="1" t="n">
        <v>41306</v>
      </c>
      <c r="B1896" s="2" t="s">
        <v>30</v>
      </c>
      <c r="C1896" s="3" t="n">
        <v>373687</v>
      </c>
      <c r="D1896" s="3" t="s">
        <v>31</v>
      </c>
      <c r="E1896" s="3" t="n">
        <f aca="false">IF(Tabla2[[#This Row],[Frecuencia]]="Annual", Tabla2[[#This Row],[Cosecha/Tarea]]/12,Tabla2[[#This Row],[Cosecha/Tarea]])</f>
        <v>31140.5833333333</v>
      </c>
      <c r="F1896" s="3" t="n">
        <v>2634477</v>
      </c>
      <c r="G1896" s="2" t="s">
        <v>32</v>
      </c>
      <c r="H1896" s="2" t="n">
        <f aca="false">F1896/Tabla2[[#This Row],[Cosecha Mensual]]</f>
        <v>84.5994749616658</v>
      </c>
      <c r="I1896" s="2" t="n">
        <f aca="false">H1896*_xlfn.XLOOKUP(Tabla2[[#This Row],[Unidad de producción]],Tabla3[Medida],Tabla3[Equivalencia en Kg],"ELVIS",0)</f>
        <v>2301.95171370693</v>
      </c>
      <c r="J1896" s="2" t="n">
        <v>175.32</v>
      </c>
      <c r="K1896" s="2" t="s">
        <v>32</v>
      </c>
      <c r="L1896" s="2" t="n">
        <f aca="false">J1896/_xlfn.XLOOKUP(Tabla2[[#This Row],[Unidad de precio]],Tabla3[Medida],Tabla3[Equivalencia en Kg],"ELVIS",0)</f>
        <v>6.44321940463065</v>
      </c>
      <c r="M1896" s="3" t="n">
        <v>11852.2845542745</v>
      </c>
      <c r="N1896" s="3" t="n">
        <f aca="false">(Tabla2[[#This Row],[Productividad (kg/TAS)]]*Tabla2[[#This Row],[Precio por kg]]-Tabla2[[#This Row],[Costos (En RD$/Tarea)]])</f>
        <v>2979.69539600475</v>
      </c>
      <c r="O1896" s="9" t="n">
        <f aca="false">IF(Tabla2[[#This Row],[Costos (En RD$/Tarea)]]=0,0,Tabla2[[#This Row],[Beneficio Neto  (En RD$/Tarea)]]/Tabla2[[#This Row],[Costos (En RD$/Tarea)]])</f>
        <v>0.251402620512526</v>
      </c>
      <c r="P1896" s="7" t="n">
        <f aca="false">Tabla2[[#This Row],[Rentabilidad (%)]]/12</f>
        <v>0.0209502183760438</v>
      </c>
    </row>
    <row r="1897" customFormat="false" ht="14.25" hidden="false" customHeight="false" outlineLevel="0" collapsed="false">
      <c r="A1897" s="1" t="n">
        <v>41306</v>
      </c>
      <c r="B1897" s="2" t="s">
        <v>33</v>
      </c>
      <c r="C1897" s="3" t="n">
        <v>721041</v>
      </c>
      <c r="D1897" s="3" t="s">
        <v>31</v>
      </c>
      <c r="E1897" s="11" t="n">
        <f aca="false">IF(Tabla2[[#This Row],[Frecuencia]]="Annual", Tabla2[[#This Row],[Cosecha/Tarea]]/12,Tabla2[[#This Row],[Cosecha/Tarea]])</f>
        <v>60086.75</v>
      </c>
      <c r="F1897" s="3" t="n">
        <v>144874</v>
      </c>
      <c r="G1897" s="2" t="s">
        <v>34</v>
      </c>
      <c r="H1897" s="2" t="n">
        <f aca="false">F1897/Tabla2[[#This Row],[Cosecha Mensual]]</f>
        <v>2.41108064589947</v>
      </c>
      <c r="I1897" s="2" t="n">
        <f aca="false">H1897*_xlfn.XLOOKUP(Tabla2[[#This Row],[Unidad de producción]],Tabla3[Medida],Tabla3[Equivalencia en Kg],"ELVIS",0)</f>
        <v>984.082565623869</v>
      </c>
      <c r="J1897" s="2" t="n">
        <v>5157.61083333333</v>
      </c>
      <c r="K1897" s="2" t="s">
        <v>34</v>
      </c>
      <c r="L1897" s="2" t="n">
        <f aca="false">J1897/_xlfn.XLOOKUP(Tabla2[[#This Row],[Unidad de precio]],Tabla3[Medida],Tabla3[Equivalencia en Kg],"ELVIS",0)</f>
        <v>12.6365572297766</v>
      </c>
      <c r="M1897" s="3" t="n">
        <v>11461.3597912662</v>
      </c>
      <c r="N1897" s="3" t="n">
        <f aca="false">(Tabla2[[#This Row],[Productividad (kg/TAS)]]*Tabla2[[#This Row],[Precio por kg]]-Tabla2[[#This Row],[Costos (En RD$/Tarea)]])</f>
        <v>974.055868065232</v>
      </c>
      <c r="O1897" s="9" t="n">
        <f aca="false">IF(Tabla2[[#This Row],[Costos (En RD$/Tarea)]]=0,0,Tabla2[[#This Row],[Beneficio Neto  (En RD$/Tarea)]]/Tabla2[[#This Row],[Costos (En RD$/Tarea)]])</f>
        <v>0.0849860649874619</v>
      </c>
      <c r="P1897" s="7" t="n">
        <f aca="false">Tabla2[[#This Row],[Rentabilidad (%)]]/12</f>
        <v>0.00708217208228849</v>
      </c>
    </row>
    <row r="1898" customFormat="false" ht="14.25" hidden="false" customHeight="false" outlineLevel="0" collapsed="false">
      <c r="A1898" s="1" t="n">
        <v>41334</v>
      </c>
      <c r="B1898" s="2" t="s">
        <v>16</v>
      </c>
      <c r="C1898" s="3" t="n">
        <v>20079</v>
      </c>
      <c r="D1898" s="8" t="s">
        <v>17</v>
      </c>
      <c r="E1898" s="3" t="n">
        <f aca="false">IF(Tabla2[[#This Row],[Frecuencia]]="Annual", Tabla2[[#This Row],[Cosecha/Tarea]]/12,Tabla2[[#This Row],[Cosecha/Tarea]])</f>
        <v>20079</v>
      </c>
      <c r="F1898" s="3" t="n">
        <v>88051</v>
      </c>
      <c r="G1898" s="2" t="s">
        <v>18</v>
      </c>
      <c r="H1898" s="2" t="n">
        <f aca="false">F1898/Tabla2[[#This Row],[Cosecha Mensual]]</f>
        <v>4.3852283480253</v>
      </c>
      <c r="I1898" s="2" t="n">
        <f aca="false">H1898*_xlfn.XLOOKUP(Tabla2[[#This Row],[Unidad de producción]],Tabla3[Medida],Tabla3[Equivalencia en Kg],"ELVIS",0)</f>
        <v>198.913957866428</v>
      </c>
      <c r="J1898" s="2" t="n">
        <v>1859.34221163571</v>
      </c>
      <c r="K1898" s="2" t="s">
        <v>19</v>
      </c>
      <c r="L1898" s="2" t="n">
        <f aca="false">J1898/_xlfn.XLOOKUP(Tabla2[[#This Row],[Unidad de precio]],Tabla3[Medida],Tabla3[Equivalencia en Kg],"ELVIS",0)</f>
        <v>16.9031110148701</v>
      </c>
      <c r="M1898" s="2" t="n">
        <v>7832.60797003155</v>
      </c>
      <c r="N1898" s="3" t="n">
        <f aca="false">(Tabla2[[#This Row],[Productividad (kg/TAS)]]*Tabla2[[#This Row],[Precio por kg]]-Tabla2[[#This Row],[Costos (En RD$/Tarea)]])</f>
        <v>-4470.34325780813</v>
      </c>
      <c r="O1898" s="9" t="n">
        <f aca="false">IF(Tabla2[[#This Row],[Costos (En RD$/Tarea)]]=0,0,Tabla2[[#This Row],[Beneficio Neto  (En RD$/Tarea)]]/Tabla2[[#This Row],[Costos (En RD$/Tarea)]])</f>
        <v>-0.570734967830916</v>
      </c>
      <c r="P1898" s="7" t="n">
        <f aca="false">Tabla2[[#This Row],[Rentabilidad (%)]]/12</f>
        <v>-0.047561247319243</v>
      </c>
    </row>
    <row r="1899" customFormat="false" ht="14.25" hidden="false" customHeight="false" outlineLevel="0" collapsed="false">
      <c r="A1899" s="1" t="n">
        <v>41334</v>
      </c>
      <c r="B1899" s="2" t="s">
        <v>20</v>
      </c>
      <c r="C1899" s="3" t="n">
        <v>17905</v>
      </c>
      <c r="D1899" s="8" t="s">
        <v>17</v>
      </c>
      <c r="E1899" s="3" t="n">
        <f aca="false">IF(Tabla2[[#This Row],[Frecuencia]]="Annual", Tabla2[[#This Row],[Cosecha/Tarea]]/12,Tabla2[[#This Row],[Cosecha/Tarea]])</f>
        <v>17905</v>
      </c>
      <c r="F1899" s="3" t="n">
        <v>33848</v>
      </c>
      <c r="G1899" s="2" t="s">
        <v>18</v>
      </c>
      <c r="H1899" s="2" t="n">
        <f aca="false">F1899/Tabla2[[#This Row],[Cosecha Mensual]]</f>
        <v>1.8904216699246</v>
      </c>
      <c r="I1899" s="2" t="n">
        <f aca="false">H1899*_xlfn.XLOOKUP(Tabla2[[#This Row],[Unidad de producción]],Tabla3[Medida],Tabla3[Equivalencia en Kg],"ELVIS",0)</f>
        <v>85.74952694778</v>
      </c>
      <c r="J1899" s="2" t="n">
        <v>764.938</v>
      </c>
      <c r="K1899" s="2" t="s">
        <v>18</v>
      </c>
      <c r="L1899" s="2" t="n">
        <f aca="false">J1899/_xlfn.XLOOKUP(Tabla2[[#This Row],[Unidad de precio]],Tabla3[Medida],Tabla3[Equivalencia en Kg],"ELVIS",0)</f>
        <v>16.8637125220459</v>
      </c>
      <c r="M1899" s="2" t="n">
        <v>2208.926382</v>
      </c>
      <c r="N1899" s="3" t="n">
        <f aca="false">(Tabla2[[#This Row],[Productividad (kg/TAS)]]*Tabla2[[#This Row],[Precio por kg]]-Tabla2[[#This Row],[Costos (En RD$/Tarea)]])</f>
        <v>-762.871010651215</v>
      </c>
      <c r="O1899" s="9" t="n">
        <f aca="false">IF(Tabla2[[#This Row],[Costos (En RD$/Tarea)]]=0,0,Tabla2[[#This Row],[Beneficio Neto  (En RD$/Tarea)]]/Tabla2[[#This Row],[Costos (En RD$/Tarea)]])</f>
        <v>-0.345358277608373</v>
      </c>
      <c r="P1899" s="7" t="n">
        <f aca="false">Tabla2[[#This Row],[Rentabilidad (%)]]/12</f>
        <v>-0.0287798564673644</v>
      </c>
    </row>
    <row r="1900" customFormat="false" ht="14.25" hidden="false" customHeight="false" outlineLevel="0" collapsed="false">
      <c r="A1900" s="1" t="n">
        <v>41334</v>
      </c>
      <c r="B1900" s="2" t="s">
        <v>21</v>
      </c>
      <c r="C1900" s="3" t="n">
        <v>8286</v>
      </c>
      <c r="D1900" s="8" t="s">
        <v>17</v>
      </c>
      <c r="E1900" s="3" t="n">
        <f aca="false">IF(Tabla2[[#This Row],[Frecuencia]]="Annual", Tabla2[[#This Row],[Cosecha/Tarea]]/12,Tabla2[[#This Row],[Cosecha/Tarea]])</f>
        <v>8286</v>
      </c>
      <c r="F1900" s="3" t="n">
        <v>90803</v>
      </c>
      <c r="G1900" s="2" t="s">
        <v>18</v>
      </c>
      <c r="H1900" s="2" t="n">
        <f aca="false">F1900/Tabla2[[#This Row],[Cosecha Mensual]]</f>
        <v>10.9586048756939</v>
      </c>
      <c r="I1900" s="2" t="n">
        <f aca="false">H1900*_xlfn.XLOOKUP(Tabla2[[#This Row],[Unidad de producción]],Tabla3[Medida],Tabla3[Equivalencia en Kg],"ELVIS",0)</f>
        <v>497.082317161477</v>
      </c>
      <c r="J1900" s="2" t="n">
        <v>506.216</v>
      </c>
      <c r="K1900" s="2" t="s">
        <v>18</v>
      </c>
      <c r="L1900" s="2" t="n">
        <f aca="false">J1900/_xlfn.XLOOKUP(Tabla2[[#This Row],[Unidad de precio]],Tabla3[Medida],Tabla3[Equivalencia en Kg],"ELVIS",0)</f>
        <v>11.1599647266314</v>
      </c>
      <c r="M1900" s="2" t="n">
        <v>4893.7504665</v>
      </c>
      <c r="N1900" s="3" t="n">
        <f aca="false">(Tabla2[[#This Row],[Productividad (kg/TAS)]]*Tabla2[[#This Row],[Precio por kg]]-Tabla2[[#This Row],[Costos (En RD$/Tarea)]])</f>
        <v>653.670659254285</v>
      </c>
      <c r="O1900" s="9" t="n">
        <f aca="false">IF(Tabla2[[#This Row],[Costos (En RD$/Tarea)]]=0,0,Tabla2[[#This Row],[Beneficio Neto  (En RD$/Tarea)]]/Tabla2[[#This Row],[Costos (En RD$/Tarea)]])</f>
        <v>0.133572535773731</v>
      </c>
      <c r="P1900" s="7" t="n">
        <f aca="false">Tabla2[[#This Row],[Rentabilidad (%)]]/12</f>
        <v>0.0111310446478109</v>
      </c>
    </row>
    <row r="1901" customFormat="false" ht="14.25" hidden="false" customHeight="false" outlineLevel="0" collapsed="false">
      <c r="A1901" s="1" t="n">
        <v>41334</v>
      </c>
      <c r="B1901" s="2" t="s">
        <v>22</v>
      </c>
      <c r="C1901" s="3" t="n">
        <v>5029</v>
      </c>
      <c r="D1901" s="8" t="s">
        <v>17</v>
      </c>
      <c r="E1901" s="3" t="n">
        <f aca="false">IF(Tabla2[[#This Row],[Frecuencia]]="Annual", Tabla2[[#This Row],[Cosecha/Tarea]]/12,Tabla2[[#This Row],[Cosecha/Tarea]])</f>
        <v>5029</v>
      </c>
      <c r="F1901" s="3" t="n">
        <v>47026</v>
      </c>
      <c r="G1901" s="2" t="s">
        <v>18</v>
      </c>
      <c r="H1901" s="2" t="n">
        <f aca="false">F1901/Tabla2[[#This Row],[Cosecha Mensual]]</f>
        <v>9.35096440644263</v>
      </c>
      <c r="I1901" s="2" t="n">
        <f aca="false">H1901*_xlfn.XLOOKUP(Tabla2[[#This Row],[Unidad de producción]],Tabla3[Medida],Tabla3[Equivalencia en Kg],"ELVIS",0)</f>
        <v>424.159745476238</v>
      </c>
      <c r="J1901" s="2" t="n">
        <v>1106.9</v>
      </c>
      <c r="K1901" s="2" t="s">
        <v>18</v>
      </c>
      <c r="L1901" s="2" t="n">
        <f aca="false">J1901/_xlfn.XLOOKUP(Tabla2[[#This Row],[Unidad de precio]],Tabla3[Medida],Tabla3[Equivalencia en Kg],"ELVIS",0)</f>
        <v>24.402557319224</v>
      </c>
      <c r="M1901" s="2" t="n">
        <v>8667.0620736</v>
      </c>
      <c r="N1901" s="3" t="n">
        <f aca="false">(Tabla2[[#This Row],[Productividad (kg/TAS)]]*Tabla2[[#This Row],[Precio por kg]]-Tabla2[[#This Row],[Costos (En RD$/Tarea)]])</f>
        <v>1683.52042789135</v>
      </c>
      <c r="O1901" s="9" t="n">
        <f aca="false">IF(Tabla2[[#This Row],[Costos (En RD$/Tarea)]]=0,0,Tabla2[[#This Row],[Beneficio Neto  (En RD$/Tarea)]]/Tabla2[[#This Row],[Costos (En RD$/Tarea)]])</f>
        <v>0.194243494923081</v>
      </c>
      <c r="P1901" s="7" t="n">
        <f aca="false">Tabla2[[#This Row],[Rentabilidad (%)]]/12</f>
        <v>0.0161869579102568</v>
      </c>
    </row>
    <row r="1902" customFormat="false" ht="14.25" hidden="false" customHeight="false" outlineLevel="0" collapsed="false">
      <c r="A1902" s="1" t="n">
        <v>41334</v>
      </c>
      <c r="B1902" s="2" t="s">
        <v>23</v>
      </c>
      <c r="C1902" s="3" t="n">
        <v>1911</v>
      </c>
      <c r="D1902" s="8" t="s">
        <v>17</v>
      </c>
      <c r="E1902" s="3" t="n">
        <f aca="false">IF(Tabla2[[#This Row],[Frecuencia]]="Annual", Tabla2[[#This Row],[Cosecha/Tarea]]/12,Tabla2[[#This Row],[Cosecha/Tarea]])</f>
        <v>1911</v>
      </c>
      <c r="F1902" s="3" t="n">
        <v>66565</v>
      </c>
      <c r="G1902" s="2" t="s">
        <v>18</v>
      </c>
      <c r="H1902" s="2" t="n">
        <f aca="false">F1902/Tabla2[[#This Row],[Cosecha Mensual]]</f>
        <v>34.832548403977</v>
      </c>
      <c r="I1902" s="2" t="n">
        <f aca="false">H1902*_xlfn.XLOOKUP(Tabla2[[#This Row],[Unidad de producción]],Tabla3[Medida],Tabla3[Equivalencia en Kg],"ELVIS",0)</f>
        <v>1580.0043956044</v>
      </c>
      <c r="J1902" s="2" t="n">
        <v>1187.5</v>
      </c>
      <c r="K1902" s="2" t="s">
        <v>18</v>
      </c>
      <c r="L1902" s="2" t="n">
        <f aca="false">J1902/_xlfn.XLOOKUP(Tabla2[[#This Row],[Unidad de precio]],Tabla3[Medida],Tabla3[Equivalencia en Kg],"ELVIS",0)</f>
        <v>26.1794532627866</v>
      </c>
      <c r="M1902" s="2" t="n">
        <v>24550.1208184162</v>
      </c>
      <c r="N1902" s="3" t="n">
        <f aca="false">(Tabla2[[#This Row],[Productividad (kg/TAS)]]*Tabla2[[#This Row],[Precio por kg]]-Tabla2[[#This Row],[Costos (En RD$/Tarea)]])</f>
        <v>16813.5304113065</v>
      </c>
      <c r="O1902" s="9" t="n">
        <f aca="false">IF(Tabla2[[#This Row],[Costos (En RD$/Tarea)]]=0,0,Tabla2[[#This Row],[Beneficio Neto  (En RD$/Tarea)]]/Tabla2[[#This Row],[Costos (En RD$/Tarea)]])</f>
        <v>0.684865485415201</v>
      </c>
      <c r="P1902" s="7" t="n">
        <f aca="false">Tabla2[[#This Row],[Rentabilidad (%)]]/12</f>
        <v>0.0570721237846001</v>
      </c>
    </row>
    <row r="1903" customFormat="false" ht="14.25" hidden="false" customHeight="false" outlineLevel="0" collapsed="false">
      <c r="A1903" s="1" t="n">
        <v>41334</v>
      </c>
      <c r="B1903" s="2" t="s">
        <v>24</v>
      </c>
      <c r="C1903" s="3" t="n">
        <v>5427</v>
      </c>
      <c r="D1903" s="8" t="s">
        <v>17</v>
      </c>
      <c r="E1903" s="3" t="n">
        <f aca="false">IF(Tabla2[[#This Row],[Frecuencia]]="Annual", Tabla2[[#This Row],[Cosecha/Tarea]]/12,Tabla2[[#This Row],[Cosecha/Tarea]])</f>
        <v>5427</v>
      </c>
      <c r="F1903" s="3" t="n">
        <v>44806</v>
      </c>
      <c r="G1903" s="2" t="s">
        <v>18</v>
      </c>
      <c r="H1903" s="2" t="n">
        <f aca="false">F1903/Tabla2[[#This Row],[Cosecha Mensual]]</f>
        <v>8.25612677353971</v>
      </c>
      <c r="I1903" s="2" t="n">
        <f aca="false">H1903*_xlfn.XLOOKUP(Tabla2[[#This Row],[Unidad de producción]],Tabla3[Medida],Tabla3[Equivalencia en Kg],"ELVIS",0)</f>
        <v>374.497910447761</v>
      </c>
      <c r="J1903" s="2" t="n">
        <v>1426.875</v>
      </c>
      <c r="K1903" s="2" t="s">
        <v>18</v>
      </c>
      <c r="L1903" s="2" t="n">
        <f aca="false">J1903/_xlfn.XLOOKUP(Tabla2[[#This Row],[Unidad de precio]],Tabla3[Medida],Tabla3[Equivalencia en Kg],"ELVIS",0)</f>
        <v>31.4566798941799</v>
      </c>
      <c r="M1903" s="2" t="n">
        <v>8436.00230404646</v>
      </c>
      <c r="N1903" s="3" t="n">
        <f aca="false">(Tabla2[[#This Row],[Productividad (kg/TAS)]]*Tabla2[[#This Row],[Precio por kg]]-Tabla2[[#This Row],[Costos (En RD$/Tarea)]])</f>
        <v>3344.45858594801</v>
      </c>
      <c r="O1903" s="9" t="n">
        <f aca="false">IF(Tabla2[[#This Row],[Costos (En RD$/Tarea)]]=0,0,Tabla2[[#This Row],[Beneficio Neto  (En RD$/Tarea)]]/Tabla2[[#This Row],[Costos (En RD$/Tarea)]])</f>
        <v>0.396450648708784</v>
      </c>
      <c r="P1903" s="7" t="n">
        <f aca="false">Tabla2[[#This Row],[Rentabilidad (%)]]/12</f>
        <v>0.0330375540590653</v>
      </c>
    </row>
    <row r="1904" customFormat="false" ht="14.25" hidden="false" customHeight="false" outlineLevel="0" collapsed="false">
      <c r="A1904" s="1" t="n">
        <v>41334</v>
      </c>
      <c r="B1904" s="2" t="s">
        <v>25</v>
      </c>
      <c r="C1904" s="3" t="n">
        <v>17203</v>
      </c>
      <c r="D1904" s="8" t="s">
        <v>17</v>
      </c>
      <c r="E1904" s="3" t="n">
        <f aca="false">IF(Tabla2[[#This Row],[Frecuencia]]="Annual", Tabla2[[#This Row],[Cosecha/Tarea]]/12,Tabla2[[#This Row],[Cosecha/Tarea]])</f>
        <v>17203</v>
      </c>
      <c r="F1904" s="3" t="n">
        <v>183796</v>
      </c>
      <c r="G1904" s="2" t="s">
        <v>18</v>
      </c>
      <c r="H1904" s="2" t="n">
        <f aca="false">F1904/Tabla2[[#This Row],[Cosecha Mensual]]</f>
        <v>10.6839504737546</v>
      </c>
      <c r="I1904" s="2" t="n">
        <f aca="false">H1904*_xlfn.XLOOKUP(Tabla2[[#This Row],[Unidad de producción]],Tabla3[Medida],Tabla3[Equivalencia en Kg],"ELVIS",0)</f>
        <v>484.623993489508</v>
      </c>
      <c r="J1904" s="2" t="n">
        <v>514.80975</v>
      </c>
      <c r="K1904" s="2" t="s">
        <v>18</v>
      </c>
      <c r="L1904" s="2" t="n">
        <f aca="false">J1904/_xlfn.XLOOKUP(Tabla2[[#This Row],[Unidad de precio]],Tabla3[Medida],Tabla3[Equivalencia en Kg],"ELVIS",0)</f>
        <v>11.3494212962963</v>
      </c>
      <c r="M1904" s="2" t="n">
        <v>4461.19405275347</v>
      </c>
      <c r="N1904" s="3" t="n">
        <f aca="false">(Tabla2[[#This Row],[Productividad (kg/TAS)]]*Tabla2[[#This Row],[Precio por kg]]-Tabla2[[#This Row],[Costos (En RD$/Tarea)]])</f>
        <v>1039.00781965251</v>
      </c>
      <c r="O1904" s="9" t="n">
        <f aca="false">IF(Tabla2[[#This Row],[Costos (En RD$/Tarea)]]=0,0,Tabla2[[#This Row],[Beneficio Neto  (En RD$/Tarea)]]/Tabla2[[#This Row],[Costos (En RD$/Tarea)]])</f>
        <v>0.232899041683969</v>
      </c>
      <c r="P1904" s="7" t="n">
        <f aca="false">Tabla2[[#This Row],[Rentabilidad (%)]]/12</f>
        <v>0.0194082534736641</v>
      </c>
    </row>
    <row r="1905" customFormat="false" ht="14.25" hidden="false" customHeight="false" outlineLevel="0" collapsed="false">
      <c r="A1905" s="1" t="n">
        <v>41334</v>
      </c>
      <c r="B1905" s="2" t="s">
        <v>26</v>
      </c>
      <c r="C1905" s="3" t="n">
        <v>12677</v>
      </c>
      <c r="D1905" s="8" t="s">
        <v>17</v>
      </c>
      <c r="E1905" s="3" t="n">
        <f aca="false">IF(Tabla2[[#This Row],[Frecuencia]]="Annual", Tabla2[[#This Row],[Cosecha/Tarea]]/12,Tabla2[[#This Row],[Cosecha/Tarea]])</f>
        <v>12677</v>
      </c>
      <c r="F1905" s="3" t="n">
        <v>65703</v>
      </c>
      <c r="G1905" s="2" t="s">
        <v>18</v>
      </c>
      <c r="H1905" s="2" t="n">
        <f aca="false">F1905/Tabla2[[#This Row],[Cosecha Mensual]]</f>
        <v>5.18285083221582</v>
      </c>
      <c r="I1905" s="2" t="n">
        <f aca="false">H1905*_xlfn.XLOOKUP(Tabla2[[#This Row],[Unidad de producción]],Tabla3[Medida],Tabla3[Equivalencia en Kg],"ELVIS",0)</f>
        <v>235.09411374931</v>
      </c>
      <c r="J1905" s="2" t="n">
        <v>571.666</v>
      </c>
      <c r="K1905" s="2" t="s">
        <v>18</v>
      </c>
      <c r="L1905" s="2" t="n">
        <f aca="false">J1905/_xlfn.XLOOKUP(Tabla2[[#This Row],[Unidad de precio]],Tabla3[Medida],Tabla3[Equivalencia en Kg],"ELVIS",0)</f>
        <v>12.6028659611993</v>
      </c>
      <c r="M1905" s="2" t="n">
        <v>1856.821617</v>
      </c>
      <c r="N1905" s="3" t="n">
        <f aca="false">(Tabla2[[#This Row],[Productividad (kg/TAS)]]*Tabla2[[#This Row],[Precio por kg]]-Tabla2[[#This Row],[Costos (En RD$/Tarea)]])</f>
        <v>1106.03798684949</v>
      </c>
      <c r="O1905" s="9" t="n">
        <f aca="false">IF(Tabla2[[#This Row],[Costos (En RD$/Tarea)]]=0,0,Tabla2[[#This Row],[Beneficio Neto  (En RD$/Tarea)]]/Tabla2[[#This Row],[Costos (En RD$/Tarea)]])</f>
        <v>0.595661950896757</v>
      </c>
      <c r="P1905" s="7" t="n">
        <f aca="false">Tabla2[[#This Row],[Rentabilidad (%)]]/12</f>
        <v>0.0496384959080631</v>
      </c>
    </row>
    <row r="1906" customFormat="false" ht="14.25" hidden="false" customHeight="false" outlineLevel="0" collapsed="false">
      <c r="A1906" s="1" t="n">
        <v>41334</v>
      </c>
      <c r="B1906" s="2" t="s">
        <v>27</v>
      </c>
      <c r="C1906" s="3" t="n">
        <v>4407</v>
      </c>
      <c r="D1906" s="8" t="s">
        <v>17</v>
      </c>
      <c r="E1906" s="3" t="n">
        <f aca="false">IF(Tabla2[[#This Row],[Frecuencia]]="Annual", Tabla2[[#This Row],[Cosecha/Tarea]]/12,Tabla2[[#This Row],[Cosecha/Tarea]])</f>
        <v>4407</v>
      </c>
      <c r="F1906" s="3" t="n">
        <v>50377</v>
      </c>
      <c r="G1906" s="2" t="s">
        <v>18</v>
      </c>
      <c r="H1906" s="2" t="n">
        <f aca="false">F1906/Tabla2[[#This Row],[Cosecha Mensual]]</f>
        <v>11.4311322895394</v>
      </c>
      <c r="I1906" s="2" t="n">
        <f aca="false">H1906*_xlfn.XLOOKUP(Tabla2[[#This Row],[Unidad de producción]],Tabla3[Medida],Tabla3[Equivalencia en Kg],"ELVIS",0)</f>
        <v>518.516160653506</v>
      </c>
      <c r="J1906" s="2" t="n">
        <v>602.21875</v>
      </c>
      <c r="K1906" s="2" t="s">
        <v>18</v>
      </c>
      <c r="L1906" s="2" t="n">
        <f aca="false">J1906/_xlfn.XLOOKUP(Tabla2[[#This Row],[Unidad de precio]],Tabla3[Medida],Tabla3[Equivalencia en Kg],"ELVIS",0)</f>
        <v>13.2764274691358</v>
      </c>
      <c r="M1906" s="2" t="n">
        <v>7498.499866956</v>
      </c>
      <c r="N1906" s="3" t="n">
        <f aca="false">(Tabla2[[#This Row],[Productividad (kg/TAS)]]*Tabla2[[#This Row],[Precio por kg]]-Tabla2[[#This Row],[Costos (En RD$/Tarea)]])</f>
        <v>-614.457668464964</v>
      </c>
      <c r="O1906" s="9" t="n">
        <f aca="false">IF(Tabla2[[#This Row],[Costos (En RD$/Tarea)]]=0,0,Tabla2[[#This Row],[Beneficio Neto  (En RD$/Tarea)]]/Tabla2[[#This Row],[Costos (En RD$/Tarea)]])</f>
        <v>-0.0819440793981639</v>
      </c>
      <c r="P1906" s="7" t="n">
        <f aca="false">Tabla2[[#This Row],[Rentabilidad (%)]]/12</f>
        <v>-0.00682867328318032</v>
      </c>
    </row>
    <row r="1907" customFormat="false" ht="14.25" hidden="false" customHeight="false" outlineLevel="0" collapsed="false">
      <c r="A1907" s="1" t="n">
        <v>41334</v>
      </c>
      <c r="B1907" s="2" t="s">
        <v>28</v>
      </c>
      <c r="C1907" s="3" t="n">
        <v>54277</v>
      </c>
      <c r="D1907" s="8" t="s">
        <v>17</v>
      </c>
      <c r="E1907" s="3" t="n">
        <f aca="false">IF(Tabla2[[#This Row],[Frecuencia]]="Annual", Tabla2[[#This Row],[Cosecha/Tarea]]/12,Tabla2[[#This Row],[Cosecha/Tarea]])</f>
        <v>54277</v>
      </c>
      <c r="F1907" s="3" t="n">
        <v>54078</v>
      </c>
      <c r="G1907" s="2" t="s">
        <v>29</v>
      </c>
      <c r="H1907" s="2" t="n">
        <f aca="false">F1907/Tabla2[[#This Row],[Cosecha Mensual]]</f>
        <v>0.996333621976159</v>
      </c>
      <c r="I1907" s="2" t="n">
        <f aca="false">H1907*_xlfn.XLOOKUP(Tabla2[[#This Row],[Unidad de producción]],Tabla3[Medida],Tabla3[Equivalencia en Kg],"ELVIS",0)</f>
        <v>560.278248982074</v>
      </c>
      <c r="J1907" s="2" t="n">
        <v>10000</v>
      </c>
      <c r="K1907" s="2" t="s">
        <v>29</v>
      </c>
      <c r="L1907" s="2" t="n">
        <f aca="false">J1907/_xlfn.XLOOKUP(Tabla2[[#This Row],[Unidad de precio]],Tabla3[Medida],Tabla3[Equivalencia en Kg],"ELVIS",0)</f>
        <v>17.7828360066863</v>
      </c>
      <c r="M1907" s="2" t="n">
        <v>6492.56103460413</v>
      </c>
      <c r="N1907" s="3" t="n">
        <f aca="false">(Tabla2[[#This Row],[Productividad (kg/TAS)]]*Tabla2[[#This Row],[Precio por kg]]-Tabla2[[#This Row],[Costos (En RD$/Tarea)]])</f>
        <v>3470.77518515746</v>
      </c>
      <c r="O1907" s="9" t="n">
        <f aca="false">IF(Tabla2[[#This Row],[Costos (En RD$/Tarea)]]=0,0,Tabla2[[#This Row],[Beneficio Neto  (En RD$/Tarea)]]/Tabla2[[#This Row],[Costos (En RD$/Tarea)]])</f>
        <v>0.53457721331519</v>
      </c>
      <c r="P1907" s="7" t="n">
        <f aca="false">Tabla2[[#This Row],[Rentabilidad (%)]]/12</f>
        <v>0.0445481011095992</v>
      </c>
    </row>
    <row r="1908" customFormat="false" ht="14.25" hidden="false" customHeight="false" outlineLevel="0" collapsed="false">
      <c r="A1908" s="1" t="n">
        <v>41334</v>
      </c>
      <c r="B1908" s="2" t="s">
        <v>30</v>
      </c>
      <c r="C1908" s="3" t="n">
        <v>376742</v>
      </c>
      <c r="D1908" s="3" t="s">
        <v>31</v>
      </c>
      <c r="E1908" s="3" t="n">
        <f aca="false">IF(Tabla2[[#This Row],[Frecuencia]]="Annual", Tabla2[[#This Row],[Cosecha/Tarea]]/12,Tabla2[[#This Row],[Cosecha/Tarea]])</f>
        <v>31395.1666666667</v>
      </c>
      <c r="F1908" s="3" t="n">
        <v>2960511</v>
      </c>
      <c r="G1908" s="2" t="s">
        <v>32</v>
      </c>
      <c r="H1908" s="2" t="n">
        <f aca="false">F1908/Tabla2[[#This Row],[Cosecha Mensual]]</f>
        <v>94.2983049407818</v>
      </c>
      <c r="I1908" s="2" t="n">
        <f aca="false">H1908*_xlfn.XLOOKUP(Tabla2[[#This Row],[Unidad de producción]],Tabla3[Medida],Tabla3[Equivalencia en Kg],"ELVIS",0)</f>
        <v>2565.85687743867</v>
      </c>
      <c r="J1908" s="2" t="n">
        <v>159.271666666667</v>
      </c>
      <c r="K1908" s="2" t="s">
        <v>32</v>
      </c>
      <c r="L1908" s="2" t="n">
        <f aca="false">J1908/_xlfn.XLOOKUP(Tabla2[[#This Row],[Unidad de precio]],Tabla3[Medida],Tabla3[Equivalencia en Kg],"ELVIS",0)</f>
        <v>5.85342398627957</v>
      </c>
      <c r="M1908" s="3" t="n">
        <v>11852.2845542745</v>
      </c>
      <c r="N1908" s="3" t="n">
        <f aca="false">(Tabla2[[#This Row],[Productividad (kg/TAS)]]*Tabla2[[#This Row],[Precio por kg]]-Tabla2[[#This Row],[Costos (En RD$/Tarea)]])</f>
        <v>3166.76363748541</v>
      </c>
      <c r="O1908" s="9" t="n">
        <f aca="false">IF(Tabla2[[#This Row],[Costos (En RD$/Tarea)]]=0,0,Tabla2[[#This Row],[Beneficio Neto  (En RD$/Tarea)]]/Tabla2[[#This Row],[Costos (En RD$/Tarea)]])</f>
        <v>0.267185927150502</v>
      </c>
      <c r="P1908" s="7" t="n">
        <f aca="false">Tabla2[[#This Row],[Rentabilidad (%)]]/12</f>
        <v>0.0222654939292085</v>
      </c>
    </row>
    <row r="1909" customFormat="false" ht="14.25" hidden="false" customHeight="false" outlineLevel="0" collapsed="false">
      <c r="A1909" s="1" t="n">
        <v>41334</v>
      </c>
      <c r="B1909" s="2" t="s">
        <v>33</v>
      </c>
      <c r="C1909" s="3" t="n">
        <v>710732</v>
      </c>
      <c r="D1909" s="3" t="s">
        <v>31</v>
      </c>
      <c r="E1909" s="11" t="n">
        <f aca="false">IF(Tabla2[[#This Row],[Frecuencia]]="Annual", Tabla2[[#This Row],[Cosecha/Tarea]]/12,Tabla2[[#This Row],[Cosecha/Tarea]])</f>
        <v>59227.6666666667</v>
      </c>
      <c r="F1909" s="3" t="n">
        <v>144329</v>
      </c>
      <c r="G1909" s="2" t="s">
        <v>34</v>
      </c>
      <c r="H1909" s="2" t="n">
        <f aca="false">F1909/Tabla2[[#This Row],[Cosecha Mensual]]</f>
        <v>2.43685102120068</v>
      </c>
      <c r="I1909" s="2" t="n">
        <f aca="false">H1909*_xlfn.XLOOKUP(Tabla2[[#This Row],[Unidad de producción]],Tabla3[Medida],Tabla3[Equivalencia en Kg],"ELVIS",0)</f>
        <v>994.600744303056</v>
      </c>
      <c r="J1909" s="2" t="n">
        <v>5139.57</v>
      </c>
      <c r="K1909" s="2" t="s">
        <v>34</v>
      </c>
      <c r="L1909" s="2" t="n">
        <f aca="false">J1909/_xlfn.XLOOKUP(Tabla2[[#This Row],[Unidad de precio]],Tabla3[Medida],Tabla3[Equivalencia en Kg],"ELVIS",0)</f>
        <v>12.5923557515619</v>
      </c>
      <c r="M1909" s="3" t="n">
        <v>11461.3597912662</v>
      </c>
      <c r="N1909" s="3" t="n">
        <f aca="false">(Tabla2[[#This Row],[Productividad (kg/TAS)]]*Tabla2[[#This Row],[Precio por kg]]-Tabla2[[#This Row],[Costos (En RD$/Tarea)]])</f>
        <v>1063.00661176616</v>
      </c>
      <c r="O1909" s="9" t="n">
        <f aca="false">IF(Tabla2[[#This Row],[Costos (En RD$/Tarea)]]=0,0,Tabla2[[#This Row],[Beneficio Neto  (En RD$/Tarea)]]/Tabla2[[#This Row],[Costos (En RD$/Tarea)]])</f>
        <v>0.0927469891117281</v>
      </c>
      <c r="P1909" s="7" t="n">
        <f aca="false">Tabla2[[#This Row],[Rentabilidad (%)]]/12</f>
        <v>0.00772891575931067</v>
      </c>
    </row>
    <row r="1910" customFormat="false" ht="14.25" hidden="false" customHeight="false" outlineLevel="0" collapsed="false">
      <c r="A1910" s="1" t="n">
        <v>41365</v>
      </c>
      <c r="B1910" s="2" t="s">
        <v>16</v>
      </c>
      <c r="C1910" s="3" t="n">
        <v>368764</v>
      </c>
      <c r="D1910" s="8" t="s">
        <v>17</v>
      </c>
      <c r="E1910" s="3" t="n">
        <f aca="false">IF(Tabla2[[#This Row],[Frecuencia]]="Annual", Tabla2[[#This Row],[Cosecha/Tarea]]/12,Tabla2[[#This Row],[Cosecha/Tarea]])</f>
        <v>368764</v>
      </c>
      <c r="F1910" s="3" t="n">
        <v>1785543</v>
      </c>
      <c r="G1910" s="2" t="s">
        <v>18</v>
      </c>
      <c r="H1910" s="2" t="n">
        <f aca="false">F1910/Tabla2[[#This Row],[Cosecha Mensual]]</f>
        <v>4.84196667787528</v>
      </c>
      <c r="I1910" s="2" t="n">
        <f aca="false">H1910*_xlfn.XLOOKUP(Tabla2[[#This Row],[Unidad de producción]],Tabla3[Medida],Tabla3[Equivalencia en Kg],"ELVIS",0)</f>
        <v>219.631608508423</v>
      </c>
      <c r="J1910" s="2" t="n">
        <v>1859.34221163571</v>
      </c>
      <c r="K1910" s="2" t="s">
        <v>19</v>
      </c>
      <c r="L1910" s="2" t="n">
        <f aca="false">J1910/_xlfn.XLOOKUP(Tabla2[[#This Row],[Unidad de precio]],Tabla3[Medida],Tabla3[Equivalencia en Kg],"ELVIS",0)</f>
        <v>16.9031110148701</v>
      </c>
      <c r="M1910" s="2" t="n">
        <v>7832.60797003155</v>
      </c>
      <c r="N1910" s="3" t="n">
        <f aca="false">(Tabla2[[#This Row],[Productividad (kg/TAS)]]*Tabla2[[#This Row],[Precio por kg]]-Tabla2[[#This Row],[Costos (En RD$/Tarea)]])</f>
        <v>-4120.1505090392</v>
      </c>
      <c r="O1910" s="9" t="n">
        <f aca="false">IF(Tabla2[[#This Row],[Costos (En RD$/Tarea)]]=0,0,Tabla2[[#This Row],[Beneficio Neto  (En RD$/Tarea)]]/Tabla2[[#This Row],[Costos (En RD$/Tarea)]])</f>
        <v>-0.526025370451753</v>
      </c>
      <c r="P1910" s="7" t="n">
        <f aca="false">Tabla2[[#This Row],[Rentabilidad (%)]]/12</f>
        <v>-0.043835447537646</v>
      </c>
    </row>
    <row r="1911" customFormat="false" ht="14.25" hidden="false" customHeight="false" outlineLevel="0" collapsed="false">
      <c r="A1911" s="1" t="n">
        <v>41365</v>
      </c>
      <c r="B1911" s="2" t="s">
        <v>20</v>
      </c>
      <c r="C1911" s="3" t="n">
        <v>32783</v>
      </c>
      <c r="D1911" s="8" t="s">
        <v>17</v>
      </c>
      <c r="E1911" s="3" t="n">
        <f aca="false">IF(Tabla2[[#This Row],[Frecuencia]]="Annual", Tabla2[[#This Row],[Cosecha/Tarea]]/12,Tabla2[[#This Row],[Cosecha/Tarea]])</f>
        <v>32783</v>
      </c>
      <c r="F1911" s="3" t="n">
        <v>84868</v>
      </c>
      <c r="G1911" s="2" t="s">
        <v>18</v>
      </c>
      <c r="H1911" s="2" t="n">
        <f aca="false">F1911/Tabla2[[#This Row],[Cosecha Mensual]]</f>
        <v>2.58878077052131</v>
      </c>
      <c r="I1911" s="2" t="n">
        <f aca="false">H1911*_xlfn.XLOOKUP(Tabla2[[#This Row],[Unidad de producción]],Tabla3[Medida],Tabla3[Equivalencia en Kg],"ELVIS",0)</f>
        <v>117.427095750846</v>
      </c>
      <c r="J1911" s="2" t="n">
        <v>759.922619047619</v>
      </c>
      <c r="K1911" s="2" t="s">
        <v>18</v>
      </c>
      <c r="L1911" s="2" t="n">
        <f aca="false">J1911/_xlfn.XLOOKUP(Tabla2[[#This Row],[Unidad de precio]],Tabla3[Medida],Tabla3[Equivalencia en Kg],"ELVIS",0)</f>
        <v>16.7531441588981</v>
      </c>
      <c r="M1911" s="2" t="n">
        <v>2208.926382</v>
      </c>
      <c r="N1911" s="3" t="n">
        <f aca="false">(Tabla2[[#This Row],[Productividad (kg/TAS)]]*Tabla2[[#This Row],[Precio por kg]]-Tabla2[[#This Row],[Costos (En RD$/Tarea)]])</f>
        <v>-241.653318725336</v>
      </c>
      <c r="O1911" s="9" t="n">
        <f aca="false">IF(Tabla2[[#This Row],[Costos (En RD$/Tarea)]]=0,0,Tabla2[[#This Row],[Beneficio Neto  (En RD$/Tarea)]]/Tabla2[[#This Row],[Costos (En RD$/Tarea)]])</f>
        <v>-0.109398538898584</v>
      </c>
      <c r="P1911" s="7" t="n">
        <f aca="false">Tabla2[[#This Row],[Rentabilidad (%)]]/12</f>
        <v>-0.00911654490821534</v>
      </c>
    </row>
    <row r="1912" customFormat="false" ht="14.25" hidden="false" customHeight="false" outlineLevel="0" collapsed="false">
      <c r="A1912" s="1" t="n">
        <v>41365</v>
      </c>
      <c r="B1912" s="2" t="s">
        <v>21</v>
      </c>
      <c r="C1912" s="3" t="n">
        <v>11082</v>
      </c>
      <c r="D1912" s="8" t="s">
        <v>17</v>
      </c>
      <c r="E1912" s="3" t="n">
        <f aca="false">IF(Tabla2[[#This Row],[Frecuencia]]="Annual", Tabla2[[#This Row],[Cosecha/Tarea]]/12,Tabla2[[#This Row],[Cosecha/Tarea]])</f>
        <v>11082</v>
      </c>
      <c r="F1912" s="3" t="n">
        <v>120544</v>
      </c>
      <c r="G1912" s="2" t="s">
        <v>18</v>
      </c>
      <c r="H1912" s="2" t="n">
        <f aca="false">F1912/Tabla2[[#This Row],[Cosecha Mensual]]</f>
        <v>10.8774589424292</v>
      </c>
      <c r="I1912" s="2" t="n">
        <f aca="false">H1912*_xlfn.XLOOKUP(Tabla2[[#This Row],[Unidad de producción]],Tabla3[Medida],Tabla3[Equivalencia en Kg],"ELVIS",0)</f>
        <v>493.401537628587</v>
      </c>
      <c r="J1912" s="2" t="n">
        <v>409.782642857143</v>
      </c>
      <c r="K1912" s="2" t="s">
        <v>18</v>
      </c>
      <c r="L1912" s="2" t="n">
        <f aca="false">J1912/_xlfn.XLOOKUP(Tabla2[[#This Row],[Unidad de precio]],Tabla3[Medida],Tabla3[Equivalencia en Kg],"ELVIS",0)</f>
        <v>9.03400888133031</v>
      </c>
      <c r="M1912" s="2" t="n">
        <v>4893.7504665</v>
      </c>
      <c r="N1912" s="3" t="n">
        <f aca="false">(Tabla2[[#This Row],[Productividad (kg/TAS)]]*Tabla2[[#This Row],[Precio por kg]]-Tabla2[[#This Row],[Costos (En RD$/Tarea)]])</f>
        <v>-436.356593501312</v>
      </c>
      <c r="O1912" s="9" t="n">
        <f aca="false">IF(Tabla2[[#This Row],[Costos (En RD$/Tarea)]]=0,0,Tabla2[[#This Row],[Beneficio Neto  (En RD$/Tarea)]]/Tabla2[[#This Row],[Costos (En RD$/Tarea)]])</f>
        <v>-0.0891660897890843</v>
      </c>
      <c r="P1912" s="7" t="n">
        <f aca="false">Tabla2[[#This Row],[Rentabilidad (%)]]/12</f>
        <v>-0.00743050748242369</v>
      </c>
    </row>
    <row r="1913" customFormat="false" ht="14.25" hidden="false" customHeight="false" outlineLevel="0" collapsed="false">
      <c r="A1913" s="1" t="n">
        <v>41365</v>
      </c>
      <c r="B1913" s="2" t="s">
        <v>22</v>
      </c>
      <c r="C1913" s="3" t="n">
        <v>3852</v>
      </c>
      <c r="D1913" s="8" t="s">
        <v>17</v>
      </c>
      <c r="E1913" s="3" t="n">
        <f aca="false">IF(Tabla2[[#This Row],[Frecuencia]]="Annual", Tabla2[[#This Row],[Cosecha/Tarea]]/12,Tabla2[[#This Row],[Cosecha/Tarea]])</f>
        <v>3852</v>
      </c>
      <c r="F1913" s="3" t="n">
        <v>35126</v>
      </c>
      <c r="G1913" s="2" t="s">
        <v>18</v>
      </c>
      <c r="H1913" s="2" t="n">
        <f aca="false">F1913/Tabla2[[#This Row],[Cosecha Mensual]]</f>
        <v>9.11889927310488</v>
      </c>
      <c r="I1913" s="2" t="n">
        <f aca="false">H1913*_xlfn.XLOOKUP(Tabla2[[#This Row],[Unidad de producción]],Tabla3[Medida],Tabla3[Equivalencia en Kg],"ELVIS",0)</f>
        <v>413.633271028037</v>
      </c>
      <c r="J1913" s="2" t="n">
        <v>1102.034</v>
      </c>
      <c r="K1913" s="2" t="s">
        <v>18</v>
      </c>
      <c r="L1913" s="2" t="n">
        <f aca="false">J1913/_xlfn.XLOOKUP(Tabla2[[#This Row],[Unidad de precio]],Tabla3[Medida],Tabla3[Equivalencia en Kg],"ELVIS",0)</f>
        <v>24.2952821869489</v>
      </c>
      <c r="M1913" s="2" t="n">
        <v>8667.0620736</v>
      </c>
      <c r="N1913" s="3" t="n">
        <f aca="false">(Tabla2[[#This Row],[Productividad (kg/TAS)]]*Tabla2[[#This Row],[Precio por kg]]-Tabla2[[#This Row],[Costos (En RD$/Tarea)]])</f>
        <v>1382.27496793686</v>
      </c>
      <c r="O1913" s="9" t="n">
        <f aca="false">IF(Tabla2[[#This Row],[Costos (En RD$/Tarea)]]=0,0,Tabla2[[#This Row],[Beneficio Neto  (En RD$/Tarea)]]/Tabla2[[#This Row],[Costos (En RD$/Tarea)]])</f>
        <v>0.159485989162036</v>
      </c>
      <c r="P1913" s="7" t="n">
        <f aca="false">Tabla2[[#This Row],[Rentabilidad (%)]]/12</f>
        <v>0.0132904990968363</v>
      </c>
    </row>
    <row r="1914" customFormat="false" ht="14.25" hidden="false" customHeight="false" outlineLevel="0" collapsed="false">
      <c r="A1914" s="1" t="n">
        <v>41365</v>
      </c>
      <c r="B1914" s="2" t="s">
        <v>23</v>
      </c>
      <c r="C1914" s="3" t="n">
        <v>3861</v>
      </c>
      <c r="D1914" s="8" t="s">
        <v>17</v>
      </c>
      <c r="E1914" s="3" t="n">
        <f aca="false">IF(Tabla2[[#This Row],[Frecuencia]]="Annual", Tabla2[[#This Row],[Cosecha/Tarea]]/12,Tabla2[[#This Row],[Cosecha/Tarea]])</f>
        <v>3861</v>
      </c>
      <c r="F1914" s="3" t="n">
        <v>95804</v>
      </c>
      <c r="G1914" s="2" t="s">
        <v>18</v>
      </c>
      <c r="H1914" s="2" t="n">
        <f aca="false">F1914/Tabla2[[#This Row],[Cosecha Mensual]]</f>
        <v>24.8132608132608</v>
      </c>
      <c r="I1914" s="2" t="n">
        <f aca="false">H1914*_xlfn.XLOOKUP(Tabla2[[#This Row],[Unidad de producción]],Tabla3[Medida],Tabla3[Equivalencia en Kg],"ELVIS",0)</f>
        <v>1125.52951048951</v>
      </c>
      <c r="J1914" s="2" t="n">
        <v>950.625</v>
      </c>
      <c r="K1914" s="2" t="s">
        <v>18</v>
      </c>
      <c r="L1914" s="2" t="n">
        <f aca="false">J1914/_xlfn.XLOOKUP(Tabla2[[#This Row],[Unidad de precio]],Tabla3[Medida],Tabla3[Equivalencia en Kg],"ELVIS",0)</f>
        <v>20.9573412698413</v>
      </c>
      <c r="M1914" s="2" t="n">
        <v>24550.1208184162</v>
      </c>
      <c r="N1914" s="3" t="n">
        <f aca="false">(Tabla2[[#This Row],[Productividad (kg/TAS)]]*Tabla2[[#This Row],[Precio por kg]]-Tabla2[[#This Row],[Costos (En RD$/Tarea)]])</f>
        <v>-962.014757810139</v>
      </c>
      <c r="O1914" s="9" t="n">
        <f aca="false">IF(Tabla2[[#This Row],[Costos (En RD$/Tarea)]]=0,0,Tabla2[[#This Row],[Beneficio Neto  (En RD$/Tarea)]]/Tabla2[[#This Row],[Costos (En RD$/Tarea)]])</f>
        <v>-0.0391857443360721</v>
      </c>
      <c r="P1914" s="7" t="n">
        <f aca="false">Tabla2[[#This Row],[Rentabilidad (%)]]/12</f>
        <v>-0.00326547869467268</v>
      </c>
    </row>
    <row r="1915" customFormat="false" ht="14.25" hidden="false" customHeight="false" outlineLevel="0" collapsed="false">
      <c r="A1915" s="1" t="n">
        <v>41365</v>
      </c>
      <c r="B1915" s="2" t="s">
        <v>24</v>
      </c>
      <c r="C1915" s="3" t="n">
        <v>7715</v>
      </c>
      <c r="D1915" s="8" t="s">
        <v>17</v>
      </c>
      <c r="E1915" s="3" t="n">
        <f aca="false">IF(Tabla2[[#This Row],[Frecuencia]]="Annual", Tabla2[[#This Row],[Cosecha/Tarea]]/12,Tabla2[[#This Row],[Cosecha/Tarea]])</f>
        <v>7715</v>
      </c>
      <c r="F1915" s="3" t="n">
        <v>64225</v>
      </c>
      <c r="G1915" s="2" t="s">
        <v>18</v>
      </c>
      <c r="H1915" s="2" t="n">
        <f aca="false">F1915/Tabla2[[#This Row],[Cosecha Mensual]]</f>
        <v>8.32469215813351</v>
      </c>
      <c r="I1915" s="2" t="n">
        <f aca="false">H1915*_xlfn.XLOOKUP(Tabla2[[#This Row],[Unidad de producción]],Tabla3[Medida],Tabla3[Equivalencia en Kg],"ELVIS",0)</f>
        <v>377.608036292936</v>
      </c>
      <c r="J1915" s="2" t="n">
        <v>1486.67014285714</v>
      </c>
      <c r="K1915" s="2" t="s">
        <v>18</v>
      </c>
      <c r="L1915" s="2" t="n">
        <f aca="false">J1915/_xlfn.XLOOKUP(Tabla2[[#This Row],[Unidad de precio]],Tabla3[Medida],Tabla3[Equivalencia en Kg],"ELVIS",0)</f>
        <v>32.7749149659863</v>
      </c>
      <c r="M1915" s="2" t="n">
        <v>8436.00230404646</v>
      </c>
      <c r="N1915" s="3" t="n">
        <f aca="false">(Tabla2[[#This Row],[Productividad (kg/TAS)]]*Tabla2[[#This Row],[Precio por kg]]-Tabla2[[#This Row],[Costos (En RD$/Tarea)]])</f>
        <v>3940.06897592759</v>
      </c>
      <c r="O1915" s="9" t="n">
        <f aca="false">IF(Tabla2[[#This Row],[Costos (En RD$/Tarea)]]=0,0,Tabla2[[#This Row],[Beneficio Neto  (En RD$/Tarea)]]/Tabla2[[#This Row],[Costos (En RD$/Tarea)]])</f>
        <v>0.467054042177973</v>
      </c>
      <c r="P1915" s="7" t="n">
        <f aca="false">Tabla2[[#This Row],[Rentabilidad (%)]]/12</f>
        <v>0.0389211701814978</v>
      </c>
    </row>
    <row r="1916" customFormat="false" ht="14.25" hidden="false" customHeight="false" outlineLevel="0" collapsed="false">
      <c r="A1916" s="1" t="n">
        <v>41365</v>
      </c>
      <c r="B1916" s="2" t="s">
        <v>25</v>
      </c>
      <c r="C1916" s="3" t="n">
        <v>23879</v>
      </c>
      <c r="D1916" s="8" t="s">
        <v>17</v>
      </c>
      <c r="E1916" s="3" t="n">
        <f aca="false">IF(Tabla2[[#This Row],[Frecuencia]]="Annual", Tabla2[[#This Row],[Cosecha/Tarea]]/12,Tabla2[[#This Row],[Cosecha/Tarea]])</f>
        <v>23879</v>
      </c>
      <c r="F1916" s="3" t="n">
        <v>266648</v>
      </c>
      <c r="G1916" s="2" t="s">
        <v>18</v>
      </c>
      <c r="H1916" s="2" t="n">
        <f aca="false">F1916/Tabla2[[#This Row],[Cosecha Mensual]]</f>
        <v>11.1666317684995</v>
      </c>
      <c r="I1916" s="2" t="n">
        <f aca="false">H1916*_xlfn.XLOOKUP(Tabla2[[#This Row],[Unidad de producción]],Tabla3[Medida],Tabla3[Equivalencia en Kg],"ELVIS",0)</f>
        <v>506.518417019138</v>
      </c>
      <c r="J1916" s="2" t="n">
        <v>554.4105</v>
      </c>
      <c r="K1916" s="2" t="s">
        <v>18</v>
      </c>
      <c r="L1916" s="2" t="n">
        <f aca="false">J1916/_xlfn.XLOOKUP(Tabla2[[#This Row],[Unidad de precio]],Tabla3[Medida],Tabla3[Equivalencia en Kg],"ELVIS",0)</f>
        <v>12.2224537037037</v>
      </c>
      <c r="M1916" s="2" t="n">
        <v>4461.19405275347</v>
      </c>
      <c r="N1916" s="3" t="n">
        <f aca="false">(Tabla2[[#This Row],[Productividad (kg/TAS)]]*Tabla2[[#This Row],[Precio por kg]]-Tabla2[[#This Row],[Costos (En RD$/Tarea)]])</f>
        <v>1729.70384933623</v>
      </c>
      <c r="O1916" s="9" t="n">
        <f aca="false">IF(Tabla2[[#This Row],[Costos (En RD$/Tarea)]]=0,0,Tabla2[[#This Row],[Beneficio Neto  (En RD$/Tarea)]]/Tabla2[[#This Row],[Costos (En RD$/Tarea)]])</f>
        <v>0.387722172333806</v>
      </c>
      <c r="P1916" s="7" t="n">
        <f aca="false">Tabla2[[#This Row],[Rentabilidad (%)]]/12</f>
        <v>0.0323101810278172</v>
      </c>
    </row>
    <row r="1917" customFormat="false" ht="14.25" hidden="false" customHeight="false" outlineLevel="0" collapsed="false">
      <c r="A1917" s="1" t="n">
        <v>41365</v>
      </c>
      <c r="B1917" s="2" t="s">
        <v>26</v>
      </c>
      <c r="C1917" s="3" t="n">
        <v>12718</v>
      </c>
      <c r="D1917" s="8" t="s">
        <v>17</v>
      </c>
      <c r="E1917" s="3" t="n">
        <f aca="false">IF(Tabla2[[#This Row],[Frecuencia]]="Annual", Tabla2[[#This Row],[Cosecha/Tarea]]/12,Tabla2[[#This Row],[Cosecha/Tarea]])</f>
        <v>12718</v>
      </c>
      <c r="F1917" s="3" t="n">
        <v>73611</v>
      </c>
      <c r="G1917" s="2" t="s">
        <v>18</v>
      </c>
      <c r="H1917" s="2" t="n">
        <f aca="false">F1917/Tabla2[[#This Row],[Cosecha Mensual]]</f>
        <v>5.78793835508728</v>
      </c>
      <c r="I1917" s="2" t="n">
        <f aca="false">H1917*_xlfn.XLOOKUP(Tabla2[[#This Row],[Unidad de producción]],Tabla3[Medida],Tabla3[Equivalencia en Kg],"ELVIS",0)</f>
        <v>262.540883786759</v>
      </c>
      <c r="J1917" s="2" t="n">
        <v>700.871428571429</v>
      </c>
      <c r="K1917" s="2" t="s">
        <v>18</v>
      </c>
      <c r="L1917" s="2" t="n">
        <f aca="false">J1917/_xlfn.XLOOKUP(Tabla2[[#This Row],[Unidad de precio]],Tabla3[Medida],Tabla3[Equivalencia en Kg],"ELVIS",0)</f>
        <v>15.4513101536911</v>
      </c>
      <c r="M1917" s="2" t="n">
        <v>1856.821617</v>
      </c>
      <c r="N1917" s="3" t="n">
        <f aca="false">(Tabla2[[#This Row],[Productividad (kg/TAS)]]*Tabla2[[#This Row],[Precio por kg]]-Tabla2[[#This Row],[Costos (En RD$/Tarea)]])</f>
        <v>2199.77900641339</v>
      </c>
      <c r="O1917" s="9" t="n">
        <f aca="false">IF(Tabla2[[#This Row],[Costos (En RD$/Tarea)]]=0,0,Tabla2[[#This Row],[Beneficio Neto  (En RD$/Tarea)]]/Tabla2[[#This Row],[Costos (En RD$/Tarea)]])</f>
        <v>1.18470131232503</v>
      </c>
      <c r="P1917" s="7" t="n">
        <f aca="false">Tabla2[[#This Row],[Rentabilidad (%)]]/12</f>
        <v>0.0987251093604193</v>
      </c>
    </row>
    <row r="1918" customFormat="false" ht="14.25" hidden="false" customHeight="false" outlineLevel="0" collapsed="false">
      <c r="A1918" s="1" t="n">
        <v>41365</v>
      </c>
      <c r="B1918" s="2" t="s">
        <v>27</v>
      </c>
      <c r="C1918" s="3" t="n">
        <v>7677</v>
      </c>
      <c r="D1918" s="8" t="s">
        <v>17</v>
      </c>
      <c r="E1918" s="3" t="n">
        <f aca="false">IF(Tabla2[[#This Row],[Frecuencia]]="Annual", Tabla2[[#This Row],[Cosecha/Tarea]]/12,Tabla2[[#This Row],[Cosecha/Tarea]])</f>
        <v>7677</v>
      </c>
      <c r="F1918" s="3" t="n">
        <v>77621</v>
      </c>
      <c r="G1918" s="2" t="s">
        <v>18</v>
      </c>
      <c r="H1918" s="2" t="n">
        <f aca="false">F1918/Tabla2[[#This Row],[Cosecha Mensual]]</f>
        <v>10.1108505926794</v>
      </c>
      <c r="I1918" s="2" t="n">
        <f aca="false">H1918*_xlfn.XLOOKUP(Tabla2[[#This Row],[Unidad de producción]],Tabla3[Medida],Tabla3[Equivalencia en Kg],"ELVIS",0)</f>
        <v>458.628182883939</v>
      </c>
      <c r="J1918" s="2" t="n">
        <v>548.076964285714</v>
      </c>
      <c r="K1918" s="2" t="s">
        <v>18</v>
      </c>
      <c r="L1918" s="2" t="n">
        <f aca="false">J1918/_xlfn.XLOOKUP(Tabla2[[#This Row],[Unidad de precio]],Tabla3[Medida],Tabla3[Equivalencia en Kg],"ELVIS",0)</f>
        <v>12.0828254913076</v>
      </c>
      <c r="M1918" s="2" t="n">
        <v>7498.499866956</v>
      </c>
      <c r="N1918" s="3" t="n">
        <f aca="false">(Tabla2[[#This Row],[Productividad (kg/TAS)]]*Tabla2[[#This Row],[Precio por kg]]-Tabla2[[#This Row],[Costos (En RD$/Tarea)]])</f>
        <v>-1956.97556777385</v>
      </c>
      <c r="O1918" s="9" t="n">
        <f aca="false">IF(Tabla2[[#This Row],[Costos (En RD$/Tarea)]]=0,0,Tabla2[[#This Row],[Beneficio Neto  (En RD$/Tarea)]]/Tabla2[[#This Row],[Costos (En RD$/Tarea)]])</f>
        <v>-0.260982276788154</v>
      </c>
      <c r="P1918" s="7" t="n">
        <f aca="false">Tabla2[[#This Row],[Rentabilidad (%)]]/12</f>
        <v>-0.0217485230656795</v>
      </c>
    </row>
    <row r="1919" customFormat="false" ht="14.25" hidden="false" customHeight="false" outlineLevel="0" collapsed="false">
      <c r="A1919" s="1" t="n">
        <v>41365</v>
      </c>
      <c r="B1919" s="2" t="s">
        <v>28</v>
      </c>
      <c r="C1919" s="3" t="n">
        <v>9519</v>
      </c>
      <c r="D1919" s="8" t="s">
        <v>17</v>
      </c>
      <c r="E1919" s="3" t="n">
        <f aca="false">IF(Tabla2[[#This Row],[Frecuencia]]="Annual", Tabla2[[#This Row],[Cosecha/Tarea]]/12,Tabla2[[#This Row],[Cosecha/Tarea]])</f>
        <v>9519</v>
      </c>
      <c r="F1919" s="3" t="n">
        <v>11037</v>
      </c>
      <c r="G1919" s="2" t="s">
        <v>29</v>
      </c>
      <c r="H1919" s="2" t="n">
        <f aca="false">F1919/Tabla2[[#This Row],[Cosecha Mensual]]</f>
        <v>1.15947053261897</v>
      </c>
      <c r="I1919" s="2" t="n">
        <f aca="false">H1919*_xlfn.XLOOKUP(Tabla2[[#This Row],[Unidad de producción]],Tabla3[Medida],Tabla3[Equivalencia en Kg],"ELVIS",0)</f>
        <v>652.016659312953</v>
      </c>
      <c r="J1919" s="2" t="n">
        <v>5500</v>
      </c>
      <c r="K1919" s="2" t="s">
        <v>29</v>
      </c>
      <c r="L1919" s="2" t="n">
        <f aca="false">J1919/_xlfn.XLOOKUP(Tabla2[[#This Row],[Unidad de precio]],Tabla3[Medida],Tabla3[Equivalencia en Kg],"ELVIS",0)</f>
        <v>9.78055980367749</v>
      </c>
      <c r="M1919" s="2" t="n">
        <v>6492.56103460413</v>
      </c>
      <c r="N1919" s="3" t="n">
        <f aca="false">(Tabla2[[#This Row],[Productividad (kg/TAS)]]*Tabla2[[#This Row],[Precio por kg]]-Tabla2[[#This Row],[Costos (En RD$/Tarea)]])</f>
        <v>-115.473105199782</v>
      </c>
      <c r="O1919" s="9" t="n">
        <f aca="false">IF(Tabla2[[#This Row],[Costos (En RD$/Tarea)]]=0,0,Tabla2[[#This Row],[Beneficio Neto  (En RD$/Tarea)]]/Tabla2[[#This Row],[Costos (En RD$/Tarea)]])</f>
        <v>-0.0177854477738958</v>
      </c>
      <c r="P1919" s="7" t="n">
        <f aca="false">Tabla2[[#This Row],[Rentabilidad (%)]]/12</f>
        <v>-0.00148212064782465</v>
      </c>
    </row>
    <row r="1920" customFormat="false" ht="14.25" hidden="false" customHeight="false" outlineLevel="0" collapsed="false">
      <c r="A1920" s="1" t="n">
        <v>41365</v>
      </c>
      <c r="B1920" s="2" t="s">
        <v>30</v>
      </c>
      <c r="C1920" s="3" t="n">
        <v>371631</v>
      </c>
      <c r="D1920" s="3" t="s">
        <v>31</v>
      </c>
      <c r="E1920" s="3" t="n">
        <f aca="false">IF(Tabla2[[#This Row],[Frecuencia]]="Annual", Tabla2[[#This Row],[Cosecha/Tarea]]/12,Tabla2[[#This Row],[Cosecha/Tarea]])</f>
        <v>30969.25</v>
      </c>
      <c r="F1920" s="3" t="n">
        <v>3006548</v>
      </c>
      <c r="G1920" s="2" t="s">
        <v>32</v>
      </c>
      <c r="H1920" s="2" t="n">
        <f aca="false">F1920/Tabla2[[#This Row],[Cosecha Mensual]]</f>
        <v>97.0817181559127</v>
      </c>
      <c r="I1920" s="2" t="n">
        <f aca="false">H1920*_xlfn.XLOOKUP(Tabla2[[#This Row],[Unidad de producción]],Tabla3[Medida],Tabla3[Equivalencia en Kg],"ELVIS",0)</f>
        <v>2641.59355102239</v>
      </c>
      <c r="J1920" s="2" t="n">
        <v>170.958333333333</v>
      </c>
      <c r="K1920" s="2" t="s">
        <v>32</v>
      </c>
      <c r="L1920" s="2" t="n">
        <f aca="false">J1920/_xlfn.XLOOKUP(Tabla2[[#This Row],[Unidad de precio]],Tabla3[Medida],Tabla3[Equivalencia en Kg],"ELVIS",0)</f>
        <v>6.2829229449957</v>
      </c>
      <c r="M1920" s="3" t="n">
        <v>11852.2845542745</v>
      </c>
      <c r="N1920" s="3" t="n">
        <f aca="false">(Tabla2[[#This Row],[Productividad (kg/TAS)]]*Tabla2[[#This Row],[Precio por kg]]-Tabla2[[#This Row],[Costos (En RD$/Tarea)]])</f>
        <v>4744.64417879671</v>
      </c>
      <c r="O1920" s="9" t="n">
        <f aca="false">IF(Tabla2[[#This Row],[Costos (En RD$/Tarea)]]=0,0,Tabla2[[#This Row],[Beneficio Neto  (En RD$/Tarea)]]/Tabla2[[#This Row],[Costos (En RD$/Tarea)]])</f>
        <v>0.400314737388377</v>
      </c>
      <c r="P1920" s="7" t="n">
        <f aca="false">Tabla2[[#This Row],[Rentabilidad (%)]]/12</f>
        <v>0.0333595614490314</v>
      </c>
    </row>
    <row r="1921" customFormat="false" ht="14.25" hidden="false" customHeight="false" outlineLevel="0" collapsed="false">
      <c r="A1921" s="1" t="n">
        <v>41365</v>
      </c>
      <c r="B1921" s="2" t="s">
        <v>33</v>
      </c>
      <c r="C1921" s="3" t="n">
        <v>722902</v>
      </c>
      <c r="D1921" s="3" t="s">
        <v>31</v>
      </c>
      <c r="E1921" s="11" t="n">
        <f aca="false">IF(Tabla2[[#This Row],[Frecuencia]]="Annual", Tabla2[[#This Row],[Cosecha/Tarea]]/12,Tabla2[[#This Row],[Cosecha/Tarea]])</f>
        <v>60241.8333333333</v>
      </c>
      <c r="F1921" s="3" t="n">
        <v>307366</v>
      </c>
      <c r="G1921" s="2" t="s">
        <v>34</v>
      </c>
      <c r="H1921" s="2" t="n">
        <f aca="false">F1921/Tabla2[[#This Row],[Cosecha Mensual]]</f>
        <v>5.1022019582184</v>
      </c>
      <c r="I1921" s="2" t="n">
        <f aca="false">H1921*_xlfn.XLOOKUP(Tabla2[[#This Row],[Unidad de producción]],Tabla3[Medida],Tabla3[Equivalencia en Kg],"ELVIS",0)</f>
        <v>2082.46372924684</v>
      </c>
      <c r="J1921" s="2" t="n">
        <v>4901.36166666667</v>
      </c>
      <c r="K1921" s="2" t="s">
        <v>34</v>
      </c>
      <c r="L1921" s="2" t="n">
        <f aca="false">J1921/_xlfn.XLOOKUP(Tabla2[[#This Row],[Unidad de precio]],Tabla3[Medida],Tabla3[Equivalencia en Kg],"ELVIS",0)</f>
        <v>12.0087263669403</v>
      </c>
      <c r="M1921" s="3" t="n">
        <v>11461.3597912662</v>
      </c>
      <c r="N1921" s="3" t="n">
        <f aca="false">(Tabla2[[#This Row],[Productividad (kg/TAS)]]*Tabla2[[#This Row],[Precio por kg]]-Tabla2[[#This Row],[Costos (En RD$/Tarea)]])</f>
        <v>13546.3773023371</v>
      </c>
      <c r="O1921" s="9" t="n">
        <f aca="false">IF(Tabla2[[#This Row],[Costos (En RD$/Tarea)]]=0,0,Tabla2[[#This Row],[Beneficio Neto  (En RD$/Tarea)]]/Tabla2[[#This Row],[Costos (En RD$/Tarea)]])</f>
        <v>1.18191711533737</v>
      </c>
      <c r="P1921" s="7" t="n">
        <f aca="false">Tabla2[[#This Row],[Rentabilidad (%)]]/12</f>
        <v>0.098493092944781</v>
      </c>
    </row>
    <row r="1922" customFormat="false" ht="14.25" hidden="false" customHeight="false" outlineLevel="0" collapsed="false">
      <c r="A1922" s="1" t="n">
        <v>41395</v>
      </c>
      <c r="B1922" s="2" t="s">
        <v>16</v>
      </c>
      <c r="C1922" s="3" t="n">
        <v>544969</v>
      </c>
      <c r="D1922" s="8" t="s">
        <v>17</v>
      </c>
      <c r="E1922" s="3" t="n">
        <f aca="false">IF(Tabla2[[#This Row],[Frecuencia]]="Annual", Tabla2[[#This Row],[Cosecha/Tarea]]/12,Tabla2[[#This Row],[Cosecha/Tarea]])</f>
        <v>544969</v>
      </c>
      <c r="F1922" s="3" t="n">
        <v>2737124</v>
      </c>
      <c r="G1922" s="2" t="s">
        <v>18</v>
      </c>
      <c r="H1922" s="2" t="n">
        <f aca="false">F1922/Tabla2[[#This Row],[Cosecha Mensual]]</f>
        <v>5.02253155684085</v>
      </c>
      <c r="I1922" s="2" t="n">
        <f aca="false">H1922*_xlfn.XLOOKUP(Tabla2[[#This Row],[Unidad de producción]],Tabla3[Medida],Tabla3[Equivalencia en Kg],"ELVIS",0)</f>
        <v>227.822031418301</v>
      </c>
      <c r="J1922" s="2" t="n">
        <v>1909.08575</v>
      </c>
      <c r="K1922" s="2" t="s">
        <v>19</v>
      </c>
      <c r="L1922" s="2" t="n">
        <f aca="false">J1922/_xlfn.XLOOKUP(Tabla2[[#This Row],[Unidad de precio]],Tabla3[Medida],Tabla3[Equivalencia en Kg],"ELVIS",0)</f>
        <v>17.355325</v>
      </c>
      <c r="M1922" s="2" t="n">
        <v>7832.60797003155</v>
      </c>
      <c r="N1922" s="3" t="n">
        <f aca="false">(Tabla2[[#This Row],[Productividad (kg/TAS)]]*Tabla2[[#This Row],[Precio por kg]]-Tabla2[[#This Row],[Costos (En RD$/Tarea)]])</f>
        <v>-3878.68257260673</v>
      </c>
      <c r="O1922" s="9" t="n">
        <f aca="false">IF(Tabla2[[#This Row],[Costos (En RD$/Tarea)]]=0,0,Tabla2[[#This Row],[Beneficio Neto  (En RD$/Tarea)]]/Tabla2[[#This Row],[Costos (En RD$/Tarea)]])</f>
        <v>-0.495196821728728</v>
      </c>
      <c r="P1922" s="7" t="n">
        <f aca="false">Tabla2[[#This Row],[Rentabilidad (%)]]/12</f>
        <v>-0.0412664018107273</v>
      </c>
    </row>
    <row r="1923" customFormat="false" ht="14.25" hidden="false" customHeight="false" outlineLevel="0" collapsed="false">
      <c r="A1923" s="1" t="n">
        <v>41395</v>
      </c>
      <c r="B1923" s="2" t="s">
        <v>20</v>
      </c>
      <c r="C1923" s="3" t="n">
        <v>37475</v>
      </c>
      <c r="D1923" s="8" t="s">
        <v>17</v>
      </c>
      <c r="E1923" s="3" t="n">
        <f aca="false">IF(Tabla2[[#This Row],[Frecuencia]]="Annual", Tabla2[[#This Row],[Cosecha/Tarea]]/12,Tabla2[[#This Row],[Cosecha/Tarea]])</f>
        <v>37475</v>
      </c>
      <c r="F1923" s="3" t="n">
        <v>94428</v>
      </c>
      <c r="G1923" s="2" t="s">
        <v>18</v>
      </c>
      <c r="H1923" s="2" t="n">
        <f aca="false">F1923/Tabla2[[#This Row],[Cosecha Mensual]]</f>
        <v>2.51975983989326</v>
      </c>
      <c r="I1923" s="2" t="n">
        <f aca="false">H1923*_xlfn.XLOOKUP(Tabla2[[#This Row],[Unidad de producción]],Tabla3[Medida],Tabla3[Equivalencia en Kg],"ELVIS",0)</f>
        <v>114.296306337558</v>
      </c>
      <c r="J1923" s="2" t="n">
        <v>706.805</v>
      </c>
      <c r="K1923" s="2" t="s">
        <v>18</v>
      </c>
      <c r="L1923" s="2" t="n">
        <f aca="false">J1923/_xlfn.XLOOKUP(Tabla2[[#This Row],[Unidad de precio]],Tabla3[Medida],Tabla3[Equivalencia en Kg],"ELVIS",0)</f>
        <v>15.5821208112875</v>
      </c>
      <c r="M1923" s="2" t="n">
        <v>2208.926382</v>
      </c>
      <c r="N1923" s="3" t="n">
        <f aca="false">(Tabla2[[#This Row],[Productividad (kg/TAS)]]*Tabla2[[#This Row],[Precio por kg]]-Tabla2[[#This Row],[Costos (En RD$/Tarea)]])</f>
        <v>-427.947528364243</v>
      </c>
      <c r="O1923" s="9" t="n">
        <f aca="false">IF(Tabla2[[#This Row],[Costos (En RD$/Tarea)]]=0,0,Tabla2[[#This Row],[Beneficio Neto  (En RD$/Tarea)]]/Tabla2[[#This Row],[Costos (En RD$/Tarea)]])</f>
        <v>-0.193735532271008</v>
      </c>
      <c r="P1923" s="7" t="n">
        <f aca="false">Tabla2[[#This Row],[Rentabilidad (%)]]/12</f>
        <v>-0.0161446276892507</v>
      </c>
    </row>
    <row r="1924" customFormat="false" ht="14.25" hidden="false" customHeight="false" outlineLevel="0" collapsed="false">
      <c r="A1924" s="1" t="n">
        <v>41395</v>
      </c>
      <c r="B1924" s="2" t="s">
        <v>21</v>
      </c>
      <c r="C1924" s="3" t="n">
        <v>9564</v>
      </c>
      <c r="D1924" s="8" t="s">
        <v>17</v>
      </c>
      <c r="E1924" s="3" t="n">
        <f aca="false">IF(Tabla2[[#This Row],[Frecuencia]]="Annual", Tabla2[[#This Row],[Cosecha/Tarea]]/12,Tabla2[[#This Row],[Cosecha/Tarea]])</f>
        <v>9564</v>
      </c>
      <c r="F1924" s="3" t="n">
        <v>95421</v>
      </c>
      <c r="G1924" s="2" t="s">
        <v>18</v>
      </c>
      <c r="H1924" s="2" t="n">
        <f aca="false">F1924/Tabla2[[#This Row],[Cosecha Mensual]]</f>
        <v>9.97710163111669</v>
      </c>
      <c r="I1924" s="2" t="n">
        <f aca="false">H1924*_xlfn.XLOOKUP(Tabla2[[#This Row],[Unidad de producción]],Tabla3[Medida],Tabla3[Equivalencia en Kg],"ELVIS",0)</f>
        <v>452.561329987453</v>
      </c>
      <c r="J1924" s="2" t="n">
        <v>466.83375</v>
      </c>
      <c r="K1924" s="2" t="s">
        <v>18</v>
      </c>
      <c r="L1924" s="2" t="n">
        <f aca="false">J1924/_xlfn.XLOOKUP(Tabla2[[#This Row],[Unidad de precio]],Tabla3[Medida],Tabla3[Equivalencia en Kg],"ELVIS",0)</f>
        <v>10.2917493386243</v>
      </c>
      <c r="M1924" s="2" t="n">
        <v>4893.7504665</v>
      </c>
      <c r="N1924" s="3" t="n">
        <f aca="false">(Tabla2[[#This Row],[Productividad (kg/TAS)]]*Tabla2[[#This Row],[Precio por kg]]-Tabla2[[#This Row],[Costos (En RD$/Tarea)]])</f>
        <v>-236.10269791468</v>
      </c>
      <c r="O1924" s="9" t="n">
        <f aca="false">IF(Tabla2[[#This Row],[Costos (En RD$/Tarea)]]=0,0,Tabla2[[#This Row],[Beneficio Neto  (En RD$/Tarea)]]/Tabla2[[#This Row],[Costos (En RD$/Tarea)]])</f>
        <v>-0.0482457574269291</v>
      </c>
      <c r="P1924" s="7" t="n">
        <f aca="false">Tabla2[[#This Row],[Rentabilidad (%)]]/12</f>
        <v>-0.00402047978557742</v>
      </c>
    </row>
    <row r="1925" customFormat="false" ht="14.25" hidden="false" customHeight="false" outlineLevel="0" collapsed="false">
      <c r="A1925" s="1" t="n">
        <v>41395</v>
      </c>
      <c r="B1925" s="2" t="s">
        <v>22</v>
      </c>
      <c r="C1925" s="3" t="n">
        <v>5487</v>
      </c>
      <c r="D1925" s="8" t="s">
        <v>17</v>
      </c>
      <c r="E1925" s="3" t="n">
        <f aca="false">IF(Tabla2[[#This Row],[Frecuencia]]="Annual", Tabla2[[#This Row],[Cosecha/Tarea]]/12,Tabla2[[#This Row],[Cosecha/Tarea]])</f>
        <v>5487</v>
      </c>
      <c r="F1925" s="3" t="n">
        <v>50214</v>
      </c>
      <c r="G1925" s="2" t="s">
        <v>18</v>
      </c>
      <c r="H1925" s="2" t="n">
        <f aca="false">F1925/Tabla2[[#This Row],[Cosecha Mensual]]</f>
        <v>9.15144887916894</v>
      </c>
      <c r="I1925" s="2" t="n">
        <f aca="false">H1925*_xlfn.XLOOKUP(Tabla2[[#This Row],[Unidad de producción]],Tabla3[Medida],Tabla3[Equivalencia en Kg],"ELVIS",0)</f>
        <v>415.109721159103</v>
      </c>
      <c r="J1925" s="2" t="n">
        <v>1060.55666666667</v>
      </c>
      <c r="K1925" s="2" t="s">
        <v>18</v>
      </c>
      <c r="L1925" s="2" t="n">
        <f aca="false">J1925/_xlfn.XLOOKUP(Tabla2[[#This Row],[Unidad de precio]],Tabla3[Medida],Tabla3[Equivalencia en Kg],"ELVIS",0)</f>
        <v>23.3808788947679</v>
      </c>
      <c r="M1925" s="2" t="n">
        <v>8667.0620736</v>
      </c>
      <c r="N1925" s="3" t="n">
        <f aca="false">(Tabla2[[#This Row],[Productividad (kg/TAS)]]*Tabla2[[#This Row],[Precio por kg]]-Tabla2[[#This Row],[Costos (En RD$/Tarea)]])</f>
        <v>1038.56804486185</v>
      </c>
      <c r="O1925" s="9" t="n">
        <f aca="false">IF(Tabla2[[#This Row],[Costos (En RD$/Tarea)]]=0,0,Tabla2[[#This Row],[Beneficio Neto  (En RD$/Tarea)]]/Tabla2[[#This Row],[Costos (En RD$/Tarea)]])</f>
        <v>0.119829307329567</v>
      </c>
      <c r="P1925" s="7" t="n">
        <f aca="false">Tabla2[[#This Row],[Rentabilidad (%)]]/12</f>
        <v>0.00998577561079724</v>
      </c>
    </row>
    <row r="1926" customFormat="false" ht="14.25" hidden="false" customHeight="false" outlineLevel="0" collapsed="false">
      <c r="A1926" s="1" t="n">
        <v>41395</v>
      </c>
      <c r="B1926" s="2" t="s">
        <v>23</v>
      </c>
      <c r="C1926" s="3" t="n">
        <v>3636</v>
      </c>
      <c r="D1926" s="8" t="s">
        <v>17</v>
      </c>
      <c r="E1926" s="3" t="n">
        <f aca="false">IF(Tabla2[[#This Row],[Frecuencia]]="Annual", Tabla2[[#This Row],[Cosecha/Tarea]]/12,Tabla2[[#This Row],[Cosecha/Tarea]])</f>
        <v>3636</v>
      </c>
      <c r="F1926" s="3" t="n">
        <v>139565</v>
      </c>
      <c r="G1926" s="2" t="s">
        <v>18</v>
      </c>
      <c r="H1926" s="2" t="n">
        <f aca="false">F1926/Tabla2[[#This Row],[Cosecha Mensual]]</f>
        <v>38.3842134213421</v>
      </c>
      <c r="I1926" s="2" t="n">
        <f aca="false">H1926*_xlfn.XLOOKUP(Tabla2[[#This Row],[Unidad de producción]],Tabla3[Medida],Tabla3[Equivalencia en Kg],"ELVIS",0)</f>
        <v>1741.10792079208</v>
      </c>
      <c r="J1926" s="2" t="n">
        <v>792</v>
      </c>
      <c r="K1926" s="2" t="s">
        <v>18</v>
      </c>
      <c r="L1926" s="2" t="n">
        <f aca="false">J1926/_xlfn.XLOOKUP(Tabla2[[#This Row],[Unidad de precio]],Tabla3[Medida],Tabla3[Equivalencia en Kg],"ELVIS",0)</f>
        <v>17.4603174603175</v>
      </c>
      <c r="M1926" s="2" t="n">
        <v>24550.1208184162</v>
      </c>
      <c r="N1926" s="3" t="n">
        <f aca="false">(Tabla2[[#This Row],[Productividad (kg/TAS)]]*Tabla2[[#This Row],[Precio por kg]]-Tabla2[[#This Row],[Costos (En RD$/Tarea)]])</f>
        <v>5850.17621128677</v>
      </c>
      <c r="O1926" s="9" t="n">
        <f aca="false">IF(Tabla2[[#This Row],[Costos (En RD$/Tarea)]]=0,0,Tabla2[[#This Row],[Beneficio Neto  (En RD$/Tarea)]]/Tabla2[[#This Row],[Costos (En RD$/Tarea)]])</f>
        <v>0.238295210624718</v>
      </c>
      <c r="P1926" s="7" t="n">
        <f aca="false">Tabla2[[#This Row],[Rentabilidad (%)]]/12</f>
        <v>0.0198579342187265</v>
      </c>
    </row>
    <row r="1927" customFormat="false" ht="14.25" hidden="false" customHeight="false" outlineLevel="0" collapsed="false">
      <c r="A1927" s="1" t="n">
        <v>41395</v>
      </c>
      <c r="B1927" s="2" t="s">
        <v>24</v>
      </c>
      <c r="C1927" s="3" t="n">
        <v>4734</v>
      </c>
      <c r="D1927" s="8" t="s">
        <v>17</v>
      </c>
      <c r="E1927" s="3" t="n">
        <f aca="false">IF(Tabla2[[#This Row],[Frecuencia]]="Annual", Tabla2[[#This Row],[Cosecha/Tarea]]/12,Tabla2[[#This Row],[Cosecha/Tarea]])</f>
        <v>4734</v>
      </c>
      <c r="F1927" s="3" t="n">
        <v>40024</v>
      </c>
      <c r="G1927" s="2" t="s">
        <v>18</v>
      </c>
      <c r="H1927" s="2" t="n">
        <f aca="false">F1927/Tabla2[[#This Row],[Cosecha Mensual]]</f>
        <v>8.45458386142797</v>
      </c>
      <c r="I1927" s="2" t="n">
        <f aca="false">H1927*_xlfn.XLOOKUP(Tabla2[[#This Row],[Unidad de producción]],Tabla3[Medida],Tabla3[Equivalencia en Kg],"ELVIS",0)</f>
        <v>383.499923954373</v>
      </c>
      <c r="J1927" s="2" t="n">
        <v>1487.5</v>
      </c>
      <c r="K1927" s="2" t="s">
        <v>18</v>
      </c>
      <c r="L1927" s="2" t="n">
        <f aca="false">J1927/_xlfn.XLOOKUP(Tabla2[[#This Row],[Unidad de precio]],Tabla3[Medida],Tabla3[Equivalencia en Kg],"ELVIS",0)</f>
        <v>32.7932098765432</v>
      </c>
      <c r="M1927" s="2" t="n">
        <v>8436.00230404646</v>
      </c>
      <c r="N1927" s="3" t="n">
        <f aca="false">(Tabla2[[#This Row],[Productividad (kg/TAS)]]*Tabla2[[#This Row],[Precio por kg]]-Tabla2[[#This Row],[Costos (En RD$/Tarea)]])</f>
        <v>4140.19118982764</v>
      </c>
      <c r="O1927" s="9" t="n">
        <f aca="false">IF(Tabla2[[#This Row],[Costos (En RD$/Tarea)]]=0,0,Tabla2[[#This Row],[Beneficio Neto  (En RD$/Tarea)]]/Tabla2[[#This Row],[Costos (En RD$/Tarea)]])</f>
        <v>0.490776441329531</v>
      </c>
      <c r="P1927" s="7" t="n">
        <f aca="false">Tabla2[[#This Row],[Rentabilidad (%)]]/12</f>
        <v>0.0408980367774609</v>
      </c>
    </row>
    <row r="1928" customFormat="false" ht="14.25" hidden="false" customHeight="false" outlineLevel="0" collapsed="false">
      <c r="A1928" s="1" t="n">
        <v>41395</v>
      </c>
      <c r="B1928" s="2" t="s">
        <v>25</v>
      </c>
      <c r="C1928" s="3" t="n">
        <v>22014</v>
      </c>
      <c r="D1928" s="8" t="s">
        <v>17</v>
      </c>
      <c r="E1928" s="3" t="n">
        <f aca="false">IF(Tabla2[[#This Row],[Frecuencia]]="Annual", Tabla2[[#This Row],[Cosecha/Tarea]]/12,Tabla2[[#This Row],[Cosecha/Tarea]])</f>
        <v>22014</v>
      </c>
      <c r="F1928" s="3" t="n">
        <v>356100</v>
      </c>
      <c r="G1928" s="2" t="s">
        <v>18</v>
      </c>
      <c r="H1928" s="2" t="n">
        <f aca="false">F1928/Tabla2[[#This Row],[Cosecha Mensual]]</f>
        <v>16.1760697737803</v>
      </c>
      <c r="I1928" s="2" t="n">
        <f aca="false">H1928*_xlfn.XLOOKUP(Tabla2[[#This Row],[Unidad de producción]],Tabla3[Medida],Tabla3[Equivalencia en Kg],"ELVIS",0)</f>
        <v>733.746524938675</v>
      </c>
      <c r="J1928" s="2" t="n">
        <v>733.305</v>
      </c>
      <c r="K1928" s="2" t="s">
        <v>18</v>
      </c>
      <c r="L1928" s="2" t="n">
        <f aca="false">J1928/_xlfn.XLOOKUP(Tabla2[[#This Row],[Unidad de precio]],Tabla3[Medida],Tabla3[Equivalencia en Kg],"ELVIS",0)</f>
        <v>16.166335978836</v>
      </c>
      <c r="M1928" s="2" t="n">
        <v>4461.19405275347</v>
      </c>
      <c r="N1928" s="3" t="n">
        <f aca="false">(Tabla2[[#This Row],[Productividad (kg/TAS)]]*Tabla2[[#This Row],[Precio por kg]]-Tabla2[[#This Row],[Costos (En RD$/Tarea)]])</f>
        <v>7400.79879270851</v>
      </c>
      <c r="O1928" s="9" t="n">
        <f aca="false">IF(Tabla2[[#This Row],[Costos (En RD$/Tarea)]]=0,0,Tabla2[[#This Row],[Beneficio Neto  (En RD$/Tarea)]]/Tabla2[[#This Row],[Costos (En RD$/Tarea)]])</f>
        <v>1.65892779045124</v>
      </c>
      <c r="P1928" s="7" t="n">
        <f aca="false">Tabla2[[#This Row],[Rentabilidad (%)]]/12</f>
        <v>0.138243982537603</v>
      </c>
    </row>
    <row r="1929" customFormat="false" ht="14.25" hidden="false" customHeight="false" outlineLevel="0" collapsed="false">
      <c r="A1929" s="1" t="n">
        <v>41395</v>
      </c>
      <c r="B1929" s="2" t="s">
        <v>26</v>
      </c>
      <c r="C1929" s="3" t="n">
        <v>12999</v>
      </c>
      <c r="D1929" s="8" t="s">
        <v>17</v>
      </c>
      <c r="E1929" s="3" t="n">
        <f aca="false">IF(Tabla2[[#This Row],[Frecuencia]]="Annual", Tabla2[[#This Row],[Cosecha/Tarea]]/12,Tabla2[[#This Row],[Cosecha/Tarea]])</f>
        <v>12999</v>
      </c>
      <c r="F1929" s="3" t="n">
        <v>89812</v>
      </c>
      <c r="G1929" s="2" t="s">
        <v>18</v>
      </c>
      <c r="H1929" s="2" t="n">
        <f aca="false">F1929/Tabla2[[#This Row],[Cosecha Mensual]]</f>
        <v>6.90914685745057</v>
      </c>
      <c r="I1929" s="2" t="n">
        <f aca="false">H1929*_xlfn.XLOOKUP(Tabla2[[#This Row],[Unidad de producción]],Tabla3[Medida],Tabla3[Equivalencia en Kg],"ELVIS",0)</f>
        <v>313.398901453958</v>
      </c>
      <c r="J1929" s="2" t="n">
        <v>679.2075</v>
      </c>
      <c r="K1929" s="2" t="s">
        <v>18</v>
      </c>
      <c r="L1929" s="2" t="n">
        <f aca="false">J1929/_xlfn.XLOOKUP(Tabla2[[#This Row],[Unidad de precio]],Tabla3[Medida],Tabla3[Equivalencia en Kg],"ELVIS",0)</f>
        <v>14.9737103174603</v>
      </c>
      <c r="M1929" s="2" t="n">
        <v>1856.821617</v>
      </c>
      <c r="N1929" s="3" t="n">
        <f aca="false">(Tabla2[[#This Row],[Productividad (kg/TAS)]]*Tabla2[[#This Row],[Precio por kg]]-Tabla2[[#This Row],[Costos (En RD$/Tarea)]])</f>
        <v>2835.92274718186</v>
      </c>
      <c r="O1929" s="9" t="n">
        <f aca="false">IF(Tabla2[[#This Row],[Costos (En RD$/Tarea)]]=0,0,Tabla2[[#This Row],[Beneficio Neto  (En RD$/Tarea)]]/Tabla2[[#This Row],[Costos (En RD$/Tarea)]])</f>
        <v>1.5272995107434</v>
      </c>
      <c r="P1929" s="7" t="n">
        <f aca="false">Tabla2[[#This Row],[Rentabilidad (%)]]/12</f>
        <v>0.127274959228616</v>
      </c>
    </row>
    <row r="1930" customFormat="false" ht="14.25" hidden="false" customHeight="false" outlineLevel="0" collapsed="false">
      <c r="A1930" s="1" t="n">
        <v>41395</v>
      </c>
      <c r="B1930" s="2" t="s">
        <v>27</v>
      </c>
      <c r="C1930" s="3" t="n">
        <v>7291</v>
      </c>
      <c r="D1930" s="8" t="s">
        <v>17</v>
      </c>
      <c r="E1930" s="3" t="n">
        <f aca="false">IF(Tabla2[[#This Row],[Frecuencia]]="Annual", Tabla2[[#This Row],[Cosecha/Tarea]]/12,Tabla2[[#This Row],[Cosecha/Tarea]])</f>
        <v>7291</v>
      </c>
      <c r="F1930" s="3" t="n">
        <v>54210</v>
      </c>
      <c r="G1930" s="2" t="s">
        <v>18</v>
      </c>
      <c r="H1930" s="2" t="n">
        <f aca="false">F1930/Tabla2[[#This Row],[Cosecha Mensual]]</f>
        <v>7.43519407488685</v>
      </c>
      <c r="I1930" s="2" t="n">
        <f aca="false">H1930*_xlfn.XLOOKUP(Tabla2[[#This Row],[Unidad de producción]],Tabla3[Medida],Tabla3[Equivalencia en Kg],"ELVIS",0)</f>
        <v>337.260403236867</v>
      </c>
      <c r="J1930" s="2" t="n">
        <v>546.888</v>
      </c>
      <c r="K1930" s="2" t="s">
        <v>18</v>
      </c>
      <c r="L1930" s="2" t="n">
        <f aca="false">J1930/_xlfn.XLOOKUP(Tabla2[[#This Row],[Unidad de precio]],Tabla3[Medida],Tabla3[Equivalencia en Kg],"ELVIS",0)</f>
        <v>12.0566137566138</v>
      </c>
      <c r="M1930" s="2" t="n">
        <v>7498.499866956</v>
      </c>
      <c r="N1930" s="3" t="n">
        <f aca="false">(Tabla2[[#This Row],[Productividad (kg/TAS)]]*Tabla2[[#This Row],[Precio por kg]]-Tabla2[[#This Row],[Costos (En RD$/Tarea)]])</f>
        <v>-3432.28144972928</v>
      </c>
      <c r="O1930" s="9" t="n">
        <f aca="false">IF(Tabla2[[#This Row],[Costos (En RD$/Tarea)]]=0,0,Tabla2[[#This Row],[Beneficio Neto  (En RD$/Tarea)]]/Tabla2[[#This Row],[Costos (En RD$/Tarea)]])</f>
        <v>-0.457729080566432</v>
      </c>
      <c r="P1930" s="7" t="n">
        <f aca="false">Tabla2[[#This Row],[Rentabilidad (%)]]/12</f>
        <v>-0.0381440900472027</v>
      </c>
    </row>
    <row r="1931" customFormat="false" ht="14.25" hidden="false" customHeight="false" outlineLevel="0" collapsed="false">
      <c r="A1931" s="1" t="n">
        <v>41395</v>
      </c>
      <c r="B1931" s="2" t="s">
        <v>28</v>
      </c>
      <c r="C1931" s="3" t="n">
        <v>4559</v>
      </c>
      <c r="D1931" s="8" t="s">
        <v>17</v>
      </c>
      <c r="E1931" s="3" t="n">
        <f aca="false">IF(Tabla2[[#This Row],[Frecuencia]]="Annual", Tabla2[[#This Row],[Cosecha/Tarea]]/12,Tabla2[[#This Row],[Cosecha/Tarea]])</f>
        <v>4559</v>
      </c>
      <c r="F1931" s="3" t="n">
        <v>7005</v>
      </c>
      <c r="G1931" s="2" t="s">
        <v>29</v>
      </c>
      <c r="H1931" s="2" t="n">
        <f aca="false">F1931/Tabla2[[#This Row],[Cosecha Mensual]]</f>
        <v>1.53652116692257</v>
      </c>
      <c r="I1931" s="2" t="n">
        <f aca="false">H1931*_xlfn.XLOOKUP(Tabla2[[#This Row],[Unidad de producción]],Tabla3[Medida],Tabla3[Equivalencia en Kg],"ELVIS",0)</f>
        <v>864.047313007239</v>
      </c>
      <c r="J1931" s="2" t="n">
        <v>5000</v>
      </c>
      <c r="K1931" s="2" t="s">
        <v>29</v>
      </c>
      <c r="L1931" s="2" t="n">
        <f aca="false">J1931/_xlfn.XLOOKUP(Tabla2[[#This Row],[Unidad de precio]],Tabla3[Medida],Tabla3[Equivalencia en Kg],"ELVIS",0)</f>
        <v>8.89141800334317</v>
      </c>
      <c r="M1931" s="2" t="n">
        <v>6492.56103460413</v>
      </c>
      <c r="N1931" s="3" t="n">
        <f aca="false">(Tabla2[[#This Row],[Productividad (kg/TAS)]]*Tabla2[[#This Row],[Precio por kg]]-Tabla2[[#This Row],[Costos (En RD$/Tarea)]])</f>
        <v>1190.04480000872</v>
      </c>
      <c r="O1931" s="9" t="n">
        <f aca="false">IF(Tabla2[[#This Row],[Costos (En RD$/Tarea)]]=0,0,Tabla2[[#This Row],[Beneficio Neto  (En RD$/Tarea)]]/Tabla2[[#This Row],[Costos (En RD$/Tarea)]])</f>
        <v>0.183293586870575</v>
      </c>
      <c r="P1931" s="7" t="n">
        <f aca="false">Tabla2[[#This Row],[Rentabilidad (%)]]/12</f>
        <v>0.0152744655725479</v>
      </c>
    </row>
    <row r="1932" customFormat="false" ht="14.25" hidden="false" customHeight="false" outlineLevel="0" collapsed="false">
      <c r="A1932" s="1" t="n">
        <v>41395</v>
      </c>
      <c r="B1932" s="2" t="s">
        <v>30</v>
      </c>
      <c r="C1932" s="3" t="n">
        <v>369870</v>
      </c>
      <c r="D1932" s="3" t="s">
        <v>31</v>
      </c>
      <c r="E1932" s="3" t="n">
        <f aca="false">IF(Tabla2[[#This Row],[Frecuencia]]="Annual", Tabla2[[#This Row],[Cosecha/Tarea]]/12,Tabla2[[#This Row],[Cosecha/Tarea]])</f>
        <v>30822.5</v>
      </c>
      <c r="F1932" s="3" t="n">
        <v>3312016</v>
      </c>
      <c r="G1932" s="2" t="s">
        <v>32</v>
      </c>
      <c r="H1932" s="2" t="n">
        <f aca="false">F1932/Tabla2[[#This Row],[Cosecha Mensual]]</f>
        <v>107.4544894152</v>
      </c>
      <c r="I1932" s="2" t="n">
        <f aca="false">H1932*_xlfn.XLOOKUP(Tabla2[[#This Row],[Unidad de producción]],Tabla3[Medida],Tabla3[Equivalencia en Kg],"ELVIS",0)</f>
        <v>2923.83665698759</v>
      </c>
      <c r="J1932" s="2" t="n">
        <v>155.263333333333</v>
      </c>
      <c r="K1932" s="2" t="s">
        <v>32</v>
      </c>
      <c r="L1932" s="2" t="n">
        <f aca="false">J1932/_xlfn.XLOOKUP(Tabla2[[#This Row],[Unidad de precio]],Tabla3[Medida],Tabla3[Equivalencia en Kg],"ELVIS",0)</f>
        <v>5.70611294867082</v>
      </c>
      <c r="M1932" s="3" t="n">
        <v>11852.2845542745</v>
      </c>
      <c r="N1932" s="3" t="n">
        <f aca="false">(Tabla2[[#This Row],[Productividad (kg/TAS)]]*Tabla2[[#This Row],[Precio por kg]]-Tabla2[[#This Row],[Costos (En RD$/Tarea)]])</f>
        <v>4831.45765396079</v>
      </c>
      <c r="O1932" s="9" t="n">
        <f aca="false">IF(Tabla2[[#This Row],[Costos (En RD$/Tarea)]]=0,0,Tabla2[[#This Row],[Beneficio Neto  (En RD$/Tarea)]]/Tabla2[[#This Row],[Costos (En RD$/Tarea)]])</f>
        <v>0.407639356938856</v>
      </c>
      <c r="P1932" s="7" t="n">
        <f aca="false">Tabla2[[#This Row],[Rentabilidad (%)]]/12</f>
        <v>0.0339699464115713</v>
      </c>
    </row>
    <row r="1933" customFormat="false" ht="14.25" hidden="false" customHeight="false" outlineLevel="0" collapsed="false">
      <c r="A1933" s="1" t="n">
        <v>41395</v>
      </c>
      <c r="B1933" s="2" t="s">
        <v>33</v>
      </c>
      <c r="C1933" s="3" t="n">
        <v>725984</v>
      </c>
      <c r="D1933" s="3" t="s">
        <v>31</v>
      </c>
      <c r="E1933" s="3" t="n">
        <f aca="false">IF(Tabla2[[#This Row],[Frecuencia]]="Annual", Tabla2[[#This Row],[Cosecha/Tarea]]/12,Tabla2[[#This Row],[Cosecha/Tarea]])</f>
        <v>60498.6666666667</v>
      </c>
      <c r="F1933" s="3" t="n">
        <v>155508</v>
      </c>
      <c r="G1933" s="2" t="s">
        <v>34</v>
      </c>
      <c r="H1933" s="2" t="n">
        <f aca="false">F1933/Tabla2[[#This Row],[Cosecha Mensual]]</f>
        <v>2.57043681403447</v>
      </c>
      <c r="I1933" s="2" t="n">
        <f aca="false">H1933*_xlfn.XLOOKUP(Tabla2[[#This Row],[Unidad de producción]],Tabla3[Medida],Tabla3[Equivalencia en Kg],"ELVIS",0)</f>
        <v>1049.12378564817</v>
      </c>
      <c r="J1933" s="2" t="n">
        <v>4352</v>
      </c>
      <c r="K1933" s="2" t="s">
        <v>34</v>
      </c>
      <c r="L1933" s="2" t="n">
        <f aca="false">J1933/_xlfn.XLOOKUP(Tabla2[[#This Row],[Unidad de precio]],Tabla3[Medida],Tabla3[Equivalencia en Kg],"ELVIS",0)</f>
        <v>10.6627465392625</v>
      </c>
      <c r="M1933" s="3" t="n">
        <v>11461.3597912662</v>
      </c>
      <c r="N1933" s="3" t="n">
        <f aca="false">(Tabla2[[#This Row],[Productividad (kg/TAS)]]*Tabla2[[#This Row],[Precio por kg]]-Tabla2[[#This Row],[Costos (En RD$/Tarea)]])</f>
        <v>-274.818776588192</v>
      </c>
      <c r="O1933" s="9" t="n">
        <f aca="false">IF(Tabla2[[#This Row],[Costos (En RD$/Tarea)]]=0,0,Tabla2[[#This Row],[Beneficio Neto  (En RD$/Tarea)]]/Tabla2[[#This Row],[Costos (En RD$/Tarea)]])</f>
        <v>-0.0239778509350705</v>
      </c>
      <c r="P1933" s="7" t="n">
        <f aca="false">Tabla2[[#This Row],[Rentabilidad (%)]]/12</f>
        <v>-0.00199815424458921</v>
      </c>
    </row>
    <row r="1934" customFormat="false" ht="14.25" hidden="false" customHeight="false" outlineLevel="0" collapsed="false">
      <c r="A1934" s="1" t="n">
        <v>41426</v>
      </c>
      <c r="B1934" s="2" t="s">
        <v>16</v>
      </c>
      <c r="C1934" s="3" t="n">
        <v>222691</v>
      </c>
      <c r="D1934" s="8" t="s">
        <v>17</v>
      </c>
      <c r="E1934" s="3" t="n">
        <f aca="false">IF(Tabla2[[#This Row],[Frecuencia]]="Annual", Tabla2[[#This Row],[Cosecha/Tarea]]/12,Tabla2[[#This Row],[Cosecha/Tarea]])</f>
        <v>222691</v>
      </c>
      <c r="F1934" s="3" t="n">
        <v>1097561</v>
      </c>
      <c r="G1934" s="2" t="s">
        <v>18</v>
      </c>
      <c r="H1934" s="2" t="n">
        <f aca="false">F1934/Tabla2[[#This Row],[Cosecha Mensual]]</f>
        <v>4.92862756016184</v>
      </c>
      <c r="I1934" s="2" t="n">
        <f aca="false">H1934*_xlfn.XLOOKUP(Tabla2[[#This Row],[Unidad de producción]],Tabla3[Medida],Tabla3[Equivalencia en Kg],"ELVIS",0)</f>
        <v>223.562546128941</v>
      </c>
      <c r="J1934" s="2" t="n">
        <v>1946.274</v>
      </c>
      <c r="K1934" s="2" t="s">
        <v>19</v>
      </c>
      <c r="L1934" s="2" t="n">
        <f aca="false">J1934/_xlfn.XLOOKUP(Tabla2[[#This Row],[Unidad de precio]],Tabla3[Medida],Tabla3[Equivalencia en Kg],"ELVIS",0)</f>
        <v>17.6934</v>
      </c>
      <c r="M1934" s="2" t="n">
        <v>7832.60797003155</v>
      </c>
      <c r="N1934" s="3" t="n">
        <f aca="false">(Tabla2[[#This Row],[Productividad (kg/TAS)]]*Tabla2[[#This Row],[Precio por kg]]-Tabla2[[#This Row],[Costos (En RD$/Tarea)]])</f>
        <v>-3877.02641635375</v>
      </c>
      <c r="O1934" s="9" t="n">
        <f aca="false">IF(Tabla2[[#This Row],[Costos (En RD$/Tarea)]]=0,0,Tabla2[[#This Row],[Beneficio Neto  (En RD$/Tarea)]]/Tabla2[[#This Row],[Costos (En RD$/Tarea)]])</f>
        <v>-0.494985377946616</v>
      </c>
      <c r="P1934" s="7" t="n">
        <f aca="false">Tabla2[[#This Row],[Rentabilidad (%)]]/12</f>
        <v>-0.0412487814955514</v>
      </c>
    </row>
    <row r="1935" customFormat="false" ht="14.25" hidden="false" customHeight="false" outlineLevel="0" collapsed="false">
      <c r="A1935" s="1" t="n">
        <v>41426</v>
      </c>
      <c r="B1935" s="2" t="s">
        <v>20</v>
      </c>
      <c r="C1935" s="3" t="n">
        <v>35420</v>
      </c>
      <c r="D1935" s="8" t="s">
        <v>17</v>
      </c>
      <c r="E1935" s="3" t="n">
        <f aca="false">IF(Tabla2[[#This Row],[Frecuencia]]="Annual", Tabla2[[#This Row],[Cosecha/Tarea]]/12,Tabla2[[#This Row],[Cosecha/Tarea]])</f>
        <v>35420</v>
      </c>
      <c r="F1935" s="3" t="n">
        <v>94439</v>
      </c>
      <c r="G1935" s="2" t="s">
        <v>18</v>
      </c>
      <c r="H1935" s="2" t="n">
        <f aca="false">F1935/Tabla2[[#This Row],[Cosecha Mensual]]</f>
        <v>2.66626199887069</v>
      </c>
      <c r="I1935" s="2" t="n">
        <f aca="false">H1935*_xlfn.XLOOKUP(Tabla2[[#This Row],[Unidad de producción]],Tabla3[Medida],Tabla3[Equivalencia en Kg],"ELVIS",0)</f>
        <v>120.941644268775</v>
      </c>
      <c r="J1935" s="2" t="n">
        <v>807.869795918367</v>
      </c>
      <c r="K1935" s="2" t="s">
        <v>18</v>
      </c>
      <c r="L1935" s="2" t="n">
        <f aca="false">J1935/_xlfn.XLOOKUP(Tabla2[[#This Row],[Unidad de precio]],Tabla3[Medida],Tabla3[Equivalencia en Kg],"ELVIS",0)</f>
        <v>17.810180686031</v>
      </c>
      <c r="M1935" s="2" t="n">
        <v>2208.926382</v>
      </c>
      <c r="N1935" s="3" t="n">
        <f aca="false">(Tabla2[[#This Row],[Productividad (kg/TAS)]]*Tabla2[[#This Row],[Precio por kg]]-Tabla2[[#This Row],[Costos (En RD$/Tarea)]])</f>
        <v>-54.933845107435</v>
      </c>
      <c r="O1935" s="9" t="n">
        <f aca="false">IF(Tabla2[[#This Row],[Costos (En RD$/Tarea)]]=0,0,Tabla2[[#This Row],[Beneficio Neto  (En RD$/Tarea)]]/Tabla2[[#This Row],[Costos (En RD$/Tarea)]])</f>
        <v>-0.024869024859804</v>
      </c>
      <c r="P1935" s="7" t="n">
        <f aca="false">Tabla2[[#This Row],[Rentabilidad (%)]]/12</f>
        <v>-0.002072418738317</v>
      </c>
    </row>
    <row r="1936" customFormat="false" ht="14.25" hidden="false" customHeight="false" outlineLevel="0" collapsed="false">
      <c r="A1936" s="1" t="n">
        <v>41426</v>
      </c>
      <c r="B1936" s="2" t="s">
        <v>21</v>
      </c>
      <c r="C1936" s="3" t="n">
        <v>8951</v>
      </c>
      <c r="D1936" s="8" t="s">
        <v>17</v>
      </c>
      <c r="E1936" s="3" t="n">
        <f aca="false">IF(Tabla2[[#This Row],[Frecuencia]]="Annual", Tabla2[[#This Row],[Cosecha/Tarea]]/12,Tabla2[[#This Row],[Cosecha/Tarea]])</f>
        <v>8951</v>
      </c>
      <c r="F1936" s="3" t="n">
        <v>98801</v>
      </c>
      <c r="G1936" s="2" t="s">
        <v>18</v>
      </c>
      <c r="H1936" s="2" t="n">
        <f aca="false">F1936/Tabla2[[#This Row],[Cosecha Mensual]]</f>
        <v>11.0379845827282</v>
      </c>
      <c r="I1936" s="2" t="n">
        <f aca="false">H1936*_xlfn.XLOOKUP(Tabla2[[#This Row],[Unidad de producción]],Tabla3[Medida],Tabla3[Equivalencia en Kg],"ELVIS",0)</f>
        <v>500.682980672551</v>
      </c>
      <c r="J1936" s="2" t="n">
        <v>327.450488095238</v>
      </c>
      <c r="K1936" s="2" t="s">
        <v>18</v>
      </c>
      <c r="L1936" s="2" t="n">
        <f aca="false">J1936/_xlfn.XLOOKUP(Tabla2[[#This Row],[Unidad de precio]],Tabla3[Medida],Tabla3[Equivalencia en Kg],"ELVIS",0)</f>
        <v>7.21892610439237</v>
      </c>
      <c r="M1936" s="2" t="n">
        <v>4893.7504665</v>
      </c>
      <c r="N1936" s="3" t="n">
        <f aca="false">(Tabla2[[#This Row],[Productividad (kg/TAS)]]*Tabla2[[#This Row],[Precio por kg]]-Tabla2[[#This Row],[Costos (En RD$/Tarea)]])</f>
        <v>-1279.35702729794</v>
      </c>
      <c r="O1936" s="9" t="n">
        <f aca="false">IF(Tabla2[[#This Row],[Costos (En RD$/Tarea)]]=0,0,Tabla2[[#This Row],[Beneficio Neto  (En RD$/Tarea)]]/Tabla2[[#This Row],[Costos (En RD$/Tarea)]])</f>
        <v>-0.261426698409683</v>
      </c>
      <c r="P1936" s="7" t="n">
        <f aca="false">Tabla2[[#This Row],[Rentabilidad (%)]]/12</f>
        <v>-0.021785558200807</v>
      </c>
    </row>
    <row r="1937" customFormat="false" ht="14.25" hidden="false" customHeight="false" outlineLevel="0" collapsed="false">
      <c r="A1937" s="1" t="n">
        <v>41426</v>
      </c>
      <c r="B1937" s="2" t="s">
        <v>22</v>
      </c>
      <c r="C1937" s="3" t="n">
        <v>5221</v>
      </c>
      <c r="D1937" s="8" t="s">
        <v>17</v>
      </c>
      <c r="E1937" s="3" t="n">
        <f aca="false">IF(Tabla2[[#This Row],[Frecuencia]]="Annual", Tabla2[[#This Row],[Cosecha/Tarea]]/12,Tabla2[[#This Row],[Cosecha/Tarea]])</f>
        <v>5221</v>
      </c>
      <c r="F1937" s="3" t="n">
        <v>41331</v>
      </c>
      <c r="G1937" s="2" t="s">
        <v>18</v>
      </c>
      <c r="H1937" s="2" t="n">
        <f aca="false">F1937/Tabla2[[#This Row],[Cosecha Mensual]]</f>
        <v>7.91629955947137</v>
      </c>
      <c r="I1937" s="2" t="n">
        <f aca="false">H1937*_xlfn.XLOOKUP(Tabla2[[#This Row],[Unidad de producción]],Tabla3[Medida],Tabla3[Equivalencia en Kg],"ELVIS",0)</f>
        <v>359.083348017621</v>
      </c>
      <c r="J1937" s="2" t="n">
        <v>1267.44114285714</v>
      </c>
      <c r="K1937" s="2" t="s">
        <v>18</v>
      </c>
      <c r="L1937" s="2" t="n">
        <f aca="false">J1937/_xlfn.XLOOKUP(Tabla2[[#This Row],[Unidad de precio]],Tabla3[Medida],Tabla3[Equivalencia en Kg],"ELVIS",0)</f>
        <v>27.9418241370622</v>
      </c>
      <c r="M1937" s="2" t="n">
        <v>8667.0620736</v>
      </c>
      <c r="N1937" s="3" t="n">
        <f aca="false">(Tabla2[[#This Row],[Productividad (kg/TAS)]]*Tabla2[[#This Row],[Precio por kg]]-Tabla2[[#This Row],[Costos (En RD$/Tarea)]])</f>
        <v>1366.38168725586</v>
      </c>
      <c r="O1937" s="9" t="n">
        <f aca="false">IF(Tabla2[[#This Row],[Costos (En RD$/Tarea)]]=0,0,Tabla2[[#This Row],[Beneficio Neto  (En RD$/Tarea)]]/Tabla2[[#This Row],[Costos (En RD$/Tarea)]])</f>
        <v>0.157652232746536</v>
      </c>
      <c r="P1937" s="7" t="n">
        <f aca="false">Tabla2[[#This Row],[Rentabilidad (%)]]/12</f>
        <v>0.0131376860622113</v>
      </c>
    </row>
    <row r="1938" customFormat="false" ht="14.25" hidden="false" customHeight="false" outlineLevel="0" collapsed="false">
      <c r="A1938" s="1" t="n">
        <v>41426</v>
      </c>
      <c r="B1938" s="2" t="s">
        <v>23</v>
      </c>
      <c r="C1938" s="3" t="n">
        <v>3068</v>
      </c>
      <c r="D1938" s="8" t="s">
        <v>17</v>
      </c>
      <c r="E1938" s="3" t="n">
        <f aca="false">IF(Tabla2[[#This Row],[Frecuencia]]="Annual", Tabla2[[#This Row],[Cosecha/Tarea]]/12,Tabla2[[#This Row],[Cosecha/Tarea]])</f>
        <v>3068</v>
      </c>
      <c r="F1938" s="3" t="n">
        <v>114770</v>
      </c>
      <c r="G1938" s="2" t="s">
        <v>18</v>
      </c>
      <c r="H1938" s="2" t="n">
        <f aca="false">F1938/Tabla2[[#This Row],[Cosecha Mensual]]</f>
        <v>37.4087353324642</v>
      </c>
      <c r="I1938" s="2" t="n">
        <f aca="false">H1938*_xlfn.XLOOKUP(Tabla2[[#This Row],[Unidad de producción]],Tabla3[Medida],Tabla3[Equivalencia en Kg],"ELVIS",0)</f>
        <v>1696.86023468057</v>
      </c>
      <c r="J1938" s="2" t="n">
        <v>772.443466666667</v>
      </c>
      <c r="K1938" s="2" t="s">
        <v>18</v>
      </c>
      <c r="L1938" s="2" t="n">
        <f aca="false">J1938/_xlfn.XLOOKUP(Tabla2[[#This Row],[Unidad de precio]],Tabla3[Medida],Tabla3[Equivalencia en Kg],"ELVIS",0)</f>
        <v>17.0291769547325</v>
      </c>
      <c r="M1938" s="2" t="n">
        <v>24550.1208184162</v>
      </c>
      <c r="N1938" s="3" t="n">
        <f aca="false">(Tabla2[[#This Row],[Productividad (kg/TAS)]]*Tabla2[[#This Row],[Precio por kg]]-Tabla2[[#This Row],[Costos (En RD$/Tarea)]])</f>
        <v>4346.01238540824</v>
      </c>
      <c r="O1938" s="9" t="n">
        <f aca="false">IF(Tabla2[[#This Row],[Costos (En RD$/Tarea)]]=0,0,Tabla2[[#This Row],[Beneficio Neto  (En RD$/Tarea)]]/Tabla2[[#This Row],[Costos (En RD$/Tarea)]])</f>
        <v>0.177026109873483</v>
      </c>
      <c r="P1938" s="7" t="n">
        <f aca="false">Tabla2[[#This Row],[Rentabilidad (%)]]/12</f>
        <v>0.0147521758227903</v>
      </c>
    </row>
    <row r="1939" customFormat="false" ht="14.25" hidden="false" customHeight="false" outlineLevel="0" collapsed="false">
      <c r="A1939" s="1" t="n">
        <v>41426</v>
      </c>
      <c r="B1939" s="2" t="s">
        <v>24</v>
      </c>
      <c r="C1939" s="3" t="n">
        <v>7865</v>
      </c>
      <c r="D1939" s="8" t="s">
        <v>17</v>
      </c>
      <c r="E1939" s="3" t="n">
        <f aca="false">IF(Tabla2[[#This Row],[Frecuencia]]="Annual", Tabla2[[#This Row],[Cosecha/Tarea]]/12,Tabla2[[#This Row],[Cosecha/Tarea]])</f>
        <v>7865</v>
      </c>
      <c r="F1939" s="3" t="n">
        <v>61328</v>
      </c>
      <c r="G1939" s="2" t="s">
        <v>18</v>
      </c>
      <c r="H1939" s="2" t="n">
        <f aca="false">F1939/Tabla2[[#This Row],[Cosecha Mensual]]</f>
        <v>7.79758423394787</v>
      </c>
      <c r="I1939" s="2" t="n">
        <f aca="false">H1939*_xlfn.XLOOKUP(Tabla2[[#This Row],[Unidad de producción]],Tabla3[Medida],Tabla3[Equivalencia en Kg],"ELVIS",0)</f>
        <v>353.698420851875</v>
      </c>
      <c r="J1939" s="2" t="n">
        <v>1703.54714285714</v>
      </c>
      <c r="K1939" s="2" t="s">
        <v>18</v>
      </c>
      <c r="L1939" s="2" t="n">
        <f aca="false">J1939/_xlfn.XLOOKUP(Tabla2[[#This Row],[Unidad de precio]],Tabla3[Medida],Tabla3[Equivalencia en Kg],"ELVIS",0)</f>
        <v>37.5561539430586</v>
      </c>
      <c r="M1939" s="2" t="n">
        <v>8436.00230404646</v>
      </c>
      <c r="N1939" s="3" t="n">
        <f aca="false">(Tabla2[[#This Row],[Productividad (kg/TAS)]]*Tabla2[[#This Row],[Precio por kg]]-Tabla2[[#This Row],[Costos (En RD$/Tarea)]])</f>
        <v>4847.55003888332</v>
      </c>
      <c r="O1939" s="9" t="n">
        <f aca="false">IF(Tabla2[[#This Row],[Costos (En RD$/Tarea)]]=0,0,Tabla2[[#This Row],[Beneficio Neto  (En RD$/Tarea)]]/Tabla2[[#This Row],[Costos (En RD$/Tarea)]])</f>
        <v>0.574626447951314</v>
      </c>
      <c r="P1939" s="7" t="n">
        <f aca="false">Tabla2[[#This Row],[Rentabilidad (%)]]/12</f>
        <v>0.0478855373292761</v>
      </c>
    </row>
    <row r="1940" customFormat="false" ht="14.25" hidden="false" customHeight="false" outlineLevel="0" collapsed="false">
      <c r="A1940" s="1" t="n">
        <v>41426</v>
      </c>
      <c r="B1940" s="2" t="s">
        <v>25</v>
      </c>
      <c r="C1940" s="3" t="n">
        <v>26483</v>
      </c>
      <c r="D1940" s="8" t="s">
        <v>17</v>
      </c>
      <c r="E1940" s="3" t="n">
        <f aca="false">IF(Tabla2[[#This Row],[Frecuencia]]="Annual", Tabla2[[#This Row],[Cosecha/Tarea]]/12,Tabla2[[#This Row],[Cosecha/Tarea]])</f>
        <v>26483</v>
      </c>
      <c r="F1940" s="3" t="n">
        <v>277289</v>
      </c>
      <c r="G1940" s="2" t="s">
        <v>18</v>
      </c>
      <c r="H1940" s="2" t="n">
        <f aca="false">F1940/Tabla2[[#This Row],[Cosecha Mensual]]</f>
        <v>10.4704527432693</v>
      </c>
      <c r="I1940" s="2" t="n">
        <f aca="false">H1940*_xlfn.XLOOKUP(Tabla2[[#This Row],[Unidad de producción]],Tabla3[Medida],Tabla3[Equivalencia en Kg],"ELVIS",0)</f>
        <v>474.939736434694</v>
      </c>
      <c r="J1940" s="2" t="n">
        <v>593.969714285714</v>
      </c>
      <c r="K1940" s="2" t="s">
        <v>18</v>
      </c>
      <c r="L1940" s="2" t="n">
        <f aca="false">J1940/_xlfn.XLOOKUP(Tabla2[[#This Row],[Unidad de precio]],Tabla3[Medida],Tabla3[Equivalencia en Kg],"ELVIS",0)</f>
        <v>13.0945704207609</v>
      </c>
      <c r="M1940" s="2" t="n">
        <v>4461.19405275347</v>
      </c>
      <c r="N1940" s="3" t="n">
        <f aca="false">(Tabla2[[#This Row],[Productividad (kg/TAS)]]*Tabla2[[#This Row],[Precio por kg]]-Tabla2[[#This Row],[Costos (En RD$/Tarea)]])</f>
        <v>1757.93777160825</v>
      </c>
      <c r="O1940" s="9" t="n">
        <f aca="false">IF(Tabla2[[#This Row],[Costos (En RD$/Tarea)]]=0,0,Tabla2[[#This Row],[Beneficio Neto  (En RD$/Tarea)]]/Tabla2[[#This Row],[Costos (En RD$/Tarea)]])</f>
        <v>0.394050953807589</v>
      </c>
      <c r="P1940" s="7" t="n">
        <f aca="false">Tabla2[[#This Row],[Rentabilidad (%)]]/12</f>
        <v>0.0328375794839657</v>
      </c>
    </row>
    <row r="1941" customFormat="false" ht="14.25" hidden="false" customHeight="false" outlineLevel="0" collapsed="false">
      <c r="A1941" s="1" t="n">
        <v>41426</v>
      </c>
      <c r="B1941" s="2" t="s">
        <v>26</v>
      </c>
      <c r="C1941" s="3" t="n">
        <v>18030</v>
      </c>
      <c r="D1941" s="8" t="s">
        <v>17</v>
      </c>
      <c r="E1941" s="3" t="n">
        <f aca="false">IF(Tabla2[[#This Row],[Frecuencia]]="Annual", Tabla2[[#This Row],[Cosecha/Tarea]]/12,Tabla2[[#This Row],[Cosecha/Tarea]])</f>
        <v>18030</v>
      </c>
      <c r="F1941" s="3" t="n">
        <v>149438</v>
      </c>
      <c r="G1941" s="2" t="s">
        <v>18</v>
      </c>
      <c r="H1941" s="2" t="n">
        <f aca="false">F1941/Tabla2[[#This Row],[Cosecha Mensual]]</f>
        <v>8.28829728230727</v>
      </c>
      <c r="I1941" s="2" t="n">
        <f aca="false">H1941*_xlfn.XLOOKUP(Tabla2[[#This Row],[Unidad de producción]],Tabla3[Medida],Tabla3[Equivalencia en Kg],"ELVIS",0)</f>
        <v>375.957164725458</v>
      </c>
      <c r="J1941" s="2" t="n">
        <v>755.357142857143</v>
      </c>
      <c r="K1941" s="2" t="s">
        <v>18</v>
      </c>
      <c r="L1941" s="2" t="n">
        <f aca="false">J1941/_xlfn.XLOOKUP(Tabla2[[#This Row],[Unidad de precio]],Tabla3[Medida],Tabla3[Equivalencia en Kg],"ELVIS",0)</f>
        <v>16.6524943310658</v>
      </c>
      <c r="M1941" s="2" t="n">
        <v>1856.821617</v>
      </c>
      <c r="N1941" s="3" t="n">
        <f aca="false">(Tabla2[[#This Row],[Productividad (kg/TAS)]]*Tabla2[[#This Row],[Precio por kg]]-Tabla2[[#This Row],[Costos (En RD$/Tarea)]])</f>
        <v>4403.80293731424</v>
      </c>
      <c r="O1941" s="9" t="n">
        <f aca="false">IF(Tabla2[[#This Row],[Costos (En RD$/Tarea)]]=0,0,Tabla2[[#This Row],[Beneficio Neto  (En RD$/Tarea)]]/Tabla2[[#This Row],[Costos (En RD$/Tarea)]])</f>
        <v>2.37168874866359</v>
      </c>
      <c r="P1941" s="7" t="n">
        <f aca="false">Tabla2[[#This Row],[Rentabilidad (%)]]/12</f>
        <v>0.197640729055299</v>
      </c>
    </row>
    <row r="1942" customFormat="false" ht="14.25" hidden="false" customHeight="false" outlineLevel="0" collapsed="false">
      <c r="A1942" s="1" t="n">
        <v>41426</v>
      </c>
      <c r="B1942" s="2" t="s">
        <v>27</v>
      </c>
      <c r="C1942" s="3" t="n">
        <v>7158</v>
      </c>
      <c r="D1942" s="8" t="s">
        <v>17</v>
      </c>
      <c r="E1942" s="3" t="n">
        <f aca="false">IF(Tabla2[[#This Row],[Frecuencia]]="Annual", Tabla2[[#This Row],[Cosecha/Tarea]]/12,Tabla2[[#This Row],[Cosecha/Tarea]])</f>
        <v>7158</v>
      </c>
      <c r="F1942" s="3" t="n">
        <v>38839</v>
      </c>
      <c r="G1942" s="2" t="s">
        <v>18</v>
      </c>
      <c r="H1942" s="2" t="n">
        <f aca="false">F1942/Tabla2[[#This Row],[Cosecha Mensual]]</f>
        <v>5.42595697122101</v>
      </c>
      <c r="I1942" s="2" t="n">
        <f aca="false">H1942*_xlfn.XLOOKUP(Tabla2[[#This Row],[Unidad de producción]],Tabla3[Medida],Tabla3[Equivalencia en Kg],"ELVIS",0)</f>
        <v>246.121408214585</v>
      </c>
      <c r="J1942" s="2" t="n">
        <v>483.602023809524</v>
      </c>
      <c r="K1942" s="2" t="s">
        <v>18</v>
      </c>
      <c r="L1942" s="2" t="n">
        <f aca="false">J1942/_xlfn.XLOOKUP(Tabla2[[#This Row],[Unidad de precio]],Tabla3[Medida],Tabla3[Equivalencia en Kg],"ELVIS",0)</f>
        <v>10.6614202779877</v>
      </c>
      <c r="M1942" s="2" t="n">
        <v>7498.499866956</v>
      </c>
      <c r="N1942" s="3" t="n">
        <f aca="false">(Tabla2[[#This Row],[Productividad (kg/TAS)]]*Tabla2[[#This Row],[Precio por kg]]-Tabla2[[#This Row],[Costos (En RD$/Tarea)]])</f>
        <v>-4874.49609457012</v>
      </c>
      <c r="O1942" s="9" t="n">
        <f aca="false">IF(Tabla2[[#This Row],[Costos (En RD$/Tarea)]]=0,0,Tabla2[[#This Row],[Beneficio Neto  (En RD$/Tarea)]]/Tabla2[[#This Row],[Costos (En RD$/Tarea)]])</f>
        <v>-0.650062836708286</v>
      </c>
      <c r="P1942" s="7" t="n">
        <f aca="false">Tabla2[[#This Row],[Rentabilidad (%)]]/12</f>
        <v>-0.0541719030590239</v>
      </c>
    </row>
    <row r="1943" customFormat="false" ht="14.25" hidden="false" customHeight="false" outlineLevel="0" collapsed="false">
      <c r="A1943" s="1" t="n">
        <v>41426</v>
      </c>
      <c r="B1943" s="2" t="s">
        <v>28</v>
      </c>
      <c r="C1943" s="3" t="n">
        <v>4329</v>
      </c>
      <c r="D1943" s="8" t="s">
        <v>17</v>
      </c>
      <c r="E1943" s="3" t="n">
        <f aca="false">IF(Tabla2[[#This Row],[Frecuencia]]="Annual", Tabla2[[#This Row],[Cosecha/Tarea]]/12,Tabla2[[#This Row],[Cosecha/Tarea]])</f>
        <v>4329</v>
      </c>
      <c r="F1943" s="3" t="n">
        <v>8508</v>
      </c>
      <c r="G1943" s="2" t="s">
        <v>29</v>
      </c>
      <c r="H1943" s="2" t="n">
        <f aca="false">F1943/Tabla2[[#This Row],[Cosecha Mensual]]</f>
        <v>1.96534996534997</v>
      </c>
      <c r="I1943" s="2" t="n">
        <f aca="false">H1943*_xlfn.XLOOKUP(Tabla2[[#This Row],[Unidad de producción]],Tabla3[Medida],Tabla3[Equivalencia en Kg],"ELVIS",0)</f>
        <v>1105.1948995149</v>
      </c>
      <c r="J1943" s="2" t="n">
        <v>5500</v>
      </c>
      <c r="K1943" s="2" t="s">
        <v>29</v>
      </c>
      <c r="L1943" s="2" t="n">
        <f aca="false">J1943/_xlfn.XLOOKUP(Tabla2[[#This Row],[Unidad de precio]],Tabla3[Medida],Tabla3[Equivalencia en Kg],"ELVIS",0)</f>
        <v>9.78055980367749</v>
      </c>
      <c r="M1943" s="2" t="n">
        <v>6492.56103460413</v>
      </c>
      <c r="N1943" s="3" t="n">
        <f aca="false">(Tabla2[[#This Row],[Productividad (kg/TAS)]]*Tabla2[[#This Row],[Precio por kg]]-Tabla2[[#This Row],[Costos (En RD$/Tarea)]])</f>
        <v>4316.86377482068</v>
      </c>
      <c r="O1943" s="9" t="n">
        <f aca="false">IF(Tabla2[[#This Row],[Costos (En RD$/Tarea)]]=0,0,Tabla2[[#This Row],[Beneficio Neto  (En RD$/Tarea)]]/Tabla2[[#This Row],[Costos (En RD$/Tarea)]])</f>
        <v>0.664893830310197</v>
      </c>
      <c r="P1943" s="7" t="n">
        <f aca="false">Tabla2[[#This Row],[Rentabilidad (%)]]/12</f>
        <v>0.0554078191925165</v>
      </c>
    </row>
    <row r="1944" customFormat="false" ht="14.25" hidden="false" customHeight="false" outlineLevel="0" collapsed="false">
      <c r="A1944" s="1" t="n">
        <v>41426</v>
      </c>
      <c r="B1944" s="2" t="s">
        <v>30</v>
      </c>
      <c r="C1944" s="3" t="n">
        <v>375334</v>
      </c>
      <c r="D1944" s="3" t="s">
        <v>31</v>
      </c>
      <c r="E1944" s="3" t="n">
        <f aca="false">IF(Tabla2[[#This Row],[Frecuencia]]="Annual", Tabla2[[#This Row],[Cosecha/Tarea]]/12,Tabla2[[#This Row],[Cosecha/Tarea]])</f>
        <v>31277.8333333333</v>
      </c>
      <c r="F1944" s="3" t="n">
        <v>3515433</v>
      </c>
      <c r="G1944" s="2" t="s">
        <v>32</v>
      </c>
      <c r="H1944" s="2" t="n">
        <f aca="false">F1944/Tabla2[[#This Row],[Cosecha Mensual]]</f>
        <v>112.39375063277</v>
      </c>
      <c r="I1944" s="2" t="n">
        <f aca="false">H1944*_xlfn.XLOOKUP(Tabla2[[#This Row],[Unidad de producción]],Tabla3[Medida],Tabla3[Equivalencia en Kg],"ELVIS",0)</f>
        <v>3058.23395471767</v>
      </c>
      <c r="J1944" s="2" t="n">
        <v>126.90306122449</v>
      </c>
      <c r="K1944" s="2" t="s">
        <v>32</v>
      </c>
      <c r="L1944" s="2" t="n">
        <f aca="false">J1944/_xlfn.XLOOKUP(Tabla2[[#This Row],[Unidad de precio]],Tabla3[Medida],Tabla3[Equivalencia en Kg],"ELVIS",0)</f>
        <v>4.66383907476994</v>
      </c>
      <c r="M1944" s="3" t="n">
        <v>11852.2845542745</v>
      </c>
      <c r="N1944" s="3" t="n">
        <f aca="false">(Tabla2[[#This Row],[Productividad (kg/TAS)]]*Tabla2[[#This Row],[Precio por kg]]-Tabla2[[#This Row],[Costos (En RD$/Tarea)]])</f>
        <v>2410.82646352594</v>
      </c>
      <c r="O1944" s="9" t="n">
        <f aca="false">IF(Tabla2[[#This Row],[Costos (En RD$/Tarea)]]=0,0,Tabla2[[#This Row],[Beneficio Neto  (En RD$/Tarea)]]/Tabla2[[#This Row],[Costos (En RD$/Tarea)]])</f>
        <v>0.203406056653988</v>
      </c>
      <c r="P1944" s="7" t="n">
        <f aca="false">Tabla2[[#This Row],[Rentabilidad (%)]]/12</f>
        <v>0.0169505047211656</v>
      </c>
    </row>
    <row r="1945" customFormat="false" ht="14.25" hidden="false" customHeight="false" outlineLevel="0" collapsed="false">
      <c r="A1945" s="1" t="n">
        <v>41426</v>
      </c>
      <c r="B1945" s="2" t="s">
        <v>33</v>
      </c>
      <c r="C1945" s="3" t="n">
        <v>743075</v>
      </c>
      <c r="D1945" s="3" t="s">
        <v>31</v>
      </c>
      <c r="E1945" s="11" t="n">
        <f aca="false">IF(Tabla2[[#This Row],[Frecuencia]]="Annual", Tabla2[[#This Row],[Cosecha/Tarea]]/12,Tabla2[[#This Row],[Cosecha/Tarea]])</f>
        <v>61922.9166666667</v>
      </c>
      <c r="F1945" s="3" t="n">
        <v>174229</v>
      </c>
      <c r="G1945" s="2" t="s">
        <v>34</v>
      </c>
      <c r="H1945" s="2" t="n">
        <f aca="false">F1945/Tabla2[[#This Row],[Cosecha Mensual]]</f>
        <v>2.8136433065303</v>
      </c>
      <c r="I1945" s="2" t="n">
        <f aca="false">H1945*_xlfn.XLOOKUP(Tabla2[[#This Row],[Unidad de producción]],Tabla3[Medida],Tabla3[Equivalencia en Kg],"ELVIS",0)</f>
        <v>1148.38851556034</v>
      </c>
      <c r="J1945" s="2" t="n">
        <v>4392.73346938776</v>
      </c>
      <c r="K1945" s="2" t="s">
        <v>34</v>
      </c>
      <c r="L1945" s="2" t="n">
        <f aca="false">J1945/_xlfn.XLOOKUP(Tabla2[[#This Row],[Unidad de precio]],Tabla3[Medida],Tabla3[Equivalencia en Kg],"ELVIS",0)</f>
        <v>10.7625467827705</v>
      </c>
      <c r="M1945" s="3" t="n">
        <v>11461.3597912662</v>
      </c>
      <c r="N1945" s="3" t="n">
        <f aca="false">(Tabla2[[#This Row],[Productividad (kg/TAS)]]*Tabla2[[#This Row],[Precio por kg]]-Tabla2[[#This Row],[Costos (En RD$/Tarea)]])</f>
        <v>898.225332248278</v>
      </c>
      <c r="O1945" s="9" t="n">
        <f aca="false">IF(Tabla2[[#This Row],[Costos (En RD$/Tarea)]]=0,0,Tabla2[[#This Row],[Beneficio Neto  (En RD$/Tarea)]]/Tabla2[[#This Row],[Costos (En RD$/Tarea)]])</f>
        <v>0.0783698748321944</v>
      </c>
      <c r="P1945" s="7" t="n">
        <f aca="false">Tabla2[[#This Row],[Rentabilidad (%)]]/12</f>
        <v>0.00653082290268286</v>
      </c>
    </row>
    <row r="1946" customFormat="false" ht="14.25" hidden="false" customHeight="false" outlineLevel="0" collapsed="false">
      <c r="A1946" s="1" t="n">
        <v>41456</v>
      </c>
      <c r="B1946" s="2" t="s">
        <v>16</v>
      </c>
      <c r="C1946" s="3" t="n">
        <v>87491</v>
      </c>
      <c r="D1946" s="8" t="s">
        <v>17</v>
      </c>
      <c r="E1946" s="3" t="n">
        <f aca="false">IF(Tabla2[[#This Row],[Frecuencia]]="Annual", Tabla2[[#This Row],[Cosecha/Tarea]]/12,Tabla2[[#This Row],[Cosecha/Tarea]])</f>
        <v>87491</v>
      </c>
      <c r="F1946" s="3" t="n">
        <v>385104</v>
      </c>
      <c r="G1946" s="2" t="s">
        <v>18</v>
      </c>
      <c r="H1946" s="2" t="n">
        <f aca="false">F1946/Tabla2[[#This Row],[Cosecha Mensual]]</f>
        <v>4.40164131167777</v>
      </c>
      <c r="I1946" s="2" t="n">
        <f aca="false">H1946*_xlfn.XLOOKUP(Tabla2[[#This Row],[Unidad de producción]],Tabla3[Medida],Tabla3[Equivalencia en Kg],"ELVIS",0)</f>
        <v>199.658449897704</v>
      </c>
      <c r="J1946" s="2" t="n">
        <v>1877.294</v>
      </c>
      <c r="K1946" s="2" t="s">
        <v>19</v>
      </c>
      <c r="L1946" s="2" t="n">
        <f aca="false">J1946/_xlfn.XLOOKUP(Tabla2[[#This Row],[Unidad de precio]],Tabla3[Medida],Tabla3[Equivalencia en Kg],"ELVIS",0)</f>
        <v>17.0663090909091</v>
      </c>
      <c r="M1946" s="2" t="n">
        <v>7832.60797003155</v>
      </c>
      <c r="N1946" s="3" t="n">
        <f aca="false">(Tabla2[[#This Row],[Productividad (kg/TAS)]]*Tabla2[[#This Row],[Precio por kg]]-Tabla2[[#This Row],[Costos (En RD$/Tarea)]])</f>
        <v>-4425.17515146555</v>
      </c>
      <c r="O1946" s="9" t="n">
        <f aca="false">IF(Tabla2[[#This Row],[Costos (En RD$/Tarea)]]=0,0,Tabla2[[#This Row],[Beneficio Neto  (En RD$/Tarea)]]/Tabla2[[#This Row],[Costos (En RD$/Tarea)]])</f>
        <v>-0.564968292604044</v>
      </c>
      <c r="P1946" s="7" t="n">
        <f aca="false">Tabla2[[#This Row],[Rentabilidad (%)]]/12</f>
        <v>-0.047080691050337</v>
      </c>
    </row>
    <row r="1947" customFormat="false" ht="14.25" hidden="false" customHeight="false" outlineLevel="0" collapsed="false">
      <c r="A1947" s="1" t="n">
        <v>41456</v>
      </c>
      <c r="B1947" s="2" t="s">
        <v>20</v>
      </c>
      <c r="C1947" s="3" t="n">
        <v>34574</v>
      </c>
      <c r="D1947" s="8" t="s">
        <v>17</v>
      </c>
      <c r="E1947" s="3" t="n">
        <f aca="false">IF(Tabla2[[#This Row],[Frecuencia]]="Annual", Tabla2[[#This Row],[Cosecha/Tarea]]/12,Tabla2[[#This Row],[Cosecha/Tarea]])</f>
        <v>34574</v>
      </c>
      <c r="F1947" s="3" t="n">
        <v>87477</v>
      </c>
      <c r="G1947" s="2" t="s">
        <v>18</v>
      </c>
      <c r="H1947" s="2" t="n">
        <f aca="false">F1947/Tabla2[[#This Row],[Cosecha Mensual]]</f>
        <v>2.53013825417944</v>
      </c>
      <c r="I1947" s="2" t="n">
        <f aca="false">H1947*_xlfn.XLOOKUP(Tabla2[[#This Row],[Unidad de producción]],Tabla3[Medida],Tabla3[Equivalencia en Kg],"ELVIS",0)</f>
        <v>114.767071209579</v>
      </c>
      <c r="J1947" s="2" t="n">
        <v>768.611666666667</v>
      </c>
      <c r="K1947" s="2" t="s">
        <v>18</v>
      </c>
      <c r="L1947" s="2" t="n">
        <f aca="false">J1947/_xlfn.XLOOKUP(Tabla2[[#This Row],[Unidad de precio]],Tabla3[Medida],Tabla3[Equivalencia en Kg],"ELVIS",0)</f>
        <v>16.9447016460905</v>
      </c>
      <c r="M1947" s="2" t="n">
        <v>2208.926382</v>
      </c>
      <c r="N1947" s="3" t="n">
        <f aca="false">(Tabla2[[#This Row],[Productividad (kg/TAS)]]*Tabla2[[#This Row],[Precio por kg]]-Tabla2[[#This Row],[Costos (En RD$/Tarea)]])</f>
        <v>-264.232601558049</v>
      </c>
      <c r="O1947" s="9" t="n">
        <f aca="false">IF(Tabla2[[#This Row],[Costos (En RD$/Tarea)]]=0,0,Tabla2[[#This Row],[Beneficio Neto  (En RD$/Tarea)]]/Tabla2[[#This Row],[Costos (En RD$/Tarea)]])</f>
        <v>-0.119620374726481</v>
      </c>
      <c r="P1947" s="7" t="n">
        <f aca="false">Tabla2[[#This Row],[Rentabilidad (%)]]/12</f>
        <v>-0.00996836456054004</v>
      </c>
    </row>
    <row r="1948" customFormat="false" ht="14.25" hidden="false" customHeight="false" outlineLevel="0" collapsed="false">
      <c r="A1948" s="1" t="n">
        <v>41456</v>
      </c>
      <c r="B1948" s="2" t="s">
        <v>21</v>
      </c>
      <c r="C1948" s="3" t="n">
        <v>5586</v>
      </c>
      <c r="D1948" s="8" t="s">
        <v>17</v>
      </c>
      <c r="E1948" s="3" t="n">
        <f aca="false">IF(Tabla2[[#This Row],[Frecuencia]]="Annual", Tabla2[[#This Row],[Cosecha/Tarea]]/12,Tabla2[[#This Row],[Cosecha/Tarea]])</f>
        <v>5586</v>
      </c>
      <c r="F1948" s="3" t="n">
        <v>61945</v>
      </c>
      <c r="G1948" s="2" t="s">
        <v>18</v>
      </c>
      <c r="H1948" s="2" t="n">
        <f aca="false">F1948/Tabla2[[#This Row],[Cosecha Mensual]]</f>
        <v>11.0893304690297</v>
      </c>
      <c r="I1948" s="2" t="n">
        <f aca="false">H1948*_xlfn.XLOOKUP(Tabla2[[#This Row],[Unidad de producción]],Tabla3[Medida],Tabla3[Equivalencia en Kg],"ELVIS",0)</f>
        <v>503.012030075188</v>
      </c>
      <c r="J1948" s="2" t="n">
        <v>391.36407</v>
      </c>
      <c r="K1948" s="2" t="s">
        <v>18</v>
      </c>
      <c r="L1948" s="2" t="n">
        <f aca="false">J1948/_xlfn.XLOOKUP(Tabla2[[#This Row],[Unidad de precio]],Tabla3[Medida],Tabla3[Equivalencia en Kg],"ELVIS",0)</f>
        <v>8.62795568783069</v>
      </c>
      <c r="M1948" s="2" t="n">
        <v>4893.7504665</v>
      </c>
      <c r="N1948" s="3" t="n">
        <f aca="false">(Tabla2[[#This Row],[Productividad (kg/TAS)]]*Tabla2[[#This Row],[Precio por kg]]-Tabla2[[#This Row],[Costos (En RD$/Tarea)]])</f>
        <v>-553.78496056552</v>
      </c>
      <c r="O1948" s="9" t="n">
        <f aca="false">IF(Tabla2[[#This Row],[Costos (En RD$/Tarea)]]=0,0,Tabla2[[#This Row],[Beneficio Neto  (En RD$/Tarea)]]/Tabla2[[#This Row],[Costos (En RD$/Tarea)]])</f>
        <v>-0.113161666978412</v>
      </c>
      <c r="P1948" s="7" t="n">
        <f aca="false">Tabla2[[#This Row],[Rentabilidad (%)]]/12</f>
        <v>-0.00943013891486765</v>
      </c>
    </row>
    <row r="1949" customFormat="false" ht="14.25" hidden="false" customHeight="false" outlineLevel="0" collapsed="false">
      <c r="A1949" s="1" t="n">
        <v>41456</v>
      </c>
      <c r="B1949" s="2" t="s">
        <v>22</v>
      </c>
      <c r="C1949" s="3" t="n">
        <v>3113</v>
      </c>
      <c r="D1949" s="8" t="s">
        <v>17</v>
      </c>
      <c r="E1949" s="3" t="n">
        <f aca="false">IF(Tabla2[[#This Row],[Frecuencia]]="Annual", Tabla2[[#This Row],[Cosecha/Tarea]]/12,Tabla2[[#This Row],[Cosecha/Tarea]])</f>
        <v>3113</v>
      </c>
      <c r="F1949" s="3" t="n">
        <v>28403</v>
      </c>
      <c r="G1949" s="2" t="s">
        <v>18</v>
      </c>
      <c r="H1949" s="2" t="n">
        <f aca="false">F1949/Tabla2[[#This Row],[Cosecha Mensual]]</f>
        <v>9.12399614519756</v>
      </c>
      <c r="I1949" s="2" t="n">
        <f aca="false">H1949*_xlfn.XLOOKUP(Tabla2[[#This Row],[Unidad de producción]],Tabla3[Medida],Tabla3[Equivalencia en Kg],"ELVIS",0)</f>
        <v>413.864465146161</v>
      </c>
      <c r="J1949" s="2" t="n">
        <v>1221.5</v>
      </c>
      <c r="K1949" s="2" t="s">
        <v>18</v>
      </c>
      <c r="L1949" s="2" t="n">
        <f aca="false">J1949/_xlfn.XLOOKUP(Tabla2[[#This Row],[Unidad de precio]],Tabla3[Medida],Tabla3[Equivalencia en Kg],"ELVIS",0)</f>
        <v>26.929012345679</v>
      </c>
      <c r="M1949" s="2" t="n">
        <v>8667.0620736</v>
      </c>
      <c r="N1949" s="3" t="n">
        <f aca="false">(Tabla2[[#This Row],[Productividad (kg/TAS)]]*Tabla2[[#This Row],[Precio por kg]]-Tabla2[[#This Row],[Costos (En RD$/Tarea)]])</f>
        <v>2477.89921775882</v>
      </c>
      <c r="O1949" s="9" t="n">
        <f aca="false">IF(Tabla2[[#This Row],[Costos (En RD$/Tarea)]]=0,0,Tabla2[[#This Row],[Beneficio Neto  (En RD$/Tarea)]]/Tabla2[[#This Row],[Costos (En RD$/Tarea)]])</f>
        <v>0.285898404409325</v>
      </c>
      <c r="P1949" s="7" t="n">
        <f aca="false">Tabla2[[#This Row],[Rentabilidad (%)]]/12</f>
        <v>0.0238248670341104</v>
      </c>
    </row>
    <row r="1950" customFormat="false" ht="14.25" hidden="false" customHeight="false" outlineLevel="0" collapsed="false">
      <c r="A1950" s="1" t="n">
        <v>41456</v>
      </c>
      <c r="B1950" s="2" t="s">
        <v>23</v>
      </c>
      <c r="C1950" s="3" t="n">
        <v>4841</v>
      </c>
      <c r="D1950" s="8" t="s">
        <v>17</v>
      </c>
      <c r="E1950" s="3" t="n">
        <f aca="false">IF(Tabla2[[#This Row],[Frecuencia]]="Annual", Tabla2[[#This Row],[Cosecha/Tarea]]/12,Tabla2[[#This Row],[Cosecha/Tarea]])</f>
        <v>4841</v>
      </c>
      <c r="F1950" s="3" t="n">
        <v>187685</v>
      </c>
      <c r="G1950" s="2" t="s">
        <v>18</v>
      </c>
      <c r="H1950" s="2" t="n">
        <f aca="false">F1950/Tabla2[[#This Row],[Cosecha Mensual]]</f>
        <v>38.7698822557323</v>
      </c>
      <c r="I1950" s="2" t="n">
        <f aca="false">H1950*_xlfn.XLOOKUP(Tabla2[[#This Row],[Unidad de producción]],Tabla3[Medida],Tabla3[Equivalencia en Kg],"ELVIS",0)</f>
        <v>1758.60185912002</v>
      </c>
      <c r="J1950" s="2" t="n">
        <v>880</v>
      </c>
      <c r="K1950" s="2" t="s">
        <v>18</v>
      </c>
      <c r="L1950" s="2" t="n">
        <f aca="false">J1950/_xlfn.XLOOKUP(Tabla2[[#This Row],[Unidad de precio]],Tabla3[Medida],Tabla3[Equivalencia en Kg],"ELVIS",0)</f>
        <v>19.4003527336861</v>
      </c>
      <c r="M1950" s="2" t="n">
        <v>24550.1208184162</v>
      </c>
      <c r="N1950" s="3" t="n">
        <f aca="false">(Tabla2[[#This Row],[Productividad (kg/TAS)]]*Tabla2[[#This Row],[Precio por kg]]-Tabla2[[#This Row],[Costos (En RD$/Tarea)]])</f>
        <v>9567.37556662821</v>
      </c>
      <c r="O1950" s="9" t="n">
        <f aca="false">IF(Tabla2[[#This Row],[Costos (En RD$/Tarea)]]=0,0,Tabla2[[#This Row],[Beneficio Neto  (En RD$/Tarea)]]/Tabla2[[#This Row],[Costos (En RD$/Tarea)]])</f>
        <v>0.389707881170641</v>
      </c>
      <c r="P1950" s="7" t="n">
        <f aca="false">Tabla2[[#This Row],[Rentabilidad (%)]]/12</f>
        <v>0.0324756567642201</v>
      </c>
    </row>
    <row r="1951" customFormat="false" ht="14.25" hidden="false" customHeight="false" outlineLevel="0" collapsed="false">
      <c r="A1951" s="1" t="n">
        <v>41456</v>
      </c>
      <c r="B1951" s="2" t="s">
        <v>24</v>
      </c>
      <c r="C1951" s="3" t="n">
        <v>5771</v>
      </c>
      <c r="D1951" s="8" t="s">
        <v>17</v>
      </c>
      <c r="E1951" s="3" t="n">
        <f aca="false">IF(Tabla2[[#This Row],[Frecuencia]]="Annual", Tabla2[[#This Row],[Cosecha/Tarea]]/12,Tabla2[[#This Row],[Cosecha/Tarea]])</f>
        <v>5771</v>
      </c>
      <c r="F1951" s="3" t="n">
        <v>46142</v>
      </c>
      <c r="G1951" s="2" t="s">
        <v>18</v>
      </c>
      <c r="H1951" s="2" t="n">
        <f aca="false">F1951/Tabla2[[#This Row],[Cosecha Mensual]]</f>
        <v>7.99549471495408</v>
      </c>
      <c r="I1951" s="2" t="n">
        <f aca="false">H1951*_xlfn.XLOOKUP(Tabla2[[#This Row],[Unidad de producción]],Tabla3[Medida],Tabla3[Equivalencia en Kg],"ELVIS",0)</f>
        <v>362.675640270317</v>
      </c>
      <c r="J1951" s="2" t="n">
        <v>1773.5</v>
      </c>
      <c r="K1951" s="2" t="s">
        <v>18</v>
      </c>
      <c r="L1951" s="2" t="n">
        <f aca="false">J1951/_xlfn.XLOOKUP(Tabla2[[#This Row],[Unidad de precio]],Tabla3[Medida],Tabla3[Equivalencia en Kg],"ELVIS",0)</f>
        <v>39.0983245149912</v>
      </c>
      <c r="M1951" s="2" t="n">
        <v>8436.00230404646</v>
      </c>
      <c r="N1951" s="3" t="n">
        <f aca="false">(Tabla2[[#This Row],[Productividad (kg/TAS)]]*Tabla2[[#This Row],[Precio por kg]]-Tabla2[[#This Row],[Costos (En RD$/Tarea)]])</f>
        <v>5744.0075729246</v>
      </c>
      <c r="O1951" s="9" t="n">
        <f aca="false">IF(Tabla2[[#This Row],[Costos (En RD$/Tarea)]]=0,0,Tabla2[[#This Row],[Beneficio Neto  (En RD$/Tarea)]]/Tabla2[[#This Row],[Costos (En RD$/Tarea)]])</f>
        <v>0.680892129459163</v>
      </c>
      <c r="P1951" s="7" t="n">
        <f aca="false">Tabla2[[#This Row],[Rentabilidad (%)]]/12</f>
        <v>0.0567410107882636</v>
      </c>
    </row>
    <row r="1952" customFormat="false" ht="14.25" hidden="false" customHeight="false" outlineLevel="0" collapsed="false">
      <c r="A1952" s="1" t="n">
        <v>41456</v>
      </c>
      <c r="B1952" s="2" t="s">
        <v>25</v>
      </c>
      <c r="C1952" s="3" t="n">
        <v>21822</v>
      </c>
      <c r="D1952" s="8" t="s">
        <v>17</v>
      </c>
      <c r="E1952" s="3" t="n">
        <f aca="false">IF(Tabla2[[#This Row],[Frecuencia]]="Annual", Tabla2[[#This Row],[Cosecha/Tarea]]/12,Tabla2[[#This Row],[Cosecha/Tarea]])</f>
        <v>21822</v>
      </c>
      <c r="F1952" s="3" t="n">
        <v>224379</v>
      </c>
      <c r="G1952" s="2" t="s">
        <v>18</v>
      </c>
      <c r="H1952" s="2" t="n">
        <f aca="false">F1952/Tabla2[[#This Row],[Cosecha Mensual]]</f>
        <v>10.282238108331</v>
      </c>
      <c r="I1952" s="2" t="n">
        <f aca="false">H1952*_xlfn.XLOOKUP(Tabla2[[#This Row],[Unidad de producción]],Tabla3[Medida],Tabla3[Equivalencia en Kg],"ELVIS",0)</f>
        <v>466.402320593896</v>
      </c>
      <c r="J1952" s="2" t="n">
        <v>553.466666666667</v>
      </c>
      <c r="K1952" s="2" t="s">
        <v>18</v>
      </c>
      <c r="L1952" s="2" t="n">
        <f aca="false">J1952/_xlfn.XLOOKUP(Tabla2[[#This Row],[Unidad de precio]],Tabla3[Medida],Tabla3[Equivalencia en Kg],"ELVIS",0)</f>
        <v>12.201646090535</v>
      </c>
      <c r="M1952" s="2" t="n">
        <v>4461.19405275347</v>
      </c>
      <c r="N1952" s="3" t="n">
        <f aca="false">(Tabla2[[#This Row],[Productividad (kg/TAS)]]*Tabla2[[#This Row],[Precio por kg]]-Tabla2[[#This Row],[Costos (En RD$/Tarea)]])</f>
        <v>1229.68199893749</v>
      </c>
      <c r="O1952" s="9" t="n">
        <f aca="false">IF(Tabla2[[#This Row],[Costos (En RD$/Tarea)]]=0,0,Tabla2[[#This Row],[Beneficio Neto  (En RD$/Tarea)]]/Tabla2[[#This Row],[Costos (En RD$/Tarea)]])</f>
        <v>0.275639657095509</v>
      </c>
      <c r="P1952" s="7" t="n">
        <f aca="false">Tabla2[[#This Row],[Rentabilidad (%)]]/12</f>
        <v>0.0229699714246257</v>
      </c>
    </row>
    <row r="1953" customFormat="false" ht="14.25" hidden="false" customHeight="false" outlineLevel="0" collapsed="false">
      <c r="A1953" s="1" t="n">
        <v>41456</v>
      </c>
      <c r="B1953" s="2" t="s">
        <v>26</v>
      </c>
      <c r="C1953" s="3" t="n">
        <v>8258</v>
      </c>
      <c r="D1953" s="8" t="s">
        <v>17</v>
      </c>
      <c r="E1953" s="3" t="n">
        <f aca="false">IF(Tabla2[[#This Row],[Frecuencia]]="Annual", Tabla2[[#This Row],[Cosecha/Tarea]]/12,Tabla2[[#This Row],[Cosecha/Tarea]])</f>
        <v>8258</v>
      </c>
      <c r="F1953" s="3" t="n">
        <v>56151</v>
      </c>
      <c r="G1953" s="2" t="s">
        <v>18</v>
      </c>
      <c r="H1953" s="2" t="n">
        <f aca="false">F1953/Tabla2[[#This Row],[Cosecha Mensual]]</f>
        <v>6.79958827803342</v>
      </c>
      <c r="I1953" s="2" t="n">
        <f aca="false">H1953*_xlfn.XLOOKUP(Tabla2[[#This Row],[Unidad de producción]],Tabla3[Medida],Tabla3[Equivalencia en Kg],"ELVIS",0)</f>
        <v>308.429324291596</v>
      </c>
      <c r="J1953" s="2" t="n">
        <v>875.5</v>
      </c>
      <c r="K1953" s="2" t="s">
        <v>18</v>
      </c>
      <c r="L1953" s="2" t="n">
        <f aca="false">J1953/_xlfn.XLOOKUP(Tabla2[[#This Row],[Unidad de precio]],Tabla3[Medida],Tabla3[Equivalencia en Kg],"ELVIS",0)</f>
        <v>19.3011463844797</v>
      </c>
      <c r="M1953" s="2" t="n">
        <v>1856.821617</v>
      </c>
      <c r="N1953" s="3" t="n">
        <f aca="false">(Tabla2[[#This Row],[Productividad (kg/TAS)]]*Tabla2[[#This Row],[Precio por kg]]-Tabla2[[#This Row],[Costos (En RD$/Tarea)]])</f>
        <v>4096.21792041826</v>
      </c>
      <c r="O1953" s="9" t="n">
        <f aca="false">IF(Tabla2[[#This Row],[Costos (En RD$/Tarea)]]=0,0,Tabla2[[#This Row],[Beneficio Neto  (En RD$/Tarea)]]/Tabla2[[#This Row],[Costos (En RD$/Tarea)]])</f>
        <v>2.20603739363848</v>
      </c>
      <c r="P1953" s="7" t="n">
        <f aca="false">Tabla2[[#This Row],[Rentabilidad (%)]]/12</f>
        <v>0.183836449469873</v>
      </c>
    </row>
    <row r="1954" customFormat="false" ht="14.25" hidden="false" customHeight="false" outlineLevel="0" collapsed="false">
      <c r="A1954" s="1" t="n">
        <v>41456</v>
      </c>
      <c r="B1954" s="2" t="s">
        <v>27</v>
      </c>
      <c r="C1954" s="3" t="n">
        <v>5668</v>
      </c>
      <c r="D1954" s="8" t="s">
        <v>17</v>
      </c>
      <c r="E1954" s="3" t="n">
        <f aca="false">IF(Tabla2[[#This Row],[Frecuencia]]="Annual", Tabla2[[#This Row],[Cosecha/Tarea]]/12,Tabla2[[#This Row],[Cosecha/Tarea]])</f>
        <v>5668</v>
      </c>
      <c r="F1954" s="3" t="n">
        <v>49417</v>
      </c>
      <c r="G1954" s="2" t="s">
        <v>18</v>
      </c>
      <c r="H1954" s="2" t="n">
        <f aca="false">F1954/Tabla2[[#This Row],[Cosecha Mensual]]</f>
        <v>8.71859562455893</v>
      </c>
      <c r="I1954" s="2" t="n">
        <f aca="false">H1954*_xlfn.XLOOKUP(Tabla2[[#This Row],[Unidad de producción]],Tabla3[Medida],Tabla3[Equivalencia en Kg],"ELVIS",0)</f>
        <v>395.475497529993</v>
      </c>
      <c r="J1954" s="2" t="n">
        <v>565.091666666667</v>
      </c>
      <c r="K1954" s="2" t="s">
        <v>18</v>
      </c>
      <c r="L1954" s="2" t="n">
        <f aca="false">J1954/_xlfn.XLOOKUP(Tabla2[[#This Row],[Unidad de precio]],Tabla3[Medida],Tabla3[Equivalencia en Kg],"ELVIS",0)</f>
        <v>12.4579291593181</v>
      </c>
      <c r="M1954" s="2" t="n">
        <v>7498.499866956</v>
      </c>
      <c r="N1954" s="3" t="n">
        <f aca="false">(Tabla2[[#This Row],[Productividad (kg/TAS)]]*Tabla2[[#This Row],[Precio por kg]]-Tabla2[[#This Row],[Costos (En RD$/Tarea)]])</f>
        <v>-2571.69413448129</v>
      </c>
      <c r="O1954" s="9" t="n">
        <f aca="false">IF(Tabla2[[#This Row],[Costos (En RD$/Tarea)]]=0,0,Tabla2[[#This Row],[Beneficio Neto  (En RD$/Tarea)]]/Tabla2[[#This Row],[Costos (En RD$/Tarea)]])</f>
        <v>-0.342961149577943</v>
      </c>
      <c r="P1954" s="7" t="n">
        <f aca="false">Tabla2[[#This Row],[Rentabilidad (%)]]/12</f>
        <v>-0.0285800957981619</v>
      </c>
    </row>
    <row r="1955" customFormat="false" ht="14.25" hidden="false" customHeight="false" outlineLevel="0" collapsed="false">
      <c r="A1955" s="1" t="n">
        <v>41456</v>
      </c>
      <c r="B1955" s="2" t="s">
        <v>28</v>
      </c>
      <c r="C1955" s="3" t="n">
        <v>57184</v>
      </c>
      <c r="D1955" s="8" t="s">
        <v>17</v>
      </c>
      <c r="E1955" s="3" t="n">
        <f aca="false">IF(Tabla2[[#This Row],[Frecuencia]]="Annual", Tabla2[[#This Row],[Cosecha/Tarea]]/12,Tabla2[[#This Row],[Cosecha/Tarea]])</f>
        <v>57184</v>
      </c>
      <c r="F1955" s="3" t="n">
        <v>70330</v>
      </c>
      <c r="G1955" s="2" t="s">
        <v>29</v>
      </c>
      <c r="H1955" s="2" t="n">
        <f aca="false">F1955/Tabla2[[#This Row],[Cosecha Mensual]]</f>
        <v>1.22988947957471</v>
      </c>
      <c r="I1955" s="2" t="n">
        <f aca="false">H1955*_xlfn.XLOOKUP(Tabla2[[#This Row],[Unidad de producción]],Tabla3[Medida],Tabla3[Equivalencia en Kg],"ELVIS",0)</f>
        <v>691.61604994404</v>
      </c>
      <c r="J1955" s="2" t="n">
        <v>5062.5</v>
      </c>
      <c r="K1955" s="2" t="s">
        <v>29</v>
      </c>
      <c r="L1955" s="2" t="n">
        <f aca="false">J1955/_xlfn.XLOOKUP(Tabla2[[#This Row],[Unidad de precio]],Tabla3[Medida],Tabla3[Equivalencia en Kg],"ELVIS",0)</f>
        <v>9.00256072838496</v>
      </c>
      <c r="M1955" s="2" t="n">
        <v>6492.56103460413</v>
      </c>
      <c r="N1955" s="3" t="n">
        <f aca="false">(Tabla2[[#This Row],[Productividad (kg/TAS)]]*Tabla2[[#This Row],[Precio por kg]]-Tabla2[[#This Row],[Costos (En RD$/Tarea)]])</f>
        <v>-266.24554425718</v>
      </c>
      <c r="O1955" s="9" t="n">
        <f aca="false">IF(Tabla2[[#This Row],[Costos (En RD$/Tarea)]]=0,0,Tabla2[[#This Row],[Beneficio Neto  (En RD$/Tarea)]]/Tabla2[[#This Row],[Costos (En RD$/Tarea)]])</f>
        <v>-0.0410077845765548</v>
      </c>
      <c r="P1955" s="7" t="n">
        <f aca="false">Tabla2[[#This Row],[Rentabilidad (%)]]/12</f>
        <v>-0.00341731538137957</v>
      </c>
    </row>
    <row r="1956" customFormat="false" ht="14.25" hidden="false" customHeight="false" outlineLevel="0" collapsed="false">
      <c r="A1956" s="1" t="n">
        <v>41456</v>
      </c>
      <c r="B1956" s="2" t="s">
        <v>30</v>
      </c>
      <c r="C1956" s="3" t="n">
        <v>376872</v>
      </c>
      <c r="D1956" s="3" t="s">
        <v>31</v>
      </c>
      <c r="E1956" s="3" t="n">
        <f aca="false">IF(Tabla2[[#This Row],[Frecuencia]]="Annual", Tabla2[[#This Row],[Cosecha/Tarea]]/12,Tabla2[[#This Row],[Cosecha/Tarea]])</f>
        <v>31406</v>
      </c>
      <c r="F1956" s="3" t="n">
        <v>3493838</v>
      </c>
      <c r="G1956" s="2" t="s">
        <v>32</v>
      </c>
      <c r="H1956" s="2" t="n">
        <f aca="false">F1956/Tabla2[[#This Row],[Cosecha Mensual]]</f>
        <v>111.247468636566</v>
      </c>
      <c r="I1956" s="2" t="n">
        <f aca="false">H1956*_xlfn.XLOOKUP(Tabla2[[#This Row],[Unidad de producción]],Tabla3[Medida],Tabla3[Equivalencia en Kg],"ELVIS",0)</f>
        <v>3027.04362160097</v>
      </c>
      <c r="J1956" s="2" t="n">
        <v>142.388333333333</v>
      </c>
      <c r="K1956" s="2" t="s">
        <v>32</v>
      </c>
      <c r="L1956" s="2" t="n">
        <f aca="false">J1956/_xlfn.XLOOKUP(Tabla2[[#This Row],[Unidad de precio]],Tabla3[Medida],Tabla3[Equivalencia en Kg],"ELVIS",0)</f>
        <v>5.23294132059291</v>
      </c>
      <c r="M1956" s="3" t="n">
        <v>11852.2845542745</v>
      </c>
      <c r="N1956" s="3" t="n">
        <f aca="false">(Tabla2[[#This Row],[Productividad (kg/TAS)]]*Tabla2[[#This Row],[Precio por kg]]-Tabla2[[#This Row],[Costos (En RD$/Tarea)]])</f>
        <v>3988.05709243841</v>
      </c>
      <c r="O1956" s="9" t="n">
        <f aca="false">IF(Tabla2[[#This Row],[Costos (En RD$/Tarea)]]=0,0,Tabla2[[#This Row],[Beneficio Neto  (En RD$/Tarea)]]/Tabla2[[#This Row],[Costos (En RD$/Tarea)]])</f>
        <v>0.336480032535173</v>
      </c>
      <c r="P1956" s="7" t="n">
        <f aca="false">Tabla2[[#This Row],[Rentabilidad (%)]]/12</f>
        <v>0.0280400027112644</v>
      </c>
    </row>
    <row r="1957" customFormat="false" ht="14.25" hidden="false" customHeight="false" outlineLevel="0" collapsed="false">
      <c r="A1957" s="1" t="n">
        <v>41456</v>
      </c>
      <c r="B1957" s="2" t="s">
        <v>33</v>
      </c>
      <c r="C1957" s="3" t="n">
        <v>755524</v>
      </c>
      <c r="D1957" s="3" t="s">
        <v>31</v>
      </c>
      <c r="E1957" s="11" t="n">
        <f aca="false">IF(Tabla2[[#This Row],[Frecuencia]]="Annual", Tabla2[[#This Row],[Cosecha/Tarea]]/12,Tabla2[[#This Row],[Cosecha/Tarea]])</f>
        <v>62960.3333333333</v>
      </c>
      <c r="F1957" s="3" t="n">
        <v>198219</v>
      </c>
      <c r="G1957" s="2" t="s">
        <v>34</v>
      </c>
      <c r="H1957" s="2" t="n">
        <f aca="false">F1957/Tabla2[[#This Row],[Cosecha Mensual]]</f>
        <v>3.14831560612237</v>
      </c>
      <c r="I1957" s="2" t="n">
        <f aca="false">H1957*_xlfn.XLOOKUP(Tabla2[[#This Row],[Unidad de producción]],Tabla3[Medida],Tabla3[Equivalencia en Kg],"ELVIS",0)</f>
        <v>1284.98501463885</v>
      </c>
      <c r="J1957" s="2" t="n">
        <v>4450.695</v>
      </c>
      <c r="K1957" s="2" t="s">
        <v>34</v>
      </c>
      <c r="L1957" s="2" t="n">
        <f aca="false">J1957/_xlfn.XLOOKUP(Tabla2[[#This Row],[Unidad de precio]],Tabla3[Medida],Tabla3[Equivalencia en Kg],"ELVIS",0)</f>
        <v>10.9045571481073</v>
      </c>
      <c r="M1957" s="3" t="n">
        <v>11461.3597912662</v>
      </c>
      <c r="N1957" s="3" t="n">
        <f aca="false">(Tabla2[[#This Row],[Productividad (kg/TAS)]]*Tabla2[[#This Row],[Precio por kg]]-Tabla2[[#This Row],[Costos (En RD$/Tarea)]])</f>
        <v>2550.83273532462</v>
      </c>
      <c r="O1957" s="9" t="n">
        <f aca="false">IF(Tabla2[[#This Row],[Costos (En RD$/Tarea)]]=0,0,Tabla2[[#This Row],[Beneficio Neto  (En RD$/Tarea)]]/Tabla2[[#This Row],[Costos (En RD$/Tarea)]])</f>
        <v>0.222559345643124</v>
      </c>
      <c r="P1957" s="7" t="n">
        <f aca="false">Tabla2[[#This Row],[Rentabilidad (%)]]/12</f>
        <v>0.018546612136927</v>
      </c>
    </row>
    <row r="1958" customFormat="false" ht="14.25" hidden="false" customHeight="false" outlineLevel="0" collapsed="false">
      <c r="A1958" s="1" t="n">
        <v>41487</v>
      </c>
      <c r="B1958" s="2" t="s">
        <v>16</v>
      </c>
      <c r="C1958" s="3" t="n">
        <v>37378</v>
      </c>
      <c r="D1958" s="8" t="s">
        <v>17</v>
      </c>
      <c r="E1958" s="3" t="n">
        <f aca="false">IF(Tabla2[[#This Row],[Frecuencia]]="Annual", Tabla2[[#This Row],[Cosecha/Tarea]]/12,Tabla2[[#This Row],[Cosecha/Tarea]])</f>
        <v>37378</v>
      </c>
      <c r="F1958" s="3" t="n">
        <v>146833</v>
      </c>
      <c r="G1958" s="2" t="s">
        <v>18</v>
      </c>
      <c r="H1958" s="2" t="n">
        <f aca="false">F1958/Tabla2[[#This Row],[Cosecha Mensual]]</f>
        <v>3.92832682326502</v>
      </c>
      <c r="I1958" s="2" t="n">
        <f aca="false">H1958*_xlfn.XLOOKUP(Tabla2[[#This Row],[Unidad de producción]],Tabla3[Medida],Tabla3[Equivalencia en Kg],"ELVIS",0)</f>
        <v>178.188904703301</v>
      </c>
      <c r="J1958" s="2" t="n">
        <v>2260.5558955</v>
      </c>
      <c r="K1958" s="2" t="s">
        <v>19</v>
      </c>
      <c r="L1958" s="2" t="n">
        <f aca="false">J1958/_xlfn.XLOOKUP(Tabla2[[#This Row],[Unidad de precio]],Tabla3[Medida],Tabla3[Equivalencia en Kg],"ELVIS",0)</f>
        <v>20.5505081409091</v>
      </c>
      <c r="M1958" s="2" t="n">
        <v>7832.60797003155</v>
      </c>
      <c r="N1958" s="3" t="n">
        <f aca="false">(Tabla2[[#This Row],[Productividad (kg/TAS)]]*Tabla2[[#This Row],[Precio por kg]]-Tabla2[[#This Row],[Costos (En RD$/Tarea)]])</f>
        <v>-4170.73543330668</v>
      </c>
      <c r="O1958" s="9" t="n">
        <f aca="false">IF(Tabla2[[#This Row],[Costos (En RD$/Tarea)]]=0,0,Tabla2[[#This Row],[Beneficio Neto  (En RD$/Tarea)]]/Tabla2[[#This Row],[Costos (En RD$/Tarea)]])</f>
        <v>-0.532483618389225</v>
      </c>
      <c r="P1958" s="7" t="n">
        <f aca="false">Tabla2[[#This Row],[Rentabilidad (%)]]/12</f>
        <v>-0.0443736348657687</v>
      </c>
    </row>
    <row r="1959" customFormat="false" ht="14.25" hidden="false" customHeight="false" outlineLevel="0" collapsed="false">
      <c r="A1959" s="1" t="n">
        <v>41487</v>
      </c>
      <c r="B1959" s="2" t="s">
        <v>20</v>
      </c>
      <c r="C1959" s="3" t="n">
        <v>43738</v>
      </c>
      <c r="D1959" s="8" t="s">
        <v>17</v>
      </c>
      <c r="E1959" s="3" t="n">
        <f aca="false">IF(Tabla2[[#This Row],[Frecuencia]]="Annual", Tabla2[[#This Row],[Cosecha/Tarea]]/12,Tabla2[[#This Row],[Cosecha/Tarea]])</f>
        <v>43738</v>
      </c>
      <c r="F1959" s="3" t="n">
        <v>87537</v>
      </c>
      <c r="G1959" s="2" t="s">
        <v>18</v>
      </c>
      <c r="H1959" s="2" t="n">
        <f aca="false">F1959/Tabla2[[#This Row],[Cosecha Mensual]]</f>
        <v>2.00139466825186</v>
      </c>
      <c r="I1959" s="2" t="n">
        <f aca="false">H1959*_xlfn.XLOOKUP(Tabla2[[#This Row],[Unidad de producción]],Tabla3[Medida],Tabla3[Equivalencia en Kg],"ELVIS",0)</f>
        <v>90.7832621519045</v>
      </c>
      <c r="J1959" s="2" t="n">
        <v>786.270625</v>
      </c>
      <c r="K1959" s="2" t="s">
        <v>18</v>
      </c>
      <c r="L1959" s="2" t="n">
        <f aca="false">J1959/_xlfn.XLOOKUP(Tabla2[[#This Row],[Unidad de precio]],Tabla3[Medida],Tabla3[Equivalencia en Kg],"ELVIS",0)</f>
        <v>17.3340084876543</v>
      </c>
      <c r="M1959" s="2" t="n">
        <v>2208.926382</v>
      </c>
      <c r="N1959" s="3" t="n">
        <f aca="false">(Tabla2[[#This Row],[Productividad (kg/TAS)]]*Tabla2[[#This Row],[Precio por kg]]-Tabla2[[#This Row],[Costos (En RD$/Tarea)]])</f>
        <v>-635.28854532194</v>
      </c>
      <c r="O1959" s="9" t="n">
        <f aca="false">IF(Tabla2[[#This Row],[Costos (En RD$/Tarea)]]=0,0,Tabla2[[#This Row],[Beneficio Neto  (En RD$/Tarea)]]/Tabla2[[#This Row],[Costos (En RD$/Tarea)]])</f>
        <v>-0.287600596606003</v>
      </c>
      <c r="P1959" s="7" t="n">
        <f aca="false">Tabla2[[#This Row],[Rentabilidad (%)]]/12</f>
        <v>-0.0239667163838336</v>
      </c>
    </row>
    <row r="1960" customFormat="false" ht="14.25" hidden="false" customHeight="false" outlineLevel="0" collapsed="false">
      <c r="A1960" s="1" t="n">
        <v>41487</v>
      </c>
      <c r="B1960" s="2" t="s">
        <v>21</v>
      </c>
      <c r="C1960" s="3" t="n">
        <v>5716</v>
      </c>
      <c r="D1960" s="8" t="s">
        <v>17</v>
      </c>
      <c r="E1960" s="3" t="n">
        <f aca="false">IF(Tabla2[[#This Row],[Frecuencia]]="Annual", Tabla2[[#This Row],[Cosecha/Tarea]]/12,Tabla2[[#This Row],[Cosecha/Tarea]])</f>
        <v>5716</v>
      </c>
      <c r="F1960" s="3" t="n">
        <v>70708</v>
      </c>
      <c r="G1960" s="2" t="s">
        <v>18</v>
      </c>
      <c r="H1960" s="2" t="n">
        <f aca="false">F1960/Tabla2[[#This Row],[Cosecha Mensual]]</f>
        <v>12.370188943317</v>
      </c>
      <c r="I1960" s="2" t="n">
        <f aca="false">H1960*_xlfn.XLOOKUP(Tabla2[[#This Row],[Unidad de producción]],Tabla3[Medida],Tabla3[Equivalencia en Kg],"ELVIS",0)</f>
        <v>561.111770468859</v>
      </c>
      <c r="J1960" s="2" t="n">
        <v>524.400107142857</v>
      </c>
      <c r="K1960" s="2" t="s">
        <v>18</v>
      </c>
      <c r="L1960" s="2" t="n">
        <f aca="false">J1960/_xlfn.XLOOKUP(Tabla2[[#This Row],[Unidad de precio]],Tabla3[Medida],Tabla3[Equivalencia en Kg],"ELVIS",0)</f>
        <v>11.5608489229025</v>
      </c>
      <c r="M1960" s="2" t="n">
        <v>4893.7504665</v>
      </c>
      <c r="N1960" s="3" t="n">
        <f aca="false">(Tabla2[[#This Row],[Productividad (kg/TAS)]]*Tabla2[[#This Row],[Precio por kg]]-Tabla2[[#This Row],[Costos (En RD$/Tarea)]])</f>
        <v>1593.17794075282</v>
      </c>
      <c r="O1960" s="9" t="n">
        <f aca="false">IF(Tabla2[[#This Row],[Costos (En RD$/Tarea)]]=0,0,Tabla2[[#This Row],[Beneficio Neto  (En RD$/Tarea)]]/Tabla2[[#This Row],[Costos (En RD$/Tarea)]])</f>
        <v>0.325553571163644</v>
      </c>
      <c r="P1960" s="7" t="n">
        <f aca="false">Tabla2[[#This Row],[Rentabilidad (%)]]/12</f>
        <v>0.027129464263637</v>
      </c>
    </row>
    <row r="1961" customFormat="false" ht="14.25" hidden="false" customHeight="false" outlineLevel="0" collapsed="false">
      <c r="A1961" s="1" t="n">
        <v>41487</v>
      </c>
      <c r="B1961" s="2" t="s">
        <v>22</v>
      </c>
      <c r="C1961" s="3" t="n">
        <v>4681</v>
      </c>
      <c r="D1961" s="8" t="s">
        <v>17</v>
      </c>
      <c r="E1961" s="3" t="n">
        <f aca="false">IF(Tabla2[[#This Row],[Frecuencia]]="Annual", Tabla2[[#This Row],[Cosecha/Tarea]]/12,Tabla2[[#This Row],[Cosecha/Tarea]])</f>
        <v>4681</v>
      </c>
      <c r="F1961" s="3" t="n">
        <v>37636</v>
      </c>
      <c r="G1961" s="2" t="s">
        <v>18</v>
      </c>
      <c r="H1961" s="2" t="n">
        <f aca="false">F1961/Tabla2[[#This Row],[Cosecha Mensual]]</f>
        <v>8.04016235847041</v>
      </c>
      <c r="I1961" s="2" t="n">
        <f aca="false">H1961*_xlfn.XLOOKUP(Tabla2[[#This Row],[Unidad de producción]],Tabla3[Medida],Tabla3[Equivalencia en Kg],"ELVIS",0)</f>
        <v>364.701764580218</v>
      </c>
      <c r="J1961" s="2" t="n">
        <v>1019.8125</v>
      </c>
      <c r="K1961" s="2" t="s">
        <v>18</v>
      </c>
      <c r="L1961" s="2" t="n">
        <f aca="false">J1961/_xlfn.XLOOKUP(Tabla2[[#This Row],[Unidad de precio]],Tabla3[Medida],Tabla3[Equivalencia en Kg],"ELVIS",0)</f>
        <v>22.4826388888889</v>
      </c>
      <c r="M1961" s="2" t="n">
        <v>8667.0620736</v>
      </c>
      <c r="N1961" s="3" t="n">
        <f aca="false">(Tabla2[[#This Row],[Productividad (kg/TAS)]]*Tabla2[[#This Row],[Precio por kg]]-Tabla2[[#This Row],[Costos (En RD$/Tarea)]])</f>
        <v>-467.603998402392</v>
      </c>
      <c r="O1961" s="9" t="n">
        <f aca="false">IF(Tabla2[[#This Row],[Costos (En RD$/Tarea)]]=0,0,Tabla2[[#This Row],[Beneficio Neto  (En RD$/Tarea)]]/Tabla2[[#This Row],[Costos (En RD$/Tarea)]])</f>
        <v>-0.0539518460155859</v>
      </c>
      <c r="P1961" s="7" t="n">
        <f aca="false">Tabla2[[#This Row],[Rentabilidad (%)]]/12</f>
        <v>-0.00449598716796549</v>
      </c>
    </row>
    <row r="1962" customFormat="false" ht="14.25" hidden="false" customHeight="false" outlineLevel="0" collapsed="false">
      <c r="A1962" s="1" t="n">
        <v>41487</v>
      </c>
      <c r="B1962" s="2" t="s">
        <v>23</v>
      </c>
      <c r="C1962" s="3" t="n">
        <v>3578</v>
      </c>
      <c r="D1962" s="8" t="s">
        <v>17</v>
      </c>
      <c r="E1962" s="3" t="n">
        <f aca="false">IF(Tabla2[[#This Row],[Frecuencia]]="Annual", Tabla2[[#This Row],[Cosecha/Tarea]]/12,Tabla2[[#This Row],[Cosecha/Tarea]])</f>
        <v>3578</v>
      </c>
      <c r="F1962" s="3" t="n">
        <v>134472</v>
      </c>
      <c r="G1962" s="2" t="s">
        <v>18</v>
      </c>
      <c r="H1962" s="2" t="n">
        <f aca="false">F1962/Tabla2[[#This Row],[Cosecha Mensual]]</f>
        <v>37.5830072666294</v>
      </c>
      <c r="I1962" s="2" t="n">
        <f aca="false">H1962*_xlfn.XLOOKUP(Tabla2[[#This Row],[Unidad de producción]],Tabla3[Medida],Tabla3[Equivalencia en Kg],"ELVIS",0)</f>
        <v>1704.76520961431</v>
      </c>
      <c r="J1962" s="2" t="n">
        <v>787.5</v>
      </c>
      <c r="K1962" s="2" t="s">
        <v>18</v>
      </c>
      <c r="L1962" s="2" t="n">
        <f aca="false">J1962/_xlfn.XLOOKUP(Tabla2[[#This Row],[Unidad de precio]],Tabla3[Medida],Tabla3[Equivalencia en Kg],"ELVIS",0)</f>
        <v>17.3611111111111</v>
      </c>
      <c r="M1962" s="2" t="n">
        <v>24550.1208184162</v>
      </c>
      <c r="N1962" s="3" t="n">
        <f aca="false">(Tabla2[[#This Row],[Productividad (kg/TAS)]]*Tabla2[[#This Row],[Precio por kg]]-Tabla2[[#This Row],[Costos (En RD$/Tarea)]])</f>
        <v>5046.49740405446</v>
      </c>
      <c r="O1962" s="9" t="n">
        <f aca="false">IF(Tabla2[[#This Row],[Costos (En RD$/Tarea)]]=0,0,Tabla2[[#This Row],[Beneficio Neto  (En RD$/Tarea)]]/Tabla2[[#This Row],[Costos (En RD$/Tarea)]])</f>
        <v>0.205558964103706</v>
      </c>
      <c r="P1962" s="7" t="n">
        <f aca="false">Tabla2[[#This Row],[Rentabilidad (%)]]/12</f>
        <v>0.0171299136753088</v>
      </c>
    </row>
    <row r="1963" customFormat="false" ht="14.25" hidden="false" customHeight="false" outlineLevel="0" collapsed="false">
      <c r="A1963" s="1" t="n">
        <v>41487</v>
      </c>
      <c r="B1963" s="2" t="s">
        <v>24</v>
      </c>
      <c r="C1963" s="3" t="n">
        <v>4392</v>
      </c>
      <c r="D1963" s="8" t="s">
        <v>17</v>
      </c>
      <c r="E1963" s="3" t="n">
        <f aca="false">IF(Tabla2[[#This Row],[Frecuencia]]="Annual", Tabla2[[#This Row],[Cosecha/Tarea]]/12,Tabla2[[#This Row],[Cosecha/Tarea]])</f>
        <v>4392</v>
      </c>
      <c r="F1963" s="3" t="n">
        <v>50468</v>
      </c>
      <c r="G1963" s="2" t="s">
        <v>18</v>
      </c>
      <c r="H1963" s="2" t="n">
        <f aca="false">F1963/Tabla2[[#This Row],[Cosecha Mensual]]</f>
        <v>11.4908925318761</v>
      </c>
      <c r="I1963" s="2" t="n">
        <f aca="false">H1963*_xlfn.XLOOKUP(Tabla2[[#This Row],[Unidad de producción]],Tabla3[Medida],Tabla3[Equivalencia en Kg],"ELVIS",0)</f>
        <v>521.226885245902</v>
      </c>
      <c r="J1963" s="2" t="n">
        <v>1821</v>
      </c>
      <c r="K1963" s="2" t="s">
        <v>18</v>
      </c>
      <c r="L1963" s="2" t="n">
        <f aca="false">J1963/_xlfn.XLOOKUP(Tabla2[[#This Row],[Unidad de precio]],Tabla3[Medida],Tabla3[Equivalencia en Kg],"ELVIS",0)</f>
        <v>40.1455026455026</v>
      </c>
      <c r="M1963" s="2" t="n">
        <v>8436.00230404646</v>
      </c>
      <c r="N1963" s="3" t="n">
        <f aca="false">(Tabla2[[#This Row],[Productividad (kg/TAS)]]*Tabla2[[#This Row],[Precio por kg]]-Tabla2[[#This Row],[Costos (En RD$/Tarea)]])</f>
        <v>12488.9129965</v>
      </c>
      <c r="O1963" s="9" t="n">
        <f aca="false">IF(Tabla2[[#This Row],[Costos (En RD$/Tarea)]]=0,0,Tabla2[[#This Row],[Beneficio Neto  (En RD$/Tarea)]]/Tabla2[[#This Row],[Costos (En RD$/Tarea)]])</f>
        <v>1.48043024958747</v>
      </c>
      <c r="P1963" s="7" t="n">
        <f aca="false">Tabla2[[#This Row],[Rentabilidad (%)]]/12</f>
        <v>0.123369187465623</v>
      </c>
    </row>
    <row r="1964" customFormat="false" ht="14.25" hidden="false" customHeight="false" outlineLevel="0" collapsed="false">
      <c r="A1964" s="1" t="n">
        <v>41487</v>
      </c>
      <c r="B1964" s="2" t="s">
        <v>25</v>
      </c>
      <c r="C1964" s="3" t="n">
        <v>29111</v>
      </c>
      <c r="D1964" s="8" t="s">
        <v>17</v>
      </c>
      <c r="E1964" s="3" t="n">
        <f aca="false">IF(Tabla2[[#This Row],[Frecuencia]]="Annual", Tabla2[[#This Row],[Cosecha/Tarea]]/12,Tabla2[[#This Row],[Cosecha/Tarea]])</f>
        <v>29111</v>
      </c>
      <c r="F1964" s="3" t="n">
        <v>322849</v>
      </c>
      <c r="G1964" s="2" t="s">
        <v>18</v>
      </c>
      <c r="H1964" s="2" t="n">
        <f aca="false">F1964/Tabla2[[#This Row],[Cosecha Mensual]]</f>
        <v>11.090275153722</v>
      </c>
      <c r="I1964" s="2" t="n">
        <f aca="false">H1964*_xlfn.XLOOKUP(Tabla2[[#This Row],[Unidad de producción]],Tabla3[Medida],Tabla3[Equivalencia en Kg],"ELVIS",0)</f>
        <v>503.054880972828</v>
      </c>
      <c r="J1964" s="2" t="n">
        <v>471.59975</v>
      </c>
      <c r="K1964" s="2" t="s">
        <v>18</v>
      </c>
      <c r="L1964" s="2" t="n">
        <f aca="false">J1964/_xlfn.XLOOKUP(Tabla2[[#This Row],[Unidad de precio]],Tabla3[Medida],Tabla3[Equivalencia en Kg],"ELVIS",0)</f>
        <v>10.3968198853616</v>
      </c>
      <c r="M1964" s="2" t="n">
        <v>4461.19405275347</v>
      </c>
      <c r="N1964" s="3" t="n">
        <f aca="false">(Tabla2[[#This Row],[Productividad (kg/TAS)]]*Tabla2[[#This Row],[Precio por kg]]-Tabla2[[#This Row],[Costos (En RD$/Tarea)]])</f>
        <v>768.976937173019</v>
      </c>
      <c r="O1964" s="9" t="n">
        <f aca="false">IF(Tabla2[[#This Row],[Costos (En RD$/Tarea)]]=0,0,Tabla2[[#This Row],[Beneficio Neto  (En RD$/Tarea)]]/Tabla2[[#This Row],[Costos (En RD$/Tarea)]])</f>
        <v>0.17237020584173</v>
      </c>
      <c r="P1964" s="7" t="n">
        <f aca="false">Tabla2[[#This Row],[Rentabilidad (%)]]/12</f>
        <v>0.0143641838201442</v>
      </c>
    </row>
    <row r="1965" customFormat="false" ht="14.25" hidden="false" customHeight="false" outlineLevel="0" collapsed="false">
      <c r="A1965" s="1" t="n">
        <v>41487</v>
      </c>
      <c r="B1965" s="2" t="s">
        <v>26</v>
      </c>
      <c r="C1965" s="3" t="n">
        <v>10329</v>
      </c>
      <c r="D1965" s="8" t="s">
        <v>17</v>
      </c>
      <c r="E1965" s="3" t="n">
        <f aca="false">IF(Tabla2[[#This Row],[Frecuencia]]="Annual", Tabla2[[#This Row],[Cosecha/Tarea]]/12,Tabla2[[#This Row],[Cosecha/Tarea]])</f>
        <v>10329</v>
      </c>
      <c r="F1965" s="3" t="n">
        <v>66535</v>
      </c>
      <c r="G1965" s="2" t="s">
        <v>18</v>
      </c>
      <c r="H1965" s="2" t="n">
        <f aca="false">F1965/Tabla2[[#This Row],[Cosecha Mensual]]</f>
        <v>6.4415722722432</v>
      </c>
      <c r="I1965" s="2" t="n">
        <f aca="false">H1965*_xlfn.XLOOKUP(Tabla2[[#This Row],[Unidad de producción]],Tabla3[Medida],Tabla3[Equivalencia en Kg],"ELVIS",0)</f>
        <v>292.189718268952</v>
      </c>
      <c r="J1965" s="2" t="n">
        <v>684.655</v>
      </c>
      <c r="K1965" s="2" t="s">
        <v>18</v>
      </c>
      <c r="L1965" s="2" t="n">
        <f aca="false">J1965/_xlfn.XLOOKUP(Tabla2[[#This Row],[Unidad de precio]],Tabla3[Medida],Tabla3[Equivalencia en Kg],"ELVIS",0)</f>
        <v>15.0938051146384</v>
      </c>
      <c r="M1965" s="2" t="n">
        <v>1856.821617</v>
      </c>
      <c r="N1965" s="3" t="n">
        <f aca="false">(Tabla2[[#This Row],[Productividad (kg/TAS)]]*Tabla2[[#This Row],[Precio por kg]]-Tabla2[[#This Row],[Costos (En RD$/Tarea)]])</f>
        <v>2553.43304705267</v>
      </c>
      <c r="O1965" s="9" t="n">
        <f aca="false">IF(Tabla2[[#This Row],[Costos (En RD$/Tarea)]]=0,0,Tabla2[[#This Row],[Beneficio Neto  (En RD$/Tarea)]]/Tabla2[[#This Row],[Costos (En RD$/Tarea)]])</f>
        <v>1.37516335639078</v>
      </c>
      <c r="P1965" s="7" t="n">
        <f aca="false">Tabla2[[#This Row],[Rentabilidad (%)]]/12</f>
        <v>0.114596946365898</v>
      </c>
    </row>
    <row r="1966" customFormat="false" ht="14.25" hidden="false" customHeight="false" outlineLevel="0" collapsed="false">
      <c r="A1966" s="1" t="n">
        <v>41487</v>
      </c>
      <c r="B1966" s="2" t="s">
        <v>27</v>
      </c>
      <c r="C1966" s="3" t="n">
        <v>4954</v>
      </c>
      <c r="D1966" s="8" t="s">
        <v>17</v>
      </c>
      <c r="E1966" s="3" t="n">
        <f aca="false">IF(Tabla2[[#This Row],[Frecuencia]]="Annual", Tabla2[[#This Row],[Cosecha/Tarea]]/12,Tabla2[[#This Row],[Cosecha/Tarea]])</f>
        <v>4954</v>
      </c>
      <c r="F1966" s="3" t="n">
        <v>44324</v>
      </c>
      <c r="G1966" s="2" t="s">
        <v>18</v>
      </c>
      <c r="H1966" s="2" t="n">
        <f aca="false">F1966/Tabla2[[#This Row],[Cosecha Mensual]]</f>
        <v>8.94711344368187</v>
      </c>
      <c r="I1966" s="2" t="n">
        <f aca="false">H1966*_xlfn.XLOOKUP(Tabla2[[#This Row],[Unidad de producción]],Tabla3[Medida],Tabla3[Equivalencia en Kg],"ELVIS",0)</f>
        <v>405.84106580541</v>
      </c>
      <c r="J1966" s="2" t="n">
        <v>699.262875</v>
      </c>
      <c r="K1966" s="2" t="s">
        <v>18</v>
      </c>
      <c r="L1966" s="2" t="n">
        <f aca="false">J1966/_xlfn.XLOOKUP(Tabla2[[#This Row],[Unidad de precio]],Tabla3[Medida],Tabla3[Equivalencia en Kg],"ELVIS",0)</f>
        <v>15.4158482142857</v>
      </c>
      <c r="M1966" s="2" t="n">
        <v>7498.499866956</v>
      </c>
      <c r="N1966" s="3" t="n">
        <f aca="false">(Tabla2[[#This Row],[Productividad (kg/TAS)]]*Tabla2[[#This Row],[Precio por kg]]-Tabla2[[#This Row],[Costos (En RD$/Tarea)]])</f>
        <v>-1242.11559737586</v>
      </c>
      <c r="O1966" s="9" t="n">
        <f aca="false">IF(Tabla2[[#This Row],[Costos (En RD$/Tarea)]]=0,0,Tabla2[[#This Row],[Beneficio Neto  (En RD$/Tarea)]]/Tabla2[[#This Row],[Costos (En RD$/Tarea)]])</f>
        <v>-0.165648545631047</v>
      </c>
      <c r="P1966" s="7" t="n">
        <f aca="false">Tabla2[[#This Row],[Rentabilidad (%)]]/12</f>
        <v>-0.0138040454692539</v>
      </c>
    </row>
    <row r="1967" customFormat="false" ht="14.25" hidden="false" customHeight="false" outlineLevel="0" collapsed="false">
      <c r="A1967" s="1" t="n">
        <v>41487</v>
      </c>
      <c r="B1967" s="2" t="s">
        <v>28</v>
      </c>
      <c r="C1967" s="3" t="n">
        <v>70345</v>
      </c>
      <c r="D1967" s="8" t="s">
        <v>17</v>
      </c>
      <c r="E1967" s="3" t="n">
        <f aca="false">IF(Tabla2[[#This Row],[Frecuencia]]="Annual", Tabla2[[#This Row],[Cosecha/Tarea]]/12,Tabla2[[#This Row],[Cosecha/Tarea]])</f>
        <v>70345</v>
      </c>
      <c r="F1967" s="3" t="n">
        <v>165120</v>
      </c>
      <c r="G1967" s="2" t="s">
        <v>29</v>
      </c>
      <c r="H1967" s="2" t="n">
        <f aca="false">F1967/Tabla2[[#This Row],[Cosecha Mensual]]</f>
        <v>2.3472883644893</v>
      </c>
      <c r="I1967" s="2" t="n">
        <f aca="false">H1967*_xlfn.XLOOKUP(Tabla2[[#This Row],[Unidad de producción]],Tabla3[Medida],Tabla3[Equivalencia en Kg],"ELVIS",0)</f>
        <v>1319.97413888691</v>
      </c>
      <c r="J1967" s="2" t="n">
        <v>4483.55357142857</v>
      </c>
      <c r="K1967" s="2" t="s">
        <v>29</v>
      </c>
      <c r="L1967" s="2" t="n">
        <f aca="false">J1967/_xlfn.XLOOKUP(Tabla2[[#This Row],[Unidad de precio]],Tabla3[Medida],Tabla3[Equivalencia en Kg],"ELVIS",0)</f>
        <v>7.97302978879071</v>
      </c>
      <c r="M1967" s="2" t="n">
        <v>6492.56103460413</v>
      </c>
      <c r="N1967" s="3" t="n">
        <f aca="false">(Tabla2[[#This Row],[Productividad (kg/TAS)]]*Tabla2[[#This Row],[Precio por kg]]-Tabla2[[#This Row],[Costos (En RD$/Tarea)]])</f>
        <v>4031.63209517461</v>
      </c>
      <c r="O1967" s="9" t="n">
        <f aca="false">IF(Tabla2[[#This Row],[Costos (En RD$/Tarea)]]=0,0,Tabla2[[#This Row],[Beneficio Neto  (En RD$/Tarea)]]/Tabla2[[#This Row],[Costos (En RD$/Tarea)]])</f>
        <v>0.620961755105076</v>
      </c>
      <c r="P1967" s="7" t="n">
        <f aca="false">Tabla2[[#This Row],[Rentabilidad (%)]]/12</f>
        <v>0.051746812925423</v>
      </c>
    </row>
    <row r="1968" customFormat="false" ht="14.25" hidden="false" customHeight="false" outlineLevel="0" collapsed="false">
      <c r="A1968" s="1" t="n">
        <v>41487</v>
      </c>
      <c r="B1968" s="2" t="s">
        <v>30</v>
      </c>
      <c r="C1968" s="3" t="n">
        <v>397890</v>
      </c>
      <c r="D1968" s="3" t="s">
        <v>31</v>
      </c>
      <c r="E1968" s="3" t="n">
        <f aca="false">IF(Tabla2[[#This Row],[Frecuencia]]="Annual", Tabla2[[#This Row],[Cosecha/Tarea]]/12,Tabla2[[#This Row],[Cosecha/Tarea]])</f>
        <v>33157.5</v>
      </c>
      <c r="F1968" s="3" t="n">
        <v>3356233</v>
      </c>
      <c r="G1968" s="2" t="s">
        <v>32</v>
      </c>
      <c r="H1968" s="2" t="n">
        <f aca="false">F1968/Tabla2[[#This Row],[Cosecha Mensual]]</f>
        <v>101.220930407902</v>
      </c>
      <c r="I1968" s="2" t="n">
        <f aca="false">H1968*_xlfn.XLOOKUP(Tabla2[[#This Row],[Unidad de producción]],Tabla3[Medida],Tabla3[Equivalencia en Kg],"ELVIS",0)</f>
        <v>2754.221516399</v>
      </c>
      <c r="J1968" s="2" t="n">
        <v>140.964642857143</v>
      </c>
      <c r="K1968" s="2" t="s">
        <v>32</v>
      </c>
      <c r="L1968" s="2" t="n">
        <f aca="false">J1968/_xlfn.XLOOKUP(Tabla2[[#This Row],[Unidad de precio]],Tabla3[Medida],Tabla3[Equivalencia en Kg],"ELVIS",0)</f>
        <v>5.18061899511735</v>
      </c>
      <c r="M1968" s="3" t="n">
        <v>11852.2845542745</v>
      </c>
      <c r="N1968" s="3" t="n">
        <f aca="false">(Tabla2[[#This Row],[Productividad (kg/TAS)]]*Tabla2[[#This Row],[Precio por kg]]-Tabla2[[#This Row],[Costos (En RD$/Tarea)]])</f>
        <v>2416.28775034308</v>
      </c>
      <c r="O1968" s="9" t="n">
        <f aca="false">IF(Tabla2[[#This Row],[Costos (En RD$/Tarea)]]=0,0,Tabla2[[#This Row],[Beneficio Neto  (En RD$/Tarea)]]/Tabla2[[#This Row],[Costos (En RD$/Tarea)]])</f>
        <v>0.203866835906471</v>
      </c>
      <c r="P1968" s="7" t="n">
        <f aca="false">Tabla2[[#This Row],[Rentabilidad (%)]]/12</f>
        <v>0.0169889029922059</v>
      </c>
    </row>
    <row r="1969" customFormat="false" ht="14.25" hidden="false" customHeight="false" outlineLevel="0" collapsed="false">
      <c r="A1969" s="1" t="n">
        <v>41487</v>
      </c>
      <c r="B1969" s="2" t="s">
        <v>33</v>
      </c>
      <c r="C1969" s="3" t="n">
        <v>775538</v>
      </c>
      <c r="D1969" s="3" t="s">
        <v>31</v>
      </c>
      <c r="E1969" s="11" t="n">
        <f aca="false">IF(Tabla2[[#This Row],[Frecuencia]]="Annual", Tabla2[[#This Row],[Cosecha/Tarea]]/12,Tabla2[[#This Row],[Cosecha/Tarea]])</f>
        <v>64628.1666666667</v>
      </c>
      <c r="F1969" s="3" t="n">
        <v>235605</v>
      </c>
      <c r="G1969" s="2" t="s">
        <v>34</v>
      </c>
      <c r="H1969" s="2" t="n">
        <f aca="false">F1969/Tabla2[[#This Row],[Cosecha Mensual]]</f>
        <v>3.64554670435233</v>
      </c>
      <c r="I1969" s="2" t="n">
        <f aca="false">H1969*_xlfn.XLOOKUP(Tabla2[[#This Row],[Unidad de producción]],Tabla3[Medida],Tabla3[Equivalencia en Kg],"ELVIS",0)</f>
        <v>1487.92988738141</v>
      </c>
      <c r="J1969" s="2" t="n">
        <v>4343.41714285714</v>
      </c>
      <c r="K1969" s="2" t="s">
        <v>34</v>
      </c>
      <c r="L1969" s="2" t="n">
        <f aca="false">J1969/_xlfn.XLOOKUP(Tabla2[[#This Row],[Unidad de precio]],Tabla3[Medida],Tabla3[Equivalencia en Kg],"ELVIS",0)</f>
        <v>10.6417178558303</v>
      </c>
      <c r="M1969" s="3" t="n">
        <v>11461.3597912662</v>
      </c>
      <c r="N1969" s="3" t="n">
        <f aca="false">(Tabla2[[#This Row],[Productividad (kg/TAS)]]*Tabla2[[#This Row],[Precio por kg]]-Tabla2[[#This Row],[Costos (En RD$/Tarea)]])</f>
        <v>4372.77025950408</v>
      </c>
      <c r="O1969" s="9" t="n">
        <f aca="false">IF(Tabla2[[#This Row],[Costos (En RD$/Tarea)]]=0,0,Tabla2[[#This Row],[Beneficio Neto  (En RD$/Tarea)]]/Tabla2[[#This Row],[Costos (En RD$/Tarea)]])</f>
        <v>0.381522815716528</v>
      </c>
      <c r="P1969" s="7" t="n">
        <f aca="false">Tabla2[[#This Row],[Rentabilidad (%)]]/12</f>
        <v>0.0317935679763773</v>
      </c>
    </row>
    <row r="1970" customFormat="false" ht="14.25" hidden="false" customHeight="false" outlineLevel="0" collapsed="false">
      <c r="A1970" s="1" t="n">
        <v>41518</v>
      </c>
      <c r="B1970" s="2" t="s">
        <v>16</v>
      </c>
      <c r="C1970" s="3" t="n">
        <v>168161</v>
      </c>
      <c r="D1970" s="8" t="s">
        <v>17</v>
      </c>
      <c r="E1970" s="3" t="n">
        <f aca="false">IF(Tabla2[[#This Row],[Frecuencia]]="Annual", Tabla2[[#This Row],[Cosecha/Tarea]]/12,Tabla2[[#This Row],[Cosecha/Tarea]])</f>
        <v>168161</v>
      </c>
      <c r="F1970" s="3" t="n">
        <v>737298</v>
      </c>
      <c r="G1970" s="2" t="s">
        <v>18</v>
      </c>
      <c r="H1970" s="2" t="n">
        <f aca="false">F1970/Tabla2[[#This Row],[Cosecha Mensual]]</f>
        <v>4.38447678117994</v>
      </c>
      <c r="I1970" s="2" t="n">
        <f aca="false">H1970*_xlfn.XLOOKUP(Tabla2[[#This Row],[Unidad de producción]],Tabla3[Medida],Tabla3[Equivalencia en Kg],"ELVIS",0)</f>
        <v>198.879866794322</v>
      </c>
      <c r="J1970" s="2" t="n">
        <v>1880.61931966667</v>
      </c>
      <c r="K1970" s="2" t="s">
        <v>19</v>
      </c>
      <c r="L1970" s="2" t="n">
        <f aca="false">J1970/_xlfn.XLOOKUP(Tabla2[[#This Row],[Unidad de precio]],Tabla3[Medida],Tabla3[Equivalencia en Kg],"ELVIS",0)</f>
        <v>17.096539269697</v>
      </c>
      <c r="M1970" s="2" t="n">
        <v>7832.60797003155</v>
      </c>
      <c r="N1970" s="3" t="n">
        <f aca="false">(Tabla2[[#This Row],[Productividad (kg/TAS)]]*Tabla2[[#This Row],[Precio por kg]]-Tabla2[[#This Row],[Costos (En RD$/Tarea)]])</f>
        <v>-4432.45051743031</v>
      </c>
      <c r="O1970" s="9" t="n">
        <f aca="false">IF(Tabla2[[#This Row],[Costos (En RD$/Tarea)]]=0,0,Tabla2[[#This Row],[Beneficio Neto  (En RD$/Tarea)]]/Tabla2[[#This Row],[Costos (En RD$/Tarea)]])</f>
        <v>-0.565897148738884</v>
      </c>
      <c r="P1970" s="7" t="n">
        <f aca="false">Tabla2[[#This Row],[Rentabilidad (%)]]/12</f>
        <v>-0.0471580957282404</v>
      </c>
    </row>
    <row r="1971" customFormat="false" ht="14.25" hidden="false" customHeight="false" outlineLevel="0" collapsed="false">
      <c r="A1971" s="1" t="n">
        <v>41518</v>
      </c>
      <c r="B1971" s="2" t="s">
        <v>20</v>
      </c>
      <c r="C1971" s="3" t="n">
        <v>55653</v>
      </c>
      <c r="D1971" s="8" t="s">
        <v>17</v>
      </c>
      <c r="E1971" s="3" t="n">
        <f aca="false">IF(Tabla2[[#This Row],[Frecuencia]]="Annual", Tabla2[[#This Row],[Cosecha/Tarea]]/12,Tabla2[[#This Row],[Cosecha/Tarea]])</f>
        <v>55653</v>
      </c>
      <c r="F1971" s="3" t="n">
        <v>106427</v>
      </c>
      <c r="G1971" s="2" t="s">
        <v>18</v>
      </c>
      <c r="H1971" s="2" t="n">
        <f aca="false">F1971/Tabla2[[#This Row],[Cosecha Mensual]]</f>
        <v>1.91233177007529</v>
      </c>
      <c r="I1971" s="2" t="n">
        <f aca="false">H1971*_xlfn.XLOOKUP(Tabla2[[#This Row],[Unidad de producción]],Tabla3[Medida],Tabla3[Equivalencia en Kg],"ELVIS",0)</f>
        <v>86.7433690906151</v>
      </c>
      <c r="J1971" s="2" t="n">
        <v>721.971666666667</v>
      </c>
      <c r="K1971" s="2" t="s">
        <v>18</v>
      </c>
      <c r="L1971" s="2" t="n">
        <f aca="false">J1971/_xlfn.XLOOKUP(Tabla2[[#This Row],[Unidad de precio]],Tabla3[Medida],Tabla3[Equivalencia en Kg],"ELVIS",0)</f>
        <v>15.9164829512052</v>
      </c>
      <c r="M1971" s="2" t="n">
        <v>2208.926382</v>
      </c>
      <c r="N1971" s="3" t="n">
        <f aca="false">(Tabla2[[#This Row],[Productividad (kg/TAS)]]*Tabla2[[#This Row],[Precio por kg]]-Tabla2[[#This Row],[Costos (En RD$/Tarea)]])</f>
        <v>-828.277026739127</v>
      </c>
      <c r="O1971" s="9" t="n">
        <f aca="false">IF(Tabla2[[#This Row],[Costos (En RD$/Tarea)]]=0,0,Tabla2[[#This Row],[Beneficio Neto  (En RD$/Tarea)]]/Tabla2[[#This Row],[Costos (En RD$/Tarea)]])</f>
        <v>-0.374968144474417</v>
      </c>
      <c r="P1971" s="7" t="n">
        <f aca="false">Tabla2[[#This Row],[Rentabilidad (%)]]/12</f>
        <v>-0.0312473453728681</v>
      </c>
    </row>
    <row r="1972" customFormat="false" ht="14.25" hidden="false" customHeight="false" outlineLevel="0" collapsed="false">
      <c r="A1972" s="1" t="n">
        <v>41518</v>
      </c>
      <c r="B1972" s="2" t="s">
        <v>21</v>
      </c>
      <c r="C1972" s="3" t="n">
        <v>6597</v>
      </c>
      <c r="D1972" s="8" t="s">
        <v>17</v>
      </c>
      <c r="E1972" s="3" t="n">
        <f aca="false">IF(Tabla2[[#This Row],[Frecuencia]]="Annual", Tabla2[[#This Row],[Cosecha/Tarea]]/12,Tabla2[[#This Row],[Cosecha/Tarea]])</f>
        <v>6597</v>
      </c>
      <c r="F1972" s="3" t="n">
        <v>72103</v>
      </c>
      <c r="G1972" s="2" t="s">
        <v>18</v>
      </c>
      <c r="H1972" s="2" t="n">
        <f aca="false">F1972/Tabla2[[#This Row],[Cosecha Mensual]]</f>
        <v>10.9296649992421</v>
      </c>
      <c r="I1972" s="2" t="n">
        <f aca="false">H1972*_xlfn.XLOOKUP(Tabla2[[#This Row],[Unidad de producción]],Tabla3[Medida],Tabla3[Equivalencia en Kg],"ELVIS",0)</f>
        <v>495.769604365621</v>
      </c>
      <c r="J1972" s="2" t="n">
        <v>417.35</v>
      </c>
      <c r="K1972" s="2" t="s">
        <v>18</v>
      </c>
      <c r="L1972" s="2" t="n">
        <f aca="false">J1972/_xlfn.XLOOKUP(Tabla2[[#This Row],[Unidad de precio]],Tabla3[Medida],Tabla3[Equivalencia en Kg],"ELVIS",0)</f>
        <v>9.20083774250441</v>
      </c>
      <c r="M1972" s="2" t="n">
        <v>4893.7504665</v>
      </c>
      <c r="N1972" s="3" t="n">
        <f aca="false">(Tabla2[[#This Row],[Productividad (kg/TAS)]]*Tabla2[[#This Row],[Precio por kg]]-Tabla2[[#This Row],[Costos (En RD$/Tarea)]])</f>
        <v>-332.254779066318</v>
      </c>
      <c r="O1972" s="9" t="n">
        <f aca="false">IF(Tabla2[[#This Row],[Costos (En RD$/Tarea)]]=0,0,Tabla2[[#This Row],[Beneficio Neto  (En RD$/Tarea)]]/Tabla2[[#This Row],[Costos (En RD$/Tarea)]])</f>
        <v>-0.0678936903997775</v>
      </c>
      <c r="P1972" s="7" t="n">
        <f aca="false">Tabla2[[#This Row],[Rentabilidad (%)]]/12</f>
        <v>-0.00565780753331479</v>
      </c>
    </row>
    <row r="1973" customFormat="false" ht="14.25" hidden="false" customHeight="false" outlineLevel="0" collapsed="false">
      <c r="A1973" s="1" t="n">
        <v>41518</v>
      </c>
      <c r="B1973" s="2" t="s">
        <v>22</v>
      </c>
      <c r="C1973" s="3" t="n">
        <v>4068</v>
      </c>
      <c r="D1973" s="8" t="s">
        <v>17</v>
      </c>
      <c r="E1973" s="3" t="n">
        <f aca="false">IF(Tabla2[[#This Row],[Frecuencia]]="Annual", Tabla2[[#This Row],[Cosecha/Tarea]]/12,Tabla2[[#This Row],[Cosecha/Tarea]])</f>
        <v>4068</v>
      </c>
      <c r="F1973" s="3" t="n">
        <v>35797</v>
      </c>
      <c r="G1973" s="2" t="s">
        <v>18</v>
      </c>
      <c r="H1973" s="2" t="n">
        <f aca="false">F1973/Tabla2[[#This Row],[Cosecha Mensual]]</f>
        <v>8.79965585054081</v>
      </c>
      <c r="I1973" s="2" t="n">
        <f aca="false">H1973*_xlfn.XLOOKUP(Tabla2[[#This Row],[Unidad de producción]],Tabla3[Medida],Tabla3[Equivalencia en Kg],"ELVIS",0)</f>
        <v>399.152389380531</v>
      </c>
      <c r="J1973" s="2" t="n">
        <v>1041.5</v>
      </c>
      <c r="K1973" s="2" t="s">
        <v>18</v>
      </c>
      <c r="L1973" s="2" t="n">
        <f aca="false">J1973/_xlfn.XLOOKUP(Tabla2[[#This Row],[Unidad de precio]],Tabla3[Medida],Tabla3[Equivalencia en Kg],"ELVIS",0)</f>
        <v>22.960758377425</v>
      </c>
      <c r="M1973" s="2" t="n">
        <v>8667.0620736</v>
      </c>
      <c r="N1973" s="3" t="n">
        <f aca="false">(Tabla2[[#This Row],[Productividad (kg/TAS)]]*Tabla2[[#This Row],[Precio por kg]]-Tabla2[[#This Row],[Costos (En RD$/Tarea)]])</f>
        <v>497.77949473825</v>
      </c>
      <c r="O1973" s="9" t="n">
        <f aca="false">IF(Tabla2[[#This Row],[Costos (En RD$/Tarea)]]=0,0,Tabla2[[#This Row],[Beneficio Neto  (En RD$/Tarea)]]/Tabla2[[#This Row],[Costos (En RD$/Tarea)]])</f>
        <v>0.057433475208917</v>
      </c>
      <c r="P1973" s="7" t="n">
        <f aca="false">Tabla2[[#This Row],[Rentabilidad (%)]]/12</f>
        <v>0.00478612293407641</v>
      </c>
    </row>
    <row r="1974" customFormat="false" ht="14.25" hidden="false" customHeight="false" outlineLevel="0" collapsed="false">
      <c r="A1974" s="1" t="n">
        <v>41518</v>
      </c>
      <c r="B1974" s="2" t="s">
        <v>23</v>
      </c>
      <c r="C1974" s="3" t="n">
        <v>3024</v>
      </c>
      <c r="D1974" s="8" t="s">
        <v>17</v>
      </c>
      <c r="E1974" s="3" t="n">
        <f aca="false">IF(Tabla2[[#This Row],[Frecuencia]]="Annual", Tabla2[[#This Row],[Cosecha/Tarea]]/12,Tabla2[[#This Row],[Cosecha/Tarea]])</f>
        <v>3024</v>
      </c>
      <c r="F1974" s="3" t="n">
        <v>104935</v>
      </c>
      <c r="G1974" s="2" t="s">
        <v>18</v>
      </c>
      <c r="H1974" s="2" t="n">
        <f aca="false">F1974/Tabla2[[#This Row],[Cosecha Mensual]]</f>
        <v>34.7007275132275</v>
      </c>
      <c r="I1974" s="2" t="n">
        <f aca="false">H1974*_xlfn.XLOOKUP(Tabla2[[#This Row],[Unidad de producción]],Tabla3[Medida],Tabla3[Equivalencia en Kg],"ELVIS",0)</f>
        <v>1574.025</v>
      </c>
      <c r="J1974" s="2" t="n">
        <v>717.2</v>
      </c>
      <c r="K1974" s="2" t="s">
        <v>18</v>
      </c>
      <c r="L1974" s="2" t="n">
        <f aca="false">J1974/_xlfn.XLOOKUP(Tabla2[[#This Row],[Unidad de precio]],Tabla3[Medida],Tabla3[Equivalencia en Kg],"ELVIS",0)</f>
        <v>15.8112874779541</v>
      </c>
      <c r="M1974" s="2" t="n">
        <v>24550.1208184162</v>
      </c>
      <c r="N1974" s="3" t="n">
        <f aca="false">(Tabla2[[#This Row],[Productividad (kg/TAS)]]*Tabla2[[#This Row],[Precio por kg]]-Tabla2[[#This Row],[Costos (En RD$/Tarea)]])</f>
        <v>337.240954070574</v>
      </c>
      <c r="O1974" s="9" t="n">
        <f aca="false">IF(Tabla2[[#This Row],[Costos (En RD$/Tarea)]]=0,0,Tabla2[[#This Row],[Beneficio Neto  (En RD$/Tarea)]]/Tabla2[[#This Row],[Costos (En RD$/Tarea)]])</f>
        <v>0.0137368348027678</v>
      </c>
      <c r="P1974" s="7" t="n">
        <f aca="false">Tabla2[[#This Row],[Rentabilidad (%)]]/12</f>
        <v>0.00114473623356398</v>
      </c>
    </row>
    <row r="1975" customFormat="false" ht="14.25" hidden="false" customHeight="false" outlineLevel="0" collapsed="false">
      <c r="A1975" s="1" t="n">
        <v>41518</v>
      </c>
      <c r="B1975" s="2" t="s">
        <v>24</v>
      </c>
      <c r="C1975" s="3" t="n">
        <v>5255</v>
      </c>
      <c r="D1975" s="8" t="s">
        <v>17</v>
      </c>
      <c r="E1975" s="3" t="n">
        <f aca="false">IF(Tabla2[[#This Row],[Frecuencia]]="Annual", Tabla2[[#This Row],[Cosecha/Tarea]]/12,Tabla2[[#This Row],[Cosecha/Tarea]])</f>
        <v>5255</v>
      </c>
      <c r="F1975" s="3" t="n">
        <v>44451</v>
      </c>
      <c r="G1975" s="2" t="s">
        <v>18</v>
      </c>
      <c r="H1975" s="2" t="n">
        <f aca="false">F1975/Tabla2[[#This Row],[Cosecha Mensual]]</f>
        <v>8.45880114176974</v>
      </c>
      <c r="I1975" s="2" t="n">
        <f aca="false">H1975*_xlfn.XLOOKUP(Tabla2[[#This Row],[Unidad de producción]],Tabla3[Medida],Tabla3[Equivalencia en Kg],"ELVIS",0)</f>
        <v>383.691219790676</v>
      </c>
      <c r="J1975" s="2" t="n">
        <v>1771.16666666667</v>
      </c>
      <c r="K1975" s="2" t="s">
        <v>18</v>
      </c>
      <c r="L1975" s="2" t="n">
        <f aca="false">J1975/_xlfn.XLOOKUP(Tabla2[[#This Row],[Unidad de precio]],Tabla3[Medida],Tabla3[Equivalencia en Kg],"ELVIS",0)</f>
        <v>39.0468841857731</v>
      </c>
      <c r="M1975" s="2" t="n">
        <v>8436.00230404646</v>
      </c>
      <c r="N1975" s="3" t="n">
        <f aca="false">(Tabla2[[#This Row],[Productividad (kg/TAS)]]*Tabla2[[#This Row],[Precio por kg]]-Tabla2[[#This Row],[Costos (En RD$/Tarea)]])</f>
        <v>6545.94431821808</v>
      </c>
      <c r="O1975" s="9" t="n">
        <f aca="false">IF(Tabla2[[#This Row],[Costos (En RD$/Tarea)]]=0,0,Tabla2[[#This Row],[Beneficio Neto  (En RD$/Tarea)]]/Tabla2[[#This Row],[Costos (En RD$/Tarea)]])</f>
        <v>0.775953358272344</v>
      </c>
      <c r="P1975" s="7" t="n">
        <f aca="false">Tabla2[[#This Row],[Rentabilidad (%)]]/12</f>
        <v>0.0646627798560286</v>
      </c>
    </row>
    <row r="1976" customFormat="false" ht="14.25" hidden="false" customHeight="false" outlineLevel="0" collapsed="false">
      <c r="A1976" s="1" t="n">
        <v>41518</v>
      </c>
      <c r="B1976" s="2" t="s">
        <v>25</v>
      </c>
      <c r="C1976" s="3" t="n">
        <v>26856</v>
      </c>
      <c r="D1976" s="8" t="s">
        <v>17</v>
      </c>
      <c r="E1976" s="3" t="n">
        <f aca="false">IF(Tabla2[[#This Row],[Frecuencia]]="Annual", Tabla2[[#This Row],[Cosecha/Tarea]]/12,Tabla2[[#This Row],[Cosecha/Tarea]])</f>
        <v>26856</v>
      </c>
      <c r="F1976" s="3" t="n">
        <v>315416</v>
      </c>
      <c r="G1976" s="2" t="s">
        <v>18</v>
      </c>
      <c r="H1976" s="2" t="n">
        <f aca="false">F1976/Tabla2[[#This Row],[Cosecha Mensual]]</f>
        <v>11.7447125409592</v>
      </c>
      <c r="I1976" s="2" t="n">
        <f aca="false">H1976*_xlfn.XLOOKUP(Tabla2[[#This Row],[Unidad de producción]],Tabla3[Medida],Tabla3[Equivalencia en Kg],"ELVIS",0)</f>
        <v>532.740160857909</v>
      </c>
      <c r="J1976" s="2" t="n">
        <v>500.082333333333</v>
      </c>
      <c r="K1976" s="2" t="s">
        <v>18</v>
      </c>
      <c r="L1976" s="2" t="n">
        <f aca="false">J1976/_xlfn.XLOOKUP(Tabla2[[#This Row],[Unidad de precio]],Tabla3[Medida],Tabla3[Equivalencia en Kg],"ELVIS",0)</f>
        <v>11.0247427983539</v>
      </c>
      <c r="M1976" s="2" t="n">
        <v>4461.19405275347</v>
      </c>
      <c r="N1976" s="3" t="n">
        <f aca="false">(Tabla2[[#This Row],[Productividad (kg/TAS)]]*Tabla2[[#This Row],[Precio por kg]]-Tabla2[[#This Row],[Costos (En RD$/Tarea)]])</f>
        <v>1412.12919905866</v>
      </c>
      <c r="O1976" s="9" t="n">
        <f aca="false">IF(Tabla2[[#This Row],[Costos (En RD$/Tarea)]]=0,0,Tabla2[[#This Row],[Beneficio Neto  (En RD$/Tarea)]]/Tabla2[[#This Row],[Costos (En RD$/Tarea)]])</f>
        <v>0.316536152061596</v>
      </c>
      <c r="P1976" s="7" t="n">
        <f aca="false">Tabla2[[#This Row],[Rentabilidad (%)]]/12</f>
        <v>0.0263780126717997</v>
      </c>
    </row>
    <row r="1977" customFormat="false" ht="14.25" hidden="false" customHeight="false" outlineLevel="0" collapsed="false">
      <c r="A1977" s="1" t="n">
        <v>41518</v>
      </c>
      <c r="B1977" s="2" t="s">
        <v>26</v>
      </c>
      <c r="C1977" s="3" t="n">
        <v>9587</v>
      </c>
      <c r="D1977" s="8" t="s">
        <v>17</v>
      </c>
      <c r="E1977" s="3" t="n">
        <f aca="false">IF(Tabla2[[#This Row],[Frecuencia]]="Annual", Tabla2[[#This Row],[Cosecha/Tarea]]/12,Tabla2[[#This Row],[Cosecha/Tarea]])</f>
        <v>9587</v>
      </c>
      <c r="F1977" s="3" t="n">
        <v>63408</v>
      </c>
      <c r="G1977" s="2" t="s">
        <v>18</v>
      </c>
      <c r="H1977" s="2" t="n">
        <f aca="false">F1977/Tabla2[[#This Row],[Cosecha Mensual]]</f>
        <v>6.61395639929071</v>
      </c>
      <c r="I1977" s="2" t="n">
        <f aca="false">H1977*_xlfn.XLOOKUP(Tabla2[[#This Row],[Unidad de producción]],Tabla3[Medida],Tabla3[Equivalencia en Kg],"ELVIS",0)</f>
        <v>300.009062271826</v>
      </c>
      <c r="J1977" s="2" t="n">
        <v>702.611666666667</v>
      </c>
      <c r="K1977" s="2" t="s">
        <v>18</v>
      </c>
      <c r="L1977" s="2" t="n">
        <f aca="false">J1977/_xlfn.XLOOKUP(Tabla2[[#This Row],[Unidad de precio]],Tabla3[Medida],Tabla3[Equivalencia en Kg],"ELVIS",0)</f>
        <v>15.4896751910641</v>
      </c>
      <c r="M1977" s="2" t="n">
        <v>1856.821617</v>
      </c>
      <c r="N1977" s="3" t="n">
        <f aca="false">(Tabla2[[#This Row],[Productividad (kg/TAS)]]*Tabla2[[#This Row],[Precio por kg]]-Tabla2[[#This Row],[Costos (En RD$/Tarea)]])</f>
        <v>2790.22131196631</v>
      </c>
      <c r="O1977" s="9" t="n">
        <f aca="false">IF(Tabla2[[#This Row],[Costos (En RD$/Tarea)]]=0,0,Tabla2[[#This Row],[Beneficio Neto  (En RD$/Tarea)]]/Tabla2[[#This Row],[Costos (En RD$/Tarea)]])</f>
        <v>1.50268678823029</v>
      </c>
      <c r="P1977" s="7" t="n">
        <f aca="false">Tabla2[[#This Row],[Rentabilidad (%)]]/12</f>
        <v>0.125223899019191</v>
      </c>
    </row>
    <row r="1978" customFormat="false" ht="14.25" hidden="false" customHeight="false" outlineLevel="0" collapsed="false">
      <c r="A1978" s="1" t="n">
        <v>41518</v>
      </c>
      <c r="B1978" s="2" t="s">
        <v>27</v>
      </c>
      <c r="C1978" s="3" t="n">
        <v>3675</v>
      </c>
      <c r="D1978" s="8" t="s">
        <v>17</v>
      </c>
      <c r="E1978" s="3" t="n">
        <f aca="false">IF(Tabla2[[#This Row],[Frecuencia]]="Annual", Tabla2[[#This Row],[Cosecha/Tarea]]/12,Tabla2[[#This Row],[Cosecha/Tarea]])</f>
        <v>3675</v>
      </c>
      <c r="F1978" s="3" t="n">
        <v>38761</v>
      </c>
      <c r="G1978" s="2" t="s">
        <v>18</v>
      </c>
      <c r="H1978" s="2" t="n">
        <f aca="false">F1978/Tabla2[[#This Row],[Cosecha Mensual]]</f>
        <v>10.5472108843537</v>
      </c>
      <c r="I1978" s="2" t="n">
        <f aca="false">H1978*_xlfn.XLOOKUP(Tabla2[[#This Row],[Unidad de producción]],Tabla3[Medida],Tabla3[Equivalencia en Kg],"ELVIS",0)</f>
        <v>478.421485714286</v>
      </c>
      <c r="J1978" s="2" t="n">
        <v>761.875</v>
      </c>
      <c r="K1978" s="2" t="s">
        <v>18</v>
      </c>
      <c r="L1978" s="2" t="n">
        <f aca="false">J1978/_xlfn.XLOOKUP(Tabla2[[#This Row],[Unidad de precio]],Tabla3[Medida],Tabla3[Equivalencia en Kg],"ELVIS",0)</f>
        <v>16.7961860670194</v>
      </c>
      <c r="M1978" s="2" t="n">
        <v>7498.499866956</v>
      </c>
      <c r="N1978" s="3" t="n">
        <f aca="false">(Tabla2[[#This Row],[Productividad (kg/TAS)]]*Tabla2[[#This Row],[Precio por kg]]-Tabla2[[#This Row],[Costos (En RD$/Tarea)]])</f>
        <v>537.156425561007</v>
      </c>
      <c r="O1978" s="9" t="n">
        <f aca="false">IF(Tabla2[[#This Row],[Costos (En RD$/Tarea)]]=0,0,Tabla2[[#This Row],[Beneficio Neto  (En RD$/Tarea)]]/Tabla2[[#This Row],[Costos (En RD$/Tarea)]])</f>
        <v>0.0716351850492284</v>
      </c>
      <c r="P1978" s="7" t="n">
        <f aca="false">Tabla2[[#This Row],[Rentabilidad (%)]]/12</f>
        <v>0.00596959875410236</v>
      </c>
    </row>
    <row r="1979" customFormat="false" ht="14.25" hidden="false" customHeight="false" outlineLevel="0" collapsed="false">
      <c r="A1979" s="1" t="n">
        <v>41518</v>
      </c>
      <c r="B1979" s="2" t="s">
        <v>28</v>
      </c>
      <c r="C1979" s="3" t="n">
        <v>76310</v>
      </c>
      <c r="D1979" s="8" t="s">
        <v>17</v>
      </c>
      <c r="E1979" s="3" t="n">
        <f aca="false">IF(Tabla2[[#This Row],[Frecuencia]]="Annual", Tabla2[[#This Row],[Cosecha/Tarea]]/12,Tabla2[[#This Row],[Cosecha/Tarea]])</f>
        <v>76310</v>
      </c>
      <c r="F1979" s="3" t="n">
        <v>121272</v>
      </c>
      <c r="G1979" s="2" t="s">
        <v>29</v>
      </c>
      <c r="H1979" s="2" t="n">
        <f aca="false">F1979/Tabla2[[#This Row],[Cosecha Mensual]]</f>
        <v>1.58920193945748</v>
      </c>
      <c r="I1979" s="2" t="n">
        <f aca="false">H1979*_xlfn.XLOOKUP(Tabla2[[#This Row],[Unidad de producción]],Tabla3[Medida],Tabla3[Equivalencia en Kg],"ELVIS",0)</f>
        <v>893.671818634517</v>
      </c>
      <c r="J1979" s="2" t="n">
        <v>4839.0625</v>
      </c>
      <c r="K1979" s="2" t="s">
        <v>29</v>
      </c>
      <c r="L1979" s="2" t="n">
        <f aca="false">J1979/_xlfn.XLOOKUP(Tabla2[[#This Row],[Unidad de precio]],Tabla3[Medida],Tabla3[Equivalencia en Kg],"ELVIS",0)</f>
        <v>8.60522548636057</v>
      </c>
      <c r="M1979" s="2" t="n">
        <v>6492.56103460413</v>
      </c>
      <c r="N1979" s="3" t="n">
        <f aca="false">(Tabla2[[#This Row],[Productividad (kg/TAS)]]*Tabla2[[#This Row],[Precio por kg]]-Tabla2[[#This Row],[Costos (En RD$/Tarea)]])</f>
        <v>1197.68647555181</v>
      </c>
      <c r="O1979" s="9" t="n">
        <f aca="false">IF(Tabla2[[#This Row],[Costos (En RD$/Tarea)]]=0,0,Tabla2[[#This Row],[Beneficio Neto  (En RD$/Tarea)]]/Tabla2[[#This Row],[Costos (En RD$/Tarea)]])</f>
        <v>0.184470576274658</v>
      </c>
      <c r="P1979" s="7" t="n">
        <f aca="false">Tabla2[[#This Row],[Rentabilidad (%)]]/12</f>
        <v>0.0153725480228882</v>
      </c>
    </row>
    <row r="1980" customFormat="false" ht="14.25" hidden="false" customHeight="false" outlineLevel="0" collapsed="false">
      <c r="A1980" s="1" t="n">
        <v>41518</v>
      </c>
      <c r="B1980" s="2" t="s">
        <v>30</v>
      </c>
      <c r="C1980" s="3" t="n">
        <v>388284</v>
      </c>
      <c r="D1980" s="3" t="s">
        <v>31</v>
      </c>
      <c r="E1980" s="3" t="n">
        <f aca="false">IF(Tabla2[[#This Row],[Frecuencia]]="Annual", Tabla2[[#This Row],[Cosecha/Tarea]]/12,Tabla2[[#This Row],[Cosecha/Tarea]])</f>
        <v>32357</v>
      </c>
      <c r="F1980" s="3" t="n">
        <v>3501715</v>
      </c>
      <c r="G1980" s="2" t="s">
        <v>32</v>
      </c>
      <c r="H1980" s="2" t="n">
        <f aca="false">F1980/Tabla2[[#This Row],[Cosecha Mensual]]</f>
        <v>108.221250424947</v>
      </c>
      <c r="I1980" s="2" t="n">
        <f aca="false">H1980*_xlfn.XLOOKUP(Tabla2[[#This Row],[Unidad de producción]],Tabla3[Medida],Tabla3[Equivalencia en Kg],"ELVIS",0)</f>
        <v>2944.7002240628</v>
      </c>
      <c r="J1980" s="2" t="n">
        <v>139.028333333333</v>
      </c>
      <c r="K1980" s="2" t="s">
        <v>32</v>
      </c>
      <c r="L1980" s="2" t="n">
        <f aca="false">J1980/_xlfn.XLOOKUP(Tabla2[[#This Row],[Unidad de precio]],Tabla3[Medida],Tabla3[Equivalencia en Kg],"ELVIS",0)</f>
        <v>5.10945730736248</v>
      </c>
      <c r="M1980" s="3" t="n">
        <v>11852.2845542745</v>
      </c>
      <c r="N1980" s="3" t="n">
        <f aca="false">(Tabla2[[#This Row],[Productividad (kg/TAS)]]*Tabla2[[#This Row],[Precio por kg]]-Tabla2[[#This Row],[Costos (En RD$/Tarea)]])</f>
        <v>3193.53552355509</v>
      </c>
      <c r="O1980" s="9" t="n">
        <f aca="false">IF(Tabla2[[#This Row],[Costos (En RD$/Tarea)]]=0,0,Tabla2[[#This Row],[Beneficio Neto  (En RD$/Tarea)]]/Tabla2[[#This Row],[Costos (En RD$/Tarea)]])</f>
        <v>0.269444722570667</v>
      </c>
      <c r="P1980" s="7" t="n">
        <f aca="false">Tabla2[[#This Row],[Rentabilidad (%)]]/12</f>
        <v>0.0224537268808889</v>
      </c>
    </row>
    <row r="1981" customFormat="false" ht="14.25" hidden="false" customHeight="false" outlineLevel="0" collapsed="false">
      <c r="A1981" s="1" t="n">
        <v>41518</v>
      </c>
      <c r="B1981" s="2" t="s">
        <v>33</v>
      </c>
      <c r="C1981" s="3" t="n">
        <v>724032</v>
      </c>
      <c r="D1981" s="3" t="s">
        <v>31</v>
      </c>
      <c r="E1981" s="11" t="n">
        <f aca="false">IF(Tabla2[[#This Row],[Frecuencia]]="Annual", Tabla2[[#This Row],[Cosecha/Tarea]]/12,Tabla2[[#This Row],[Cosecha/Tarea]])</f>
        <v>60336</v>
      </c>
      <c r="F1981" s="3" t="n">
        <v>186407</v>
      </c>
      <c r="G1981" s="2" t="s">
        <v>34</v>
      </c>
      <c r="H1981" s="2" t="n">
        <f aca="false">F1981/Tabla2[[#This Row],[Cosecha Mensual]]</f>
        <v>3.08948223282949</v>
      </c>
      <c r="I1981" s="2" t="n">
        <f aca="false">H1981*_xlfn.XLOOKUP(Tabla2[[#This Row],[Unidad de producción]],Tabla3[Medida],Tabla3[Equivalencia en Kg],"ELVIS",0)</f>
        <v>1260.97217332936</v>
      </c>
      <c r="J1981" s="2" t="n">
        <v>4052</v>
      </c>
      <c r="K1981" s="2" t="s">
        <v>34</v>
      </c>
      <c r="L1981" s="2" t="n">
        <f aca="false">J1981/_xlfn.XLOOKUP(Tabla2[[#This Row],[Unidad de precio]],Tabla3[Medida],Tabla3[Equivalencia en Kg],"ELVIS",0)</f>
        <v>9.92772265098616</v>
      </c>
      <c r="M1981" s="3" t="n">
        <v>11461.3597912662</v>
      </c>
      <c r="N1981" s="3" t="n">
        <f aca="false">(Tabla2[[#This Row],[Productividad (kg/TAS)]]*Tabla2[[#This Row],[Precio por kg]]-Tabla2[[#This Row],[Costos (En RD$/Tarea)]])</f>
        <v>1057.22221615889</v>
      </c>
      <c r="O1981" s="9" t="n">
        <f aca="false">IF(Tabla2[[#This Row],[Costos (En RD$/Tarea)]]=0,0,Tabla2[[#This Row],[Beneficio Neto  (En RD$/Tarea)]]/Tabla2[[#This Row],[Costos (En RD$/Tarea)]])</f>
        <v>0.092242302432955</v>
      </c>
      <c r="P1981" s="7" t="n">
        <f aca="false">Tabla2[[#This Row],[Rentabilidad (%)]]/12</f>
        <v>0.00768685853607959</v>
      </c>
    </row>
    <row r="1982" customFormat="false" ht="14.25" hidden="false" customHeight="false" outlineLevel="0" collapsed="false">
      <c r="A1982" s="1" t="n">
        <v>41548</v>
      </c>
      <c r="B1982" s="2" t="s">
        <v>16</v>
      </c>
      <c r="C1982" s="3" t="n">
        <v>603633</v>
      </c>
      <c r="D1982" s="8" t="s">
        <v>17</v>
      </c>
      <c r="E1982" s="3" t="n">
        <f aca="false">IF(Tabla2[[#This Row],[Frecuencia]]="Annual", Tabla2[[#This Row],[Cosecha/Tarea]]/12,Tabla2[[#This Row],[Cosecha/Tarea]])</f>
        <v>603633</v>
      </c>
      <c r="F1982" s="3" t="n">
        <v>2825583</v>
      </c>
      <c r="G1982" s="2" t="s">
        <v>18</v>
      </c>
      <c r="H1982" s="2" t="n">
        <f aca="false">F1982/Tabla2[[#This Row],[Cosecha Mensual]]</f>
        <v>4.68096177644363</v>
      </c>
      <c r="I1982" s="2" t="n">
        <f aca="false">H1982*_xlfn.XLOOKUP(Tabla2[[#This Row],[Unidad de producción]],Tabla3[Medida],Tabla3[Equivalencia en Kg],"ELVIS",0)</f>
        <v>212.328426179483</v>
      </c>
      <c r="J1982" s="2" t="n">
        <v>1923.70726666667</v>
      </c>
      <c r="K1982" s="2" t="s">
        <v>19</v>
      </c>
      <c r="L1982" s="2" t="n">
        <f aca="false">J1982/_xlfn.XLOOKUP(Tabla2[[#This Row],[Unidad de precio]],Tabla3[Medida],Tabla3[Equivalencia en Kg],"ELVIS",0)</f>
        <v>17.4882478787879</v>
      </c>
      <c r="M1982" s="2" t="n">
        <v>7832.60797003155</v>
      </c>
      <c r="N1982" s="3" t="n">
        <f aca="false">(Tabla2[[#This Row],[Productividad (kg/TAS)]]*Tabla2[[#This Row],[Precio por kg]]-Tabla2[[#This Row],[Costos (En RD$/Tarea)]])</f>
        <v>-4119.35582129183</v>
      </c>
      <c r="O1982" s="9" t="n">
        <f aca="false">IF(Tabla2[[#This Row],[Costos (En RD$/Tarea)]]=0,0,Tabla2[[#This Row],[Beneficio Neto  (En RD$/Tarea)]]/Tabla2[[#This Row],[Costos (En RD$/Tarea)]])</f>
        <v>-0.525923911557038</v>
      </c>
      <c r="P1982" s="7" t="n">
        <f aca="false">Tabla2[[#This Row],[Rentabilidad (%)]]/12</f>
        <v>-0.0438269926297532</v>
      </c>
    </row>
    <row r="1983" customFormat="false" ht="14.25" hidden="false" customHeight="false" outlineLevel="0" collapsed="false">
      <c r="A1983" s="1" t="n">
        <v>41548</v>
      </c>
      <c r="B1983" s="2" t="s">
        <v>20</v>
      </c>
      <c r="C1983" s="3" t="n">
        <v>47962</v>
      </c>
      <c r="D1983" s="8" t="s">
        <v>17</v>
      </c>
      <c r="E1983" s="3" t="n">
        <f aca="false">IF(Tabla2[[#This Row],[Frecuencia]]="Annual", Tabla2[[#This Row],[Cosecha/Tarea]]/12,Tabla2[[#This Row],[Cosecha/Tarea]])</f>
        <v>47962</v>
      </c>
      <c r="F1983" s="3" t="n">
        <v>107844</v>
      </c>
      <c r="G1983" s="2" t="s">
        <v>18</v>
      </c>
      <c r="H1983" s="2" t="n">
        <f aca="false">F1983/Tabla2[[#This Row],[Cosecha Mensual]]</f>
        <v>2.24853008631834</v>
      </c>
      <c r="I1983" s="2" t="n">
        <f aca="false">H1983*_xlfn.XLOOKUP(Tabla2[[#This Row],[Unidad de producción]],Tabla3[Medida],Tabla3[Equivalencia en Kg],"ELVIS",0)</f>
        <v>101.9933247154</v>
      </c>
      <c r="J1983" s="2" t="n">
        <v>657.88184</v>
      </c>
      <c r="K1983" s="2" t="s">
        <v>18</v>
      </c>
      <c r="L1983" s="2" t="n">
        <f aca="false">J1983/_xlfn.XLOOKUP(Tabla2[[#This Row],[Unidad de precio]],Tabla3[Medida],Tabla3[Equivalencia en Kg],"ELVIS",0)</f>
        <v>14.5035679012346</v>
      </c>
      <c r="M1983" s="2" t="n">
        <v>2208.926382</v>
      </c>
      <c r="N1983" s="3" t="n">
        <f aca="false">(Tabla2[[#This Row],[Productividad (kg/TAS)]]*Tabla2[[#This Row],[Precio por kg]]-Tabla2[[#This Row],[Costos (En RD$/Tarea)]])</f>
        <v>-729.659271517535</v>
      </c>
      <c r="O1983" s="9" t="n">
        <f aca="false">IF(Tabla2[[#This Row],[Costos (En RD$/Tarea)]]=0,0,Tabla2[[#This Row],[Beneficio Neto  (En RD$/Tarea)]]/Tabla2[[#This Row],[Costos (En RD$/Tarea)]])</f>
        <v>-0.330323037229013</v>
      </c>
      <c r="P1983" s="7" t="n">
        <f aca="false">Tabla2[[#This Row],[Rentabilidad (%)]]/12</f>
        <v>-0.0275269197690844</v>
      </c>
    </row>
    <row r="1984" customFormat="false" ht="14.25" hidden="false" customHeight="false" outlineLevel="0" collapsed="false">
      <c r="A1984" s="1" t="n">
        <v>41548</v>
      </c>
      <c r="B1984" s="2" t="s">
        <v>21</v>
      </c>
      <c r="C1984" s="3" t="n">
        <v>7511</v>
      </c>
      <c r="D1984" s="8" t="s">
        <v>17</v>
      </c>
      <c r="E1984" s="3" t="n">
        <f aca="false">IF(Tabla2[[#This Row],[Frecuencia]]="Annual", Tabla2[[#This Row],[Cosecha/Tarea]]/12,Tabla2[[#This Row],[Cosecha/Tarea]])</f>
        <v>7511</v>
      </c>
      <c r="F1984" s="3" t="n">
        <v>75394</v>
      </c>
      <c r="G1984" s="2" t="s">
        <v>18</v>
      </c>
      <c r="H1984" s="2" t="n">
        <f aca="false">F1984/Tabla2[[#This Row],[Cosecha Mensual]]</f>
        <v>10.037811210225</v>
      </c>
      <c r="I1984" s="2" t="n">
        <f aca="false">H1984*_xlfn.XLOOKUP(Tabla2[[#This Row],[Unidad de producción]],Tabla3[Medida],Tabla3[Equivalencia en Kg],"ELVIS",0)</f>
        <v>455.315116495806</v>
      </c>
      <c r="J1984" s="2" t="n">
        <v>425.484</v>
      </c>
      <c r="K1984" s="2" t="s">
        <v>18</v>
      </c>
      <c r="L1984" s="2" t="n">
        <f aca="false">J1984/_xlfn.XLOOKUP(Tabla2[[#This Row],[Unidad de precio]],Tabla3[Medida],Tabla3[Equivalencia en Kg],"ELVIS",0)</f>
        <v>9.38015873015873</v>
      </c>
      <c r="M1984" s="2" t="n">
        <v>4893.7504665</v>
      </c>
      <c r="N1984" s="3" t="n">
        <f aca="false">(Tabla2[[#This Row],[Productividad (kg/TAS)]]*Tabla2[[#This Row],[Precio por kg]]-Tabla2[[#This Row],[Costos (En RD$/Tarea)]])</f>
        <v>-622.822401528625</v>
      </c>
      <c r="O1984" s="9" t="n">
        <f aca="false">IF(Tabla2[[#This Row],[Costos (En RD$/Tarea)]]=0,0,Tabla2[[#This Row],[Beneficio Neto  (En RD$/Tarea)]]/Tabla2[[#This Row],[Costos (En RD$/Tarea)]])</f>
        <v>-0.12726893326338</v>
      </c>
      <c r="P1984" s="7" t="n">
        <f aca="false">Tabla2[[#This Row],[Rentabilidad (%)]]/12</f>
        <v>-0.010605744438615</v>
      </c>
    </row>
    <row r="1985" customFormat="false" ht="14.25" hidden="false" customHeight="false" outlineLevel="0" collapsed="false">
      <c r="A1985" s="1" t="n">
        <v>41548</v>
      </c>
      <c r="B1985" s="2" t="s">
        <v>22</v>
      </c>
      <c r="C1985" s="3" t="n">
        <v>2717</v>
      </c>
      <c r="D1985" s="8" t="s">
        <v>17</v>
      </c>
      <c r="E1985" s="3" t="n">
        <f aca="false">IF(Tabla2[[#This Row],[Frecuencia]]="Annual", Tabla2[[#This Row],[Cosecha/Tarea]]/12,Tabla2[[#This Row],[Cosecha/Tarea]])</f>
        <v>2717</v>
      </c>
      <c r="F1985" s="3" t="n">
        <v>22981</v>
      </c>
      <c r="G1985" s="2" t="s">
        <v>18</v>
      </c>
      <c r="H1985" s="2" t="n">
        <f aca="false">F1985/Tabla2[[#This Row],[Cosecha Mensual]]</f>
        <v>8.45822598454178</v>
      </c>
      <c r="I1985" s="2" t="n">
        <f aca="false">H1985*_xlfn.XLOOKUP(Tabla2[[#This Row],[Unidad de producción]],Tabla3[Medida],Tabla3[Equivalencia en Kg],"ELVIS",0)</f>
        <v>383.665130658815</v>
      </c>
      <c r="J1985" s="2" t="n">
        <v>1024</v>
      </c>
      <c r="K1985" s="2" t="s">
        <v>18</v>
      </c>
      <c r="L1985" s="2" t="n">
        <f aca="false">J1985/_xlfn.XLOOKUP(Tabla2[[#This Row],[Unidad de precio]],Tabla3[Medida],Tabla3[Equivalencia en Kg],"ELVIS",0)</f>
        <v>22.5749559082892</v>
      </c>
      <c r="M1985" s="2" t="n">
        <v>8667.0620736</v>
      </c>
      <c r="N1985" s="3" t="n">
        <f aca="false">(Tabla2[[#This Row],[Productividad (kg/TAS)]]*Tabla2[[#This Row],[Precio por kg]]-Tabla2[[#This Row],[Costos (En RD$/Tarea)]])</f>
        <v>-5.8386654292226</v>
      </c>
      <c r="O1985" s="9" t="n">
        <f aca="false">IF(Tabla2[[#This Row],[Costos (En RD$/Tarea)]]=0,0,Tabla2[[#This Row],[Beneficio Neto  (En RD$/Tarea)]]/Tabla2[[#This Row],[Costos (En RD$/Tarea)]])</f>
        <v>-0.000673661429864136</v>
      </c>
      <c r="P1985" s="7" t="n">
        <f aca="false">Tabla2[[#This Row],[Rentabilidad (%)]]/12</f>
        <v>-5.6138452488678E-005</v>
      </c>
    </row>
    <row r="1986" customFormat="false" ht="14.25" hidden="false" customHeight="false" outlineLevel="0" collapsed="false">
      <c r="A1986" s="1" t="n">
        <v>41548</v>
      </c>
      <c r="B1986" s="2" t="s">
        <v>23</v>
      </c>
      <c r="C1986" s="3" t="n">
        <v>3016</v>
      </c>
      <c r="D1986" s="8" t="s">
        <v>17</v>
      </c>
      <c r="E1986" s="3" t="n">
        <f aca="false">IF(Tabla2[[#This Row],[Frecuencia]]="Annual", Tabla2[[#This Row],[Cosecha/Tarea]]/12,Tabla2[[#This Row],[Cosecha/Tarea]])</f>
        <v>3016</v>
      </c>
      <c r="F1986" s="3" t="n">
        <v>120989</v>
      </c>
      <c r="G1986" s="2" t="s">
        <v>18</v>
      </c>
      <c r="H1986" s="2" t="n">
        <f aca="false">F1986/Tabla2[[#This Row],[Cosecha Mensual]]</f>
        <v>40.1157161803714</v>
      </c>
      <c r="I1986" s="2" t="n">
        <f aca="false">H1986*_xlfn.XLOOKUP(Tabla2[[#This Row],[Unidad de producción]],Tabla3[Medida],Tabla3[Equivalencia en Kg],"ELVIS",0)</f>
        <v>1819.64888594164</v>
      </c>
      <c r="J1986" s="2" t="n">
        <v>800</v>
      </c>
      <c r="K1986" s="2" t="s">
        <v>18</v>
      </c>
      <c r="L1986" s="2" t="n">
        <f aca="false">J1986/_xlfn.XLOOKUP(Tabla2[[#This Row],[Unidad de precio]],Tabla3[Medida],Tabla3[Equivalencia en Kg],"ELVIS",0)</f>
        <v>17.636684303351</v>
      </c>
      <c r="M1986" s="2" t="n">
        <v>24550.1208184162</v>
      </c>
      <c r="N1986" s="3" t="n">
        <f aca="false">(Tabla2[[#This Row],[Productividad (kg/TAS)]]*Tabla2[[#This Row],[Precio por kg]]-Tabla2[[#This Row],[Costos (En RD$/Tarea)]])</f>
        <v>7542.45212588089</v>
      </c>
      <c r="O1986" s="9" t="n">
        <f aca="false">IF(Tabla2[[#This Row],[Costos (En RD$/Tarea)]]=0,0,Tabla2[[#This Row],[Beneficio Neto  (En RD$/Tarea)]]/Tabla2[[#This Row],[Costos (En RD$/Tarea)]])</f>
        <v>0.307226680539305</v>
      </c>
      <c r="P1986" s="7" t="n">
        <f aca="false">Tabla2[[#This Row],[Rentabilidad (%)]]/12</f>
        <v>0.0256022233782754</v>
      </c>
    </row>
    <row r="1987" customFormat="false" ht="14.25" hidden="false" customHeight="false" outlineLevel="0" collapsed="false">
      <c r="A1987" s="1" t="n">
        <v>41548</v>
      </c>
      <c r="B1987" s="2" t="s">
        <v>24</v>
      </c>
      <c r="C1987" s="3" t="n">
        <v>5029</v>
      </c>
      <c r="D1987" s="8" t="s">
        <v>17</v>
      </c>
      <c r="E1987" s="3" t="n">
        <f aca="false">IF(Tabla2[[#This Row],[Frecuencia]]="Annual", Tabla2[[#This Row],[Cosecha/Tarea]]/12,Tabla2[[#This Row],[Cosecha/Tarea]])</f>
        <v>5029</v>
      </c>
      <c r="F1987" s="3" t="n">
        <v>34236</v>
      </c>
      <c r="G1987" s="2" t="s">
        <v>18</v>
      </c>
      <c r="H1987" s="2" t="n">
        <f aca="false">F1987/Tabla2[[#This Row],[Cosecha Mensual]]</f>
        <v>6.80771525154106</v>
      </c>
      <c r="I1987" s="2" t="n">
        <f aca="false">H1987*_xlfn.XLOOKUP(Tabla2[[#This Row],[Unidad de producción]],Tabla3[Medida],Tabla3[Equivalencia en Kg],"ELVIS",0)</f>
        <v>308.797963809903</v>
      </c>
      <c r="J1987" s="2" t="n">
        <v>1757.84666666667</v>
      </c>
      <c r="K1987" s="2" t="s">
        <v>18</v>
      </c>
      <c r="L1987" s="2" t="n">
        <f aca="false">J1987/_xlfn.XLOOKUP(Tabla2[[#This Row],[Unidad de precio]],Tabla3[Medida],Tabla3[Equivalencia en Kg],"ELVIS",0)</f>
        <v>38.7532333921224</v>
      </c>
      <c r="M1987" s="2" t="n">
        <v>8436.00230404646</v>
      </c>
      <c r="N1987" s="3" t="n">
        <f aca="false">(Tabla2[[#This Row],[Productividad (kg/TAS)]]*Tabla2[[#This Row],[Precio por kg]]-Tabla2[[#This Row],[Costos (En RD$/Tarea)]])</f>
        <v>3530.91725849085</v>
      </c>
      <c r="O1987" s="9" t="n">
        <f aca="false">IF(Tabla2[[#This Row],[Costos (En RD$/Tarea)]]=0,0,Tabla2[[#This Row],[Beneficio Neto  (En RD$/Tarea)]]/Tabla2[[#This Row],[Costos (En RD$/Tarea)]])</f>
        <v>0.418553377681889</v>
      </c>
      <c r="P1987" s="7" t="n">
        <f aca="false">Tabla2[[#This Row],[Rentabilidad (%)]]/12</f>
        <v>0.0348794481401574</v>
      </c>
    </row>
    <row r="1988" customFormat="false" ht="14.25" hidden="false" customHeight="false" outlineLevel="0" collapsed="false">
      <c r="A1988" s="1" t="n">
        <v>41548</v>
      </c>
      <c r="B1988" s="2" t="s">
        <v>25</v>
      </c>
      <c r="C1988" s="3" t="n">
        <v>25318</v>
      </c>
      <c r="D1988" s="8" t="s">
        <v>17</v>
      </c>
      <c r="E1988" s="3" t="n">
        <f aca="false">IF(Tabla2[[#This Row],[Frecuencia]]="Annual", Tabla2[[#This Row],[Cosecha/Tarea]]/12,Tabla2[[#This Row],[Cosecha/Tarea]])</f>
        <v>25318</v>
      </c>
      <c r="F1988" s="3" t="n">
        <v>288680</v>
      </c>
      <c r="G1988" s="2" t="s">
        <v>18</v>
      </c>
      <c r="H1988" s="2" t="n">
        <f aca="false">F1988/Tabla2[[#This Row],[Cosecha Mensual]]</f>
        <v>11.4021644679675</v>
      </c>
      <c r="I1988" s="2" t="n">
        <f aca="false">H1988*_xlfn.XLOOKUP(Tabla2[[#This Row],[Unidad de producción]],Tabla3[Medida],Tabla3[Equivalencia en Kg],"ELVIS",0)</f>
        <v>517.202180267004</v>
      </c>
      <c r="J1988" s="2" t="n">
        <v>423.840666666667</v>
      </c>
      <c r="K1988" s="2" t="s">
        <v>18</v>
      </c>
      <c r="L1988" s="2" t="n">
        <f aca="false">J1988/_xlfn.XLOOKUP(Tabla2[[#This Row],[Unidad de precio]],Tabla3[Medida],Tabla3[Equivalencia en Kg],"ELVIS",0)</f>
        <v>9.34393004115227</v>
      </c>
      <c r="M1988" s="2" t="n">
        <v>4461.19405275347</v>
      </c>
      <c r="N1988" s="3" t="n">
        <f aca="false">(Tabla2[[#This Row],[Productividad (kg/TAS)]]*Tabla2[[#This Row],[Precio por kg]]-Tabla2[[#This Row],[Costos (En RD$/Tarea)]])</f>
        <v>371.506936792838</v>
      </c>
      <c r="O1988" s="9" t="n">
        <f aca="false">IF(Tabla2[[#This Row],[Costos (En RD$/Tarea)]]=0,0,Tabla2[[#This Row],[Beneficio Neto  (En RD$/Tarea)]]/Tabla2[[#This Row],[Costos (En RD$/Tarea)]])</f>
        <v>0.0832752246147065</v>
      </c>
      <c r="P1988" s="7" t="n">
        <f aca="false">Tabla2[[#This Row],[Rentabilidad (%)]]/12</f>
        <v>0.00693960205122554</v>
      </c>
    </row>
    <row r="1989" customFormat="false" ht="14.25" hidden="false" customHeight="false" outlineLevel="0" collapsed="false">
      <c r="A1989" s="1" t="n">
        <v>41548</v>
      </c>
      <c r="B1989" s="2" t="s">
        <v>26</v>
      </c>
      <c r="C1989" s="3" t="n">
        <v>10602</v>
      </c>
      <c r="D1989" s="8" t="s">
        <v>17</v>
      </c>
      <c r="E1989" s="3" t="n">
        <f aca="false">IF(Tabla2[[#This Row],[Frecuencia]]="Annual", Tabla2[[#This Row],[Cosecha/Tarea]]/12,Tabla2[[#This Row],[Cosecha/Tarea]])</f>
        <v>10602</v>
      </c>
      <c r="F1989" s="3" t="n">
        <v>64514</v>
      </c>
      <c r="G1989" s="2" t="s">
        <v>18</v>
      </c>
      <c r="H1989" s="2" t="n">
        <f aca="false">F1989/Tabla2[[#This Row],[Cosecha Mensual]]</f>
        <v>6.08507828711564</v>
      </c>
      <c r="I1989" s="2" t="n">
        <f aca="false">H1989*_xlfn.XLOOKUP(Tabla2[[#This Row],[Unidad de producción]],Tabla3[Medida],Tabla3[Equivalencia en Kg],"ELVIS",0)</f>
        <v>276.019151103565</v>
      </c>
      <c r="J1989" s="2" t="n">
        <v>620.184</v>
      </c>
      <c r="K1989" s="2" t="s">
        <v>18</v>
      </c>
      <c r="L1989" s="2" t="n">
        <f aca="false">J1989/_xlfn.XLOOKUP(Tabla2[[#This Row],[Unidad de precio]],Tabla3[Medida],Tabla3[Equivalencia en Kg],"ELVIS",0)</f>
        <v>13.6724867724868</v>
      </c>
      <c r="M1989" s="2" t="n">
        <v>1856.821617</v>
      </c>
      <c r="N1989" s="3" t="n">
        <f aca="false">(Tabla2[[#This Row],[Productividad (kg/TAS)]]*Tabla2[[#This Row],[Precio por kg]]-Tabla2[[#This Row],[Costos (En RD$/Tarea)]])</f>
        <v>1917.04657541652</v>
      </c>
      <c r="O1989" s="9" t="n">
        <f aca="false">IF(Tabla2[[#This Row],[Costos (En RD$/Tarea)]]=0,0,Tabla2[[#This Row],[Beneficio Neto  (En RD$/Tarea)]]/Tabla2[[#This Row],[Costos (En RD$/Tarea)]])</f>
        <v>1.03243443412396</v>
      </c>
      <c r="P1989" s="7" t="n">
        <f aca="false">Tabla2[[#This Row],[Rentabilidad (%)]]/12</f>
        <v>0.086036202843663</v>
      </c>
    </row>
    <row r="1990" customFormat="false" ht="14.25" hidden="false" customHeight="false" outlineLevel="0" collapsed="false">
      <c r="A1990" s="1" t="n">
        <v>41548</v>
      </c>
      <c r="B1990" s="2" t="s">
        <v>27</v>
      </c>
      <c r="C1990" s="3" t="n">
        <v>2545</v>
      </c>
      <c r="D1990" s="8" t="s">
        <v>17</v>
      </c>
      <c r="E1990" s="3" t="n">
        <f aca="false">IF(Tabla2[[#This Row],[Frecuencia]]="Annual", Tabla2[[#This Row],[Cosecha/Tarea]]/12,Tabla2[[#This Row],[Cosecha/Tarea]])</f>
        <v>2545</v>
      </c>
      <c r="F1990" s="3" t="n">
        <v>27176</v>
      </c>
      <c r="G1990" s="2" t="s">
        <v>18</v>
      </c>
      <c r="H1990" s="2" t="n">
        <f aca="false">F1990/Tabla2[[#This Row],[Cosecha Mensual]]</f>
        <v>10.6781925343811</v>
      </c>
      <c r="I1990" s="2" t="n">
        <f aca="false">H1990*_xlfn.XLOOKUP(Tabla2[[#This Row],[Unidad de producción]],Tabla3[Medida],Tabla3[Equivalencia en Kg],"ELVIS",0)</f>
        <v>484.362813359529</v>
      </c>
      <c r="J1990" s="2" t="n">
        <v>827.43</v>
      </c>
      <c r="K1990" s="2" t="s">
        <v>18</v>
      </c>
      <c r="L1990" s="2" t="n">
        <f aca="false">J1990/_xlfn.XLOOKUP(Tabla2[[#This Row],[Unidad de precio]],Tabla3[Medida],Tabla3[Equivalencia en Kg],"ELVIS",0)</f>
        <v>18.2414021164021</v>
      </c>
      <c r="M1990" s="2" t="n">
        <v>7498.499866956</v>
      </c>
      <c r="N1990" s="3" t="n">
        <f aca="false">(Tabla2[[#This Row],[Productividad (kg/TAS)]]*Tabla2[[#This Row],[Precio por kg]]-Tabla2[[#This Row],[Costos (En RD$/Tarea)]])</f>
        <v>1336.95698176699</v>
      </c>
      <c r="O1990" s="9" t="n">
        <f aca="false">IF(Tabla2[[#This Row],[Costos (En RD$/Tarea)]]=0,0,Tabla2[[#This Row],[Beneficio Neto  (En RD$/Tarea)]]/Tabla2[[#This Row],[Costos (En RD$/Tarea)]])</f>
        <v>0.178296593383781</v>
      </c>
      <c r="P1990" s="7" t="n">
        <f aca="false">Tabla2[[#This Row],[Rentabilidad (%)]]/12</f>
        <v>0.0148580494486484</v>
      </c>
    </row>
    <row r="1991" customFormat="false" ht="14.25" hidden="false" customHeight="false" outlineLevel="0" collapsed="false">
      <c r="A1991" s="1" t="n">
        <v>41548</v>
      </c>
      <c r="B1991" s="2" t="s">
        <v>28</v>
      </c>
      <c r="C1991" s="3" t="n">
        <v>66909</v>
      </c>
      <c r="D1991" s="8" t="s">
        <v>17</v>
      </c>
      <c r="E1991" s="3" t="n">
        <f aca="false">IF(Tabla2[[#This Row],[Frecuencia]]="Annual", Tabla2[[#This Row],[Cosecha/Tarea]]/12,Tabla2[[#This Row],[Cosecha/Tarea]])</f>
        <v>66909</v>
      </c>
      <c r="F1991" s="3" t="n">
        <v>91932</v>
      </c>
      <c r="G1991" s="2" t="s">
        <v>29</v>
      </c>
      <c r="H1991" s="2" t="n">
        <f aca="false">F1991/Tabla2[[#This Row],[Cosecha Mensual]]</f>
        <v>1.37398556248038</v>
      </c>
      <c r="I1991" s="2" t="n">
        <f aca="false">H1991*_xlfn.XLOOKUP(Tabla2[[#This Row],[Unidad de producción]],Tabla3[Medida],Tabla3[Equivalencia en Kg],"ELVIS",0)</f>
        <v>772.647041205219</v>
      </c>
      <c r="J1991" s="2" t="n">
        <v>4835.8</v>
      </c>
      <c r="K1991" s="2" t="s">
        <v>29</v>
      </c>
      <c r="L1991" s="2" t="n">
        <f aca="false">J1991/_xlfn.XLOOKUP(Tabla2[[#This Row],[Unidad de precio]],Tabla3[Medida],Tabla3[Equivalencia en Kg],"ELVIS",0)</f>
        <v>8.59942383611338</v>
      </c>
      <c r="M1991" s="2" t="n">
        <v>6492.56103460413</v>
      </c>
      <c r="N1991" s="3" t="n">
        <f aca="false">(Tabla2[[#This Row],[Productividad (kg/TAS)]]*Tabla2[[#This Row],[Precio por kg]]-Tabla2[[#This Row],[Costos (En RD$/Tarea)]])</f>
        <v>151.75834843851</v>
      </c>
      <c r="O1991" s="9" t="n">
        <f aca="false">IF(Tabla2[[#This Row],[Costos (En RD$/Tarea)]]=0,0,Tabla2[[#This Row],[Beneficio Neto  (En RD$/Tarea)]]/Tabla2[[#This Row],[Costos (En RD$/Tarea)]])</f>
        <v>0.023374188957126</v>
      </c>
      <c r="P1991" s="7" t="n">
        <f aca="false">Tabla2[[#This Row],[Rentabilidad (%)]]/12</f>
        <v>0.0019478490797605</v>
      </c>
    </row>
    <row r="1992" customFormat="false" ht="14.25" hidden="false" customHeight="false" outlineLevel="0" collapsed="false">
      <c r="A1992" s="1" t="n">
        <v>41548</v>
      </c>
      <c r="B1992" s="2" t="s">
        <v>30</v>
      </c>
      <c r="C1992" s="3" t="n">
        <v>381977</v>
      </c>
      <c r="D1992" s="3" t="s">
        <v>31</v>
      </c>
      <c r="E1992" s="3" t="n">
        <f aca="false">IF(Tabla2[[#This Row],[Frecuencia]]="Annual", Tabla2[[#This Row],[Cosecha/Tarea]]/12,Tabla2[[#This Row],[Cosecha/Tarea]])</f>
        <v>31831.4166666667</v>
      </c>
      <c r="F1992" s="3" t="n">
        <v>3978941</v>
      </c>
      <c r="G1992" s="2" t="s">
        <v>32</v>
      </c>
      <c r="H1992" s="2" t="n">
        <f aca="false">F1992/Tabla2[[#This Row],[Cosecha Mensual]]</f>
        <v>125.000437199098</v>
      </c>
      <c r="I1992" s="2" t="n">
        <f aca="false">H1992*_xlfn.XLOOKUP(Tabla2[[#This Row],[Unidad de producción]],Tabla3[Medida],Tabla3[Equivalencia en Kg],"ELVIS",0)</f>
        <v>3401.26189618747</v>
      </c>
      <c r="J1992" s="2" t="n">
        <v>133.93</v>
      </c>
      <c r="K1992" s="2" t="s">
        <v>32</v>
      </c>
      <c r="L1992" s="2" t="n">
        <f aca="false">J1992/_xlfn.XLOOKUP(Tabla2[[#This Row],[Unidad de precio]],Tabla3[Medida],Tabla3[Equivalencia en Kg],"ELVIS",0)</f>
        <v>4.92208746784271</v>
      </c>
      <c r="M1992" s="3" t="n">
        <v>11852.2845542745</v>
      </c>
      <c r="N1992" s="3" t="n">
        <f aca="false">(Tabla2[[#This Row],[Productividad (kg/TAS)]]*Tabla2[[#This Row],[Precio por kg]]-Tabla2[[#This Row],[Costos (En RD$/Tarea)]])</f>
        <v>4889.02399980075</v>
      </c>
      <c r="O1992" s="9" t="n">
        <f aca="false">IF(Tabla2[[#This Row],[Costos (En RD$/Tarea)]]=0,0,Tabla2[[#This Row],[Beneficio Neto  (En RD$/Tarea)]]/Tabla2[[#This Row],[Costos (En RD$/Tarea)]])</f>
        <v>0.41249634004421</v>
      </c>
      <c r="P1992" s="7" t="n">
        <f aca="false">Tabla2[[#This Row],[Rentabilidad (%)]]/12</f>
        <v>0.0343746950036841</v>
      </c>
    </row>
    <row r="1993" customFormat="false" ht="14.25" hidden="false" customHeight="false" outlineLevel="0" collapsed="false">
      <c r="A1993" s="1" t="n">
        <v>41548</v>
      </c>
      <c r="B1993" s="2" t="s">
        <v>33</v>
      </c>
      <c r="C1993" s="3" t="n">
        <v>652483</v>
      </c>
      <c r="D1993" s="3" t="s">
        <v>31</v>
      </c>
      <c r="E1993" s="11" t="n">
        <f aca="false">IF(Tabla2[[#This Row],[Frecuencia]]="Annual", Tabla2[[#This Row],[Cosecha/Tarea]]/12,Tabla2[[#This Row],[Cosecha/Tarea]])</f>
        <v>54373.5833333333</v>
      </c>
      <c r="F1993" s="3" t="n">
        <v>164569</v>
      </c>
      <c r="G1993" s="2" t="s">
        <v>34</v>
      </c>
      <c r="H1993" s="2" t="n">
        <f aca="false">F1993/Tabla2[[#This Row],[Cosecha Mensual]]</f>
        <v>3.02663517670192</v>
      </c>
      <c r="I1993" s="2" t="n">
        <f aca="false">H1993*_xlfn.XLOOKUP(Tabla2[[#This Row],[Unidad de producción]],Tabla3[Medida],Tabla3[Equivalencia en Kg],"ELVIS",0)</f>
        <v>1235.32114737089</v>
      </c>
      <c r="J1993" s="2" t="n">
        <v>3914.16666666667</v>
      </c>
      <c r="K1993" s="2" t="s">
        <v>34</v>
      </c>
      <c r="L1993" s="2" t="n">
        <f aca="false">J1993/_xlfn.XLOOKUP(Tabla2[[#This Row],[Unidad de precio]],Tabla3[Medida],Tabla3[Equivalencia en Kg],"ELVIS",0)</f>
        <v>9.59002000898363</v>
      </c>
      <c r="M1993" s="3" t="n">
        <v>11461.3597912662</v>
      </c>
      <c r="N1993" s="3" t="n">
        <f aca="false">(Tabla2[[#This Row],[Productividad (kg/TAS)]]*Tabla2[[#This Row],[Precio por kg]]-Tabla2[[#This Row],[Costos (En RD$/Tarea)]])</f>
        <v>385.394729541249</v>
      </c>
      <c r="O1993" s="9" t="n">
        <f aca="false">IF(Tabla2[[#This Row],[Costos (En RD$/Tarea)]]=0,0,Tabla2[[#This Row],[Beneficio Neto  (En RD$/Tarea)]]/Tabla2[[#This Row],[Costos (En RD$/Tarea)]])</f>
        <v>0.0336255676952859</v>
      </c>
      <c r="P1993" s="7" t="n">
        <f aca="false">Tabla2[[#This Row],[Rentabilidad (%)]]/12</f>
        <v>0.00280213064127382</v>
      </c>
    </row>
    <row r="1994" customFormat="false" ht="14.25" hidden="false" customHeight="false" outlineLevel="0" collapsed="false">
      <c r="A1994" s="1" t="n">
        <v>41579</v>
      </c>
      <c r="B1994" s="2" t="s">
        <v>16</v>
      </c>
      <c r="C1994" s="3" t="n">
        <v>383186</v>
      </c>
      <c r="D1994" s="8" t="s">
        <v>17</v>
      </c>
      <c r="E1994" s="3" t="n">
        <f aca="false">IF(Tabla2[[#This Row],[Frecuencia]]="Annual", Tabla2[[#This Row],[Cosecha/Tarea]]/12,Tabla2[[#This Row],[Cosecha/Tarea]])</f>
        <v>383186</v>
      </c>
      <c r="F1994" s="3" t="n">
        <v>1604849</v>
      </c>
      <c r="G1994" s="2" t="s">
        <v>18</v>
      </c>
      <c r="H1994" s="2" t="n">
        <f aca="false">F1994/Tabla2[[#This Row],[Cosecha Mensual]]</f>
        <v>4.18817232362351</v>
      </c>
      <c r="I1994" s="2" t="n">
        <f aca="false">H1994*_xlfn.XLOOKUP(Tabla2[[#This Row],[Unidad de producción]],Tabla3[Medida],Tabla3[Equivalencia en Kg],"ELVIS",0)</f>
        <v>189.975496599563</v>
      </c>
      <c r="J1994" s="2" t="n">
        <v>1719.98733333333</v>
      </c>
      <c r="K1994" s="2" t="s">
        <v>19</v>
      </c>
      <c r="L1994" s="2" t="n">
        <f aca="false">J1994/_xlfn.XLOOKUP(Tabla2[[#This Row],[Unidad de precio]],Tabla3[Medida],Tabla3[Equivalencia en Kg],"ELVIS",0)</f>
        <v>15.6362484848485</v>
      </c>
      <c r="M1994" s="2" t="n">
        <v>7832.60797003155</v>
      </c>
      <c r="N1994" s="3" t="n">
        <f aca="false">(Tabla2[[#This Row],[Productividad (kg/TAS)]]*Tabla2[[#This Row],[Precio por kg]]-Tabla2[[#This Row],[Costos (En RD$/Tarea)]])</f>
        <v>-4862.10389916831</v>
      </c>
      <c r="O1994" s="9" t="n">
        <f aca="false">IF(Tabla2[[#This Row],[Costos (En RD$/Tarea)]]=0,0,Tabla2[[#This Row],[Beneficio Neto  (En RD$/Tarea)]]/Tabla2[[#This Row],[Costos (En RD$/Tarea)]])</f>
        <v>-0.620751596118594</v>
      </c>
      <c r="P1994" s="7" t="n">
        <f aca="false">Tabla2[[#This Row],[Rentabilidad (%)]]/12</f>
        <v>-0.0517292996765495</v>
      </c>
    </row>
    <row r="1995" customFormat="false" ht="14.25" hidden="false" customHeight="false" outlineLevel="0" collapsed="false">
      <c r="A1995" s="1" t="n">
        <v>41579</v>
      </c>
      <c r="B1995" s="2" t="s">
        <v>20</v>
      </c>
      <c r="C1995" s="3" t="n">
        <v>33979</v>
      </c>
      <c r="D1995" s="8" t="s">
        <v>17</v>
      </c>
      <c r="E1995" s="3" t="n">
        <f aca="false">IF(Tabla2[[#This Row],[Frecuencia]]="Annual", Tabla2[[#This Row],[Cosecha/Tarea]]/12,Tabla2[[#This Row],[Cosecha/Tarea]])</f>
        <v>33979</v>
      </c>
      <c r="F1995" s="3" t="n">
        <v>71671</v>
      </c>
      <c r="G1995" s="2" t="s">
        <v>18</v>
      </c>
      <c r="H1995" s="2" t="n">
        <f aca="false">F1995/Tabla2[[#This Row],[Cosecha Mensual]]</f>
        <v>2.10927337473145</v>
      </c>
      <c r="I1995" s="2" t="n">
        <f aca="false">H1995*_xlfn.XLOOKUP(Tabla2[[#This Row],[Unidad de producción]],Tabla3[Medida],Tabla3[Equivalencia en Kg],"ELVIS",0)</f>
        <v>95.6766402778187</v>
      </c>
      <c r="J1995" s="2" t="n">
        <v>641.459</v>
      </c>
      <c r="K1995" s="2" t="s">
        <v>18</v>
      </c>
      <c r="L1995" s="2" t="n">
        <f aca="false">J1995/_xlfn.XLOOKUP(Tabla2[[#This Row],[Unidad de precio]],Tabla3[Medida],Tabla3[Equivalencia en Kg],"ELVIS",0)</f>
        <v>14.141512345679</v>
      </c>
      <c r="M1995" s="2" t="n">
        <v>2208.926382</v>
      </c>
      <c r="N1995" s="3" t="n">
        <f aca="false">(Tabla2[[#This Row],[Productividad (kg/TAS)]]*Tabla2[[#This Row],[Precio por kg]]-Tabla2[[#This Row],[Costos (En RD$/Tarea)]])</f>
        <v>-855.913992318138</v>
      </c>
      <c r="O1995" s="9" t="n">
        <f aca="false">IF(Tabla2[[#This Row],[Costos (En RD$/Tarea)]]=0,0,Tabla2[[#This Row],[Beneficio Neto  (En RD$/Tarea)]]/Tabla2[[#This Row],[Costos (En RD$/Tarea)]])</f>
        <v>-0.387479636846556</v>
      </c>
      <c r="P1995" s="7" t="n">
        <f aca="false">Tabla2[[#This Row],[Rentabilidad (%)]]/12</f>
        <v>-0.032289969737213</v>
      </c>
    </row>
    <row r="1996" customFormat="false" ht="14.25" hidden="false" customHeight="false" outlineLevel="0" collapsed="false">
      <c r="A1996" s="1" t="n">
        <v>41579</v>
      </c>
      <c r="B1996" s="2" t="s">
        <v>21</v>
      </c>
      <c r="C1996" s="3" t="n">
        <v>9092</v>
      </c>
      <c r="D1996" s="8" t="s">
        <v>17</v>
      </c>
      <c r="E1996" s="3" t="n">
        <f aca="false">IF(Tabla2[[#This Row],[Frecuencia]]="Annual", Tabla2[[#This Row],[Cosecha/Tarea]]/12,Tabla2[[#This Row],[Cosecha/Tarea]])</f>
        <v>9092</v>
      </c>
      <c r="F1996" s="3" t="n">
        <v>106896</v>
      </c>
      <c r="G1996" s="2" t="s">
        <v>18</v>
      </c>
      <c r="H1996" s="2" t="n">
        <f aca="false">F1996/Tabla2[[#This Row],[Cosecha Mensual]]</f>
        <v>11.7571491421029</v>
      </c>
      <c r="I1996" s="2" t="n">
        <f aca="false">H1996*_xlfn.XLOOKUP(Tabla2[[#This Row],[Unidad de producción]],Tabla3[Medida],Tabla3[Equivalencia en Kg],"ELVIS",0)</f>
        <v>533.30428508579</v>
      </c>
      <c r="J1996" s="2" t="n">
        <v>359.084</v>
      </c>
      <c r="K1996" s="2" t="s">
        <v>18</v>
      </c>
      <c r="L1996" s="2" t="n">
        <f aca="false">J1996/_xlfn.XLOOKUP(Tabla2[[#This Row],[Unidad de precio]],Tabla3[Medida],Tabla3[Equivalencia en Kg],"ELVIS",0)</f>
        <v>7.9163139329806</v>
      </c>
      <c r="M1996" s="2" t="n">
        <v>4893.7504665</v>
      </c>
      <c r="N1996" s="3" t="n">
        <f aca="false">(Tabla2[[#This Row],[Productividad (kg/TAS)]]*Tabla2[[#This Row],[Precio por kg]]-Tabla2[[#This Row],[Costos (En RD$/Tarea)]])</f>
        <v>-671.946323957104</v>
      </c>
      <c r="O1996" s="9" t="n">
        <f aca="false">IF(Tabla2[[#This Row],[Costos (En RD$/Tarea)]]=0,0,Tabla2[[#This Row],[Beneficio Neto  (En RD$/Tarea)]]/Tabla2[[#This Row],[Costos (En RD$/Tarea)]])</f>
        <v>-0.137307026289323</v>
      </c>
      <c r="P1996" s="7" t="n">
        <f aca="false">Tabla2[[#This Row],[Rentabilidad (%)]]/12</f>
        <v>-0.011442252190777</v>
      </c>
    </row>
    <row r="1997" customFormat="false" ht="14.25" hidden="false" customHeight="false" outlineLevel="0" collapsed="false">
      <c r="A1997" s="1" t="n">
        <v>41579</v>
      </c>
      <c r="B1997" s="2" t="s">
        <v>22</v>
      </c>
      <c r="C1997" s="3" t="n">
        <v>6850</v>
      </c>
      <c r="D1997" s="8" t="s">
        <v>17</v>
      </c>
      <c r="E1997" s="3" t="n">
        <f aca="false">IF(Tabla2[[#This Row],[Frecuencia]]="Annual", Tabla2[[#This Row],[Cosecha/Tarea]]/12,Tabla2[[#This Row],[Cosecha/Tarea]])</f>
        <v>6850</v>
      </c>
      <c r="F1997" s="3" t="n">
        <v>58724</v>
      </c>
      <c r="G1997" s="2" t="s">
        <v>18</v>
      </c>
      <c r="H1997" s="2" t="n">
        <f aca="false">F1997/Tabla2[[#This Row],[Cosecha Mensual]]</f>
        <v>8.57284671532847</v>
      </c>
      <c r="I1997" s="2" t="n">
        <f aca="false">H1997*_xlfn.XLOOKUP(Tabla2[[#This Row],[Unidad de producción]],Tabla3[Medida],Tabla3[Equivalencia en Kg],"ELVIS",0)</f>
        <v>388.864327007299</v>
      </c>
      <c r="J1997" s="2" t="n">
        <v>935.463333333333</v>
      </c>
      <c r="K1997" s="2" t="s">
        <v>18</v>
      </c>
      <c r="L1997" s="2" t="n">
        <f aca="false">J1997/_xlfn.XLOOKUP(Tabla2[[#This Row],[Unidad de precio]],Tabla3[Medida],Tabla3[Equivalencia en Kg],"ELVIS",0)</f>
        <v>20.6230893592005</v>
      </c>
      <c r="M1997" s="2" t="n">
        <v>8667.0620736</v>
      </c>
      <c r="N1997" s="3" t="n">
        <f aca="false">(Tabla2[[#This Row],[Productividad (kg/TAS)]]*Tabla2[[#This Row],[Precio por kg]]-Tabla2[[#This Row],[Costos (En RD$/Tarea)]])</f>
        <v>-647.478309123118</v>
      </c>
      <c r="O1997" s="9" t="n">
        <f aca="false">IF(Tabla2[[#This Row],[Costos (En RD$/Tarea)]]=0,0,Tabla2[[#This Row],[Beneficio Neto  (En RD$/Tarea)]]/Tabla2[[#This Row],[Costos (En RD$/Tarea)]])</f>
        <v>-0.0747056273077063</v>
      </c>
      <c r="P1997" s="7" t="n">
        <f aca="false">Tabla2[[#This Row],[Rentabilidad (%)]]/12</f>
        <v>-0.00622546894230886</v>
      </c>
    </row>
    <row r="1998" customFormat="false" ht="14.25" hidden="false" customHeight="false" outlineLevel="0" collapsed="false">
      <c r="A1998" s="1" t="n">
        <v>41579</v>
      </c>
      <c r="B1998" s="2" t="s">
        <v>23</v>
      </c>
      <c r="C1998" s="3" t="n">
        <v>3574</v>
      </c>
      <c r="D1998" s="8" t="s">
        <v>17</v>
      </c>
      <c r="E1998" s="3" t="n">
        <f aca="false">IF(Tabla2[[#This Row],[Frecuencia]]="Annual", Tabla2[[#This Row],[Cosecha/Tarea]]/12,Tabla2[[#This Row],[Cosecha/Tarea]])</f>
        <v>3574</v>
      </c>
      <c r="F1998" s="3" t="n">
        <v>110702</v>
      </c>
      <c r="G1998" s="2" t="s">
        <v>18</v>
      </c>
      <c r="H1998" s="2" t="n">
        <f aca="false">F1998/Tabla2[[#This Row],[Cosecha Mensual]]</f>
        <v>30.9742585338556</v>
      </c>
      <c r="I1998" s="2" t="n">
        <f aca="false">H1998*_xlfn.XLOOKUP(Tabla2[[#This Row],[Unidad de producción]],Tabla3[Medida],Tabla3[Equivalencia en Kg],"ELVIS",0)</f>
        <v>1404.99236709569</v>
      </c>
      <c r="J1998" s="2" t="n">
        <v>800</v>
      </c>
      <c r="K1998" s="2" t="s">
        <v>18</v>
      </c>
      <c r="L1998" s="2" t="n">
        <f aca="false">J1998/_xlfn.XLOOKUP(Tabla2[[#This Row],[Unidad de precio]],Tabla3[Medida],Tabla3[Equivalencia en Kg],"ELVIS",0)</f>
        <v>17.636684303351</v>
      </c>
      <c r="M1998" s="2" t="n">
        <v>24550.1208184162</v>
      </c>
      <c r="N1998" s="3" t="n">
        <f aca="false">(Tabla2[[#This Row],[Productividad (kg/TAS)]]*Tabla2[[#This Row],[Precio por kg]]-Tabla2[[#This Row],[Costos (En RD$/Tarea)]])</f>
        <v>229.286008668303</v>
      </c>
      <c r="O1998" s="9" t="n">
        <f aca="false">IF(Tabla2[[#This Row],[Costos (En RD$/Tarea)]]=0,0,Tabla2[[#This Row],[Beneficio Neto  (En RD$/Tarea)]]/Tabla2[[#This Row],[Costos (En RD$/Tarea)]])</f>
        <v>0.00933950632521144</v>
      </c>
      <c r="P1998" s="7" t="n">
        <f aca="false">Tabla2[[#This Row],[Rentabilidad (%)]]/12</f>
        <v>0.00077829219376762</v>
      </c>
    </row>
    <row r="1999" customFormat="false" ht="14.25" hidden="false" customHeight="false" outlineLevel="0" collapsed="false">
      <c r="A1999" s="1" t="n">
        <v>41579</v>
      </c>
      <c r="B1999" s="2" t="s">
        <v>24</v>
      </c>
      <c r="C1999" s="3" t="n">
        <v>6102</v>
      </c>
      <c r="D1999" s="8" t="s">
        <v>17</v>
      </c>
      <c r="E1999" s="3" t="n">
        <f aca="false">IF(Tabla2[[#This Row],[Frecuencia]]="Annual", Tabla2[[#This Row],[Cosecha/Tarea]]/12,Tabla2[[#This Row],[Cosecha/Tarea]])</f>
        <v>6102</v>
      </c>
      <c r="F1999" s="3" t="n">
        <v>48824</v>
      </c>
      <c r="G1999" s="2" t="s">
        <v>18</v>
      </c>
      <c r="H1999" s="2" t="n">
        <f aca="false">F1999/Tabla2[[#This Row],[Cosecha Mensual]]</f>
        <v>8.00131104555883</v>
      </c>
      <c r="I1999" s="2" t="n">
        <f aca="false">H1999*_xlfn.XLOOKUP(Tabla2[[#This Row],[Unidad de producción]],Tabla3[Medida],Tabla3[Equivalencia en Kg],"ELVIS",0)</f>
        <v>362.939469026549</v>
      </c>
      <c r="J1999" s="2" t="n">
        <v>1670</v>
      </c>
      <c r="K1999" s="2" t="s">
        <v>18</v>
      </c>
      <c r="L1999" s="2" t="n">
        <f aca="false">J1999/_xlfn.XLOOKUP(Tabla2[[#This Row],[Unidad de precio]],Tabla3[Medida],Tabla3[Equivalencia en Kg],"ELVIS",0)</f>
        <v>36.8165784832452</v>
      </c>
      <c r="M1999" s="2" t="n">
        <v>8436.00230404646</v>
      </c>
      <c r="N1999" s="3" t="n">
        <f aca="false">(Tabla2[[#This Row],[Productividad (kg/TAS)]]*Tabla2[[#This Row],[Precio por kg]]-Tabla2[[#This Row],[Costos (En RD$/Tarea)]])</f>
        <v>4926.18714203679</v>
      </c>
      <c r="O1999" s="9" t="n">
        <f aca="false">IF(Tabla2[[#This Row],[Costos (En RD$/Tarea)]]=0,0,Tabla2[[#This Row],[Beneficio Neto  (En RD$/Tarea)]]/Tabla2[[#This Row],[Costos (En RD$/Tarea)]])</f>
        <v>0.583948055546863</v>
      </c>
      <c r="P1999" s="7" t="n">
        <f aca="false">Tabla2[[#This Row],[Rentabilidad (%)]]/12</f>
        <v>0.0486623379622386</v>
      </c>
    </row>
    <row r="2000" customFormat="false" ht="14.25" hidden="false" customHeight="false" outlineLevel="0" collapsed="false">
      <c r="A2000" s="1" t="n">
        <v>41579</v>
      </c>
      <c r="B2000" s="2" t="s">
        <v>25</v>
      </c>
      <c r="C2000" s="3" t="n">
        <v>45315</v>
      </c>
      <c r="D2000" s="8" t="s">
        <v>17</v>
      </c>
      <c r="E2000" s="3" t="n">
        <f aca="false">IF(Tabla2[[#This Row],[Frecuencia]]="Annual", Tabla2[[#This Row],[Cosecha/Tarea]]/12,Tabla2[[#This Row],[Cosecha/Tarea]])</f>
        <v>45315</v>
      </c>
      <c r="F2000" s="3" t="n">
        <v>416050</v>
      </c>
      <c r="G2000" s="2" t="s">
        <v>18</v>
      </c>
      <c r="H2000" s="2" t="n">
        <f aca="false">F2000/Tabla2[[#This Row],[Cosecha Mensual]]</f>
        <v>9.1812865497076</v>
      </c>
      <c r="I2000" s="2" t="n">
        <f aca="false">H2000*_xlfn.XLOOKUP(Tabla2[[#This Row],[Unidad de producción]],Tabla3[Medida],Tabla3[Equivalencia en Kg],"ELVIS",0)</f>
        <v>416.463157894737</v>
      </c>
      <c r="J2000" s="2" t="n">
        <v>362.9388</v>
      </c>
      <c r="K2000" s="2" t="s">
        <v>18</v>
      </c>
      <c r="L2000" s="2" t="n">
        <f aca="false">J2000/_xlfn.XLOOKUP(Tabla2[[#This Row],[Unidad de precio]],Tabla3[Medida],Tabla3[Equivalencia en Kg],"ELVIS",0)</f>
        <v>8.0012962962963</v>
      </c>
      <c r="M2000" s="2" t="n">
        <v>4461.19405275347</v>
      </c>
      <c r="N2000" s="3" t="n">
        <f aca="false">(Tabla2[[#This Row],[Productividad (kg/TAS)]]*Tabla2[[#This Row],[Precio por kg]]-Tabla2[[#This Row],[Costos (En RD$/Tarea)]])</f>
        <v>-1128.94892994645</v>
      </c>
      <c r="O2000" s="9" t="n">
        <f aca="false">IF(Tabla2[[#This Row],[Costos (En RD$/Tarea)]]=0,0,Tabla2[[#This Row],[Beneficio Neto  (En RD$/Tarea)]]/Tabla2[[#This Row],[Costos (En RD$/Tarea)]])</f>
        <v>-0.253059812372354</v>
      </c>
      <c r="P2000" s="7" t="n">
        <f aca="false">Tabla2[[#This Row],[Rentabilidad (%)]]/12</f>
        <v>-0.0210883176976961</v>
      </c>
    </row>
    <row r="2001" customFormat="false" ht="14.25" hidden="false" customHeight="false" outlineLevel="0" collapsed="false">
      <c r="A2001" s="1" t="n">
        <v>41579</v>
      </c>
      <c r="B2001" s="2" t="s">
        <v>26</v>
      </c>
      <c r="C2001" s="3" t="n">
        <v>12052</v>
      </c>
      <c r="D2001" s="8" t="s">
        <v>17</v>
      </c>
      <c r="E2001" s="3" t="n">
        <f aca="false">IF(Tabla2[[#This Row],[Frecuencia]]="Annual", Tabla2[[#This Row],[Cosecha/Tarea]]/12,Tabla2[[#This Row],[Cosecha/Tarea]])</f>
        <v>12052</v>
      </c>
      <c r="F2001" s="3" t="n">
        <v>63891</v>
      </c>
      <c r="G2001" s="2" t="s">
        <v>18</v>
      </c>
      <c r="H2001" s="2" t="n">
        <f aca="false">F2001/Tabla2[[#This Row],[Cosecha Mensual]]</f>
        <v>5.3012777962164</v>
      </c>
      <c r="I2001" s="2" t="n">
        <f aca="false">H2001*_xlfn.XLOOKUP(Tabla2[[#This Row],[Unidad de producción]],Tabla3[Medida],Tabla3[Equivalencia en Kg],"ELVIS",0)</f>
        <v>240.465960836376</v>
      </c>
      <c r="J2001" s="2" t="n">
        <v>658.766</v>
      </c>
      <c r="K2001" s="2" t="s">
        <v>18</v>
      </c>
      <c r="L2001" s="2" t="n">
        <f aca="false">J2001/_xlfn.XLOOKUP(Tabla2[[#This Row],[Unidad de precio]],Tabla3[Medida],Tabla3[Equivalencia en Kg],"ELVIS",0)</f>
        <v>14.5230599647266</v>
      </c>
      <c r="M2001" s="2" t="n">
        <v>1856.821617</v>
      </c>
      <c r="N2001" s="3" t="n">
        <f aca="false">(Tabla2[[#This Row],[Productividad (kg/TAS)]]*Tabla2[[#This Row],[Precio por kg]]-Tabla2[[#This Row],[Costos (En RD$/Tarea)]])</f>
        <v>1635.47995170229</v>
      </c>
      <c r="O2001" s="9" t="n">
        <f aca="false">IF(Tabla2[[#This Row],[Costos (En RD$/Tarea)]]=0,0,Tabla2[[#This Row],[Beneficio Neto  (En RD$/Tarea)]]/Tabla2[[#This Row],[Costos (En RD$/Tarea)]])</f>
        <v>0.880795406908649</v>
      </c>
      <c r="P2001" s="7" t="n">
        <f aca="false">Tabla2[[#This Row],[Rentabilidad (%)]]/12</f>
        <v>0.0733996172423874</v>
      </c>
    </row>
    <row r="2002" customFormat="false" ht="14.25" hidden="false" customHeight="false" outlineLevel="0" collapsed="false">
      <c r="A2002" s="1" t="n">
        <v>41579</v>
      </c>
      <c r="B2002" s="2" t="s">
        <v>27</v>
      </c>
      <c r="C2002" s="3" t="n">
        <v>8275</v>
      </c>
      <c r="D2002" s="8" t="s">
        <v>17</v>
      </c>
      <c r="E2002" s="3" t="n">
        <f aca="false">IF(Tabla2[[#This Row],[Frecuencia]]="Annual", Tabla2[[#This Row],[Cosecha/Tarea]]/12,Tabla2[[#This Row],[Cosecha/Tarea]])</f>
        <v>8275</v>
      </c>
      <c r="F2002" s="3" t="n">
        <v>27695</v>
      </c>
      <c r="G2002" s="2" t="s">
        <v>18</v>
      </c>
      <c r="H2002" s="2" t="n">
        <f aca="false">F2002/Tabla2[[#This Row],[Cosecha Mensual]]</f>
        <v>3.34682779456193</v>
      </c>
      <c r="I2002" s="2" t="n">
        <f aca="false">H2002*_xlfn.XLOOKUP(Tabla2[[#This Row],[Unidad de producción]],Tabla3[Medida],Tabla3[Equivalencia en Kg],"ELVIS",0)</f>
        <v>151.812108761329</v>
      </c>
      <c r="J2002" s="2" t="n">
        <v>827.2</v>
      </c>
      <c r="K2002" s="2" t="s">
        <v>18</v>
      </c>
      <c r="L2002" s="2" t="n">
        <f aca="false">J2002/_xlfn.XLOOKUP(Tabla2[[#This Row],[Unidad de precio]],Tabla3[Medida],Tabla3[Equivalencia en Kg],"ELVIS",0)</f>
        <v>18.2363315696649</v>
      </c>
      <c r="M2002" s="2" t="n">
        <v>7498.499866956</v>
      </c>
      <c r="N2002" s="3" t="n">
        <f aca="false">(Tabla2[[#This Row],[Productividad (kg/TAS)]]*Tabla2[[#This Row],[Precio por kg]]-Tabla2[[#This Row],[Costos (En RD$/Tarea)]])</f>
        <v>-4730.00391529437</v>
      </c>
      <c r="O2002" s="9" t="n">
        <f aca="false">IF(Tabla2[[#This Row],[Costos (En RD$/Tarea)]]=0,0,Tabla2[[#This Row],[Beneficio Neto  (En RD$/Tarea)]]/Tabla2[[#This Row],[Costos (En RD$/Tarea)]])</f>
        <v>-0.630793358567399</v>
      </c>
      <c r="P2002" s="7" t="n">
        <f aca="false">Tabla2[[#This Row],[Rentabilidad (%)]]/12</f>
        <v>-0.0525661132139499</v>
      </c>
    </row>
    <row r="2003" customFormat="false" ht="14.25" hidden="false" customHeight="false" outlineLevel="0" collapsed="false">
      <c r="A2003" s="1" t="n">
        <v>41579</v>
      </c>
      <c r="B2003" s="2" t="s">
        <v>28</v>
      </c>
      <c r="C2003" s="3" t="n">
        <v>52546</v>
      </c>
      <c r="D2003" s="8" t="s">
        <v>17</v>
      </c>
      <c r="E2003" s="3" t="n">
        <f aca="false">IF(Tabla2[[#This Row],[Frecuencia]]="Annual", Tabla2[[#This Row],[Cosecha/Tarea]]/12,Tabla2[[#This Row],[Cosecha/Tarea]])</f>
        <v>52546</v>
      </c>
      <c r="F2003" s="3" t="n">
        <v>53210</v>
      </c>
      <c r="G2003" s="2" t="s">
        <v>29</v>
      </c>
      <c r="H2003" s="2" t="n">
        <f aca="false">F2003/Tabla2[[#This Row],[Cosecha Mensual]]</f>
        <v>1.01263654702546</v>
      </c>
      <c r="I2003" s="2" t="n">
        <f aca="false">H2003*_xlfn.XLOOKUP(Tabla2[[#This Row],[Unidad de producción]],Tabla3[Medida],Tabla3[Equivalencia en Kg],"ELVIS",0)</f>
        <v>569.446035854299</v>
      </c>
      <c r="J2003" s="2" t="n">
        <v>5917.85</v>
      </c>
      <c r="K2003" s="2" t="s">
        <v>29</v>
      </c>
      <c r="L2003" s="2" t="n">
        <f aca="false">J2003/_xlfn.XLOOKUP(Tabla2[[#This Row],[Unidad de precio]],Tabla3[Medida],Tabla3[Equivalencia en Kg],"ELVIS",0)</f>
        <v>10.5236156062169</v>
      </c>
      <c r="M2003" s="2" t="n">
        <v>6492.56103460413</v>
      </c>
      <c r="N2003" s="3" t="n">
        <f aca="false">(Tabla2[[#This Row],[Productividad (kg/TAS)]]*Tabla2[[#This Row],[Precio por kg]]-Tabla2[[#This Row],[Costos (En RD$/Tarea)]])</f>
        <v>-499.929844789492</v>
      </c>
      <c r="O2003" s="9" t="n">
        <f aca="false">IF(Tabla2[[#This Row],[Costos (En RD$/Tarea)]]=0,0,Tabla2[[#This Row],[Beneficio Neto  (En RD$/Tarea)]]/Tabla2[[#This Row],[Costos (En RD$/Tarea)]])</f>
        <v>-0.0770004074085649</v>
      </c>
      <c r="P2003" s="7" t="n">
        <f aca="false">Tabla2[[#This Row],[Rentabilidad (%)]]/12</f>
        <v>-0.00641670061738041</v>
      </c>
    </row>
    <row r="2004" customFormat="false" ht="14.25" hidden="false" customHeight="false" outlineLevel="0" collapsed="false">
      <c r="A2004" s="1" t="n">
        <v>41579</v>
      </c>
      <c r="B2004" s="2" t="s">
        <v>30</v>
      </c>
      <c r="C2004" s="3" t="n">
        <v>399641</v>
      </c>
      <c r="D2004" s="3" t="s">
        <v>31</v>
      </c>
      <c r="E2004" s="3" t="n">
        <f aca="false">IF(Tabla2[[#This Row],[Frecuencia]]="Annual", Tabla2[[#This Row],[Cosecha/Tarea]]/12,Tabla2[[#This Row],[Cosecha/Tarea]])</f>
        <v>33303.4166666667</v>
      </c>
      <c r="F2004" s="3" t="n">
        <v>3468960</v>
      </c>
      <c r="G2004" s="2" t="s">
        <v>32</v>
      </c>
      <c r="H2004" s="2" t="n">
        <f aca="false">F2004/Tabla2[[#This Row],[Cosecha Mensual]]</f>
        <v>104.162285651372</v>
      </c>
      <c r="I2004" s="2" t="n">
        <f aca="false">H2004*_xlfn.XLOOKUP(Tabla2[[#This Row],[Unidad de producción]],Tabla3[Medida],Tabla3[Equivalencia en Kg],"ELVIS",0)</f>
        <v>2834.25579257384</v>
      </c>
      <c r="J2004" s="2" t="n">
        <v>132.6</v>
      </c>
      <c r="K2004" s="2" t="s">
        <v>32</v>
      </c>
      <c r="L2004" s="2" t="n">
        <f aca="false">J2004/_xlfn.XLOOKUP(Tabla2[[#This Row],[Unidad de precio]],Tabla3[Medida],Tabla3[Equivalencia en Kg],"ELVIS",0)</f>
        <v>4.87320837927233</v>
      </c>
      <c r="M2004" s="3" t="n">
        <v>11852.2845542745</v>
      </c>
      <c r="N2004" s="3" t="n">
        <f aca="false">(Tabla2[[#This Row],[Productividad (kg/TAS)]]*Tabla2[[#This Row],[Precio por kg]]-Tabla2[[#This Row],[Costos (En RD$/Tarea)]])</f>
        <v>1959.63452309744</v>
      </c>
      <c r="O2004" s="9" t="n">
        <f aca="false">IF(Tabla2[[#This Row],[Costos (En RD$/Tarea)]]=0,0,Tabla2[[#This Row],[Beneficio Neto  (En RD$/Tarea)]]/Tabla2[[#This Row],[Costos (En RD$/Tarea)]])</f>
        <v>0.165338126512555</v>
      </c>
      <c r="P2004" s="7" t="n">
        <f aca="false">Tabla2[[#This Row],[Rentabilidad (%)]]/12</f>
        <v>0.0137781772093796</v>
      </c>
    </row>
    <row r="2005" customFormat="false" ht="14.25" hidden="false" customHeight="false" outlineLevel="0" collapsed="false">
      <c r="A2005" s="1" t="n">
        <v>41579</v>
      </c>
      <c r="B2005" s="2" t="s">
        <v>33</v>
      </c>
      <c r="C2005" s="3" t="n">
        <v>743356</v>
      </c>
      <c r="D2005" s="3" t="s">
        <v>31</v>
      </c>
      <c r="E2005" s="3" t="n">
        <f aca="false">IF(Tabla2[[#This Row],[Frecuencia]]="Annual", Tabla2[[#This Row],[Cosecha/Tarea]]/12,Tabla2[[#This Row],[Cosecha/Tarea]])</f>
        <v>61946.3333333333</v>
      </c>
      <c r="F2005" s="3" t="n">
        <v>133718</v>
      </c>
      <c r="G2005" s="2" t="s">
        <v>34</v>
      </c>
      <c r="H2005" s="2" t="n">
        <f aca="false">F2005/Tabla2[[#This Row],[Cosecha Mensual]]</f>
        <v>2.15861041008615</v>
      </c>
      <c r="I2005" s="2" t="n">
        <f aca="false">H2005*_xlfn.XLOOKUP(Tabla2[[#This Row],[Unidad de producción]],Tabla3[Medida],Tabla3[Equivalencia en Kg],"ELVIS",0)</f>
        <v>881.036838876662</v>
      </c>
      <c r="J2005" s="2" t="n">
        <v>3387.834</v>
      </c>
      <c r="K2005" s="2" t="s">
        <v>34</v>
      </c>
      <c r="L2005" s="2" t="n">
        <f aca="false">J2005/_xlfn.XLOOKUP(Tabla2[[#This Row],[Unidad de precio]],Tabla3[Medida],Tabla3[Equivalencia en Kg],"ELVIS",0)</f>
        <v>8.30046306504961</v>
      </c>
      <c r="M2005" s="3" t="n">
        <v>11461.3597912662</v>
      </c>
      <c r="N2005" s="3" t="n">
        <f aca="false">(Tabla2[[#This Row],[Productividad (kg/TAS)]]*Tabla2[[#This Row],[Precio por kg]]-Tabla2[[#This Row],[Costos (En RD$/Tarea)]])</f>
        <v>-4148.3460512224</v>
      </c>
      <c r="O2005" s="9" t="n">
        <f aca="false">IF(Tabla2[[#This Row],[Costos (En RD$/Tarea)]]=0,0,Tabla2[[#This Row],[Beneficio Neto  (En RD$/Tarea)]]/Tabla2[[#This Row],[Costos (En RD$/Tarea)]])</f>
        <v>-0.361941874853587</v>
      </c>
      <c r="P2005" s="7" t="n">
        <f aca="false">Tabla2[[#This Row],[Rentabilidad (%)]]/12</f>
        <v>-0.0301618229044655</v>
      </c>
    </row>
    <row r="2006" customFormat="false" ht="14.25" hidden="false" customHeight="false" outlineLevel="0" collapsed="false">
      <c r="A2006" s="1" t="n">
        <v>41609</v>
      </c>
      <c r="B2006" s="2" t="s">
        <v>16</v>
      </c>
      <c r="C2006" s="3" t="n">
        <v>98067</v>
      </c>
      <c r="D2006" s="8" t="s">
        <v>17</v>
      </c>
      <c r="E2006" s="3" t="n">
        <f aca="false">IF(Tabla2[[#This Row],[Frecuencia]]="Annual", Tabla2[[#This Row],[Cosecha/Tarea]]/12,Tabla2[[#This Row],[Cosecha/Tarea]])</f>
        <v>98067</v>
      </c>
      <c r="F2006" s="3" t="n">
        <v>363714</v>
      </c>
      <c r="G2006" s="2" t="s">
        <v>18</v>
      </c>
      <c r="H2006" s="2" t="n">
        <f aca="false">F2006/Tabla2[[#This Row],[Cosecha Mensual]]</f>
        <v>3.70883171709138</v>
      </c>
      <c r="I2006" s="2" t="n">
        <f aca="false">H2006*_xlfn.XLOOKUP(Tabla2[[#This Row],[Unidad de producción]],Tabla3[Medida],Tabla3[Equivalencia en Kg],"ELVIS",0)</f>
        <v>168.232606687265</v>
      </c>
      <c r="J2006" s="2" t="n">
        <v>1845.806175</v>
      </c>
      <c r="K2006" s="2" t="s">
        <v>19</v>
      </c>
      <c r="L2006" s="2" t="n">
        <f aca="false">J2006/_xlfn.XLOOKUP(Tabla2[[#This Row],[Unidad de precio]],Tabla3[Medida],Tabla3[Equivalencia en Kg],"ELVIS",0)</f>
        <v>16.7800561363636</v>
      </c>
      <c r="M2006" s="2" t="n">
        <v>7832.60797003155</v>
      </c>
      <c r="N2006" s="3" t="n">
        <f aca="false">(Tabla2[[#This Row],[Productividad (kg/TAS)]]*Tabla2[[#This Row],[Precio por kg]]-Tabla2[[#This Row],[Costos (En RD$/Tarea)]])</f>
        <v>-5009.65538585246</v>
      </c>
      <c r="O2006" s="9" t="n">
        <f aca="false">IF(Tabla2[[#This Row],[Costos (En RD$/Tarea)]]=0,0,Tabla2[[#This Row],[Beneficio Neto  (En RD$/Tarea)]]/Tabla2[[#This Row],[Costos (En RD$/Tarea)]])</f>
        <v>-0.639589700521202</v>
      </c>
      <c r="P2006" s="7" t="n">
        <f aca="false">Tabla2[[#This Row],[Rentabilidad (%)]]/12</f>
        <v>-0.0532991417101002</v>
      </c>
    </row>
    <row r="2007" customFormat="false" ht="14.25" hidden="false" customHeight="false" outlineLevel="0" collapsed="false">
      <c r="A2007" s="1" t="n">
        <v>41609</v>
      </c>
      <c r="B2007" s="2" t="s">
        <v>20</v>
      </c>
      <c r="C2007" s="3" t="n">
        <v>57443</v>
      </c>
      <c r="D2007" s="8" t="s">
        <v>17</v>
      </c>
      <c r="E2007" s="3" t="n">
        <f aca="false">IF(Tabla2[[#This Row],[Frecuencia]]="Annual", Tabla2[[#This Row],[Cosecha/Tarea]]/12,Tabla2[[#This Row],[Cosecha/Tarea]])</f>
        <v>57443</v>
      </c>
      <c r="F2007" s="3" t="n">
        <v>109051</v>
      </c>
      <c r="G2007" s="2" t="s">
        <v>18</v>
      </c>
      <c r="H2007" s="2" t="n">
        <f aca="false">F2007/Tabla2[[#This Row],[Cosecha Mensual]]</f>
        <v>1.89842104346918</v>
      </c>
      <c r="I2007" s="2" t="n">
        <f aca="false">H2007*_xlfn.XLOOKUP(Tabla2[[#This Row],[Unidad de producción]],Tabla3[Medida],Tabla3[Equivalencia en Kg],"ELVIS",0)</f>
        <v>86.1123785317619</v>
      </c>
      <c r="J2007" s="2" t="n">
        <v>658.333333333333</v>
      </c>
      <c r="K2007" s="2" t="s">
        <v>18</v>
      </c>
      <c r="L2007" s="2" t="n">
        <f aca="false">J2007/_xlfn.XLOOKUP(Tabla2[[#This Row],[Unidad de precio]],Tabla3[Medida],Tabla3[Equivalencia en Kg],"ELVIS",0)</f>
        <v>14.5135214579659</v>
      </c>
      <c r="M2007" s="2" t="n">
        <v>2208.926382</v>
      </c>
      <c r="N2007" s="3" t="n">
        <f aca="false">(Tabla2[[#This Row],[Productividad (kg/TAS)]]*Tabla2[[#This Row],[Precio por kg]]-Tabla2[[#This Row],[Costos (En RD$/Tarea)]])</f>
        <v>-959.132528382792</v>
      </c>
      <c r="O2007" s="9" t="n">
        <f aca="false">IF(Tabla2[[#This Row],[Costos (En RD$/Tarea)]]=0,0,Tabla2[[#This Row],[Beneficio Neto  (En RD$/Tarea)]]/Tabla2[[#This Row],[Costos (En RD$/Tarea)]])</f>
        <v>-0.434207557209026</v>
      </c>
      <c r="P2007" s="7" t="n">
        <f aca="false">Tabla2[[#This Row],[Rentabilidad (%)]]/12</f>
        <v>-0.0361839631007522</v>
      </c>
    </row>
    <row r="2008" customFormat="false" ht="14.25" hidden="false" customHeight="false" outlineLevel="0" collapsed="false">
      <c r="A2008" s="1" t="n">
        <v>41609</v>
      </c>
      <c r="B2008" s="2" t="s">
        <v>21</v>
      </c>
      <c r="C2008" s="3" t="n">
        <v>7535</v>
      </c>
      <c r="D2008" s="8" t="s">
        <v>17</v>
      </c>
      <c r="E2008" s="3" t="n">
        <f aca="false">IF(Tabla2[[#This Row],[Frecuencia]]="Annual", Tabla2[[#This Row],[Cosecha/Tarea]]/12,Tabla2[[#This Row],[Cosecha/Tarea]])</f>
        <v>7535</v>
      </c>
      <c r="F2008" s="3" t="n">
        <v>86684</v>
      </c>
      <c r="G2008" s="2" t="s">
        <v>18</v>
      </c>
      <c r="H2008" s="2" t="n">
        <f aca="false">F2008/Tabla2[[#This Row],[Cosecha Mensual]]</f>
        <v>11.5041804910418</v>
      </c>
      <c r="I2008" s="2" t="n">
        <f aca="false">H2008*_xlfn.XLOOKUP(Tabla2[[#This Row],[Unidad de producción]],Tabla3[Medida],Tabla3[Equivalencia en Kg],"ELVIS",0)</f>
        <v>521.829627073656</v>
      </c>
      <c r="J2008" s="2" t="n">
        <v>269.8395</v>
      </c>
      <c r="K2008" s="2" t="s">
        <v>18</v>
      </c>
      <c r="L2008" s="2" t="n">
        <f aca="false">J2008/_xlfn.XLOOKUP(Tabla2[[#This Row],[Unidad de precio]],Tabla3[Medida],Tabla3[Equivalencia en Kg],"ELVIS",0)</f>
        <v>5.94884259259259</v>
      </c>
      <c r="M2008" s="2" t="n">
        <v>4893.7504665</v>
      </c>
      <c r="N2008" s="3" t="n">
        <f aca="false">(Tabla2[[#This Row],[Productividad (kg/TAS)]]*Tabla2[[#This Row],[Precio por kg]]-Tabla2[[#This Row],[Costos (En RD$/Tarea)]])</f>
        <v>-1789.46815488752</v>
      </c>
      <c r="O2008" s="9" t="n">
        <f aca="false">IF(Tabla2[[#This Row],[Costos (En RD$/Tarea)]]=0,0,Tabla2[[#This Row],[Beneficio Neto  (En RD$/Tarea)]]/Tabla2[[#This Row],[Costos (En RD$/Tarea)]])</f>
        <v>-0.365663955924452</v>
      </c>
      <c r="P2008" s="7" t="n">
        <f aca="false">Tabla2[[#This Row],[Rentabilidad (%)]]/12</f>
        <v>-0.0304719963270377</v>
      </c>
    </row>
    <row r="2009" customFormat="false" ht="14.25" hidden="false" customHeight="false" outlineLevel="0" collapsed="false">
      <c r="A2009" s="1" t="n">
        <v>41609</v>
      </c>
      <c r="B2009" s="2" t="s">
        <v>22</v>
      </c>
      <c r="C2009" s="3" t="n">
        <v>7071</v>
      </c>
      <c r="D2009" s="8" t="s">
        <v>17</v>
      </c>
      <c r="E2009" s="3" t="n">
        <f aca="false">IF(Tabla2[[#This Row],[Frecuencia]]="Annual", Tabla2[[#This Row],[Cosecha/Tarea]]/12,Tabla2[[#This Row],[Cosecha/Tarea]])</f>
        <v>7071</v>
      </c>
      <c r="F2009" s="3" t="n">
        <v>64928</v>
      </c>
      <c r="G2009" s="2" t="s">
        <v>18</v>
      </c>
      <c r="H2009" s="2" t="n">
        <f aca="false">F2009/Tabla2[[#This Row],[Cosecha Mensual]]</f>
        <v>9.18229387639655</v>
      </c>
      <c r="I2009" s="2" t="n">
        <f aca="false">H2009*_xlfn.XLOOKUP(Tabla2[[#This Row],[Unidad de producción]],Tabla3[Medida],Tabla3[Equivalencia en Kg],"ELVIS",0)</f>
        <v>416.508850233347</v>
      </c>
      <c r="J2009" s="2" t="n">
        <v>951.2325</v>
      </c>
      <c r="K2009" s="2" t="s">
        <v>18</v>
      </c>
      <c r="L2009" s="2" t="n">
        <f aca="false">J2009/_xlfn.XLOOKUP(Tabla2[[#This Row],[Unidad de precio]],Tabla3[Medida],Tabla3[Equivalencia en Kg],"ELVIS",0)</f>
        <v>20.9707341269841</v>
      </c>
      <c r="M2009" s="2" t="n">
        <v>8667.0620736</v>
      </c>
      <c r="N2009" s="3" t="n">
        <f aca="false">(Tabla2[[#This Row],[Productividad (kg/TAS)]]*Tabla2[[#This Row],[Precio por kg]]-Tabla2[[#This Row],[Costos (En RD$/Tarea)]])</f>
        <v>67.4342861793793</v>
      </c>
      <c r="O2009" s="9" t="n">
        <f aca="false">IF(Tabla2[[#This Row],[Costos (En RD$/Tarea)]]=0,0,Tabla2[[#This Row],[Beneficio Neto  (En RD$/Tarea)]]/Tabla2[[#This Row],[Costos (En RD$/Tarea)]])</f>
        <v>0.00778052419686542</v>
      </c>
      <c r="P2009" s="7" t="n">
        <f aca="false">Tabla2[[#This Row],[Rentabilidad (%)]]/12</f>
        <v>0.000648377016405451</v>
      </c>
    </row>
    <row r="2010" customFormat="false" ht="14.25" hidden="false" customHeight="false" outlineLevel="0" collapsed="false">
      <c r="A2010" s="1" t="n">
        <v>41609</v>
      </c>
      <c r="B2010" s="2" t="s">
        <v>23</v>
      </c>
      <c r="C2010" s="3" t="n">
        <v>2698</v>
      </c>
      <c r="D2010" s="8" t="s">
        <v>17</v>
      </c>
      <c r="E2010" s="3" t="n">
        <f aca="false">IF(Tabla2[[#This Row],[Frecuencia]]="Annual", Tabla2[[#This Row],[Cosecha/Tarea]]/12,Tabla2[[#This Row],[Cosecha/Tarea]])</f>
        <v>2698</v>
      </c>
      <c r="F2010" s="3" t="n">
        <v>91028</v>
      </c>
      <c r="G2010" s="2" t="s">
        <v>18</v>
      </c>
      <c r="H2010" s="2" t="n">
        <f aca="false">F2010/Tabla2[[#This Row],[Cosecha Mensual]]</f>
        <v>33.7390659747962</v>
      </c>
      <c r="I2010" s="2" t="n">
        <f aca="false">H2010*_xlfn.XLOOKUP(Tabla2[[#This Row],[Unidad de producción]],Tabla3[Medida],Tabla3[Equivalencia en Kg],"ELVIS",0)</f>
        <v>1530.40403261675</v>
      </c>
      <c r="J2010" s="2" t="n">
        <v>1158.33333333333</v>
      </c>
      <c r="K2010" s="2" t="s">
        <v>18</v>
      </c>
      <c r="L2010" s="2" t="n">
        <f aca="false">J2010/_xlfn.XLOOKUP(Tabla2[[#This Row],[Unidad de precio]],Tabla3[Medida],Tabla3[Equivalencia en Kg],"ELVIS",0)</f>
        <v>25.5364491475602</v>
      </c>
      <c r="M2010" s="2" t="n">
        <v>24550.1208184162</v>
      </c>
      <c r="N2010" s="3" t="n">
        <f aca="false">(Tabla2[[#This Row],[Productividad (kg/TAS)]]*Tabla2[[#This Row],[Precio por kg]]-Tabla2[[#This Row],[Costos (En RD$/Tarea)]])</f>
        <v>14530.9639357226</v>
      </c>
      <c r="O2010" s="9" t="n">
        <f aca="false">IF(Tabla2[[#This Row],[Costos (En RD$/Tarea)]]=0,0,Tabla2[[#This Row],[Beneficio Neto  (En RD$/Tarea)]]/Tabla2[[#This Row],[Costos (En RD$/Tarea)]])</f>
        <v>0.591889711794095</v>
      </c>
      <c r="P2010" s="7" t="n">
        <f aca="false">Tabla2[[#This Row],[Rentabilidad (%)]]/12</f>
        <v>0.0493241426495079</v>
      </c>
    </row>
    <row r="2011" customFormat="false" ht="14.25" hidden="false" customHeight="false" outlineLevel="0" collapsed="false">
      <c r="A2011" s="1" t="n">
        <v>41609</v>
      </c>
      <c r="B2011" s="2" t="s">
        <v>24</v>
      </c>
      <c r="C2011" s="3" t="n">
        <v>8179</v>
      </c>
      <c r="D2011" s="8" t="s">
        <v>17</v>
      </c>
      <c r="E2011" s="3" t="n">
        <f aca="false">IF(Tabla2[[#This Row],[Frecuencia]]="Annual", Tabla2[[#This Row],[Cosecha/Tarea]]/12,Tabla2[[#This Row],[Cosecha/Tarea]])</f>
        <v>8179</v>
      </c>
      <c r="F2011" s="3" t="n">
        <v>59125</v>
      </c>
      <c r="G2011" s="2" t="s">
        <v>18</v>
      </c>
      <c r="H2011" s="2" t="n">
        <f aca="false">F2011/Tabla2[[#This Row],[Cosecha Mensual]]</f>
        <v>7.22887883604353</v>
      </c>
      <c r="I2011" s="2" t="n">
        <f aca="false">H2011*_xlfn.XLOOKUP(Tabla2[[#This Row],[Unidad de producción]],Tabla3[Medida],Tabla3[Equivalencia en Kg],"ELVIS",0)</f>
        <v>327.901944002934</v>
      </c>
      <c r="J2011" s="2" t="n">
        <v>1678.61</v>
      </c>
      <c r="K2011" s="2" t="s">
        <v>18</v>
      </c>
      <c r="L2011" s="2" t="n">
        <f aca="false">J2011/_xlfn.XLOOKUP(Tabla2[[#This Row],[Unidad de precio]],Tabla3[Medida],Tabla3[Equivalencia en Kg],"ELVIS",0)</f>
        <v>37.00639329806</v>
      </c>
      <c r="M2011" s="2" t="n">
        <v>8436.00230404646</v>
      </c>
      <c r="N2011" s="3" t="n">
        <f aca="false">(Tabla2[[#This Row],[Productividad (kg/TAS)]]*Tabla2[[#This Row],[Precio por kg]]-Tabla2[[#This Row],[Costos (En RD$/Tarea)]])</f>
        <v>3698.46599892456</v>
      </c>
      <c r="O2011" s="9" t="n">
        <f aca="false">IF(Tabla2[[#This Row],[Costos (En RD$/Tarea)]]=0,0,Tabla2[[#This Row],[Beneficio Neto  (En RD$/Tarea)]]/Tabla2[[#This Row],[Costos (En RD$/Tarea)]])</f>
        <v>0.438414531626021</v>
      </c>
      <c r="P2011" s="7" t="n">
        <f aca="false">Tabla2[[#This Row],[Rentabilidad (%)]]/12</f>
        <v>0.0365345443021684</v>
      </c>
    </row>
    <row r="2012" customFormat="false" ht="14.25" hidden="false" customHeight="false" outlineLevel="0" collapsed="false">
      <c r="A2012" s="1" t="n">
        <v>41609</v>
      </c>
      <c r="B2012" s="2" t="s">
        <v>25</v>
      </c>
      <c r="C2012" s="3" t="n">
        <v>28598</v>
      </c>
      <c r="D2012" s="8" t="s">
        <v>17</v>
      </c>
      <c r="E2012" s="3" t="n">
        <f aca="false">IF(Tabla2[[#This Row],[Frecuencia]]="Annual", Tabla2[[#This Row],[Cosecha/Tarea]]/12,Tabla2[[#This Row],[Cosecha/Tarea]])</f>
        <v>28598</v>
      </c>
      <c r="F2012" s="3" t="n">
        <v>341072</v>
      </c>
      <c r="G2012" s="2" t="s">
        <v>18</v>
      </c>
      <c r="H2012" s="2" t="n">
        <f aca="false">F2012/Tabla2[[#This Row],[Cosecha Mensual]]</f>
        <v>11.9264284215679</v>
      </c>
      <c r="I2012" s="2" t="n">
        <f aca="false">H2012*_xlfn.XLOOKUP(Tabla2[[#This Row],[Unidad de producción]],Tabla3[Medida],Tabla3[Equivalencia en Kg],"ELVIS",0)</f>
        <v>540.982793202322</v>
      </c>
      <c r="J2012" s="2" t="n">
        <v>279.071548</v>
      </c>
      <c r="K2012" s="2" t="s">
        <v>18</v>
      </c>
      <c r="L2012" s="2" t="n">
        <f aca="false">J2012/_xlfn.XLOOKUP(Tabla2[[#This Row],[Unidad de precio]],Tabla3[Medida],Tabla3[Equivalencia en Kg],"ELVIS",0)</f>
        <v>6.15237098765432</v>
      </c>
      <c r="M2012" s="2" t="n">
        <v>4461.19405275347</v>
      </c>
      <c r="N2012" s="3" t="n">
        <f aca="false">(Tabla2[[#This Row],[Productividad (kg/TAS)]]*Tabla2[[#This Row],[Precio por kg]]-Tabla2[[#This Row],[Costos (En RD$/Tarea)]])</f>
        <v>-1132.86721103531</v>
      </c>
      <c r="O2012" s="9" t="n">
        <f aca="false">IF(Tabla2[[#This Row],[Costos (En RD$/Tarea)]]=0,0,Tabla2[[#This Row],[Beneficio Neto  (En RD$/Tarea)]]/Tabla2[[#This Row],[Costos (En RD$/Tarea)]])</f>
        <v>-0.253938115589502</v>
      </c>
      <c r="P2012" s="7" t="n">
        <f aca="false">Tabla2[[#This Row],[Rentabilidad (%)]]/12</f>
        <v>-0.0211615096324585</v>
      </c>
    </row>
    <row r="2013" customFormat="false" ht="14.25" hidden="false" customHeight="false" outlineLevel="0" collapsed="false">
      <c r="A2013" s="1" t="n">
        <v>41609</v>
      </c>
      <c r="B2013" s="2" t="s">
        <v>26</v>
      </c>
      <c r="C2013" s="3" t="n">
        <v>14707</v>
      </c>
      <c r="D2013" s="8" t="s">
        <v>17</v>
      </c>
      <c r="E2013" s="3" t="n">
        <f aca="false">IF(Tabla2[[#This Row],[Frecuencia]]="Annual", Tabla2[[#This Row],[Cosecha/Tarea]]/12,Tabla2[[#This Row],[Cosecha/Tarea]])</f>
        <v>14707</v>
      </c>
      <c r="F2013" s="3" t="n">
        <v>84298</v>
      </c>
      <c r="G2013" s="2" t="s">
        <v>18</v>
      </c>
      <c r="H2013" s="2" t="n">
        <f aca="false">F2013/Tabla2[[#This Row],[Cosecha Mensual]]</f>
        <v>5.73182838104304</v>
      </c>
      <c r="I2013" s="2" t="n">
        <f aca="false">H2013*_xlfn.XLOOKUP(Tabla2[[#This Row],[Unidad de producción]],Tabla3[Medida],Tabla3[Equivalencia en Kg],"ELVIS",0)</f>
        <v>259.995735364112</v>
      </c>
      <c r="J2013" s="2" t="n">
        <v>657.458333333333</v>
      </c>
      <c r="K2013" s="2" t="s">
        <v>18</v>
      </c>
      <c r="L2013" s="2" t="n">
        <f aca="false">J2013/_xlfn.XLOOKUP(Tabla2[[#This Row],[Unidad de precio]],Tabla3[Medida],Tabla3[Equivalencia en Kg],"ELVIS",0)</f>
        <v>14.4942313345091</v>
      </c>
      <c r="M2013" s="2" t="n">
        <v>1856.821617</v>
      </c>
      <c r="N2013" s="3" t="n">
        <f aca="false">(Tabla2[[#This Row],[Productividad (kg/TAS)]]*Tabla2[[#This Row],[Precio por kg]]-Tabla2[[#This Row],[Costos (En RD$/Tarea)]])</f>
        <v>1911.61671735325</v>
      </c>
      <c r="O2013" s="9" t="n">
        <f aca="false">IF(Tabla2[[#This Row],[Costos (En RD$/Tarea)]]=0,0,Tabla2[[#This Row],[Beneficio Neto  (En RD$/Tarea)]]/Tabla2[[#This Row],[Costos (En RD$/Tarea)]])</f>
        <v>1.02951015856967</v>
      </c>
      <c r="P2013" s="7" t="n">
        <f aca="false">Tabla2[[#This Row],[Rentabilidad (%)]]/12</f>
        <v>0.0857925132141389</v>
      </c>
    </row>
    <row r="2014" customFormat="false" ht="14.25" hidden="false" customHeight="false" outlineLevel="0" collapsed="false">
      <c r="A2014" s="1" t="n">
        <v>41609</v>
      </c>
      <c r="B2014" s="2" t="s">
        <v>27</v>
      </c>
      <c r="C2014" s="3" t="n">
        <v>7556</v>
      </c>
      <c r="D2014" s="8" t="s">
        <v>17</v>
      </c>
      <c r="E2014" s="3" t="n">
        <f aca="false">IF(Tabla2[[#This Row],[Frecuencia]]="Annual", Tabla2[[#This Row],[Cosecha/Tarea]]/12,Tabla2[[#This Row],[Cosecha/Tarea]])</f>
        <v>7556</v>
      </c>
      <c r="F2014" s="3" t="n">
        <v>43712</v>
      </c>
      <c r="G2014" s="2" t="s">
        <v>18</v>
      </c>
      <c r="H2014" s="2" t="n">
        <f aca="false">F2014/Tabla2[[#This Row],[Cosecha Mensual]]</f>
        <v>5.78507146638433</v>
      </c>
      <c r="I2014" s="2" t="n">
        <f aca="false">H2014*_xlfn.XLOOKUP(Tabla2[[#This Row],[Unidad de producción]],Tabla3[Medida],Tabla3[Equivalencia en Kg],"ELVIS",0)</f>
        <v>262.410841715193</v>
      </c>
      <c r="J2014" s="2" t="n">
        <v>836.26</v>
      </c>
      <c r="K2014" s="2" t="s">
        <v>18</v>
      </c>
      <c r="L2014" s="2" t="n">
        <f aca="false">J2014/_xlfn.XLOOKUP(Tabla2[[#This Row],[Unidad de precio]],Tabla3[Medida],Tabla3[Equivalencia en Kg],"ELVIS",0)</f>
        <v>18.4360670194004</v>
      </c>
      <c r="M2014" s="2" t="n">
        <v>7498.499866956</v>
      </c>
      <c r="N2014" s="3" t="n">
        <f aca="false">(Tabla2[[#This Row],[Productividad (kg/TAS)]]*Tabla2[[#This Row],[Precio por kg]]-Tabla2[[#This Row],[Costos (En RD$/Tarea)]])</f>
        <v>-2660.67600247744</v>
      </c>
      <c r="O2014" s="9" t="n">
        <f aca="false">IF(Tabla2[[#This Row],[Costos (En RD$/Tarea)]]=0,0,Tabla2[[#This Row],[Beneficio Neto  (En RD$/Tarea)]]/Tabla2[[#This Row],[Costos (En RD$/Tarea)]])</f>
        <v>-0.354827772179122</v>
      </c>
      <c r="P2014" s="7" t="n">
        <f aca="false">Tabla2[[#This Row],[Rentabilidad (%)]]/12</f>
        <v>-0.0295689810149268</v>
      </c>
    </row>
    <row r="2015" customFormat="false" ht="14.25" hidden="false" customHeight="false" outlineLevel="0" collapsed="false">
      <c r="A2015" s="1" t="n">
        <v>41609</v>
      </c>
      <c r="B2015" s="2" t="s">
        <v>28</v>
      </c>
      <c r="C2015" s="3" t="n">
        <v>50839</v>
      </c>
      <c r="D2015" s="8" t="s">
        <v>17</v>
      </c>
      <c r="E2015" s="3" t="n">
        <f aca="false">IF(Tabla2[[#This Row],[Frecuencia]]="Annual", Tabla2[[#This Row],[Cosecha/Tarea]]/12,Tabla2[[#This Row],[Cosecha/Tarea]])</f>
        <v>50839</v>
      </c>
      <c r="F2015" s="3" t="n">
        <v>85631</v>
      </c>
      <c r="G2015" s="2" t="s">
        <v>29</v>
      </c>
      <c r="H2015" s="2" t="n">
        <f aca="false">F2015/Tabla2[[#This Row],[Cosecha Mensual]]</f>
        <v>1.68435649796416</v>
      </c>
      <c r="I2015" s="2" t="n">
        <f aca="false">H2015*_xlfn.XLOOKUP(Tabla2[[#This Row],[Unidad de producción]],Tabla3[Medida],Tabla3[Equivalencia en Kg],"ELVIS",0)</f>
        <v>947.181033065167</v>
      </c>
      <c r="J2015" s="2" t="n">
        <v>5021.666</v>
      </c>
      <c r="K2015" s="2" t="s">
        <v>29</v>
      </c>
      <c r="L2015" s="2" t="n">
        <f aca="false">J2015/_xlfn.XLOOKUP(Tabla2[[#This Row],[Unidad de precio]],Tabla3[Medida],Tabla3[Equivalencia en Kg],"ELVIS",0)</f>
        <v>8.92994629583526</v>
      </c>
      <c r="M2015" s="2" t="n">
        <v>6492.56103460413</v>
      </c>
      <c r="N2015" s="3" t="n">
        <f aca="false">(Tabla2[[#This Row],[Productividad (kg/TAS)]]*Tabla2[[#This Row],[Precio por kg]]-Tabla2[[#This Row],[Costos (En RD$/Tarea)]])</f>
        <v>1965.71472310157</v>
      </c>
      <c r="O2015" s="9" t="n">
        <f aca="false">IF(Tabla2[[#This Row],[Costos (En RD$/Tarea)]]=0,0,Tabla2[[#This Row],[Beneficio Neto  (En RD$/Tarea)]]/Tabla2[[#This Row],[Costos (En RD$/Tarea)]])</f>
        <v>0.302764150021029</v>
      </c>
      <c r="P2015" s="7" t="n">
        <f aca="false">Tabla2[[#This Row],[Rentabilidad (%)]]/12</f>
        <v>0.0252303458350857</v>
      </c>
    </row>
    <row r="2016" customFormat="false" ht="14.25" hidden="false" customHeight="false" outlineLevel="0" collapsed="false">
      <c r="A2016" s="1" t="n">
        <v>41609</v>
      </c>
      <c r="B2016" s="2" t="s">
        <v>30</v>
      </c>
      <c r="C2016" s="3" t="n">
        <v>352474</v>
      </c>
      <c r="D2016" s="3" t="s">
        <v>31</v>
      </c>
      <c r="E2016" s="3" t="n">
        <f aca="false">IF(Tabla2[[#This Row],[Frecuencia]]="Annual", Tabla2[[#This Row],[Cosecha/Tarea]]/12,Tabla2[[#This Row],[Cosecha/Tarea]])</f>
        <v>29372.8333333333</v>
      </c>
      <c r="F2016" s="3" t="n">
        <v>3811025</v>
      </c>
      <c r="G2016" s="2" t="s">
        <v>32</v>
      </c>
      <c r="H2016" s="2" t="n">
        <f aca="false">F2016/Tabla2[[#This Row],[Cosecha Mensual]]</f>
        <v>129.746591237935</v>
      </c>
      <c r="I2016" s="2" t="n">
        <f aca="false">H2016*_xlfn.XLOOKUP(Tabla2[[#This Row],[Unidad de producción]],Tabla3[Medida],Tabla3[Equivalencia en Kg],"ELVIS",0)</f>
        <v>3530.40474758422</v>
      </c>
      <c r="J2016" s="2" t="n">
        <v>144.666</v>
      </c>
      <c r="K2016" s="2" t="s">
        <v>32</v>
      </c>
      <c r="L2016" s="2" t="n">
        <f aca="false">J2016/_xlfn.XLOOKUP(Tabla2[[#This Row],[Unidad de precio]],Tabla3[Medida],Tabla3[Equivalencia en Kg],"ELVIS",0)</f>
        <v>5.31664829106946</v>
      </c>
      <c r="M2016" s="3" t="n">
        <v>11852.2845542745</v>
      </c>
      <c r="N2016" s="3" t="n">
        <f aca="false">(Tabla2[[#This Row],[Productividad (kg/TAS)]]*Tabla2[[#This Row],[Precio por kg]]-Tabla2[[#This Row],[Costos (En RD$/Tarea)]])</f>
        <v>6917.63581375265</v>
      </c>
      <c r="O2016" s="9" t="n">
        <f aca="false">IF(Tabla2[[#This Row],[Costos (En RD$/Tarea)]]=0,0,Tabla2[[#This Row],[Beneficio Neto  (En RD$/Tarea)]]/Tabla2[[#This Row],[Costos (En RD$/Tarea)]])</f>
        <v>0.583654212997934</v>
      </c>
      <c r="P2016" s="7" t="n">
        <f aca="false">Tabla2[[#This Row],[Rentabilidad (%)]]/12</f>
        <v>0.0486378510831612</v>
      </c>
    </row>
    <row r="2017" customFormat="false" ht="14.25" hidden="false" customHeight="false" outlineLevel="0" collapsed="false">
      <c r="A2017" s="1" t="n">
        <v>41609</v>
      </c>
      <c r="B2017" s="2" t="s">
        <v>33</v>
      </c>
      <c r="C2017" s="3" t="n">
        <v>696448</v>
      </c>
      <c r="D2017" s="3" t="s">
        <v>31</v>
      </c>
      <c r="E2017" s="11" t="n">
        <f aca="false">IF(Tabla2[[#This Row],[Frecuencia]]="Annual", Tabla2[[#This Row],[Cosecha/Tarea]]/12,Tabla2[[#This Row],[Cosecha/Tarea]])</f>
        <v>58037.3333333333</v>
      </c>
      <c r="F2017" s="3" t="n">
        <v>253874</v>
      </c>
      <c r="G2017" s="2" t="s">
        <v>34</v>
      </c>
      <c r="H2017" s="2" t="n">
        <f aca="false">F2017/Tabla2[[#This Row],[Cosecha Mensual]]</f>
        <v>4.37432227531704</v>
      </c>
      <c r="I2017" s="2" t="n">
        <f aca="false">H2017*_xlfn.XLOOKUP(Tabla2[[#This Row],[Unidad de producción]],Tabla3[Medida],Tabla3[Equivalencia en Kg],"ELVIS",0)</f>
        <v>1785.37963667065</v>
      </c>
      <c r="J2017" s="2" t="n">
        <v>3709.099</v>
      </c>
      <c r="K2017" s="2" t="s">
        <v>34</v>
      </c>
      <c r="L2017" s="2" t="n">
        <f aca="false">J2017/_xlfn.XLOOKUP(Tabla2[[#This Row],[Unidad de precio]],Tabla3[Medida],Tabla3[Equivalencia en Kg],"ELVIS",0)</f>
        <v>9.08758789660664</v>
      </c>
      <c r="M2017" s="3" t="n">
        <v>11461.3597912662</v>
      </c>
      <c r="N2017" s="3" t="n">
        <f aca="false">(Tabla2[[#This Row],[Productividad (kg/TAS)]]*Tabla2[[#This Row],[Precio por kg]]-Tabla2[[#This Row],[Costos (En RD$/Tarea)]])</f>
        <v>4763.43458578995</v>
      </c>
      <c r="O2017" s="9" t="n">
        <f aca="false">IF(Tabla2[[#This Row],[Costos (En RD$/Tarea)]]=0,0,Tabla2[[#This Row],[Beneficio Neto  (En RD$/Tarea)]]/Tabla2[[#This Row],[Costos (En RD$/Tarea)]])</f>
        <v>0.415608154053395</v>
      </c>
      <c r="P2017" s="7" t="n">
        <f aca="false">Tabla2[[#This Row],[Rentabilidad (%)]]/12</f>
        <v>0.0346340128377829</v>
      </c>
    </row>
    <row r="2018" customFormat="false" ht="14.25" hidden="false" customHeight="false" outlineLevel="0" collapsed="false">
      <c r="A2018" s="1" t="n">
        <v>41640</v>
      </c>
      <c r="B2018" s="2" t="s">
        <v>16</v>
      </c>
      <c r="C2018" s="3" t="n">
        <v>7561</v>
      </c>
      <c r="D2018" s="8" t="s">
        <v>17</v>
      </c>
      <c r="E2018" s="3" t="n">
        <f aca="false">IF(Tabla2[[#This Row],[Frecuencia]]="Annual", Tabla2[[#This Row],[Cosecha/Tarea]]/12,Tabla2[[#This Row],[Cosecha/Tarea]])</f>
        <v>7561</v>
      </c>
      <c r="F2018" s="3" t="n">
        <v>24023</v>
      </c>
      <c r="G2018" s="2" t="s">
        <v>18</v>
      </c>
      <c r="H2018" s="2" t="n">
        <f aca="false">F2018/Tabla2[[#This Row],[Cosecha Mensual]]</f>
        <v>3.17722523475731</v>
      </c>
      <c r="I2018" s="2" t="n">
        <f aca="false">H2018*_xlfn.XLOOKUP(Tabla2[[#This Row],[Unidad de producción]],Tabla3[Medida],Tabla3[Equivalencia en Kg],"ELVIS",0)</f>
        <v>144.118936648591</v>
      </c>
      <c r="J2018" s="2" t="n">
        <v>1778.3205090303</v>
      </c>
      <c r="K2018" s="2" t="s">
        <v>19</v>
      </c>
      <c r="L2018" s="2" t="n">
        <f aca="false">J2018/_xlfn.XLOOKUP(Tabla2[[#This Row],[Unidad de precio]],Tabla3[Medida],Tabla3[Equivalencia en Kg],"ELVIS",0)</f>
        <v>16.1665500820936</v>
      </c>
      <c r="M2018" s="2" t="n">
        <v>7973.24325841281</v>
      </c>
      <c r="N2018" s="3" t="n">
        <f aca="false">(Tabla2[[#This Row],[Productividad (kg/TAS)]]*Tabla2[[#This Row],[Precio por kg]]-Tabla2[[#This Row],[Costos (En RD$/Tarea)]])</f>
        <v>-5643.33725130528</v>
      </c>
      <c r="O2018" s="9" t="n">
        <f aca="false">IF(Tabla2[[#This Row],[Costos (En RD$/Tarea)]]=0,0,Tabla2[[#This Row],[Beneficio Neto  (En RD$/Tarea)]]/Tabla2[[#This Row],[Costos (En RD$/Tarea)]])</f>
        <v>-0.707784406972761</v>
      </c>
      <c r="P2018" s="7" t="n">
        <f aca="false">Tabla2[[#This Row],[Rentabilidad (%)]]/12</f>
        <v>-0.0589820339143968</v>
      </c>
    </row>
    <row r="2019" customFormat="false" ht="14.25" hidden="false" customHeight="false" outlineLevel="0" collapsed="false">
      <c r="A2019" s="1" t="n">
        <v>41640</v>
      </c>
      <c r="B2019" s="2" t="s">
        <v>20</v>
      </c>
      <c r="C2019" s="3" t="n">
        <v>28272</v>
      </c>
      <c r="D2019" s="8" t="s">
        <v>17</v>
      </c>
      <c r="E2019" s="3" t="n">
        <f aca="false">IF(Tabla2[[#This Row],[Frecuencia]]="Annual", Tabla2[[#This Row],[Cosecha/Tarea]]/12,Tabla2[[#This Row],[Cosecha/Tarea]])</f>
        <v>28272</v>
      </c>
      <c r="F2019" s="3" t="n">
        <v>51069</v>
      </c>
      <c r="G2019" s="2" t="s">
        <v>18</v>
      </c>
      <c r="H2019" s="2" t="n">
        <f aca="false">F2019/Tabla2[[#This Row],[Cosecha Mensual]]</f>
        <v>1.8063455008489</v>
      </c>
      <c r="I2019" s="2" t="n">
        <f aca="false">H2019*_xlfn.XLOOKUP(Tabla2[[#This Row],[Unidad de producción]],Tabla3[Medida],Tabla3[Equivalencia en Kg],"ELVIS",0)</f>
        <v>81.9358319185059</v>
      </c>
      <c r="J2019" s="2" t="n">
        <v>721.821428571429</v>
      </c>
      <c r="K2019" s="2" t="s">
        <v>18</v>
      </c>
      <c r="L2019" s="2" t="n">
        <f aca="false">J2019/_xlfn.XLOOKUP(Tabla2[[#This Row],[Unidad de precio]],Tabla3[Medida],Tabla3[Equivalencia en Kg],"ELVIS",0)</f>
        <v>15.9131708238851</v>
      </c>
      <c r="M2019" s="2" t="n">
        <v>2447.4016476</v>
      </c>
      <c r="N2019" s="3" t="n">
        <f aca="false">(Tabla2[[#This Row],[Productividad (kg/TAS)]]*Tabla2[[#This Row],[Precio por kg]]-Tabla2[[#This Row],[Costos (En RD$/Tarea)]])</f>
        <v>-1143.54275768368</v>
      </c>
      <c r="O2019" s="9" t="n">
        <f aca="false">IF(Tabla2[[#This Row],[Costos (En RD$/Tarea)]]=0,0,Tabla2[[#This Row],[Beneficio Neto  (En RD$/Tarea)]]/Tabla2[[#This Row],[Costos (En RD$/Tarea)]])</f>
        <v>-0.46724768646171</v>
      </c>
      <c r="P2019" s="7" t="n">
        <f aca="false">Tabla2[[#This Row],[Rentabilidad (%)]]/12</f>
        <v>-0.0389373072051425</v>
      </c>
    </row>
    <row r="2020" customFormat="false" ht="14.25" hidden="false" customHeight="false" outlineLevel="0" collapsed="false">
      <c r="A2020" s="1" t="n">
        <v>41640</v>
      </c>
      <c r="B2020" s="2" t="s">
        <v>21</v>
      </c>
      <c r="C2020" s="3" t="n">
        <v>5599</v>
      </c>
      <c r="D2020" s="8" t="s">
        <v>17</v>
      </c>
      <c r="E2020" s="3" t="n">
        <f aca="false">IF(Tabla2[[#This Row],[Frecuencia]]="Annual", Tabla2[[#This Row],[Cosecha/Tarea]]/12,Tabla2[[#This Row],[Cosecha/Tarea]])</f>
        <v>5599</v>
      </c>
      <c r="F2020" s="3" t="n">
        <v>84698</v>
      </c>
      <c r="G2020" s="2" t="s">
        <v>18</v>
      </c>
      <c r="H2020" s="2" t="n">
        <f aca="false">F2020/Tabla2[[#This Row],[Cosecha Mensual]]</f>
        <v>15.1273441686015</v>
      </c>
      <c r="I2020" s="2" t="n">
        <f aca="false">H2020*_xlfn.XLOOKUP(Tabla2[[#This Row],[Unidad de producción]],Tabla3[Medida],Tabla3[Equivalencia en Kg],"ELVIS",0)</f>
        <v>686.176331487766</v>
      </c>
      <c r="J2020" s="2" t="n">
        <v>249.89445</v>
      </c>
      <c r="K2020" s="2" t="s">
        <v>18</v>
      </c>
      <c r="L2020" s="2" t="n">
        <f aca="false">J2020/_xlfn.XLOOKUP(Tabla2[[#This Row],[Unidad de precio]],Tabla3[Medida],Tabla3[Equivalencia en Kg],"ELVIS",0)</f>
        <v>5.50913690476191</v>
      </c>
      <c r="M2020" s="2" t="n">
        <v>5243.9203425</v>
      </c>
      <c r="N2020" s="3" t="n">
        <f aca="false">(Tabla2[[#This Row],[Productividad (kg/TAS)]]*Tabla2[[#This Row],[Precio por kg]]-Tabla2[[#This Row],[Costos (En RD$/Tarea)]])</f>
        <v>-1463.68099152661</v>
      </c>
      <c r="O2020" s="9" t="n">
        <f aca="false">IF(Tabla2[[#This Row],[Costos (En RD$/Tarea)]]=0,0,Tabla2[[#This Row],[Beneficio Neto  (En RD$/Tarea)]]/Tabla2[[#This Row],[Costos (En RD$/Tarea)]])</f>
        <v>-0.279119608218307</v>
      </c>
      <c r="P2020" s="7" t="n">
        <f aca="false">Tabla2[[#This Row],[Rentabilidad (%)]]/12</f>
        <v>-0.0232599673515256</v>
      </c>
    </row>
    <row r="2021" customFormat="false" ht="14.25" hidden="false" customHeight="false" outlineLevel="0" collapsed="false">
      <c r="A2021" s="1" t="n">
        <v>41640</v>
      </c>
      <c r="B2021" s="2" t="s">
        <v>22</v>
      </c>
      <c r="C2021" s="3" t="n">
        <v>8619</v>
      </c>
      <c r="D2021" s="8" t="s">
        <v>17</v>
      </c>
      <c r="E2021" s="3" t="n">
        <f aca="false">IF(Tabla2[[#This Row],[Frecuencia]]="Annual", Tabla2[[#This Row],[Cosecha/Tarea]]/12,Tabla2[[#This Row],[Cosecha/Tarea]])</f>
        <v>8619</v>
      </c>
      <c r="F2021" s="3" t="n">
        <v>82419</v>
      </c>
      <c r="G2021" s="2" t="s">
        <v>18</v>
      </c>
      <c r="H2021" s="2" t="n">
        <f aca="false">F2021/Tabla2[[#This Row],[Cosecha Mensual]]</f>
        <v>9.56247824573616</v>
      </c>
      <c r="I2021" s="2" t="n">
        <f aca="false">H2021*_xlfn.XLOOKUP(Tabla2[[#This Row],[Unidad de producción]],Tabla3[Medida],Tabla3[Equivalencia en Kg],"ELVIS",0)</f>
        <v>433.754013226592</v>
      </c>
      <c r="J2021" s="2" t="n">
        <v>975.708333333333</v>
      </c>
      <c r="K2021" s="2" t="s">
        <v>18</v>
      </c>
      <c r="L2021" s="2" t="n">
        <f aca="false">J2021/_xlfn.XLOOKUP(Tabla2[[#This Row],[Unidad de precio]],Tabla3[Medida],Tabla3[Equivalencia en Kg],"ELVIS",0)</f>
        <v>21.5103248089359</v>
      </c>
      <c r="M2021" s="2" t="n">
        <v>9418.5442176</v>
      </c>
      <c r="N2021" s="3" t="n">
        <f aca="false">(Tabla2[[#This Row],[Productividad (kg/TAS)]]*Tabla2[[#This Row],[Precio por kg]]-Tabla2[[#This Row],[Costos (En RD$/Tarea)]])</f>
        <v>-88.3545059165135</v>
      </c>
      <c r="O2021" s="9" t="n">
        <f aca="false">IF(Tabla2[[#This Row],[Costos (En RD$/Tarea)]]=0,0,Tabla2[[#This Row],[Beneficio Neto  (En RD$/Tarea)]]/Tabla2[[#This Row],[Costos (En RD$/Tarea)]])</f>
        <v>-0.00938090896801329</v>
      </c>
      <c r="P2021" s="7" t="n">
        <f aca="false">Tabla2[[#This Row],[Rentabilidad (%)]]/12</f>
        <v>-0.000781742414001107</v>
      </c>
    </row>
    <row r="2022" customFormat="false" ht="14.25" hidden="false" customHeight="false" outlineLevel="0" collapsed="false">
      <c r="A2022" s="1" t="n">
        <v>41640</v>
      </c>
      <c r="B2022" s="2" t="s">
        <v>23</v>
      </c>
      <c r="C2022" s="3" t="n">
        <v>3041</v>
      </c>
      <c r="D2022" s="8" t="s">
        <v>17</v>
      </c>
      <c r="E2022" s="3" t="n">
        <f aca="false">IF(Tabla2[[#This Row],[Frecuencia]]="Annual", Tabla2[[#This Row],[Cosecha/Tarea]]/12,Tabla2[[#This Row],[Cosecha/Tarea]])</f>
        <v>3041</v>
      </c>
      <c r="F2022" s="3" t="n">
        <v>127562</v>
      </c>
      <c r="G2022" s="2" t="s">
        <v>18</v>
      </c>
      <c r="H2022" s="2" t="n">
        <f aca="false">F2022/Tabla2[[#This Row],[Cosecha Mensual]]</f>
        <v>41.9473857283788</v>
      </c>
      <c r="I2022" s="2" t="n">
        <f aca="false">H2022*_xlfn.XLOOKUP(Tabla2[[#This Row],[Unidad de producción]],Tabla3[Medida],Tabla3[Equivalencia en Kg],"ELVIS",0)</f>
        <v>1902.73341663926</v>
      </c>
      <c r="J2022" s="2" t="n">
        <v>990.5652</v>
      </c>
      <c r="K2022" s="2" t="s">
        <v>18</v>
      </c>
      <c r="L2022" s="2" t="n">
        <f aca="false">J2022/_xlfn.XLOOKUP(Tabla2[[#This Row],[Unidad de precio]],Tabla3[Medida],Tabla3[Equivalencia en Kg],"ELVIS",0)</f>
        <v>21.8378571428571</v>
      </c>
      <c r="M2022" s="2" t="n">
        <v>26184.1693466859</v>
      </c>
      <c r="N2022" s="3" t="n">
        <f aca="false">(Tabla2[[#This Row],[Productividad (kg/TAS)]]*Tabla2[[#This Row],[Precio por kg]]-Tabla2[[#This Row],[Costos (En RD$/Tarea)]])</f>
        <v>15367.4511868228</v>
      </c>
      <c r="O2022" s="9" t="n">
        <f aca="false">IF(Tabla2[[#This Row],[Costos (En RD$/Tarea)]]=0,0,Tabla2[[#This Row],[Beneficio Neto  (En RD$/Tarea)]]/Tabla2[[#This Row],[Costos (En RD$/Tarea)]])</f>
        <v>0.586898556274723</v>
      </c>
      <c r="P2022" s="7" t="n">
        <f aca="false">Tabla2[[#This Row],[Rentabilidad (%)]]/12</f>
        <v>0.0489082130228936</v>
      </c>
    </row>
    <row r="2023" customFormat="false" ht="14.25" hidden="false" customHeight="false" outlineLevel="0" collapsed="false">
      <c r="A2023" s="1" t="n">
        <v>41640</v>
      </c>
      <c r="B2023" s="2" t="s">
        <v>24</v>
      </c>
      <c r="C2023" s="3" t="n">
        <v>5858</v>
      </c>
      <c r="D2023" s="8" t="s">
        <v>17</v>
      </c>
      <c r="E2023" s="3" t="n">
        <f aca="false">IF(Tabla2[[#This Row],[Frecuencia]]="Annual", Tabla2[[#This Row],[Cosecha/Tarea]]/12,Tabla2[[#This Row],[Cosecha/Tarea]])</f>
        <v>5858</v>
      </c>
      <c r="F2023" s="3" t="n">
        <v>83448</v>
      </c>
      <c r="G2023" s="2" t="s">
        <v>18</v>
      </c>
      <c r="H2023" s="2" t="n">
        <f aca="false">F2023/Tabla2[[#This Row],[Cosecha Mensual]]</f>
        <v>14.2451348583134</v>
      </c>
      <c r="I2023" s="2" t="n">
        <f aca="false">H2023*_xlfn.XLOOKUP(Tabla2[[#This Row],[Unidad de producción]],Tabla3[Medida],Tabla3[Equivalencia en Kg],"ELVIS",0)</f>
        <v>646.159317173097</v>
      </c>
      <c r="J2023" s="2" t="n">
        <v>1431.42857142857</v>
      </c>
      <c r="K2023" s="2" t="s">
        <v>18</v>
      </c>
      <c r="L2023" s="2" t="n">
        <f aca="false">J2023/_xlfn.XLOOKUP(Tabla2[[#This Row],[Unidad de precio]],Tabla3[Medida],Tabla3[Equivalencia en Kg],"ELVIS",0)</f>
        <v>31.557067271353</v>
      </c>
      <c r="M2023" s="2" t="n">
        <v>9105.98860416</v>
      </c>
      <c r="N2023" s="3" t="n">
        <f aca="false">(Tabla2[[#This Row],[Productividad (kg/TAS)]]*Tabla2[[#This Row],[Precio por kg]]-Tabla2[[#This Row],[Costos (En RD$/Tarea)]])</f>
        <v>11284.9044358829</v>
      </c>
      <c r="O2023" s="9" t="n">
        <f aca="false">IF(Tabla2[[#This Row],[Costos (En RD$/Tarea)]]=0,0,Tabla2[[#This Row],[Beneficio Neto  (En RD$/Tarea)]]/Tabla2[[#This Row],[Costos (En RD$/Tarea)]])</f>
        <v>1.23928383028367</v>
      </c>
      <c r="P2023" s="7" t="n">
        <f aca="false">Tabla2[[#This Row],[Rentabilidad (%)]]/12</f>
        <v>0.10327365252364</v>
      </c>
    </row>
    <row r="2024" customFormat="false" ht="14.25" hidden="false" customHeight="false" outlineLevel="0" collapsed="false">
      <c r="A2024" s="1" t="n">
        <v>41640</v>
      </c>
      <c r="B2024" s="2" t="s">
        <v>25</v>
      </c>
      <c r="C2024" s="3" t="n">
        <v>32267</v>
      </c>
      <c r="D2024" s="8" t="s">
        <v>17</v>
      </c>
      <c r="E2024" s="3" t="n">
        <f aca="false">IF(Tabla2[[#This Row],[Frecuencia]]="Annual", Tabla2[[#This Row],[Cosecha/Tarea]]/12,Tabla2[[#This Row],[Cosecha/Tarea]])</f>
        <v>32267</v>
      </c>
      <c r="F2024" s="3" t="n">
        <v>341293</v>
      </c>
      <c r="G2024" s="2" t="s">
        <v>18</v>
      </c>
      <c r="H2024" s="2" t="n">
        <f aca="false">F2024/Tabla2[[#This Row],[Cosecha Mensual]]</f>
        <v>10.5771531285834</v>
      </c>
      <c r="I2024" s="2" t="n">
        <f aca="false">H2024*_xlfn.XLOOKUP(Tabla2[[#This Row],[Unidad de producción]],Tabla3[Medida],Tabla3[Equivalencia en Kg],"ELVIS",0)</f>
        <v>479.779665912542</v>
      </c>
      <c r="J2024" s="2" t="n">
        <v>336.49</v>
      </c>
      <c r="K2024" s="2" t="s">
        <v>18</v>
      </c>
      <c r="L2024" s="2" t="n">
        <f aca="false">J2024/_xlfn.XLOOKUP(Tabla2[[#This Row],[Unidad de precio]],Tabla3[Medida],Tabla3[Equivalencia en Kg],"ELVIS",0)</f>
        <v>7.41820987654321</v>
      </c>
      <c r="M2024" s="2" t="n">
        <v>4871.66870431878</v>
      </c>
      <c r="N2024" s="3" t="n">
        <f aca="false">(Tabla2[[#This Row],[Productividad (kg/TAS)]]*Tabla2[[#This Row],[Precio por kg]]-Tabla2[[#This Row],[Costos (En RD$/Tarea)]])</f>
        <v>-1312.56244808176</v>
      </c>
      <c r="O2024" s="9" t="n">
        <f aca="false">IF(Tabla2[[#This Row],[Costos (En RD$/Tarea)]]=0,0,Tabla2[[#This Row],[Beneficio Neto  (En RD$/Tarea)]]/Tabla2[[#This Row],[Costos (En RD$/Tarea)]])</f>
        <v>-0.269427690540237</v>
      </c>
      <c r="P2024" s="7" t="n">
        <f aca="false">Tabla2[[#This Row],[Rentabilidad (%)]]/12</f>
        <v>-0.0224523075450197</v>
      </c>
    </row>
    <row r="2025" customFormat="false" ht="14.25" hidden="false" customHeight="false" outlineLevel="0" collapsed="false">
      <c r="A2025" s="1" t="n">
        <v>41640</v>
      </c>
      <c r="B2025" s="2" t="s">
        <v>26</v>
      </c>
      <c r="C2025" s="3" t="n">
        <v>9192</v>
      </c>
      <c r="D2025" s="8" t="s">
        <v>17</v>
      </c>
      <c r="E2025" s="3" t="n">
        <f aca="false">IF(Tabla2[[#This Row],[Frecuencia]]="Annual", Tabla2[[#This Row],[Cosecha/Tarea]]/12,Tabla2[[#This Row],[Cosecha/Tarea]])</f>
        <v>9192</v>
      </c>
      <c r="F2025" s="3" t="n">
        <v>72279</v>
      </c>
      <c r="G2025" s="2" t="s">
        <v>18</v>
      </c>
      <c r="H2025" s="2" t="n">
        <f aca="false">F2025/Tabla2[[#This Row],[Cosecha Mensual]]</f>
        <v>7.86325065274151</v>
      </c>
      <c r="I2025" s="2" t="n">
        <f aca="false">H2025*_xlfn.XLOOKUP(Tabla2[[#This Row],[Unidad de producción]],Tabla3[Medida],Tabla3[Equivalencia en Kg],"ELVIS",0)</f>
        <v>356.677049608355</v>
      </c>
      <c r="J2025" s="2" t="n">
        <v>728.069444444444</v>
      </c>
      <c r="K2025" s="2" t="s">
        <v>18</v>
      </c>
      <c r="L2025" s="2" t="n">
        <f aca="false">J2025/_xlfn.XLOOKUP(Tabla2[[#This Row],[Unidad de precio]],Tabla3[Medida],Tabla3[Equivalencia en Kg],"ELVIS",0)</f>
        <v>16.0509136782285</v>
      </c>
      <c r="M2025" s="2" t="n">
        <v>2107.55664</v>
      </c>
      <c r="N2025" s="3" t="n">
        <f aca="false">(Tabla2[[#This Row],[Productividad (kg/TAS)]]*Tabla2[[#This Row],[Precio por kg]]-Tabla2[[#This Row],[Costos (En RD$/Tarea)]])</f>
        <v>3617.43589426893</v>
      </c>
      <c r="O2025" s="9" t="n">
        <f aca="false">IF(Tabla2[[#This Row],[Costos (En RD$/Tarea)]]=0,0,Tabla2[[#This Row],[Beneficio Neto  (En RD$/Tarea)]]/Tabla2[[#This Row],[Costos (En RD$/Tarea)]])</f>
        <v>1.71641218347941</v>
      </c>
      <c r="P2025" s="7" t="n">
        <f aca="false">Tabla2[[#This Row],[Rentabilidad (%)]]/12</f>
        <v>0.143034348623284</v>
      </c>
    </row>
    <row r="2026" customFormat="false" ht="14.25" hidden="false" customHeight="false" outlineLevel="0" collapsed="false">
      <c r="A2026" s="1" t="n">
        <v>41640</v>
      </c>
      <c r="B2026" s="2" t="s">
        <v>27</v>
      </c>
      <c r="C2026" s="3" t="n">
        <v>2740</v>
      </c>
      <c r="D2026" s="8" t="s">
        <v>17</v>
      </c>
      <c r="E2026" s="3" t="n">
        <f aca="false">IF(Tabla2[[#This Row],[Frecuencia]]="Annual", Tabla2[[#This Row],[Cosecha/Tarea]]/12,Tabla2[[#This Row],[Cosecha/Tarea]])</f>
        <v>2740</v>
      </c>
      <c r="F2026" s="3" t="n">
        <v>41415</v>
      </c>
      <c r="G2026" s="2" t="s">
        <v>18</v>
      </c>
      <c r="H2026" s="2" t="n">
        <f aca="false">F2026/Tabla2[[#This Row],[Cosecha Mensual]]</f>
        <v>15.1149635036496</v>
      </c>
      <c r="I2026" s="2" t="n">
        <f aca="false">H2026*_xlfn.XLOOKUP(Tabla2[[#This Row],[Unidad de producción]],Tabla3[Medida],Tabla3[Equivalencia en Kg],"ELVIS",0)</f>
        <v>685.614744525547</v>
      </c>
      <c r="J2026" s="2" t="n">
        <v>678.654761904762</v>
      </c>
      <c r="K2026" s="2" t="s">
        <v>18</v>
      </c>
      <c r="L2026" s="2" t="n">
        <f aca="false">J2026/_xlfn.XLOOKUP(Tabla2[[#This Row],[Unidad de precio]],Tabla3[Medida],Tabla3[Equivalencia en Kg],"ELVIS",0)</f>
        <v>14.9615247333501</v>
      </c>
      <c r="M2026" s="2" t="n">
        <v>8288.298341505</v>
      </c>
      <c r="N2026" s="3" t="n">
        <f aca="false">(Tabla2[[#This Row],[Productividad (kg/TAS)]]*Tabla2[[#This Row],[Precio por kg]]-Tabla2[[#This Row],[Costos (En RD$/Tarea)]])</f>
        <v>1969.54361626351</v>
      </c>
      <c r="O2026" s="9" t="n">
        <f aca="false">IF(Tabla2[[#This Row],[Costos (En RD$/Tarea)]]=0,0,Tabla2[[#This Row],[Beneficio Neto  (En RD$/Tarea)]]/Tabla2[[#This Row],[Costos (En RD$/Tarea)]])</f>
        <v>0.237629430687926</v>
      </c>
      <c r="P2026" s="7" t="n">
        <f aca="false">Tabla2[[#This Row],[Rentabilidad (%)]]/12</f>
        <v>0.0198024525573271</v>
      </c>
    </row>
    <row r="2027" customFormat="false" ht="14.25" hidden="false" customHeight="false" outlineLevel="0" collapsed="false">
      <c r="A2027" s="1" t="n">
        <v>41640</v>
      </c>
      <c r="B2027" s="2" t="s">
        <v>28</v>
      </c>
      <c r="C2027" s="3" t="n">
        <v>85938</v>
      </c>
      <c r="D2027" s="8" t="s">
        <v>17</v>
      </c>
      <c r="E2027" s="3" t="n">
        <f aca="false">IF(Tabla2[[#This Row],[Frecuencia]]="Annual", Tabla2[[#This Row],[Cosecha/Tarea]]/12,Tabla2[[#This Row],[Cosecha/Tarea]])</f>
        <v>85938</v>
      </c>
      <c r="F2027" s="3" t="n">
        <v>127387</v>
      </c>
      <c r="G2027" s="2" t="s">
        <v>29</v>
      </c>
      <c r="H2027" s="2" t="n">
        <f aca="false">F2027/Tabla2[[#This Row],[Cosecha Mensual]]</f>
        <v>1.4823128301799</v>
      </c>
      <c r="I2027" s="2" t="n">
        <f aca="false">H2027*_xlfn.XLOOKUP(Tabla2[[#This Row],[Unidad de producción]],Tabla3[Medida],Tabla3[Equivalencia en Kg],"ELVIS",0)</f>
        <v>833.563796923363</v>
      </c>
      <c r="J2027" s="2" t="n">
        <v>6552.26666666667</v>
      </c>
      <c r="K2027" s="2" t="s">
        <v>29</v>
      </c>
      <c r="L2027" s="2" t="n">
        <f aca="false">J2027/_xlfn.XLOOKUP(Tabla2[[#This Row],[Unidad de precio]],Tabla3[Medida],Tabla3[Equivalencia en Kg],"ELVIS",0)</f>
        <v>11.6517883605411</v>
      </c>
      <c r="M2027" s="2" t="n">
        <v>7150.53423628677</v>
      </c>
      <c r="N2027" s="3" t="n">
        <f aca="false">(Tabla2[[#This Row],[Productividad (kg/TAS)]]*Tabla2[[#This Row],[Precio por kg]]-Tabla2[[#This Row],[Costos (En RD$/Tarea)]])</f>
        <v>2561.9747104733</v>
      </c>
      <c r="O2027" s="9" t="n">
        <f aca="false">IF(Tabla2[[#This Row],[Costos (En RD$/Tarea)]]=0,0,Tabla2[[#This Row],[Beneficio Neto  (En RD$/Tarea)]]/Tabla2[[#This Row],[Costos (En RD$/Tarea)]])</f>
        <v>0.358291370380701</v>
      </c>
      <c r="P2027" s="7" t="n">
        <f aca="false">Tabla2[[#This Row],[Rentabilidad (%)]]/12</f>
        <v>0.0298576141983917</v>
      </c>
    </row>
    <row r="2028" customFormat="false" ht="14.25" hidden="false" customHeight="false" outlineLevel="0" collapsed="false">
      <c r="A2028" s="1" t="n">
        <v>41640</v>
      </c>
      <c r="B2028" s="2" t="s">
        <v>30</v>
      </c>
      <c r="C2028" s="3" t="n">
        <v>409098</v>
      </c>
      <c r="D2028" s="3" t="s">
        <v>31</v>
      </c>
      <c r="E2028" s="3" t="n">
        <f aca="false">IF(Tabla2[[#This Row],[Frecuencia]]="Annual", Tabla2[[#This Row],[Cosecha/Tarea]]/12,Tabla2[[#This Row],[Cosecha/Tarea]])</f>
        <v>34091.5</v>
      </c>
      <c r="F2028" s="3" t="n">
        <v>2645462</v>
      </c>
      <c r="G2028" s="2" t="s">
        <v>32</v>
      </c>
      <c r="H2028" s="2" t="n">
        <f aca="false">F2028/Tabla2[[#This Row],[Cosecha Mensual]]</f>
        <v>77.5988736195239</v>
      </c>
      <c r="I2028" s="2" t="n">
        <f aca="false">H2028*_xlfn.XLOOKUP(Tabla2[[#This Row],[Unidad de producción]],Tabla3[Medida],Tabla3[Equivalencia en Kg],"ELVIS",0)</f>
        <v>2111.46535118725</v>
      </c>
      <c r="J2028" s="2" t="n">
        <v>130.255952380952</v>
      </c>
      <c r="K2028" s="2" t="s">
        <v>32</v>
      </c>
      <c r="L2028" s="2" t="n">
        <f aca="false">J2028/_xlfn.XLOOKUP(Tabla2[[#This Row],[Unidad de precio]],Tabla3[Medida],Tabla3[Equivalencia en Kg],"ELVIS",0)</f>
        <v>4.78706182950945</v>
      </c>
      <c r="M2028" s="3" t="n">
        <v>12538.8969859716</v>
      </c>
      <c r="N2028" s="3" t="n">
        <f aca="false">(Tabla2[[#This Row],[Productividad (kg/TAS)]]*Tabla2[[#This Row],[Precio por kg]]-Tabla2[[#This Row],[Costos (En RD$/Tarea)]])</f>
        <v>-2431.18179897138</v>
      </c>
      <c r="O2028" s="9" t="n">
        <f aca="false">IF(Tabla2[[#This Row],[Costos (En RD$/Tarea)]]=0,0,Tabla2[[#This Row],[Beneficio Neto  (En RD$/Tarea)]]/Tabla2[[#This Row],[Costos (En RD$/Tarea)]])</f>
        <v>-0.193891201250904</v>
      </c>
      <c r="P2028" s="7" t="n">
        <f aca="false">Tabla2[[#This Row],[Rentabilidad (%)]]/12</f>
        <v>-0.016157600104242</v>
      </c>
    </row>
    <row r="2029" customFormat="false" ht="14.25" hidden="false" customHeight="false" outlineLevel="0" collapsed="false">
      <c r="A2029" s="1" t="n">
        <v>41640</v>
      </c>
      <c r="B2029" s="2" t="s">
        <v>33</v>
      </c>
      <c r="C2029" s="3" t="n">
        <v>695392</v>
      </c>
      <c r="D2029" s="3" t="s">
        <v>31</v>
      </c>
      <c r="E2029" s="3" t="n">
        <f aca="false">IF(Tabla2[[#This Row],[Frecuencia]]="Annual", Tabla2[[#This Row],[Cosecha/Tarea]]/12,Tabla2[[#This Row],[Cosecha/Tarea]])</f>
        <v>57949.3333333333</v>
      </c>
      <c r="F2029" s="3" t="n">
        <v>142761</v>
      </c>
      <c r="G2029" s="2" t="s">
        <v>34</v>
      </c>
      <c r="H2029" s="2" t="n">
        <f aca="false">F2029/Tabla2[[#This Row],[Cosecha Mensual]]</f>
        <v>2.46354861718283</v>
      </c>
      <c r="I2029" s="2" t="n">
        <f aca="false">H2029*_xlfn.XLOOKUP(Tabla2[[#This Row],[Unidad de producción]],Tabla3[Medida],Tabla3[Equivalencia en Kg],"ELVIS",0)</f>
        <v>1005.49736810317</v>
      </c>
      <c r="J2029" s="2" t="n">
        <v>4308.88095238095</v>
      </c>
      <c r="K2029" s="2" t="s">
        <v>34</v>
      </c>
      <c r="L2029" s="2" t="n">
        <f aca="false">J2029/_xlfn.XLOOKUP(Tabla2[[#This Row],[Unidad de precio]],Tabla3[Medida],Tabla3[Equivalencia en Kg],"ELVIS",0)</f>
        <v>10.5571014391301</v>
      </c>
      <c r="M2029" s="3" t="n">
        <v>12054.0166317253</v>
      </c>
      <c r="N2029" s="3" t="n">
        <f aca="false">(Tabla2[[#This Row],[Productividad (kg/TAS)]]*Tabla2[[#This Row],[Precio por kg]]-Tabla2[[#This Row],[Costos (En RD$/Tarea)]])</f>
        <v>-1438.87891988179</v>
      </c>
      <c r="O2029" s="9" t="n">
        <f aca="false">IF(Tabla2[[#This Row],[Costos (En RD$/Tarea)]]=0,0,Tabla2[[#This Row],[Beneficio Neto  (En RD$/Tarea)]]/Tabla2[[#This Row],[Costos (En RD$/Tarea)]])</f>
        <v>-0.119369249590611</v>
      </c>
      <c r="P2029" s="7" t="n">
        <f aca="false">Tabla2[[#This Row],[Rentabilidad (%)]]/12</f>
        <v>-0.00994743746588424</v>
      </c>
    </row>
    <row r="2030" customFormat="false" ht="14.25" hidden="false" customHeight="false" outlineLevel="0" collapsed="false">
      <c r="A2030" s="1" t="n">
        <v>41671</v>
      </c>
      <c r="B2030" s="2" t="s">
        <v>16</v>
      </c>
      <c r="C2030" s="3" t="n">
        <v>6800</v>
      </c>
      <c r="D2030" s="8" t="s">
        <v>17</v>
      </c>
      <c r="E2030" s="3" t="n">
        <f aca="false">IF(Tabla2[[#This Row],[Frecuencia]]="Annual", Tabla2[[#This Row],[Cosecha/Tarea]]/12,Tabla2[[#This Row],[Cosecha/Tarea]])</f>
        <v>6800</v>
      </c>
      <c r="F2030" s="3" t="n">
        <v>25032</v>
      </c>
      <c r="G2030" s="2" t="s">
        <v>18</v>
      </c>
      <c r="H2030" s="2" t="n">
        <f aca="false">F2030/Tabla2[[#This Row],[Cosecha Mensual]]</f>
        <v>3.68117647058824</v>
      </c>
      <c r="I2030" s="2" t="n">
        <f aca="false">H2030*_xlfn.XLOOKUP(Tabla2[[#This Row],[Unidad de producción]],Tabla3[Medida],Tabla3[Equivalencia en Kg],"ELVIS",0)</f>
        <v>166.978164705882</v>
      </c>
      <c r="J2030" s="2" t="n">
        <v>1817.6618030303</v>
      </c>
      <c r="K2030" s="2" t="s">
        <v>19</v>
      </c>
      <c r="L2030" s="2" t="n">
        <f aca="false">J2030/_xlfn.XLOOKUP(Tabla2[[#This Row],[Unidad de precio]],Tabla3[Medida],Tabla3[Equivalencia en Kg],"ELVIS",0)</f>
        <v>16.5241982093664</v>
      </c>
      <c r="M2030" s="2" t="n">
        <v>7973.24325841281</v>
      </c>
      <c r="N2030" s="3" t="n">
        <f aca="false">(Tabla2[[#This Row],[Productividad (kg/TAS)]]*Tabla2[[#This Row],[Precio por kg]]-Tabla2[[#This Row],[Costos (En RD$/Tarea)]])</f>
        <v>-5214.06296817659</v>
      </c>
      <c r="O2030" s="9" t="n">
        <f aca="false">IF(Tabla2[[#This Row],[Costos (En RD$/Tarea)]]=0,0,Tabla2[[#This Row],[Beneficio Neto  (En RD$/Tarea)]]/Tabla2[[#This Row],[Costos (En RD$/Tarea)]])</f>
        <v>-0.653945050864348</v>
      </c>
      <c r="P2030" s="7" t="n">
        <f aca="false">Tabla2[[#This Row],[Rentabilidad (%)]]/12</f>
        <v>-0.0544954209053624</v>
      </c>
    </row>
    <row r="2031" customFormat="false" ht="14.25" hidden="false" customHeight="false" outlineLevel="0" collapsed="false">
      <c r="A2031" s="1" t="n">
        <v>41671</v>
      </c>
      <c r="B2031" s="2" t="s">
        <v>20</v>
      </c>
      <c r="C2031" s="3" t="n">
        <v>30218</v>
      </c>
      <c r="D2031" s="8" t="s">
        <v>17</v>
      </c>
      <c r="E2031" s="3" t="n">
        <f aca="false">IF(Tabla2[[#This Row],[Frecuencia]]="Annual", Tabla2[[#This Row],[Cosecha/Tarea]]/12,Tabla2[[#This Row],[Cosecha/Tarea]])</f>
        <v>30218</v>
      </c>
      <c r="F2031" s="3" t="n">
        <v>72720</v>
      </c>
      <c r="G2031" s="2" t="s">
        <v>18</v>
      </c>
      <c r="H2031" s="2" t="n">
        <f aca="false">F2031/Tabla2[[#This Row],[Cosecha Mensual]]</f>
        <v>2.40651267456483</v>
      </c>
      <c r="I2031" s="2" t="n">
        <f aca="false">H2031*_xlfn.XLOOKUP(Tabla2[[#This Row],[Unidad de producción]],Tabla3[Medida],Tabla3[Equivalencia en Kg],"ELVIS",0)</f>
        <v>109.159414918261</v>
      </c>
      <c r="J2031" s="2" t="n">
        <v>711.25</v>
      </c>
      <c r="K2031" s="2" t="s">
        <v>18</v>
      </c>
      <c r="L2031" s="2" t="n">
        <f aca="false">J2031/_xlfn.XLOOKUP(Tabla2[[#This Row],[Unidad de precio]],Tabla3[Medida],Tabla3[Equivalencia en Kg],"ELVIS",0)</f>
        <v>15.680114638448</v>
      </c>
      <c r="M2031" s="2" t="n">
        <v>2447.4016476</v>
      </c>
      <c r="N2031" s="3" t="n">
        <f aca="false">(Tabla2[[#This Row],[Productividad (kg/TAS)]]*Tabla2[[#This Row],[Precio por kg]]-Tabla2[[#This Row],[Costos (En RD$/Tarea)]])</f>
        <v>-735.769507815765</v>
      </c>
      <c r="O2031" s="9" t="n">
        <f aca="false">IF(Tabla2[[#This Row],[Costos (En RD$/Tarea)]]=0,0,Tabla2[[#This Row],[Beneficio Neto  (En RD$/Tarea)]]/Tabla2[[#This Row],[Costos (En RD$/Tarea)]])</f>
        <v>-0.300632921669103</v>
      </c>
      <c r="P2031" s="7" t="n">
        <f aca="false">Tabla2[[#This Row],[Rentabilidad (%)]]/12</f>
        <v>-0.0250527434724253</v>
      </c>
    </row>
    <row r="2032" customFormat="false" ht="14.25" hidden="false" customHeight="false" outlineLevel="0" collapsed="false">
      <c r="A2032" s="1" t="n">
        <v>41671</v>
      </c>
      <c r="B2032" s="2" t="s">
        <v>21</v>
      </c>
      <c r="C2032" s="3" t="n">
        <v>8929</v>
      </c>
      <c r="D2032" s="8" t="s">
        <v>17</v>
      </c>
      <c r="E2032" s="3" t="n">
        <f aca="false">IF(Tabla2[[#This Row],[Frecuencia]]="Annual", Tabla2[[#This Row],[Cosecha/Tarea]]/12,Tabla2[[#This Row],[Cosecha/Tarea]])</f>
        <v>8929</v>
      </c>
      <c r="F2032" s="3" t="n">
        <v>76395</v>
      </c>
      <c r="G2032" s="2" t="s">
        <v>18</v>
      </c>
      <c r="H2032" s="2" t="n">
        <f aca="false">F2032/Tabla2[[#This Row],[Cosecha Mensual]]</f>
        <v>8.55582932019263</v>
      </c>
      <c r="I2032" s="2" t="n">
        <f aca="false">H2032*_xlfn.XLOOKUP(Tabla2[[#This Row],[Unidad de producción]],Tabla3[Medida],Tabla3[Equivalencia en Kg],"ELVIS",0)</f>
        <v>388.092417963938</v>
      </c>
      <c r="J2032" s="2" t="n">
        <v>236.37075</v>
      </c>
      <c r="K2032" s="2" t="s">
        <v>18</v>
      </c>
      <c r="L2032" s="2" t="n">
        <f aca="false">J2032/_xlfn.XLOOKUP(Tabla2[[#This Row],[Unidad de precio]],Tabla3[Medida],Tabla3[Equivalencia en Kg],"ELVIS",0)</f>
        <v>5.21099537037037</v>
      </c>
      <c r="M2032" s="2" t="n">
        <v>5243.9203425</v>
      </c>
      <c r="N2032" s="3" t="n">
        <f aca="false">(Tabla2[[#This Row],[Productividad (kg/TAS)]]*Tabla2[[#This Row],[Precio por kg]]-Tabla2[[#This Row],[Costos (En RD$/Tarea)]])</f>
        <v>-3221.57254921408</v>
      </c>
      <c r="O2032" s="9" t="n">
        <f aca="false">IF(Tabla2[[#This Row],[Costos (En RD$/Tarea)]]=0,0,Tabla2[[#This Row],[Beneficio Neto  (En RD$/Tarea)]]/Tabla2[[#This Row],[Costos (En RD$/Tarea)]])</f>
        <v>-0.614344295641649</v>
      </c>
      <c r="P2032" s="7" t="n">
        <f aca="false">Tabla2[[#This Row],[Rentabilidad (%)]]/12</f>
        <v>-0.0511953579701374</v>
      </c>
    </row>
    <row r="2033" customFormat="false" ht="14.25" hidden="false" customHeight="false" outlineLevel="0" collapsed="false">
      <c r="A2033" s="1" t="n">
        <v>41671</v>
      </c>
      <c r="B2033" s="2" t="s">
        <v>22</v>
      </c>
      <c r="C2033" s="3" t="n">
        <v>6678</v>
      </c>
      <c r="D2033" s="8" t="s">
        <v>17</v>
      </c>
      <c r="E2033" s="3" t="n">
        <f aca="false">IF(Tabla2[[#This Row],[Frecuencia]]="Annual", Tabla2[[#This Row],[Cosecha/Tarea]]/12,Tabla2[[#This Row],[Cosecha/Tarea]])</f>
        <v>6678</v>
      </c>
      <c r="F2033" s="3" t="n">
        <v>70376</v>
      </c>
      <c r="G2033" s="2" t="s">
        <v>18</v>
      </c>
      <c r="H2033" s="2" t="n">
        <f aca="false">F2033/Tabla2[[#This Row],[Cosecha Mensual]]</f>
        <v>10.5384845762204</v>
      </c>
      <c r="I2033" s="2" t="n">
        <f aca="false">H2033*_xlfn.XLOOKUP(Tabla2[[#This Row],[Unidad de producción]],Tabla3[Medida],Tabla3[Equivalencia en Kg],"ELVIS",0)</f>
        <v>478.025660377358</v>
      </c>
      <c r="J2033" s="2" t="n">
        <v>1023.31944444444</v>
      </c>
      <c r="K2033" s="2" t="s">
        <v>18</v>
      </c>
      <c r="L2033" s="2" t="n">
        <f aca="false">J2033/_xlfn.XLOOKUP(Tabla2[[#This Row],[Unidad de precio]],Tabla3[Medida],Tabla3[Equivalencia en Kg],"ELVIS",0)</f>
        <v>22.5599524789339</v>
      </c>
      <c r="M2033" s="2" t="n">
        <v>9418.5442176</v>
      </c>
      <c r="N2033" s="3" t="n">
        <f aca="false">(Tabla2[[#This Row],[Productividad (kg/TAS)]]*Tabla2[[#This Row],[Precio por kg]]-Tabla2[[#This Row],[Costos (En RD$/Tarea)]])</f>
        <v>1365.69196422418</v>
      </c>
      <c r="O2033" s="9" t="n">
        <f aca="false">IF(Tabla2[[#This Row],[Costos (En RD$/Tarea)]]=0,0,Tabla2[[#This Row],[Beneficio Neto  (En RD$/Tarea)]]/Tabla2[[#This Row],[Costos (En RD$/Tarea)]])</f>
        <v>0.145000324112954</v>
      </c>
      <c r="P2033" s="7" t="n">
        <f aca="false">Tabla2[[#This Row],[Rentabilidad (%)]]/12</f>
        <v>0.0120833603427461</v>
      </c>
    </row>
    <row r="2034" customFormat="false" ht="14.25" hidden="false" customHeight="false" outlineLevel="0" collapsed="false">
      <c r="A2034" s="1" t="n">
        <v>41671</v>
      </c>
      <c r="B2034" s="2" t="s">
        <v>23</v>
      </c>
      <c r="C2034" s="3" t="n">
        <v>3773</v>
      </c>
      <c r="D2034" s="8" t="s">
        <v>17</v>
      </c>
      <c r="E2034" s="3" t="n">
        <f aca="false">IF(Tabla2[[#This Row],[Frecuencia]]="Annual", Tabla2[[#This Row],[Cosecha/Tarea]]/12,Tabla2[[#This Row],[Cosecha/Tarea]])</f>
        <v>3773</v>
      </c>
      <c r="F2034" s="3" t="n">
        <v>146220</v>
      </c>
      <c r="G2034" s="2" t="s">
        <v>18</v>
      </c>
      <c r="H2034" s="2" t="n">
        <f aca="false">F2034/Tabla2[[#This Row],[Cosecha Mensual]]</f>
        <v>38.7543069175722</v>
      </c>
      <c r="I2034" s="2" t="n">
        <f aca="false">H2034*_xlfn.XLOOKUP(Tabla2[[#This Row],[Unidad de producción]],Tabla3[Medida],Tabla3[Equivalencia en Kg],"ELVIS",0)</f>
        <v>1757.89536178108</v>
      </c>
      <c r="J2034" s="2" t="n">
        <v>901.3125</v>
      </c>
      <c r="K2034" s="2" t="s">
        <v>18</v>
      </c>
      <c r="L2034" s="2" t="n">
        <f aca="false">J2034/_xlfn.XLOOKUP(Tabla2[[#This Row],[Unidad de precio]],Tabla3[Medida],Tabla3[Equivalencia en Kg],"ELVIS",0)</f>
        <v>19.870205026455</v>
      </c>
      <c r="M2034" s="2" t="n">
        <v>26184.1693466859</v>
      </c>
      <c r="N2034" s="3" t="n">
        <f aca="false">(Tabla2[[#This Row],[Productividad (kg/TAS)]]*Tabla2[[#This Row],[Precio por kg]]-Tabla2[[#This Row],[Costos (En RD$/Tarea)]])</f>
        <v>8745.57190695841</v>
      </c>
      <c r="O2034" s="9" t="n">
        <f aca="false">IF(Tabla2[[#This Row],[Costos (En RD$/Tarea)]]=0,0,Tabla2[[#This Row],[Beneficio Neto  (En RD$/Tarea)]]/Tabla2[[#This Row],[Costos (En RD$/Tarea)]])</f>
        <v>0.334002266452089</v>
      </c>
      <c r="P2034" s="7" t="n">
        <f aca="false">Tabla2[[#This Row],[Rentabilidad (%)]]/12</f>
        <v>0.0278335222043408</v>
      </c>
    </row>
    <row r="2035" customFormat="false" ht="14.25" hidden="false" customHeight="false" outlineLevel="0" collapsed="false">
      <c r="A2035" s="1" t="n">
        <v>41671</v>
      </c>
      <c r="B2035" s="2" t="s">
        <v>24</v>
      </c>
      <c r="C2035" s="3" t="n">
        <v>8146</v>
      </c>
      <c r="D2035" s="8" t="s">
        <v>17</v>
      </c>
      <c r="E2035" s="3" t="n">
        <f aca="false">IF(Tabla2[[#This Row],[Frecuencia]]="Annual", Tabla2[[#This Row],[Cosecha/Tarea]]/12,Tabla2[[#This Row],[Cosecha/Tarea]])</f>
        <v>8146</v>
      </c>
      <c r="F2035" s="3" t="n">
        <v>62546</v>
      </c>
      <c r="G2035" s="2" t="s">
        <v>18</v>
      </c>
      <c r="H2035" s="2" t="n">
        <f aca="false">F2035/Tabla2[[#This Row],[Cosecha Mensual]]</f>
        <v>7.67812423275227</v>
      </c>
      <c r="I2035" s="2" t="n">
        <f aca="false">H2035*_xlfn.XLOOKUP(Tabla2[[#This Row],[Unidad de producción]],Tabla3[Medida],Tabla3[Equivalencia en Kg],"ELVIS",0)</f>
        <v>348.279715197643</v>
      </c>
      <c r="J2035" s="2" t="n">
        <v>1385</v>
      </c>
      <c r="K2035" s="2" t="s">
        <v>18</v>
      </c>
      <c r="L2035" s="2" t="n">
        <f aca="false">J2035/_xlfn.XLOOKUP(Tabla2[[#This Row],[Unidad de precio]],Tabla3[Medida],Tabla3[Equivalencia en Kg],"ELVIS",0)</f>
        <v>30.5335097001764</v>
      </c>
      <c r="M2035" s="2" t="n">
        <v>9105.98860416</v>
      </c>
      <c r="N2035" s="3" t="n">
        <f aca="false">(Tabla2[[#This Row],[Productividad (kg/TAS)]]*Tabla2[[#This Row],[Precio por kg]]-Tabla2[[#This Row],[Costos (En RD$/Tarea)]])</f>
        <v>1528.2134582019</v>
      </c>
      <c r="O2035" s="9" t="n">
        <f aca="false">IF(Tabla2[[#This Row],[Costos (En RD$/Tarea)]]=0,0,Tabla2[[#This Row],[Beneficio Neto  (En RD$/Tarea)]]/Tabla2[[#This Row],[Costos (En RD$/Tarea)]])</f>
        <v>0.167825101110245</v>
      </c>
      <c r="P2035" s="7" t="n">
        <f aca="false">Tabla2[[#This Row],[Rentabilidad (%)]]/12</f>
        <v>0.0139854250925205</v>
      </c>
    </row>
    <row r="2036" customFormat="false" ht="14.25" hidden="false" customHeight="false" outlineLevel="0" collapsed="false">
      <c r="A2036" s="1" t="n">
        <v>41671</v>
      </c>
      <c r="B2036" s="2" t="s">
        <v>25</v>
      </c>
      <c r="C2036" s="3" t="n">
        <v>59376</v>
      </c>
      <c r="D2036" s="8" t="s">
        <v>17</v>
      </c>
      <c r="E2036" s="3" t="n">
        <f aca="false">IF(Tabla2[[#This Row],[Frecuencia]]="Annual", Tabla2[[#This Row],[Cosecha/Tarea]]/12,Tabla2[[#This Row],[Cosecha/Tarea]])</f>
        <v>59376</v>
      </c>
      <c r="F2036" s="3" t="n">
        <v>519059</v>
      </c>
      <c r="G2036" s="2" t="s">
        <v>18</v>
      </c>
      <c r="H2036" s="2" t="n">
        <f aca="false">F2036/Tabla2[[#This Row],[Cosecha Mensual]]</f>
        <v>8.7418990838049</v>
      </c>
      <c r="I2036" s="2" t="n">
        <f aca="false">H2036*_xlfn.XLOOKUP(Tabla2[[#This Row],[Unidad de producción]],Tabla3[Medida],Tabla3[Equivalencia en Kg],"ELVIS",0)</f>
        <v>396.53254244139</v>
      </c>
      <c r="J2036" s="2" t="n">
        <v>279.071548</v>
      </c>
      <c r="K2036" s="2" t="s">
        <v>18</v>
      </c>
      <c r="L2036" s="2" t="n">
        <f aca="false">J2036/_xlfn.XLOOKUP(Tabla2[[#This Row],[Unidad de precio]],Tabla3[Medida],Tabla3[Equivalencia en Kg],"ELVIS",0)</f>
        <v>6.15237098765432</v>
      </c>
      <c r="M2036" s="2" t="n">
        <v>4871.66870431878</v>
      </c>
      <c r="N2036" s="3" t="n">
        <f aca="false">(Tabla2[[#This Row],[Productividad (kg/TAS)]]*Tabla2[[#This Row],[Precio por kg]]-Tabla2[[#This Row],[Costos (En RD$/Tarea)]])</f>
        <v>-2432.05339454156</v>
      </c>
      <c r="O2036" s="9" t="n">
        <f aca="false">IF(Tabla2[[#This Row],[Costos (En RD$/Tarea)]]=0,0,Tabla2[[#This Row],[Beneficio Neto  (En RD$/Tarea)]]/Tabla2[[#This Row],[Costos (En RD$/Tarea)]])</f>
        <v>-0.499223888600127</v>
      </c>
      <c r="P2036" s="7" t="n">
        <f aca="false">Tabla2[[#This Row],[Rentabilidad (%)]]/12</f>
        <v>-0.0416019907166773</v>
      </c>
    </row>
    <row r="2037" customFormat="false" ht="14.25" hidden="false" customHeight="false" outlineLevel="0" collapsed="false">
      <c r="A2037" s="1" t="n">
        <v>41671</v>
      </c>
      <c r="B2037" s="2" t="s">
        <v>26</v>
      </c>
      <c r="C2037" s="3" t="n">
        <v>12208</v>
      </c>
      <c r="D2037" s="8" t="s">
        <v>17</v>
      </c>
      <c r="E2037" s="3" t="n">
        <f aca="false">IF(Tabla2[[#This Row],[Frecuencia]]="Annual", Tabla2[[#This Row],[Cosecha/Tarea]]/12,Tabla2[[#This Row],[Cosecha/Tarea]])</f>
        <v>12208</v>
      </c>
      <c r="F2037" s="3" t="n">
        <v>83039</v>
      </c>
      <c r="G2037" s="2" t="s">
        <v>18</v>
      </c>
      <c r="H2037" s="2" t="n">
        <f aca="false">F2037/Tabla2[[#This Row],[Cosecha Mensual]]</f>
        <v>6.80201507208388</v>
      </c>
      <c r="I2037" s="2" t="n">
        <f aca="false">H2037*_xlfn.XLOOKUP(Tabla2[[#This Row],[Unidad de producción]],Tabla3[Medida],Tabla3[Equivalencia en Kg],"ELVIS",0)</f>
        <v>308.539403669725</v>
      </c>
      <c r="J2037" s="2" t="n">
        <v>698.1128</v>
      </c>
      <c r="K2037" s="2" t="s">
        <v>18</v>
      </c>
      <c r="L2037" s="2" t="n">
        <f aca="false">J2037/_xlfn.XLOOKUP(Tabla2[[#This Row],[Unidad de precio]],Tabla3[Medida],Tabla3[Equivalencia en Kg],"ELVIS",0)</f>
        <v>15.3904938271605</v>
      </c>
      <c r="M2037" s="2" t="n">
        <v>2107.55664</v>
      </c>
      <c r="N2037" s="3" t="n">
        <f aca="false">(Tabla2[[#This Row],[Productividad (kg/TAS)]]*Tabla2[[#This Row],[Precio por kg]]-Tabla2[[#This Row],[Costos (En RD$/Tarea)]])</f>
        <v>2641.01714761468</v>
      </c>
      <c r="O2037" s="9" t="n">
        <f aca="false">IF(Tabla2[[#This Row],[Costos (En RD$/Tarea)]]=0,0,Tabla2[[#This Row],[Beneficio Neto  (En RD$/Tarea)]]/Tabla2[[#This Row],[Costos (En RD$/Tarea)]])</f>
        <v>1.25311799336253</v>
      </c>
      <c r="P2037" s="7" t="n">
        <f aca="false">Tabla2[[#This Row],[Rentabilidad (%)]]/12</f>
        <v>0.104426499446878</v>
      </c>
    </row>
    <row r="2038" customFormat="false" ht="14.25" hidden="false" customHeight="false" outlineLevel="0" collapsed="false">
      <c r="A2038" s="1" t="n">
        <v>41671</v>
      </c>
      <c r="B2038" s="2" t="s">
        <v>27</v>
      </c>
      <c r="C2038" s="3" t="n">
        <v>6415</v>
      </c>
      <c r="D2038" s="8" t="s">
        <v>17</v>
      </c>
      <c r="E2038" s="3" t="n">
        <f aca="false">IF(Tabla2[[#This Row],[Frecuencia]]="Annual", Tabla2[[#This Row],[Cosecha/Tarea]]/12,Tabla2[[#This Row],[Cosecha/Tarea]])</f>
        <v>6415</v>
      </c>
      <c r="F2038" s="3" t="n">
        <v>42389</v>
      </c>
      <c r="G2038" s="2" t="s">
        <v>18</v>
      </c>
      <c r="H2038" s="2" t="n">
        <f aca="false">F2038/Tabla2[[#This Row],[Cosecha Mensual]]</f>
        <v>6.60779423226812</v>
      </c>
      <c r="I2038" s="2" t="n">
        <f aca="false">H2038*_xlfn.XLOOKUP(Tabla2[[#This Row],[Unidad de producción]],Tabla3[Medida],Tabla3[Equivalencia en Kg],"ELVIS",0)</f>
        <v>299.729546375682</v>
      </c>
      <c r="J2038" s="2" t="n">
        <v>641.25</v>
      </c>
      <c r="K2038" s="2" t="s">
        <v>18</v>
      </c>
      <c r="L2038" s="2" t="n">
        <f aca="false">J2038/_xlfn.XLOOKUP(Tabla2[[#This Row],[Unidad de precio]],Tabla3[Medida],Tabla3[Equivalencia en Kg],"ELVIS",0)</f>
        <v>14.1369047619048</v>
      </c>
      <c r="M2038" s="2" t="n">
        <v>8288.298341505</v>
      </c>
      <c r="N2038" s="3" t="n">
        <f aca="false">(Tabla2[[#This Row],[Productividad (kg/TAS)]]*Tabla2[[#This Row],[Precio por kg]]-Tabla2[[#This Row],[Costos (En RD$/Tarea)]])</f>
        <v>-4051.05029006307</v>
      </c>
      <c r="O2038" s="9" t="n">
        <f aca="false">IF(Tabla2[[#This Row],[Costos (En RD$/Tarea)]]=0,0,Tabla2[[#This Row],[Beneficio Neto  (En RD$/Tarea)]]/Tabla2[[#This Row],[Costos (En RD$/Tarea)]])</f>
        <v>-0.488767431280408</v>
      </c>
      <c r="P2038" s="7" t="n">
        <f aca="false">Tabla2[[#This Row],[Rentabilidad (%)]]/12</f>
        <v>-0.0407306192733674</v>
      </c>
    </row>
    <row r="2039" customFormat="false" ht="14.25" hidden="false" customHeight="false" outlineLevel="0" collapsed="false">
      <c r="A2039" s="1" t="n">
        <v>41671</v>
      </c>
      <c r="B2039" s="2" t="s">
        <v>28</v>
      </c>
      <c r="C2039" s="3" t="n">
        <v>66655</v>
      </c>
      <c r="D2039" s="8" t="s">
        <v>17</v>
      </c>
      <c r="E2039" s="3" t="n">
        <f aca="false">IF(Tabla2[[#This Row],[Frecuencia]]="Annual", Tabla2[[#This Row],[Cosecha/Tarea]]/12,Tabla2[[#This Row],[Cosecha/Tarea]])</f>
        <v>66655</v>
      </c>
      <c r="F2039" s="3" t="n">
        <v>86200</v>
      </c>
      <c r="G2039" s="2" t="s">
        <v>29</v>
      </c>
      <c r="H2039" s="2" t="n">
        <f aca="false">F2039/Tabla2[[#This Row],[Cosecha Mensual]]</f>
        <v>1.29322631460506</v>
      </c>
      <c r="I2039" s="2" t="n">
        <f aca="false">H2039*_xlfn.XLOOKUP(Tabla2[[#This Row],[Unidad de producción]],Tabla3[Medida],Tabla3[Equivalencia en Kg],"ELVIS",0)</f>
        <v>727.232885755007</v>
      </c>
      <c r="J2039" s="2" t="n">
        <v>7254.16666666667</v>
      </c>
      <c r="K2039" s="2" t="s">
        <v>29</v>
      </c>
      <c r="L2039" s="2" t="n">
        <f aca="false">J2039/_xlfn.XLOOKUP(Tabla2[[#This Row],[Unidad de precio]],Tabla3[Medida],Tabla3[Equivalencia en Kg],"ELVIS",0)</f>
        <v>12.8999656198504</v>
      </c>
      <c r="M2039" s="2" t="n">
        <v>7150.53423628677</v>
      </c>
      <c r="N2039" s="3" t="n">
        <f aca="false">(Tabla2[[#This Row],[Productividad (kg/TAS)]]*Tabla2[[#This Row],[Precio por kg]]-Tabla2[[#This Row],[Costos (En RD$/Tarea)]])</f>
        <v>2230.74498757741</v>
      </c>
      <c r="O2039" s="9" t="n">
        <f aca="false">IF(Tabla2[[#This Row],[Costos (En RD$/Tarea)]]=0,0,Tabla2[[#This Row],[Beneficio Neto  (En RD$/Tarea)]]/Tabla2[[#This Row],[Costos (En RD$/Tarea)]])</f>
        <v>0.311968996142563</v>
      </c>
      <c r="P2039" s="7" t="n">
        <f aca="false">Tabla2[[#This Row],[Rentabilidad (%)]]/12</f>
        <v>0.0259974163452136</v>
      </c>
    </row>
    <row r="2040" customFormat="false" ht="14.25" hidden="false" customHeight="false" outlineLevel="0" collapsed="false">
      <c r="A2040" s="1" t="n">
        <v>41671</v>
      </c>
      <c r="B2040" s="2" t="s">
        <v>30</v>
      </c>
      <c r="C2040" s="3" t="n">
        <v>407742</v>
      </c>
      <c r="D2040" s="3" t="s">
        <v>31</v>
      </c>
      <c r="E2040" s="3" t="n">
        <f aca="false">IF(Tabla2[[#This Row],[Frecuencia]]="Annual", Tabla2[[#This Row],[Cosecha/Tarea]]/12,Tabla2[[#This Row],[Cosecha/Tarea]])</f>
        <v>33978.5</v>
      </c>
      <c r="F2040" s="3" t="n">
        <v>2695137</v>
      </c>
      <c r="G2040" s="2" t="s">
        <v>32</v>
      </c>
      <c r="H2040" s="2" t="n">
        <f aca="false">F2040/Tabla2[[#This Row],[Cosecha Mensual]]</f>
        <v>79.3188928292891</v>
      </c>
      <c r="I2040" s="2" t="n">
        <f aca="false">H2040*_xlfn.XLOOKUP(Tabla2[[#This Row],[Unidad de producción]],Tabla3[Medida],Tabla3[Equivalencia en Kg],"ELVIS",0)</f>
        <v>2158.26707388496</v>
      </c>
      <c r="J2040" s="2" t="n">
        <v>143.869047619048</v>
      </c>
      <c r="K2040" s="2" t="s">
        <v>32</v>
      </c>
      <c r="L2040" s="2" t="n">
        <f aca="false">J2040/_xlfn.XLOOKUP(Tabla2[[#This Row],[Unidad de precio]],Tabla3[Medida],Tabla3[Equivalencia en Kg],"ELVIS",0)</f>
        <v>5.28735933917854</v>
      </c>
      <c r="M2040" s="3" t="n">
        <v>12538.8969859716</v>
      </c>
      <c r="N2040" s="3" t="n">
        <f aca="false">(Tabla2[[#This Row],[Productividad (kg/TAS)]]*Tabla2[[#This Row],[Precio por kg]]-Tabla2[[#This Row],[Costos (En RD$/Tarea)]])</f>
        <v>-1127.36341642444</v>
      </c>
      <c r="O2040" s="9" t="n">
        <f aca="false">IF(Tabla2[[#This Row],[Costos (En RD$/Tarea)]]=0,0,Tabla2[[#This Row],[Beneficio Neto  (En RD$/Tarea)]]/Tabla2[[#This Row],[Costos (En RD$/Tarea)]])</f>
        <v>-0.089909297260016</v>
      </c>
      <c r="P2040" s="7" t="n">
        <f aca="false">Tabla2[[#This Row],[Rentabilidad (%)]]/12</f>
        <v>-0.00749244143833467</v>
      </c>
    </row>
    <row r="2041" customFormat="false" ht="14.25" hidden="false" customHeight="false" outlineLevel="0" collapsed="false">
      <c r="A2041" s="1" t="n">
        <v>41671</v>
      </c>
      <c r="B2041" s="2" t="s">
        <v>33</v>
      </c>
      <c r="C2041" s="3" t="n">
        <v>721470</v>
      </c>
      <c r="D2041" s="3" t="s">
        <v>31</v>
      </c>
      <c r="E2041" s="3" t="n">
        <f aca="false">IF(Tabla2[[#This Row],[Frecuencia]]="Annual", Tabla2[[#This Row],[Cosecha/Tarea]]/12,Tabla2[[#This Row],[Cosecha/Tarea]])</f>
        <v>60122.5</v>
      </c>
      <c r="F2041" s="3" t="n">
        <v>147410</v>
      </c>
      <c r="G2041" s="2" t="s">
        <v>34</v>
      </c>
      <c r="H2041" s="2" t="n">
        <f aca="false">F2041/Tabla2[[#This Row],[Cosecha Mensual]]</f>
        <v>2.45182751881575</v>
      </c>
      <c r="I2041" s="2" t="n">
        <f aca="false">H2041*_xlfn.XLOOKUP(Tabla2[[#This Row],[Unidad de producción]],Tabla3[Medida],Tabla3[Equivalencia en Kg],"ELVIS",0)</f>
        <v>1000.71340180465</v>
      </c>
      <c r="J2041" s="2" t="n">
        <v>4526.78571428572</v>
      </c>
      <c r="K2041" s="2" t="s">
        <v>34</v>
      </c>
      <c r="L2041" s="2" t="n">
        <f aca="false">J2041/_xlfn.XLOOKUP(Tabla2[[#This Row],[Unidad de precio]],Tabla3[Medida],Tabla3[Equivalencia en Kg],"ELVIS",0)</f>
        <v>11.0909854570274</v>
      </c>
      <c r="M2041" s="3" t="n">
        <v>12054.0166317253</v>
      </c>
      <c r="N2041" s="3" t="n">
        <f aca="false">(Tabla2[[#This Row],[Productividad (kg/TAS)]]*Tabla2[[#This Row],[Precio por kg]]-Tabla2[[#This Row],[Costos (En RD$/Tarea)]])</f>
        <v>-955.118845657556</v>
      </c>
      <c r="O2041" s="9" t="n">
        <f aca="false">IF(Tabla2[[#This Row],[Costos (En RD$/Tarea)]]=0,0,Tabla2[[#This Row],[Beneficio Neto  (En RD$/Tarea)]]/Tabla2[[#This Row],[Costos (En RD$/Tarea)]])</f>
        <v>-0.0792365627855326</v>
      </c>
      <c r="P2041" s="7" t="n">
        <f aca="false">Tabla2[[#This Row],[Rentabilidad (%)]]/12</f>
        <v>-0.00660304689879439</v>
      </c>
    </row>
    <row r="2042" customFormat="false" ht="14.25" hidden="false" customHeight="false" outlineLevel="0" collapsed="false">
      <c r="A2042" s="1" t="n">
        <v>41699</v>
      </c>
      <c r="B2042" s="2" t="s">
        <v>16</v>
      </c>
      <c r="C2042" s="3" t="n">
        <v>92893</v>
      </c>
      <c r="D2042" s="8" t="s">
        <v>17</v>
      </c>
      <c r="E2042" s="3" t="n">
        <f aca="false">IF(Tabla2[[#This Row],[Frecuencia]]="Annual", Tabla2[[#This Row],[Cosecha/Tarea]]/12,Tabla2[[#This Row],[Cosecha/Tarea]])</f>
        <v>92893</v>
      </c>
      <c r="F2042" s="3" t="n">
        <v>408742</v>
      </c>
      <c r="G2042" s="2" t="s">
        <v>18</v>
      </c>
      <c r="H2042" s="2" t="n">
        <f aca="false">F2042/Tabla2[[#This Row],[Cosecha Mensual]]</f>
        <v>4.40013779294457</v>
      </c>
      <c r="I2042" s="2" t="n">
        <f aca="false">H2042*_xlfn.XLOOKUP(Tabla2[[#This Row],[Unidad de producción]],Tabla3[Medida],Tabla3[Equivalencia en Kg],"ELVIS",0)</f>
        <v>199.590250287966</v>
      </c>
      <c r="J2042" s="2" t="n">
        <v>1650.22727272727</v>
      </c>
      <c r="K2042" s="2" t="s">
        <v>19</v>
      </c>
      <c r="L2042" s="2" t="n">
        <f aca="false">J2042/_xlfn.XLOOKUP(Tabla2[[#This Row],[Unidad de precio]],Tabla3[Medida],Tabla3[Equivalencia en Kg],"ELVIS",0)</f>
        <v>15.0020661157025</v>
      </c>
      <c r="M2042" s="2" t="n">
        <v>7973.24325841281</v>
      </c>
      <c r="N2042" s="3" t="n">
        <f aca="false">(Tabla2[[#This Row],[Productividad (kg/TAS)]]*Tabla2[[#This Row],[Precio por kg]]-Tabla2[[#This Row],[Costos (En RD$/Tarea)]])</f>
        <v>-4978.97712754315</v>
      </c>
      <c r="O2042" s="9" t="n">
        <f aca="false">IF(Tabla2[[#This Row],[Costos (En RD$/Tarea)]]=0,0,Tabla2[[#This Row],[Beneficio Neto  (En RD$/Tarea)]]/Tabla2[[#This Row],[Costos (En RD$/Tarea)]])</f>
        <v>-0.624460707666191</v>
      </c>
      <c r="P2042" s="7" t="n">
        <f aca="false">Tabla2[[#This Row],[Rentabilidad (%)]]/12</f>
        <v>-0.0520383923055159</v>
      </c>
    </row>
    <row r="2043" customFormat="false" ht="14.25" hidden="false" customHeight="false" outlineLevel="0" collapsed="false">
      <c r="A2043" s="1" t="n">
        <v>41699</v>
      </c>
      <c r="B2043" s="2" t="s">
        <v>20</v>
      </c>
      <c r="C2043" s="3" t="n">
        <v>18220</v>
      </c>
      <c r="D2043" s="8" t="s">
        <v>17</v>
      </c>
      <c r="E2043" s="3" t="n">
        <f aca="false">IF(Tabla2[[#This Row],[Frecuencia]]="Annual", Tabla2[[#This Row],[Cosecha/Tarea]]/12,Tabla2[[#This Row],[Cosecha/Tarea]])</f>
        <v>18220</v>
      </c>
      <c r="F2043" s="3" t="n">
        <v>33965</v>
      </c>
      <c r="G2043" s="2" t="s">
        <v>18</v>
      </c>
      <c r="H2043" s="2" t="n">
        <f aca="false">F2043/Tabla2[[#This Row],[Cosecha Mensual]]</f>
        <v>1.86416026344676</v>
      </c>
      <c r="I2043" s="2" t="n">
        <f aca="false">H2043*_xlfn.XLOOKUP(Tabla2[[#This Row],[Unidad de producción]],Tabla3[Medida],Tabla3[Equivalencia en Kg],"ELVIS",0)</f>
        <v>84.5583095499451</v>
      </c>
      <c r="J2043" s="2" t="n">
        <v>750.261428571429</v>
      </c>
      <c r="K2043" s="2" t="s">
        <v>18</v>
      </c>
      <c r="L2043" s="2" t="n">
        <f aca="false">J2043/_xlfn.XLOOKUP(Tabla2[[#This Row],[Unidad de precio]],Tabla3[Medida],Tabla3[Equivalencia en Kg],"ELVIS",0)</f>
        <v>16.5401549508692</v>
      </c>
      <c r="M2043" s="2" t="n">
        <v>2447.4016476</v>
      </c>
      <c r="N2043" s="3" t="n">
        <f aca="false">(Tabla2[[#This Row],[Productividad (kg/TAS)]]*Tabla2[[#This Row],[Precio por kg]]-Tabla2[[#This Row],[Costos (En RD$/Tarea)]])</f>
        <v>-1048.79410526034</v>
      </c>
      <c r="O2043" s="9" t="n">
        <f aca="false">IF(Tabla2[[#This Row],[Costos (En RD$/Tarea)]]=0,0,Tabla2[[#This Row],[Beneficio Neto  (En RD$/Tarea)]]/Tabla2[[#This Row],[Costos (En RD$/Tarea)]])</f>
        <v>-0.428533708918935</v>
      </c>
      <c r="P2043" s="7" t="n">
        <f aca="false">Tabla2[[#This Row],[Rentabilidad (%)]]/12</f>
        <v>-0.0357111424099113</v>
      </c>
    </row>
    <row r="2044" customFormat="false" ht="14.25" hidden="false" customHeight="false" outlineLevel="0" collapsed="false">
      <c r="A2044" s="1" t="n">
        <v>41699</v>
      </c>
      <c r="B2044" s="2" t="s">
        <v>21</v>
      </c>
      <c r="C2044" s="3" t="n">
        <v>8305</v>
      </c>
      <c r="D2044" s="8" t="s">
        <v>17</v>
      </c>
      <c r="E2044" s="3" t="n">
        <f aca="false">IF(Tabla2[[#This Row],[Frecuencia]]="Annual", Tabla2[[#This Row],[Cosecha/Tarea]]/12,Tabla2[[#This Row],[Cosecha/Tarea]])</f>
        <v>8305</v>
      </c>
      <c r="F2044" s="3" t="n">
        <v>79507</v>
      </c>
      <c r="G2044" s="2" t="s">
        <v>18</v>
      </c>
      <c r="H2044" s="2" t="n">
        <f aca="false">F2044/Tabla2[[#This Row],[Cosecha Mensual]]</f>
        <v>9.5733895243829</v>
      </c>
      <c r="I2044" s="2" t="n">
        <f aca="false">H2044*_xlfn.XLOOKUP(Tabla2[[#This Row],[Unidad de producción]],Tabla3[Medida],Tabla3[Equivalencia en Kg],"ELVIS",0)</f>
        <v>434.248948826008</v>
      </c>
      <c r="J2044" s="2" t="n">
        <v>248.083</v>
      </c>
      <c r="K2044" s="2" t="s">
        <v>18</v>
      </c>
      <c r="L2044" s="2" t="n">
        <f aca="false">J2044/_xlfn.XLOOKUP(Tabla2[[#This Row],[Unidad de precio]],Tabla3[Medida],Tabla3[Equivalencia en Kg],"ELVIS",0)</f>
        <v>5.46920194003527</v>
      </c>
      <c r="M2044" s="2" t="n">
        <v>5243.9203425</v>
      </c>
      <c r="N2044" s="3" t="n">
        <f aca="false">(Tabla2[[#This Row],[Productividad (kg/TAS)]]*Tabla2[[#This Row],[Precio por kg]]-Tabla2[[#This Row],[Costos (En RD$/Tarea)]])</f>
        <v>-2868.92514912252</v>
      </c>
      <c r="O2044" s="9" t="n">
        <f aca="false">IF(Tabla2[[#This Row],[Costos (En RD$/Tarea)]]=0,0,Tabla2[[#This Row],[Beneficio Neto  (En RD$/Tarea)]]/Tabla2[[#This Row],[Costos (En RD$/Tarea)]])</f>
        <v>-0.547095486152022</v>
      </c>
      <c r="P2044" s="7" t="n">
        <f aca="false">Tabla2[[#This Row],[Rentabilidad (%)]]/12</f>
        <v>-0.0455912905126685</v>
      </c>
    </row>
    <row r="2045" customFormat="false" ht="14.25" hidden="false" customHeight="false" outlineLevel="0" collapsed="false">
      <c r="A2045" s="1" t="n">
        <v>41699</v>
      </c>
      <c r="B2045" s="2" t="s">
        <v>22</v>
      </c>
      <c r="C2045" s="3" t="n">
        <v>5152</v>
      </c>
      <c r="D2045" s="8" t="s">
        <v>17</v>
      </c>
      <c r="E2045" s="3" t="n">
        <f aca="false">IF(Tabla2[[#This Row],[Frecuencia]]="Annual", Tabla2[[#This Row],[Cosecha/Tarea]]/12,Tabla2[[#This Row],[Cosecha/Tarea]])</f>
        <v>5152</v>
      </c>
      <c r="F2045" s="3" t="n">
        <v>47084</v>
      </c>
      <c r="G2045" s="2" t="s">
        <v>18</v>
      </c>
      <c r="H2045" s="2" t="n">
        <f aca="false">F2045/Tabla2[[#This Row],[Cosecha Mensual]]</f>
        <v>9.1389751552795</v>
      </c>
      <c r="I2045" s="2" t="n">
        <f aca="false">H2045*_xlfn.XLOOKUP(Tabla2[[#This Row],[Unidad de producción]],Tabla3[Medida],Tabla3[Equivalencia en Kg],"ELVIS",0)</f>
        <v>414.543913043478</v>
      </c>
      <c r="J2045" s="2" t="n">
        <v>892.013333333333</v>
      </c>
      <c r="K2045" s="2" t="s">
        <v>18</v>
      </c>
      <c r="L2045" s="2" t="n">
        <f aca="false">J2045/_xlfn.XLOOKUP(Tabla2[[#This Row],[Unidad de precio]],Tabla3[Medida],Tabla3[Equivalencia en Kg],"ELVIS",0)</f>
        <v>19.6651969429747</v>
      </c>
      <c r="M2045" s="2" t="n">
        <v>9418.5442176</v>
      </c>
      <c r="N2045" s="3" t="n">
        <f aca="false">(Tabla2[[#This Row],[Productividad (kg/TAS)]]*Tabla2[[#This Row],[Precio por kg]]-Tabla2[[#This Row],[Costos (En RD$/Tarea)]])</f>
        <v>-1266.45652608862</v>
      </c>
      <c r="O2045" s="9" t="n">
        <f aca="false">IF(Tabla2[[#This Row],[Costos (En RD$/Tarea)]]=0,0,Tabla2[[#This Row],[Beneficio Neto  (En RD$/Tarea)]]/Tabla2[[#This Row],[Costos (En RD$/Tarea)]])</f>
        <v>-0.134464148262111</v>
      </c>
      <c r="P2045" s="7" t="n">
        <f aca="false">Tabla2[[#This Row],[Rentabilidad (%)]]/12</f>
        <v>-0.0112053456885093</v>
      </c>
    </row>
    <row r="2046" customFormat="false" ht="14.25" hidden="false" customHeight="false" outlineLevel="0" collapsed="false">
      <c r="A2046" s="1" t="n">
        <v>41699</v>
      </c>
      <c r="B2046" s="2" t="s">
        <v>23</v>
      </c>
      <c r="C2046" s="3" t="n">
        <v>3409</v>
      </c>
      <c r="D2046" s="8" t="s">
        <v>17</v>
      </c>
      <c r="E2046" s="3" t="n">
        <f aca="false">IF(Tabla2[[#This Row],[Frecuencia]]="Annual", Tabla2[[#This Row],[Cosecha/Tarea]]/12,Tabla2[[#This Row],[Cosecha/Tarea]])</f>
        <v>3409</v>
      </c>
      <c r="F2046" s="3" t="n">
        <v>117300</v>
      </c>
      <c r="G2046" s="2" t="s">
        <v>18</v>
      </c>
      <c r="H2046" s="2" t="n">
        <f aca="false">F2046/Tabla2[[#This Row],[Cosecha Mensual]]</f>
        <v>34.4089175711352</v>
      </c>
      <c r="I2046" s="2" t="n">
        <f aca="false">H2046*_xlfn.XLOOKUP(Tabla2[[#This Row],[Unidad de producción]],Tabla3[Medida],Tabla3[Equivalencia en Kg],"ELVIS",0)</f>
        <v>1560.78850102669</v>
      </c>
      <c r="J2046" s="2" t="n">
        <v>793.850888888889</v>
      </c>
      <c r="K2046" s="2" t="s">
        <v>18</v>
      </c>
      <c r="L2046" s="2" t="n">
        <f aca="false">J2046/_xlfn.XLOOKUP(Tabla2[[#This Row],[Unidad de precio]],Tabla3[Medida],Tabla3[Equivalencia en Kg],"ELVIS",0)</f>
        <v>17.5011218890849</v>
      </c>
      <c r="M2046" s="2" t="n">
        <v>26184.1693466859</v>
      </c>
      <c r="N2046" s="3" t="n">
        <f aca="false">(Tabla2[[#This Row],[Productividad (kg/TAS)]]*Tabla2[[#This Row],[Precio por kg]]-Tabla2[[#This Row],[Costos (En RD$/Tarea)]])</f>
        <v>1131.38045286432</v>
      </c>
      <c r="O2046" s="9" t="n">
        <f aca="false">IF(Tabla2[[#This Row],[Costos (En RD$/Tarea)]]=0,0,Tabla2[[#This Row],[Beneficio Neto  (En RD$/Tarea)]]/Tabla2[[#This Row],[Costos (En RD$/Tarea)]])</f>
        <v>0.0432085676610365</v>
      </c>
      <c r="P2046" s="7" t="n">
        <f aca="false">Tabla2[[#This Row],[Rentabilidad (%)]]/12</f>
        <v>0.00360071397175304</v>
      </c>
    </row>
    <row r="2047" customFormat="false" ht="14.25" hidden="false" customHeight="false" outlineLevel="0" collapsed="false">
      <c r="A2047" s="1" t="n">
        <v>41699</v>
      </c>
      <c r="B2047" s="2" t="s">
        <v>24</v>
      </c>
      <c r="C2047" s="3" t="n">
        <v>5480</v>
      </c>
      <c r="D2047" s="8" t="s">
        <v>17</v>
      </c>
      <c r="E2047" s="3" t="n">
        <f aca="false">IF(Tabla2[[#This Row],[Frecuencia]]="Annual", Tabla2[[#This Row],[Cosecha/Tarea]]/12,Tabla2[[#This Row],[Cosecha/Tarea]])</f>
        <v>5480</v>
      </c>
      <c r="F2047" s="3" t="n">
        <v>45319</v>
      </c>
      <c r="G2047" s="2" t="s">
        <v>18</v>
      </c>
      <c r="H2047" s="2" t="n">
        <f aca="false">F2047/Tabla2[[#This Row],[Cosecha Mensual]]</f>
        <v>8.26989051094891</v>
      </c>
      <c r="I2047" s="2" t="n">
        <f aca="false">H2047*_xlfn.XLOOKUP(Tabla2[[#This Row],[Unidad de producción]],Tabla3[Medida],Tabla3[Equivalencia en Kg],"ELVIS",0)</f>
        <v>375.122233576642</v>
      </c>
      <c r="J2047" s="2" t="n">
        <v>1232.61516</v>
      </c>
      <c r="K2047" s="2" t="s">
        <v>18</v>
      </c>
      <c r="L2047" s="2" t="n">
        <f aca="false">J2047/_xlfn.XLOOKUP(Tabla2[[#This Row],[Unidad de precio]],Tabla3[Medida],Tabla3[Equivalencia en Kg],"ELVIS",0)</f>
        <v>27.1740555555556</v>
      </c>
      <c r="M2047" s="2" t="n">
        <v>9105.98860416</v>
      </c>
      <c r="N2047" s="3" t="n">
        <f aca="false">(Tabla2[[#This Row],[Productividad (kg/TAS)]]*Tabla2[[#This Row],[Precio por kg]]-Tabla2[[#This Row],[Costos (En RD$/Tarea)]])</f>
        <v>1087.60381117577</v>
      </c>
      <c r="O2047" s="9" t="n">
        <f aca="false">IF(Tabla2[[#This Row],[Costos (En RD$/Tarea)]]=0,0,Tabla2[[#This Row],[Beneficio Neto  (En RD$/Tarea)]]/Tabla2[[#This Row],[Costos (En RD$/Tarea)]])</f>
        <v>0.119438301370035</v>
      </c>
      <c r="P2047" s="7" t="n">
        <f aca="false">Tabla2[[#This Row],[Rentabilidad (%)]]/12</f>
        <v>0.00995319178083625</v>
      </c>
    </row>
    <row r="2048" customFormat="false" ht="14.25" hidden="false" customHeight="false" outlineLevel="0" collapsed="false">
      <c r="A2048" s="1" t="n">
        <v>41699</v>
      </c>
      <c r="B2048" s="2" t="s">
        <v>25</v>
      </c>
      <c r="C2048" s="3" t="n">
        <v>24252</v>
      </c>
      <c r="D2048" s="8" t="s">
        <v>17</v>
      </c>
      <c r="E2048" s="3" t="n">
        <f aca="false">IF(Tabla2[[#This Row],[Frecuencia]]="Annual", Tabla2[[#This Row],[Cosecha/Tarea]]/12,Tabla2[[#This Row],[Cosecha/Tarea]])</f>
        <v>24252</v>
      </c>
      <c r="F2048" s="3" t="n">
        <v>283111</v>
      </c>
      <c r="G2048" s="2" t="s">
        <v>18</v>
      </c>
      <c r="H2048" s="2" t="n">
        <f aca="false">F2048/Tabla2[[#This Row],[Cosecha Mensual]]</f>
        <v>11.6737176315355</v>
      </c>
      <c r="I2048" s="2" t="n">
        <f aca="false">H2048*_xlfn.XLOOKUP(Tabla2[[#This Row],[Unidad de producción]],Tabla3[Medida],Tabla3[Equivalencia en Kg],"ELVIS",0)</f>
        <v>529.519831766452</v>
      </c>
      <c r="J2048" s="2" t="n">
        <v>293.085</v>
      </c>
      <c r="K2048" s="2" t="s">
        <v>18</v>
      </c>
      <c r="L2048" s="2" t="n">
        <f aca="false">J2048/_xlfn.XLOOKUP(Tabla2[[#This Row],[Unidad de precio]],Tabla3[Medida],Tabla3[Equivalencia en Kg],"ELVIS",0)</f>
        <v>6.46130952380952</v>
      </c>
      <c r="M2048" s="2" t="n">
        <v>4871.66870431878</v>
      </c>
      <c r="N2048" s="3" t="n">
        <f aca="false">(Tabla2[[#This Row],[Productividad (kg/TAS)]]*Tabla2[[#This Row],[Precio por kg]]-Tabla2[[#This Row],[Costos (En RD$/Tarea)]])</f>
        <v>-1450.27717228019</v>
      </c>
      <c r="O2048" s="9" t="n">
        <f aca="false">IF(Tabla2[[#This Row],[Costos (En RD$/Tarea)]]=0,0,Tabla2[[#This Row],[Beneficio Neto  (En RD$/Tarea)]]/Tabla2[[#This Row],[Costos (En RD$/Tarea)]])</f>
        <v>-0.297696181802039</v>
      </c>
      <c r="P2048" s="7" t="n">
        <f aca="false">Tabla2[[#This Row],[Rentabilidad (%)]]/12</f>
        <v>-0.0248080151501699</v>
      </c>
    </row>
    <row r="2049" customFormat="false" ht="14.25" hidden="false" customHeight="false" outlineLevel="0" collapsed="false">
      <c r="A2049" s="1" t="n">
        <v>41699</v>
      </c>
      <c r="B2049" s="2" t="s">
        <v>26</v>
      </c>
      <c r="C2049" s="3" t="n">
        <v>12881</v>
      </c>
      <c r="D2049" s="8" t="s">
        <v>17</v>
      </c>
      <c r="E2049" s="3" t="n">
        <f aca="false">IF(Tabla2[[#This Row],[Frecuencia]]="Annual", Tabla2[[#This Row],[Cosecha/Tarea]]/12,Tabla2[[#This Row],[Cosecha/Tarea]])</f>
        <v>12881</v>
      </c>
      <c r="F2049" s="3" t="n">
        <v>65808</v>
      </c>
      <c r="G2049" s="2" t="s">
        <v>18</v>
      </c>
      <c r="H2049" s="2" t="n">
        <f aca="false">F2049/Tabla2[[#This Row],[Cosecha Mensual]]</f>
        <v>5.10892011489791</v>
      </c>
      <c r="I2049" s="2" t="n">
        <f aca="false">H2049*_xlfn.XLOOKUP(Tabla2[[#This Row],[Unidad de producción]],Tabla3[Medida],Tabla3[Equivalencia en Kg],"ELVIS",0)</f>
        <v>231.740616411769</v>
      </c>
      <c r="J2049" s="2" t="n">
        <v>728.595072</v>
      </c>
      <c r="K2049" s="2" t="s">
        <v>18</v>
      </c>
      <c r="L2049" s="2" t="n">
        <f aca="false">J2049/_xlfn.XLOOKUP(Tabla2[[#This Row],[Unidad de precio]],Tabla3[Medida],Tabla3[Equivalencia en Kg],"ELVIS",0)</f>
        <v>16.0625015873016</v>
      </c>
      <c r="M2049" s="2" t="n">
        <v>2107.55664</v>
      </c>
      <c r="N2049" s="3" t="n">
        <f aca="false">(Tabla2[[#This Row],[Productividad (kg/TAS)]]*Tabla2[[#This Row],[Precio por kg]]-Tabla2[[#This Row],[Costos (En RD$/Tarea)]])</f>
        <v>1614.77737895629</v>
      </c>
      <c r="O2049" s="9" t="n">
        <f aca="false">IF(Tabla2[[#This Row],[Costos (En RD$/Tarea)]]=0,0,Tabla2[[#This Row],[Beneficio Neto  (En RD$/Tarea)]]/Tabla2[[#This Row],[Costos (En RD$/Tarea)]])</f>
        <v>0.766184570468433</v>
      </c>
      <c r="P2049" s="7" t="n">
        <f aca="false">Tabla2[[#This Row],[Rentabilidad (%)]]/12</f>
        <v>0.0638487142057027</v>
      </c>
    </row>
    <row r="2050" customFormat="false" ht="14.25" hidden="false" customHeight="false" outlineLevel="0" collapsed="false">
      <c r="A2050" s="1" t="n">
        <v>41699</v>
      </c>
      <c r="B2050" s="2" t="s">
        <v>27</v>
      </c>
      <c r="C2050" s="3" t="n">
        <v>4643</v>
      </c>
      <c r="D2050" s="8" t="s">
        <v>17</v>
      </c>
      <c r="E2050" s="3" t="n">
        <f aca="false">IF(Tabla2[[#This Row],[Frecuencia]]="Annual", Tabla2[[#This Row],[Cosecha/Tarea]]/12,Tabla2[[#This Row],[Cosecha/Tarea]])</f>
        <v>4643</v>
      </c>
      <c r="F2050" s="3" t="n">
        <v>50669</v>
      </c>
      <c r="G2050" s="2" t="s">
        <v>18</v>
      </c>
      <c r="H2050" s="2" t="n">
        <f aca="false">F2050/Tabla2[[#This Row],[Cosecha Mensual]]</f>
        <v>10.9129872926987</v>
      </c>
      <c r="I2050" s="2" t="n">
        <f aca="false">H2050*_xlfn.XLOOKUP(Tabla2[[#This Row],[Unidad de producción]],Tabla3[Medida],Tabla3[Equivalencia en Kg],"ELVIS",0)</f>
        <v>495.013103596812</v>
      </c>
      <c r="J2050" s="2" t="n">
        <v>662.582857142857</v>
      </c>
      <c r="K2050" s="2" t="s">
        <v>18</v>
      </c>
      <c r="L2050" s="2" t="n">
        <f aca="false">J2050/_xlfn.XLOOKUP(Tabla2[[#This Row],[Unidad de precio]],Tabla3[Medida],Tabla3[Equivalencia en Kg],"ELVIS",0)</f>
        <v>14.6072058453011</v>
      </c>
      <c r="M2050" s="2" t="n">
        <v>8288.298341505</v>
      </c>
      <c r="N2050" s="3" t="n">
        <f aca="false">(Tabla2[[#This Row],[Productividad (kg/TAS)]]*Tabla2[[#This Row],[Precio por kg]]-Tabla2[[#This Row],[Costos (En RD$/Tarea)]])</f>
        <v>-1057.54004114501</v>
      </c>
      <c r="O2050" s="9" t="n">
        <f aca="false">IF(Tabla2[[#This Row],[Costos (En RD$/Tarea)]]=0,0,Tabla2[[#This Row],[Beneficio Neto  (En RD$/Tarea)]]/Tabla2[[#This Row],[Costos (En RD$/Tarea)]])</f>
        <v>-0.127594350199631</v>
      </c>
      <c r="P2050" s="7" t="n">
        <f aca="false">Tabla2[[#This Row],[Rentabilidad (%)]]/12</f>
        <v>-0.0106328625166359</v>
      </c>
    </row>
    <row r="2051" customFormat="false" ht="14.25" hidden="false" customHeight="false" outlineLevel="0" collapsed="false">
      <c r="A2051" s="1" t="n">
        <v>41699</v>
      </c>
      <c r="B2051" s="2" t="s">
        <v>28</v>
      </c>
      <c r="C2051" s="3" t="n">
        <v>40410</v>
      </c>
      <c r="D2051" s="8" t="s">
        <v>17</v>
      </c>
      <c r="E2051" s="3" t="n">
        <f aca="false">IF(Tabla2[[#This Row],[Frecuencia]]="Annual", Tabla2[[#This Row],[Cosecha/Tarea]]/12,Tabla2[[#This Row],[Cosecha/Tarea]])</f>
        <v>40410</v>
      </c>
      <c r="F2051" s="3" t="n">
        <v>50274</v>
      </c>
      <c r="G2051" s="2" t="s">
        <v>29</v>
      </c>
      <c r="H2051" s="2" t="n">
        <f aca="false">F2051/Tabla2[[#This Row],[Cosecha Mensual]]</f>
        <v>1.24409799554566</v>
      </c>
      <c r="I2051" s="2" t="n">
        <f aca="false">H2051*_xlfn.XLOOKUP(Tabla2[[#This Row],[Unidad de producción]],Tabla3[Medida],Tabla3[Equivalencia en Kg],"ELVIS",0)</f>
        <v>699.606066815145</v>
      </c>
      <c r="J2051" s="2" t="n">
        <v>5288.66666666667</v>
      </c>
      <c r="K2051" s="2" t="s">
        <v>29</v>
      </c>
      <c r="L2051" s="2" t="n">
        <f aca="false">J2051/_xlfn.XLOOKUP(Tabla2[[#This Row],[Unidad de precio]],Tabla3[Medida],Tabla3[Equivalencia en Kg],"ELVIS",0)</f>
        <v>9.40474920273619</v>
      </c>
      <c r="M2051" s="2" t="n">
        <v>7150.53423628677</v>
      </c>
      <c r="N2051" s="3" t="n">
        <f aca="false">(Tabla2[[#This Row],[Productividad (kg/TAS)]]*Tabla2[[#This Row],[Precio por kg]]-Tabla2[[#This Row],[Costos (En RD$/Tarea)]])</f>
        <v>-570.914637177634</v>
      </c>
      <c r="O2051" s="9" t="n">
        <f aca="false">IF(Tabla2[[#This Row],[Costos (En RD$/Tarea)]]=0,0,Tabla2[[#This Row],[Beneficio Neto  (En RD$/Tarea)]]/Tabla2[[#This Row],[Costos (En RD$/Tarea)]])</f>
        <v>-0.0798422353228403</v>
      </c>
      <c r="P2051" s="7" t="n">
        <f aca="false">Tabla2[[#This Row],[Rentabilidad (%)]]/12</f>
        <v>-0.00665351961023669</v>
      </c>
    </row>
    <row r="2052" customFormat="false" ht="14.25" hidden="false" customHeight="false" outlineLevel="0" collapsed="false">
      <c r="A2052" s="1" t="n">
        <v>41699</v>
      </c>
      <c r="B2052" s="2" t="s">
        <v>30</v>
      </c>
      <c r="C2052" s="3" t="n">
        <v>414704</v>
      </c>
      <c r="D2052" s="3" t="s">
        <v>31</v>
      </c>
      <c r="E2052" s="3" t="n">
        <f aca="false">IF(Tabla2[[#This Row],[Frecuencia]]="Annual", Tabla2[[#This Row],[Cosecha/Tarea]]/12,Tabla2[[#This Row],[Cosecha/Tarea]])</f>
        <v>34558.6666666667</v>
      </c>
      <c r="F2052" s="3" t="n">
        <v>2995918</v>
      </c>
      <c r="G2052" s="2" t="s">
        <v>32</v>
      </c>
      <c r="H2052" s="2" t="n">
        <f aca="false">F2052/Tabla2[[#This Row],[Cosecha Mensual]]</f>
        <v>86.6907866815849</v>
      </c>
      <c r="I2052" s="2" t="n">
        <f aca="false">H2052*_xlfn.XLOOKUP(Tabla2[[#This Row],[Unidad de producción]],Tabla3[Medida],Tabla3[Equivalencia en Kg],"ELVIS",0)</f>
        <v>2358.85630560593</v>
      </c>
      <c r="J2052" s="2" t="n">
        <v>145.964285714286</v>
      </c>
      <c r="K2052" s="2" t="s">
        <v>32</v>
      </c>
      <c r="L2052" s="2" t="n">
        <f aca="false">J2052/_xlfn.XLOOKUP(Tabla2[[#This Row],[Unidad de precio]],Tabla3[Medida],Tabla3[Equivalencia en Kg],"ELVIS",0)</f>
        <v>5.36436184175987</v>
      </c>
      <c r="M2052" s="3" t="n">
        <v>12538.8969859716</v>
      </c>
      <c r="N2052" s="3" t="n">
        <f aca="false">(Tabla2[[#This Row],[Productividad (kg/TAS)]]*Tabla2[[#This Row],[Precio por kg]]-Tabla2[[#This Row],[Costos (En RD$/Tarea)]])</f>
        <v>114.861770015483</v>
      </c>
      <c r="O2052" s="9" t="n">
        <f aca="false">IF(Tabla2[[#This Row],[Costos (En RD$/Tarea)]]=0,0,Tabla2[[#This Row],[Beneficio Neto  (En RD$/Tarea)]]/Tabla2[[#This Row],[Costos (En RD$/Tarea)]])</f>
        <v>0.00916043653153775</v>
      </c>
      <c r="P2052" s="7" t="n">
        <f aca="false">Tabla2[[#This Row],[Rentabilidad (%)]]/12</f>
        <v>0.000763369710961479</v>
      </c>
    </row>
    <row r="2053" customFormat="false" ht="14.25" hidden="false" customHeight="false" outlineLevel="0" collapsed="false">
      <c r="A2053" s="1" t="n">
        <v>41699</v>
      </c>
      <c r="B2053" s="2" t="s">
        <v>33</v>
      </c>
      <c r="C2053" s="3" t="n">
        <v>711043</v>
      </c>
      <c r="D2053" s="3" t="s">
        <v>31</v>
      </c>
      <c r="E2053" s="3" t="n">
        <f aca="false">IF(Tabla2[[#This Row],[Frecuencia]]="Annual", Tabla2[[#This Row],[Cosecha/Tarea]]/12,Tabla2[[#This Row],[Cosecha/Tarea]])</f>
        <v>59253.5833333333</v>
      </c>
      <c r="F2053" s="3" t="n">
        <v>152186</v>
      </c>
      <c r="G2053" s="2" t="s">
        <v>34</v>
      </c>
      <c r="H2053" s="2" t="n">
        <f aca="false">F2053/Tabla2[[#This Row],[Cosecha Mensual]]</f>
        <v>2.56838475310213</v>
      </c>
      <c r="I2053" s="2" t="n">
        <f aca="false">H2053*_xlfn.XLOOKUP(Tabla2[[#This Row],[Unidad de producción]],Tabla3[Medida],Tabla3[Equivalencia en Kg],"ELVIS",0)</f>
        <v>1048.28623697864</v>
      </c>
      <c r="J2053" s="2" t="n">
        <v>4387.71357142857</v>
      </c>
      <c r="K2053" s="2" t="s">
        <v>34</v>
      </c>
      <c r="L2053" s="2" t="n">
        <f aca="false">J2053/_xlfn.XLOOKUP(Tabla2[[#This Row],[Unidad de precio]],Tabla3[Medida],Tabla3[Equivalencia en Kg],"ELVIS",0)</f>
        <v>10.7502476330481</v>
      </c>
      <c r="M2053" s="3" t="n">
        <v>12054.0166317253</v>
      </c>
      <c r="N2053" s="3" t="n">
        <f aca="false">(Tabla2[[#This Row],[Productividad (kg/TAS)]]*Tabla2[[#This Row],[Precio por kg]]-Tabla2[[#This Row],[Costos (En RD$/Tarea)]])</f>
        <v>-784.679993888854</v>
      </c>
      <c r="O2053" s="9" t="n">
        <f aca="false">IF(Tabla2[[#This Row],[Costos (En RD$/Tarea)]]=0,0,Tabla2[[#This Row],[Beneficio Neto  (En RD$/Tarea)]]/Tabla2[[#This Row],[Costos (En RD$/Tarea)]])</f>
        <v>-0.0650969728898194</v>
      </c>
      <c r="P2053" s="7" t="n">
        <f aca="false">Tabla2[[#This Row],[Rentabilidad (%)]]/12</f>
        <v>-0.00542474774081829</v>
      </c>
    </row>
    <row r="2054" customFormat="false" ht="14.25" hidden="false" customHeight="false" outlineLevel="0" collapsed="false">
      <c r="A2054" s="1" t="n">
        <v>41730</v>
      </c>
      <c r="B2054" s="2" t="s">
        <v>16</v>
      </c>
      <c r="C2054" s="3" t="n">
        <v>455717</v>
      </c>
      <c r="D2054" s="8" t="s">
        <v>17</v>
      </c>
      <c r="E2054" s="3" t="n">
        <f aca="false">IF(Tabla2[[#This Row],[Frecuencia]]="Annual", Tabla2[[#This Row],[Cosecha/Tarea]]/12,Tabla2[[#This Row],[Cosecha/Tarea]])</f>
        <v>455717</v>
      </c>
      <c r="F2054" s="3" t="n">
        <v>2090400</v>
      </c>
      <c r="G2054" s="2" t="s">
        <v>18</v>
      </c>
      <c r="H2054" s="2" t="n">
        <f aca="false">F2054/Tabla2[[#This Row],[Cosecha Mensual]]</f>
        <v>4.58705731846738</v>
      </c>
      <c r="I2054" s="2" t="n">
        <f aca="false">H2054*_xlfn.XLOOKUP(Tabla2[[#This Row],[Unidad de producción]],Tabla3[Medida],Tabla3[Equivalencia en Kg],"ELVIS",0)</f>
        <v>208.06891996568</v>
      </c>
      <c r="J2054" s="2" t="n">
        <v>1841.85424242424</v>
      </c>
      <c r="K2054" s="2" t="s">
        <v>19</v>
      </c>
      <c r="L2054" s="2" t="n">
        <f aca="false">J2054/_xlfn.XLOOKUP(Tabla2[[#This Row],[Unidad de precio]],Tabla3[Medida],Tabla3[Equivalencia en Kg],"ELVIS",0)</f>
        <v>16.744129476584</v>
      </c>
      <c r="M2054" s="2" t="n">
        <v>7973.24325841281</v>
      </c>
      <c r="N2054" s="3" t="n">
        <f aca="false">(Tabla2[[#This Row],[Productividad (kg/TAS)]]*Tabla2[[#This Row],[Precio por kg]]-Tabla2[[#This Row],[Costos (En RD$/Tarea)]])</f>
        <v>-4489.31032245446</v>
      </c>
      <c r="O2054" s="9" t="n">
        <f aca="false">IF(Tabla2[[#This Row],[Costos (En RD$/Tarea)]]=0,0,Tabla2[[#This Row],[Beneficio Neto  (En RD$/Tarea)]]/Tabla2[[#This Row],[Costos (En RD$/Tarea)]])</f>
        <v>-0.563046953034784</v>
      </c>
      <c r="P2054" s="7" t="n">
        <f aca="false">Tabla2[[#This Row],[Rentabilidad (%)]]/12</f>
        <v>-0.0469205794195653</v>
      </c>
    </row>
    <row r="2055" customFormat="false" ht="14.25" hidden="false" customHeight="false" outlineLevel="0" collapsed="false">
      <c r="A2055" s="1" t="n">
        <v>41730</v>
      </c>
      <c r="B2055" s="2" t="s">
        <v>20</v>
      </c>
      <c r="C2055" s="3" t="n">
        <v>23520</v>
      </c>
      <c r="D2055" s="8" t="s">
        <v>17</v>
      </c>
      <c r="E2055" s="3" t="n">
        <f aca="false">IF(Tabla2[[#This Row],[Frecuencia]]="Annual", Tabla2[[#This Row],[Cosecha/Tarea]]/12,Tabla2[[#This Row],[Cosecha/Tarea]])</f>
        <v>23520</v>
      </c>
      <c r="F2055" s="3" t="n">
        <v>54121</v>
      </c>
      <c r="G2055" s="2" t="s">
        <v>18</v>
      </c>
      <c r="H2055" s="2" t="n">
        <f aca="false">F2055/Tabla2[[#This Row],[Cosecha Mensual]]</f>
        <v>2.30106292517007</v>
      </c>
      <c r="I2055" s="2" t="n">
        <f aca="false">H2055*_xlfn.XLOOKUP(Tabla2[[#This Row],[Unidad de producción]],Tabla3[Medida],Tabla3[Equivalencia en Kg],"ELVIS",0)</f>
        <v>104.376214285714</v>
      </c>
      <c r="J2055" s="2" t="n">
        <v>736.928571428571</v>
      </c>
      <c r="K2055" s="2" t="s">
        <v>18</v>
      </c>
      <c r="L2055" s="2" t="n">
        <f aca="false">J2055/_xlfn.XLOOKUP(Tabla2[[#This Row],[Unidad de precio]],Tabla3[Medida],Tabla3[Equivalencia en Kg],"ELVIS",0)</f>
        <v>16.2462207105064</v>
      </c>
      <c r="M2055" s="2" t="n">
        <v>2447.4016476</v>
      </c>
      <c r="N2055" s="3" t="n">
        <f aca="false">(Tabla2[[#This Row],[Productividad (kg/TAS)]]*Tabla2[[#This Row],[Precio por kg]]-Tabla2[[#This Row],[Costos (En RD$/Tarea)]])</f>
        <v>-751.682633387173</v>
      </c>
      <c r="O2055" s="9" t="n">
        <f aca="false">IF(Tabla2[[#This Row],[Costos (En RD$/Tarea)]]=0,0,Tabla2[[#This Row],[Beneficio Neto  (En RD$/Tarea)]]/Tabla2[[#This Row],[Costos (En RD$/Tarea)]])</f>
        <v>-0.307134970724686</v>
      </c>
      <c r="P2055" s="7" t="n">
        <f aca="false">Tabla2[[#This Row],[Rentabilidad (%)]]/12</f>
        <v>-0.0255945808937238</v>
      </c>
    </row>
    <row r="2056" customFormat="false" ht="14.25" hidden="false" customHeight="false" outlineLevel="0" collapsed="false">
      <c r="A2056" s="1" t="n">
        <v>41730</v>
      </c>
      <c r="B2056" s="2" t="s">
        <v>21</v>
      </c>
      <c r="C2056" s="3" t="n">
        <v>11204</v>
      </c>
      <c r="D2056" s="8" t="s">
        <v>17</v>
      </c>
      <c r="E2056" s="3" t="n">
        <f aca="false">IF(Tabla2[[#This Row],[Frecuencia]]="Annual", Tabla2[[#This Row],[Cosecha/Tarea]]/12,Tabla2[[#This Row],[Cosecha/Tarea]])</f>
        <v>11204</v>
      </c>
      <c r="F2056" s="3" t="n">
        <v>165182</v>
      </c>
      <c r="G2056" s="2" t="s">
        <v>18</v>
      </c>
      <c r="H2056" s="2" t="n">
        <f aca="false">F2056/Tabla2[[#This Row],[Cosecha Mensual]]</f>
        <v>14.7431274544805</v>
      </c>
      <c r="I2056" s="2" t="n">
        <f aca="false">H2056*_xlfn.XLOOKUP(Tabla2[[#This Row],[Unidad de producción]],Tabla3[Medida],Tabla3[Equivalencia en Kg],"ELVIS",0)</f>
        <v>668.748261335237</v>
      </c>
      <c r="J2056" s="2" t="n">
        <v>316.915666666667</v>
      </c>
      <c r="K2056" s="2" t="s">
        <v>18</v>
      </c>
      <c r="L2056" s="2" t="n">
        <f aca="false">J2056/_xlfn.XLOOKUP(Tabla2[[#This Row],[Unidad de precio]],Tabla3[Medida],Tabla3[Equivalencia en Kg],"ELVIS",0)</f>
        <v>6.98667695473252</v>
      </c>
      <c r="M2056" s="2" t="n">
        <v>5243.9203425</v>
      </c>
      <c r="N2056" s="3" t="n">
        <f aca="false">(Tabla2[[#This Row],[Productividad (kg/TAS)]]*Tabla2[[#This Row],[Precio por kg]]-Tabla2[[#This Row],[Costos (En RD$/Tarea)]])</f>
        <v>-571.592276511658</v>
      </c>
      <c r="O2056" s="9" t="n">
        <f aca="false">IF(Tabla2[[#This Row],[Costos (En RD$/Tarea)]]=0,0,Tabla2[[#This Row],[Beneficio Neto  (En RD$/Tarea)]]/Tabla2[[#This Row],[Costos (En RD$/Tarea)]])</f>
        <v>-0.109000945700704</v>
      </c>
      <c r="P2056" s="7" t="n">
        <f aca="false">Tabla2[[#This Row],[Rentabilidad (%)]]/12</f>
        <v>-0.0090834121417253</v>
      </c>
    </row>
    <row r="2057" customFormat="false" ht="14.25" hidden="false" customHeight="false" outlineLevel="0" collapsed="false">
      <c r="A2057" s="1" t="n">
        <v>41730</v>
      </c>
      <c r="B2057" s="2" t="s">
        <v>22</v>
      </c>
      <c r="C2057" s="3" t="n">
        <v>4715</v>
      </c>
      <c r="D2057" s="8" t="s">
        <v>17</v>
      </c>
      <c r="E2057" s="3" t="n">
        <f aca="false">IF(Tabla2[[#This Row],[Frecuencia]]="Annual", Tabla2[[#This Row],[Cosecha/Tarea]]/12,Tabla2[[#This Row],[Cosecha/Tarea]])</f>
        <v>4715</v>
      </c>
      <c r="F2057" s="3" t="n">
        <v>43249</v>
      </c>
      <c r="G2057" s="2" t="s">
        <v>18</v>
      </c>
      <c r="H2057" s="2" t="n">
        <f aca="false">F2057/Tabla2[[#This Row],[Cosecha Mensual]]</f>
        <v>9.17264050901379</v>
      </c>
      <c r="I2057" s="2" t="n">
        <f aca="false">H2057*_xlfn.XLOOKUP(Tabla2[[#This Row],[Unidad de producción]],Tabla3[Medida],Tabla3[Equivalencia en Kg],"ELVIS",0)</f>
        <v>416.070973488865</v>
      </c>
      <c r="J2057" s="2" t="n">
        <v>1003.20833333333</v>
      </c>
      <c r="K2057" s="2" t="s">
        <v>18</v>
      </c>
      <c r="L2057" s="2" t="n">
        <f aca="false">J2057/_xlfn.XLOOKUP(Tabla2[[#This Row],[Unidad de precio]],Tabla3[Medida],Tabla3[Equivalencia en Kg],"ELVIS",0)</f>
        <v>22.1165858318635</v>
      </c>
      <c r="M2057" s="2" t="n">
        <v>9418.5442176</v>
      </c>
      <c r="N2057" s="3" t="n">
        <f aca="false">(Tabla2[[#This Row],[Productividad (kg/TAS)]]*Tabla2[[#This Row],[Precio por kg]]-Tabla2[[#This Row],[Costos (En RD$/Tarea)]])</f>
        <v>-216.474820286492</v>
      </c>
      <c r="O2057" s="9" t="n">
        <f aca="false">IF(Tabla2[[#This Row],[Costos (En RD$/Tarea)]]=0,0,Tabla2[[#This Row],[Beneficio Neto  (En RD$/Tarea)]]/Tabla2[[#This Row],[Costos (En RD$/Tarea)]])</f>
        <v>-0.0229838938253298</v>
      </c>
      <c r="P2057" s="7" t="n">
        <f aca="false">Tabla2[[#This Row],[Rentabilidad (%)]]/12</f>
        <v>-0.00191532448544415</v>
      </c>
    </row>
    <row r="2058" customFormat="false" ht="14.25" hidden="false" customHeight="false" outlineLevel="0" collapsed="false">
      <c r="A2058" s="1" t="n">
        <v>41730</v>
      </c>
      <c r="B2058" s="2" t="s">
        <v>23</v>
      </c>
      <c r="C2058" s="3" t="n">
        <v>4057</v>
      </c>
      <c r="D2058" s="8" t="s">
        <v>17</v>
      </c>
      <c r="E2058" s="3" t="n">
        <f aca="false">IF(Tabla2[[#This Row],[Frecuencia]]="Annual", Tabla2[[#This Row],[Cosecha/Tarea]]/12,Tabla2[[#This Row],[Cosecha/Tarea]])</f>
        <v>4057</v>
      </c>
      <c r="F2058" s="3" t="n">
        <v>156780</v>
      </c>
      <c r="G2058" s="2" t="s">
        <v>18</v>
      </c>
      <c r="H2058" s="2" t="n">
        <f aca="false">F2058/Tabla2[[#This Row],[Cosecha Mensual]]</f>
        <v>38.6443184619177</v>
      </c>
      <c r="I2058" s="2" t="n">
        <f aca="false">H2058*_xlfn.XLOOKUP(Tabla2[[#This Row],[Unidad de producción]],Tabla3[Medida],Tabla3[Equivalencia en Kg],"ELVIS",0)</f>
        <v>1752.90628543259</v>
      </c>
      <c r="J2058" s="2" t="n">
        <v>682.65</v>
      </c>
      <c r="K2058" s="2" t="s">
        <v>18</v>
      </c>
      <c r="L2058" s="2" t="n">
        <f aca="false">J2058/_xlfn.XLOOKUP(Tabla2[[#This Row],[Unidad de precio]],Tabla3[Medida],Tabla3[Equivalencia en Kg],"ELVIS",0)</f>
        <v>15.0496031746032</v>
      </c>
      <c r="M2058" s="2" t="n">
        <v>26184.1693466859</v>
      </c>
      <c r="N2058" s="3" t="n">
        <f aca="false">(Tabla2[[#This Row],[Productividad (kg/TAS)]]*Tabla2[[#This Row],[Precio por kg]]-Tabla2[[#This Row],[Costos (En RD$/Tarea)]])</f>
        <v>196.374651342197</v>
      </c>
      <c r="O2058" s="9" t="n">
        <f aca="false">IF(Tabla2[[#This Row],[Costos (En RD$/Tarea)]]=0,0,Tabla2[[#This Row],[Beneficio Neto  (En RD$/Tarea)]]/Tabla2[[#This Row],[Costos (En RD$/Tarea)]])</f>
        <v>0.00749974722291706</v>
      </c>
      <c r="P2058" s="7" t="n">
        <f aca="false">Tabla2[[#This Row],[Rentabilidad (%)]]/12</f>
        <v>0.000624978935243088</v>
      </c>
    </row>
    <row r="2059" customFormat="false" ht="14.25" hidden="false" customHeight="false" outlineLevel="0" collapsed="false">
      <c r="A2059" s="1" t="n">
        <v>41730</v>
      </c>
      <c r="B2059" s="2" t="s">
        <v>24</v>
      </c>
      <c r="C2059" s="3" t="n">
        <v>6251</v>
      </c>
      <c r="D2059" s="8" t="s">
        <v>17</v>
      </c>
      <c r="E2059" s="3" t="n">
        <f aca="false">IF(Tabla2[[#This Row],[Frecuencia]]="Annual", Tabla2[[#This Row],[Cosecha/Tarea]]/12,Tabla2[[#This Row],[Cosecha/Tarea]])</f>
        <v>6251</v>
      </c>
      <c r="F2059" s="3" t="n">
        <v>65210</v>
      </c>
      <c r="G2059" s="2" t="s">
        <v>18</v>
      </c>
      <c r="H2059" s="2" t="n">
        <f aca="false">F2059/Tabla2[[#This Row],[Cosecha Mensual]]</f>
        <v>10.4319308910574</v>
      </c>
      <c r="I2059" s="2" t="n">
        <f aca="false">H2059*_xlfn.XLOOKUP(Tabla2[[#This Row],[Unidad de producción]],Tabla3[Medida],Tabla3[Equivalencia en Kg],"ELVIS",0)</f>
        <v>473.192385218365</v>
      </c>
      <c r="J2059" s="2" t="n">
        <v>1428</v>
      </c>
      <c r="K2059" s="2" t="s">
        <v>18</v>
      </c>
      <c r="L2059" s="2" t="n">
        <f aca="false">J2059/_xlfn.XLOOKUP(Tabla2[[#This Row],[Unidad de precio]],Tabla3[Medida],Tabla3[Equivalencia en Kg],"ELVIS",0)</f>
        <v>31.4814814814815</v>
      </c>
      <c r="M2059" s="2" t="n">
        <v>9105.98860416</v>
      </c>
      <c r="N2059" s="3" t="n">
        <f aca="false">(Tabla2[[#This Row],[Productividad (kg/TAS)]]*Tabla2[[#This Row],[Precio por kg]]-Tabla2[[#This Row],[Costos (En RD$/Tarea)]])</f>
        <v>5790.80870827001</v>
      </c>
      <c r="O2059" s="9" t="n">
        <f aca="false">IF(Tabla2[[#This Row],[Costos (En RD$/Tarea)]]=0,0,Tabla2[[#This Row],[Beneficio Neto  (En RD$/Tarea)]]/Tabla2[[#This Row],[Costos (En RD$/Tarea)]])</f>
        <v>0.63593410446665</v>
      </c>
      <c r="P2059" s="7" t="n">
        <f aca="false">Tabla2[[#This Row],[Rentabilidad (%)]]/12</f>
        <v>0.0529945087055542</v>
      </c>
    </row>
    <row r="2060" customFormat="false" ht="14.25" hidden="false" customHeight="false" outlineLevel="0" collapsed="false">
      <c r="A2060" s="1" t="n">
        <v>41730</v>
      </c>
      <c r="B2060" s="2" t="s">
        <v>25</v>
      </c>
      <c r="C2060" s="3" t="n">
        <v>26926</v>
      </c>
      <c r="D2060" s="8" t="s">
        <v>17</v>
      </c>
      <c r="E2060" s="3" t="n">
        <f aca="false">IF(Tabla2[[#This Row],[Frecuencia]]="Annual", Tabla2[[#This Row],[Cosecha/Tarea]]/12,Tabla2[[#This Row],[Cosecha/Tarea]])</f>
        <v>26926</v>
      </c>
      <c r="F2060" s="3" t="n">
        <v>296755</v>
      </c>
      <c r="G2060" s="2" t="s">
        <v>18</v>
      </c>
      <c r="H2060" s="2" t="n">
        <f aca="false">F2060/Tabla2[[#This Row],[Cosecha Mensual]]</f>
        <v>11.0211319913838</v>
      </c>
      <c r="I2060" s="2" t="n">
        <f aca="false">H2060*_xlfn.XLOOKUP(Tabla2[[#This Row],[Unidad de producción]],Tabla3[Medida],Tabla3[Equivalencia en Kg],"ELVIS",0)</f>
        <v>499.918547129169</v>
      </c>
      <c r="J2060" s="2" t="n">
        <v>314.514880952381</v>
      </c>
      <c r="K2060" s="2" t="s">
        <v>18</v>
      </c>
      <c r="L2060" s="2" t="n">
        <f aca="false">J2060/_xlfn.XLOOKUP(Tabla2[[#This Row],[Unidad de precio]],Tabla3[Medida],Tabla3[Equivalencia en Kg],"ELVIS",0)</f>
        <v>6.93374958007895</v>
      </c>
      <c r="M2060" s="2" t="n">
        <v>4871.66870431878</v>
      </c>
      <c r="N2060" s="3" t="n">
        <f aca="false">(Tabla2[[#This Row],[Productividad (kg/TAS)]]*Tabla2[[#This Row],[Precio por kg]]-Tabla2[[#This Row],[Costos (En RD$/Tarea)]])</f>
        <v>-1405.35868808823</v>
      </c>
      <c r="O2060" s="9" t="n">
        <f aca="false">IF(Tabla2[[#This Row],[Costos (En RD$/Tarea)]]=0,0,Tabla2[[#This Row],[Beneficio Neto  (En RD$/Tarea)]]/Tabla2[[#This Row],[Costos (En RD$/Tarea)]])</f>
        <v>-0.288475833104654</v>
      </c>
      <c r="P2060" s="7" t="n">
        <f aca="false">Tabla2[[#This Row],[Rentabilidad (%)]]/12</f>
        <v>-0.0240396527587211</v>
      </c>
    </row>
    <row r="2061" customFormat="false" ht="14.25" hidden="false" customHeight="false" outlineLevel="0" collapsed="false">
      <c r="A2061" s="1" t="n">
        <v>41730</v>
      </c>
      <c r="B2061" s="2" t="s">
        <v>26</v>
      </c>
      <c r="C2061" s="3" t="n">
        <v>12985</v>
      </c>
      <c r="D2061" s="8" t="s">
        <v>17</v>
      </c>
      <c r="E2061" s="3" t="n">
        <f aca="false">IF(Tabla2[[#This Row],[Frecuencia]]="Annual", Tabla2[[#This Row],[Cosecha/Tarea]]/12,Tabla2[[#This Row],[Cosecha/Tarea]])</f>
        <v>12985</v>
      </c>
      <c r="F2061" s="3" t="n">
        <v>75202</v>
      </c>
      <c r="G2061" s="2" t="s">
        <v>18</v>
      </c>
      <c r="H2061" s="2" t="n">
        <f aca="false">F2061/Tabla2[[#This Row],[Cosecha Mensual]]</f>
        <v>5.79145167500963</v>
      </c>
      <c r="I2061" s="2" t="n">
        <f aca="false">H2061*_xlfn.XLOOKUP(Tabla2[[#This Row],[Unidad de producción]],Tabla3[Medida],Tabla3[Equivalencia en Kg],"ELVIS",0)</f>
        <v>262.700247978437</v>
      </c>
      <c r="J2061" s="2" t="n">
        <v>918.066666666667</v>
      </c>
      <c r="K2061" s="2" t="s">
        <v>18</v>
      </c>
      <c r="L2061" s="2" t="n">
        <f aca="false">J2061/_xlfn.XLOOKUP(Tabla2[[#This Row],[Unidad de precio]],Tabla3[Medida],Tabla3[Equivalencia en Kg],"ELVIS",0)</f>
        <v>20.2395649617872</v>
      </c>
      <c r="M2061" s="2" t="n">
        <v>2107.55664</v>
      </c>
      <c r="N2061" s="3" t="n">
        <f aca="false">(Tabla2[[#This Row],[Productividad (kg/TAS)]]*Tabla2[[#This Row],[Precio por kg]]-Tabla2[[#This Row],[Costos (En RD$/Tarea)]])</f>
        <v>3209.38209443717</v>
      </c>
      <c r="O2061" s="9" t="n">
        <f aca="false">IF(Tabla2[[#This Row],[Costos (En RD$/Tarea)]]=0,0,Tabla2[[#This Row],[Beneficio Neto  (En RD$/Tarea)]]/Tabla2[[#This Row],[Costos (En RD$/Tarea)]])</f>
        <v>1.52279755311211</v>
      </c>
      <c r="P2061" s="7" t="n">
        <f aca="false">Tabla2[[#This Row],[Rentabilidad (%)]]/12</f>
        <v>0.126899796092676</v>
      </c>
    </row>
    <row r="2062" customFormat="false" ht="14.25" hidden="false" customHeight="false" outlineLevel="0" collapsed="false">
      <c r="A2062" s="1" t="n">
        <v>41730</v>
      </c>
      <c r="B2062" s="2" t="s">
        <v>27</v>
      </c>
      <c r="C2062" s="3" t="n">
        <v>3567</v>
      </c>
      <c r="D2062" s="8" t="s">
        <v>17</v>
      </c>
      <c r="E2062" s="3" t="n">
        <f aca="false">IF(Tabla2[[#This Row],[Frecuencia]]="Annual", Tabla2[[#This Row],[Cosecha/Tarea]]/12,Tabla2[[#This Row],[Cosecha/Tarea]])</f>
        <v>3567</v>
      </c>
      <c r="F2062" s="3" t="n">
        <v>47376</v>
      </c>
      <c r="G2062" s="2" t="s">
        <v>18</v>
      </c>
      <c r="H2062" s="2" t="n">
        <f aca="false">F2062/Tabla2[[#This Row],[Cosecha Mensual]]</f>
        <v>13.2817493692178</v>
      </c>
      <c r="I2062" s="2" t="n">
        <f aca="false">H2062*_xlfn.XLOOKUP(Tabla2[[#This Row],[Unidad de producción]],Tabla3[Medida],Tabla3[Equivalencia en Kg],"ELVIS",0)</f>
        <v>602.460151387721</v>
      </c>
      <c r="J2062" s="2" t="n">
        <v>689.82</v>
      </c>
      <c r="K2062" s="2" t="s">
        <v>18</v>
      </c>
      <c r="L2062" s="2" t="n">
        <f aca="false">J2062/_xlfn.XLOOKUP(Tabla2[[#This Row],[Unidad de precio]],Tabla3[Medida],Tabla3[Equivalencia en Kg],"ELVIS",0)</f>
        <v>15.207671957672</v>
      </c>
      <c r="M2062" s="2" t="n">
        <v>8288.298341505</v>
      </c>
      <c r="N2062" s="3" t="n">
        <f aca="false">(Tabla2[[#This Row],[Productividad (kg/TAS)]]*Tabla2[[#This Row],[Precio por kg]]-Tabla2[[#This Row],[Costos (En RD$/Tarea)]])</f>
        <v>873.718008368844</v>
      </c>
      <c r="O2062" s="9" t="n">
        <f aca="false">IF(Tabla2[[#This Row],[Costos (En RD$/Tarea)]]=0,0,Tabla2[[#This Row],[Beneficio Neto  (En RD$/Tarea)]]/Tabla2[[#This Row],[Costos (En RD$/Tarea)]])</f>
        <v>0.105415849233317</v>
      </c>
      <c r="P2062" s="7" t="n">
        <f aca="false">Tabla2[[#This Row],[Rentabilidad (%)]]/12</f>
        <v>0.00878465410277643</v>
      </c>
    </row>
    <row r="2063" customFormat="false" ht="14.25" hidden="false" customHeight="false" outlineLevel="0" collapsed="false">
      <c r="A2063" s="1" t="n">
        <v>41730</v>
      </c>
      <c r="B2063" s="2" t="s">
        <v>28</v>
      </c>
      <c r="C2063" s="3" t="n">
        <v>8488</v>
      </c>
      <c r="D2063" s="8" t="s">
        <v>17</v>
      </c>
      <c r="E2063" s="3" t="n">
        <f aca="false">IF(Tabla2[[#This Row],[Frecuencia]]="Annual", Tabla2[[#This Row],[Cosecha/Tarea]]/12,Tabla2[[#This Row],[Cosecha/Tarea]])</f>
        <v>8488</v>
      </c>
      <c r="F2063" s="3" t="n">
        <v>8777</v>
      </c>
      <c r="G2063" s="2" t="s">
        <v>29</v>
      </c>
      <c r="H2063" s="2" t="n">
        <f aca="false">F2063/Tabla2[[#This Row],[Cosecha Mensual]]</f>
        <v>1.03404806786051</v>
      </c>
      <c r="I2063" s="2" t="n">
        <f aca="false">H2063*_xlfn.XLOOKUP(Tabla2[[#This Row],[Unidad de producción]],Tabla3[Medida],Tabla3[Equivalencia en Kg],"ELVIS",0)</f>
        <v>581.486590480679</v>
      </c>
      <c r="J2063" s="2" t="n">
        <v>6564</v>
      </c>
      <c r="K2063" s="2" t="s">
        <v>29</v>
      </c>
      <c r="L2063" s="2" t="n">
        <f aca="false">J2063/_xlfn.XLOOKUP(Tabla2[[#This Row],[Unidad de precio]],Tabla3[Medida],Tabla3[Equivalencia en Kg],"ELVIS",0)</f>
        <v>11.6726535547889</v>
      </c>
      <c r="M2063" s="2" t="n">
        <v>7150.53423628677</v>
      </c>
      <c r="N2063" s="3" t="n">
        <f aca="false">(Tabla2[[#This Row],[Productividad (kg/TAS)]]*Tabla2[[#This Row],[Precio por kg]]-Tabla2[[#This Row],[Costos (En RD$/Tarea)]])</f>
        <v>-363.042718850389</v>
      </c>
      <c r="O2063" s="9" t="n">
        <f aca="false">IF(Tabla2[[#This Row],[Costos (En RD$/Tarea)]]=0,0,Tabla2[[#This Row],[Beneficio Neto  (En RD$/Tarea)]]/Tabla2[[#This Row],[Costos (En RD$/Tarea)]])</f>
        <v>-0.0507714118768999</v>
      </c>
      <c r="P2063" s="7" t="n">
        <f aca="false">Tabla2[[#This Row],[Rentabilidad (%)]]/12</f>
        <v>-0.00423095098974165</v>
      </c>
    </row>
    <row r="2064" customFormat="false" ht="14.25" hidden="false" customHeight="false" outlineLevel="0" collapsed="false">
      <c r="A2064" s="1" t="n">
        <v>41730</v>
      </c>
      <c r="B2064" s="2" t="s">
        <v>30</v>
      </c>
      <c r="C2064" s="3" t="n">
        <v>405445</v>
      </c>
      <c r="D2064" s="3" t="s">
        <v>31</v>
      </c>
      <c r="E2064" s="3" t="n">
        <f aca="false">IF(Tabla2[[#This Row],[Frecuencia]]="Annual", Tabla2[[#This Row],[Cosecha/Tarea]]/12,Tabla2[[#This Row],[Cosecha/Tarea]])</f>
        <v>33787.0833333333</v>
      </c>
      <c r="F2064" s="3" t="n">
        <v>3210455</v>
      </c>
      <c r="G2064" s="2" t="s">
        <v>32</v>
      </c>
      <c r="H2064" s="2" t="n">
        <f aca="false">F2064/Tabla2[[#This Row],[Cosecha Mensual]]</f>
        <v>95.0201876950018</v>
      </c>
      <c r="I2064" s="2" t="n">
        <f aca="false">H2064*_xlfn.XLOOKUP(Tabla2[[#This Row],[Unidad de producción]],Tabla3[Medida],Tabla3[Equivalencia en Kg],"ELVIS",0)</f>
        <v>2585.499307181</v>
      </c>
      <c r="J2064" s="2" t="n">
        <v>127.804285714286</v>
      </c>
      <c r="K2064" s="2" t="s">
        <v>32</v>
      </c>
      <c r="L2064" s="2" t="n">
        <f aca="false">J2064/_xlfn.XLOOKUP(Tabla2[[#This Row],[Unidad de precio]],Tabla3[Medida],Tabla3[Equivalencia en Kg],"ELVIS",0)</f>
        <v>4.69696015120492</v>
      </c>
      <c r="M2064" s="3" t="n">
        <v>12538.8969859716</v>
      </c>
      <c r="N2064" s="3" t="n">
        <f aca="false">(Tabla2[[#This Row],[Productividad (kg/TAS)]]*Tabla2[[#This Row],[Precio por kg]]-Tabla2[[#This Row],[Costos (En RD$/Tarea)]])</f>
        <v>-394.90976917451</v>
      </c>
      <c r="O2064" s="9" t="n">
        <f aca="false">IF(Tabla2[[#This Row],[Costos (En RD$/Tarea)]]=0,0,Tabla2[[#This Row],[Beneficio Neto  (En RD$/Tarea)]]/Tabla2[[#This Row],[Costos (En RD$/Tarea)]])</f>
        <v>-0.0314947773808439</v>
      </c>
      <c r="P2064" s="7" t="n">
        <f aca="false">Tabla2[[#This Row],[Rentabilidad (%)]]/12</f>
        <v>-0.00262456478173699</v>
      </c>
    </row>
    <row r="2065" customFormat="false" ht="14.25" hidden="false" customHeight="false" outlineLevel="0" collapsed="false">
      <c r="A2065" s="1" t="n">
        <v>41730</v>
      </c>
      <c r="B2065" s="2" t="s">
        <v>33</v>
      </c>
      <c r="C2065" s="3" t="n">
        <v>723610</v>
      </c>
      <c r="D2065" s="3" t="s">
        <v>31</v>
      </c>
      <c r="E2065" s="11" t="n">
        <f aca="false">IF(Tabla2[[#This Row],[Frecuencia]]="Annual", Tabla2[[#This Row],[Cosecha/Tarea]]/12,Tabla2[[#This Row],[Cosecha/Tarea]])</f>
        <v>60300.8333333333</v>
      </c>
      <c r="F2065" s="3" t="n">
        <v>308741</v>
      </c>
      <c r="G2065" s="2" t="s">
        <v>34</v>
      </c>
      <c r="H2065" s="2" t="n">
        <f aca="false">F2065/Tabla2[[#This Row],[Cosecha Mensual]]</f>
        <v>5.12001216124708</v>
      </c>
      <c r="I2065" s="2" t="n">
        <f aca="false">H2065*_xlfn.XLOOKUP(Tabla2[[#This Row],[Unidad de producción]],Tabla3[Medida],Tabla3[Equivalencia en Kg],"ELVIS",0)</f>
        <v>2089.732963613</v>
      </c>
      <c r="J2065" s="2" t="n">
        <v>4365.36285714286</v>
      </c>
      <c r="K2065" s="2" t="s">
        <v>34</v>
      </c>
      <c r="L2065" s="2" t="n">
        <f aca="false">J2065/_xlfn.XLOOKUP(Tabla2[[#This Row],[Unidad de precio]],Tabla3[Medida],Tabla3[Equivalencia en Kg],"ELVIS",0)</f>
        <v>10.6954866033146</v>
      </c>
      <c r="M2065" s="3" t="n">
        <v>12054.0166317253</v>
      </c>
      <c r="N2065" s="3" t="n">
        <f aca="false">(Tabla2[[#This Row],[Productividad (kg/TAS)]]*Tabla2[[#This Row],[Precio por kg]]-Tabla2[[#This Row],[Costos (En RD$/Tarea)]])</f>
        <v>10296.6942851024</v>
      </c>
      <c r="O2065" s="9" t="n">
        <f aca="false">IF(Tabla2[[#This Row],[Costos (En RD$/Tarea)]]=0,0,Tabla2[[#This Row],[Beneficio Neto  (En RD$/Tarea)]]/Tabla2[[#This Row],[Costos (En RD$/Tarea)]])</f>
        <v>0.854212715950821</v>
      </c>
      <c r="P2065" s="7" t="n">
        <f aca="false">Tabla2[[#This Row],[Rentabilidad (%)]]/12</f>
        <v>0.0711843929959018</v>
      </c>
    </row>
    <row r="2066" customFormat="false" ht="14.25" hidden="false" customHeight="false" outlineLevel="0" collapsed="false">
      <c r="A2066" s="1" t="n">
        <v>41760</v>
      </c>
      <c r="B2066" s="2" t="s">
        <v>16</v>
      </c>
      <c r="C2066" s="3" t="n">
        <v>490190</v>
      </c>
      <c r="D2066" s="8" t="s">
        <v>17</v>
      </c>
      <c r="E2066" s="3" t="n">
        <f aca="false">IF(Tabla2[[#This Row],[Frecuencia]]="Annual", Tabla2[[#This Row],[Cosecha/Tarea]]/12,Tabla2[[#This Row],[Cosecha/Tarea]])</f>
        <v>490190</v>
      </c>
      <c r="F2066" s="3" t="n">
        <v>2375061</v>
      </c>
      <c r="G2066" s="2" t="s">
        <v>18</v>
      </c>
      <c r="H2066" s="2" t="n">
        <f aca="false">F2066/Tabla2[[#This Row],[Cosecha Mensual]]</f>
        <v>4.84518452028805</v>
      </c>
      <c r="I2066" s="2" t="n">
        <f aca="false">H2066*_xlfn.XLOOKUP(Tabla2[[#This Row],[Unidad de producción]],Tabla3[Medida],Tabla3[Equivalencia en Kg],"ELVIS",0)</f>
        <v>219.777569840266</v>
      </c>
      <c r="J2066" s="2" t="n">
        <v>1833.91651515152</v>
      </c>
      <c r="K2066" s="2" t="s">
        <v>19</v>
      </c>
      <c r="L2066" s="2" t="n">
        <f aca="false">J2066/_xlfn.XLOOKUP(Tabla2[[#This Row],[Unidad de precio]],Tabla3[Medida],Tabla3[Equivalencia en Kg],"ELVIS",0)</f>
        <v>16.6719683195593</v>
      </c>
      <c r="M2066" s="2" t="n">
        <v>7973.24325841281</v>
      </c>
      <c r="N2066" s="3" t="n">
        <f aca="false">(Tabla2[[#This Row],[Productividad (kg/TAS)]]*Tabla2[[#This Row],[Precio por kg]]-Tabla2[[#This Row],[Costos (En RD$/Tarea)]])</f>
        <v>-4309.11857668617</v>
      </c>
      <c r="O2066" s="9" t="n">
        <f aca="false">IF(Tabla2[[#This Row],[Costos (En RD$/Tarea)]]=0,0,Tabla2[[#This Row],[Beneficio Neto  (En RD$/Tarea)]]/Tabla2[[#This Row],[Costos (En RD$/Tarea)]])</f>
        <v>-0.540447398508692</v>
      </c>
      <c r="P2066" s="7" t="n">
        <f aca="false">Tabla2[[#This Row],[Rentabilidad (%)]]/12</f>
        <v>-0.0450372832090577</v>
      </c>
    </row>
    <row r="2067" customFormat="false" ht="14.25" hidden="false" customHeight="false" outlineLevel="0" collapsed="false">
      <c r="A2067" s="1" t="n">
        <v>41760</v>
      </c>
      <c r="B2067" s="2" t="s">
        <v>20</v>
      </c>
      <c r="C2067" s="3" t="n">
        <v>14360</v>
      </c>
      <c r="D2067" s="8" t="s">
        <v>17</v>
      </c>
      <c r="E2067" s="3" t="n">
        <f aca="false">IF(Tabla2[[#This Row],[Frecuencia]]="Annual", Tabla2[[#This Row],[Cosecha/Tarea]]/12,Tabla2[[#This Row],[Cosecha/Tarea]])</f>
        <v>14360</v>
      </c>
      <c r="F2067" s="3" t="n">
        <v>28126</v>
      </c>
      <c r="G2067" s="2" t="s">
        <v>18</v>
      </c>
      <c r="H2067" s="2" t="n">
        <f aca="false">F2067/Tabla2[[#This Row],[Cosecha Mensual]]</f>
        <v>1.95863509749304</v>
      </c>
      <c r="I2067" s="2" t="n">
        <f aca="false">H2067*_xlfn.XLOOKUP(Tabla2[[#This Row],[Unidad de producción]],Tabla3[Medida],Tabla3[Equivalencia en Kg],"ELVIS",0)</f>
        <v>88.8436880222841</v>
      </c>
      <c r="J2067" s="2" t="n">
        <v>750.250476190476</v>
      </c>
      <c r="K2067" s="2" t="s">
        <v>18</v>
      </c>
      <c r="L2067" s="2" t="n">
        <f aca="false">J2067/_xlfn.XLOOKUP(Tabla2[[#This Row],[Unidad de precio]],Tabla3[Medida],Tabla3[Equivalencia en Kg],"ELVIS",0)</f>
        <v>16.5399134962627</v>
      </c>
      <c r="M2067" s="2" t="n">
        <v>2447.4016476</v>
      </c>
      <c r="N2067" s="3" t="n">
        <f aca="false">(Tabla2[[#This Row],[Productividad (kg/TAS)]]*Tabla2[[#This Row],[Precio por kg]]-Tabla2[[#This Row],[Costos (En RD$/Tarea)]])</f>
        <v>-977.93473302247</v>
      </c>
      <c r="O2067" s="9" t="n">
        <f aca="false">IF(Tabla2[[#This Row],[Costos (En RD$/Tarea)]]=0,0,Tabla2[[#This Row],[Beneficio Neto  (En RD$/Tarea)]]/Tabla2[[#This Row],[Costos (En RD$/Tarea)]])</f>
        <v>-0.399580810114051</v>
      </c>
      <c r="P2067" s="7" t="n">
        <f aca="false">Tabla2[[#This Row],[Rentabilidad (%)]]/12</f>
        <v>-0.0332984008428376</v>
      </c>
    </row>
    <row r="2068" customFormat="false" ht="14.25" hidden="false" customHeight="false" outlineLevel="0" collapsed="false">
      <c r="A2068" s="1" t="n">
        <v>41760</v>
      </c>
      <c r="B2068" s="2" t="s">
        <v>21</v>
      </c>
      <c r="C2068" s="3" t="n">
        <v>6185</v>
      </c>
      <c r="D2068" s="8" t="s">
        <v>17</v>
      </c>
      <c r="E2068" s="3" t="n">
        <f aca="false">IF(Tabla2[[#This Row],[Frecuencia]]="Annual", Tabla2[[#This Row],[Cosecha/Tarea]]/12,Tabla2[[#This Row],[Cosecha/Tarea]])</f>
        <v>6185</v>
      </c>
      <c r="F2068" s="3" t="n">
        <v>62667</v>
      </c>
      <c r="G2068" s="2" t="s">
        <v>18</v>
      </c>
      <c r="H2068" s="2" t="n">
        <f aca="false">F2068/Tabla2[[#This Row],[Cosecha Mensual]]</f>
        <v>10.1320937752627</v>
      </c>
      <c r="I2068" s="2" t="n">
        <f aca="false">H2068*_xlfn.XLOOKUP(Tabla2[[#This Row],[Unidad de producción]],Tabla3[Medida],Tabla3[Equivalencia en Kg],"ELVIS",0)</f>
        <v>459.591773645918</v>
      </c>
      <c r="J2068" s="2" t="n">
        <v>440.833333333333</v>
      </c>
      <c r="K2068" s="2" t="s">
        <v>18</v>
      </c>
      <c r="L2068" s="2" t="n">
        <f aca="false">J2068/_xlfn.XLOOKUP(Tabla2[[#This Row],[Unidad de precio]],Tabla3[Medida],Tabla3[Equivalencia en Kg],"ELVIS",0)</f>
        <v>9.71854791299235</v>
      </c>
      <c r="M2068" s="2" t="n">
        <v>5243.9203425</v>
      </c>
      <c r="N2068" s="3" t="n">
        <f aca="false">(Tabla2[[#This Row],[Productividad (kg/TAS)]]*Tabla2[[#This Row],[Precio por kg]]-Tabla2[[#This Row],[Costos (En RD$/Tarea)]])</f>
        <v>-777.355669905016</v>
      </c>
      <c r="O2068" s="9" t="n">
        <f aca="false">IF(Tabla2[[#This Row],[Costos (En RD$/Tarea)]]=0,0,Tabla2[[#This Row],[Beneficio Neto  (En RD$/Tarea)]]/Tabla2[[#This Row],[Costos (En RD$/Tarea)]])</f>
        <v>-0.148239412335241</v>
      </c>
      <c r="P2068" s="7" t="n">
        <f aca="false">Tabla2[[#This Row],[Rentabilidad (%)]]/12</f>
        <v>-0.0123532843612701</v>
      </c>
    </row>
    <row r="2069" customFormat="false" ht="14.25" hidden="false" customHeight="false" outlineLevel="0" collapsed="false">
      <c r="A2069" s="1" t="n">
        <v>41760</v>
      </c>
      <c r="B2069" s="2" t="s">
        <v>22</v>
      </c>
      <c r="C2069" s="3" t="n">
        <v>3655</v>
      </c>
      <c r="D2069" s="8" t="s">
        <v>17</v>
      </c>
      <c r="E2069" s="3" t="n">
        <f aca="false">IF(Tabla2[[#This Row],[Frecuencia]]="Annual", Tabla2[[#This Row],[Cosecha/Tarea]]/12,Tabla2[[#This Row],[Cosecha/Tarea]])</f>
        <v>3655</v>
      </c>
      <c r="F2069" s="3" t="n">
        <v>33245</v>
      </c>
      <c r="G2069" s="2" t="s">
        <v>18</v>
      </c>
      <c r="H2069" s="2" t="n">
        <f aca="false">F2069/Tabla2[[#This Row],[Cosecha Mensual]]</f>
        <v>9.09575923392613</v>
      </c>
      <c r="I2069" s="2" t="n">
        <f aca="false">H2069*_xlfn.XLOOKUP(Tabla2[[#This Row],[Unidad de producción]],Tabla3[Medida],Tabla3[Equivalencia en Kg],"ELVIS",0)</f>
        <v>412.583638850889</v>
      </c>
      <c r="J2069" s="2" t="n">
        <v>912</v>
      </c>
      <c r="K2069" s="2" t="s">
        <v>18</v>
      </c>
      <c r="L2069" s="2" t="n">
        <f aca="false">J2069/_xlfn.XLOOKUP(Tabla2[[#This Row],[Unidad de precio]],Tabla3[Medida],Tabla3[Equivalencia en Kg],"ELVIS",0)</f>
        <v>20.1058201058201</v>
      </c>
      <c r="M2069" s="2" t="n">
        <v>9418.5442176</v>
      </c>
      <c r="N2069" s="3" t="n">
        <f aca="false">(Tabla2[[#This Row],[Productividad (kg/TAS)]]*Tabla2[[#This Row],[Precio por kg]]-Tabla2[[#This Row],[Costos (En RD$/Tarea)]])</f>
        <v>-1123.21179625937</v>
      </c>
      <c r="O2069" s="9" t="n">
        <f aca="false">IF(Tabla2[[#This Row],[Costos (En RD$/Tarea)]]=0,0,Tabla2[[#This Row],[Beneficio Neto  (En RD$/Tarea)]]/Tabla2[[#This Row],[Costos (En RD$/Tarea)]])</f>
        <v>-0.119255350966073</v>
      </c>
      <c r="P2069" s="7" t="n">
        <f aca="false">Tabla2[[#This Row],[Rentabilidad (%)]]/12</f>
        <v>-0.00993794591383945</v>
      </c>
    </row>
    <row r="2070" customFormat="false" ht="14.25" hidden="false" customHeight="false" outlineLevel="0" collapsed="false">
      <c r="A2070" s="1" t="n">
        <v>41760</v>
      </c>
      <c r="B2070" s="2" t="s">
        <v>23</v>
      </c>
      <c r="C2070" s="3" t="n">
        <v>4287</v>
      </c>
      <c r="D2070" s="8" t="s">
        <v>17</v>
      </c>
      <c r="E2070" s="3" t="n">
        <f aca="false">IF(Tabla2[[#This Row],[Frecuencia]]="Annual", Tabla2[[#This Row],[Cosecha/Tarea]]/12,Tabla2[[#This Row],[Cosecha/Tarea]])</f>
        <v>4287</v>
      </c>
      <c r="F2070" s="3" t="n">
        <v>168200</v>
      </c>
      <c r="G2070" s="2" t="s">
        <v>18</v>
      </c>
      <c r="H2070" s="2" t="n">
        <f aca="false">F2070/Tabla2[[#This Row],[Cosecha Mensual]]</f>
        <v>39.2348961978073</v>
      </c>
      <c r="I2070" s="2" t="n">
        <f aca="false">H2070*_xlfn.XLOOKUP(Tabla2[[#This Row],[Unidad de producción]],Tabla3[Medida],Tabla3[Equivalencia en Kg],"ELVIS",0)</f>
        <v>1779.69489153254</v>
      </c>
      <c r="J2070" s="2" t="n">
        <v>574</v>
      </c>
      <c r="K2070" s="2" t="s">
        <v>18</v>
      </c>
      <c r="L2070" s="2" t="n">
        <f aca="false">J2070/_xlfn.XLOOKUP(Tabla2[[#This Row],[Unidad de precio]],Tabla3[Medida],Tabla3[Equivalencia en Kg],"ELVIS",0)</f>
        <v>12.6543209876543</v>
      </c>
      <c r="M2070" s="2" t="n">
        <v>26184.1693466859</v>
      </c>
      <c r="N2070" s="3" t="n">
        <f aca="false">(Tabla2[[#This Row],[Productividad (kg/TAS)]]*Tabla2[[#This Row],[Precio por kg]]-Tabla2[[#This Row],[Costos (En RD$/Tarea)]])</f>
        <v>-3663.33892914449</v>
      </c>
      <c r="O2070" s="9" t="n">
        <f aca="false">IF(Tabla2[[#This Row],[Costos (En RD$/Tarea)]]=0,0,Tabla2[[#This Row],[Beneficio Neto  (En RD$/Tarea)]]/Tabla2[[#This Row],[Costos (En RD$/Tarea)]])</f>
        <v>-0.139906631393986</v>
      </c>
      <c r="P2070" s="7" t="n">
        <f aca="false">Tabla2[[#This Row],[Rentabilidad (%)]]/12</f>
        <v>-0.0116588859494988</v>
      </c>
    </row>
    <row r="2071" customFormat="false" ht="14.25" hidden="false" customHeight="false" outlineLevel="0" collapsed="false">
      <c r="A2071" s="1" t="n">
        <v>41760</v>
      </c>
      <c r="B2071" s="2" t="s">
        <v>24</v>
      </c>
      <c r="C2071" s="3" t="n">
        <v>4960</v>
      </c>
      <c r="D2071" s="8" t="s">
        <v>17</v>
      </c>
      <c r="E2071" s="3" t="n">
        <f aca="false">IF(Tabla2[[#This Row],[Frecuencia]]="Annual", Tabla2[[#This Row],[Cosecha/Tarea]]/12,Tabla2[[#This Row],[Cosecha/Tarea]])</f>
        <v>4960</v>
      </c>
      <c r="F2071" s="3" t="n">
        <v>35824</v>
      </c>
      <c r="G2071" s="2" t="s">
        <v>18</v>
      </c>
      <c r="H2071" s="2" t="n">
        <f aca="false">F2071/Tabla2[[#This Row],[Cosecha Mensual]]</f>
        <v>7.22258064516129</v>
      </c>
      <c r="I2071" s="2" t="n">
        <f aca="false">H2071*_xlfn.XLOOKUP(Tabla2[[#This Row],[Unidad de producción]],Tabla3[Medida],Tabla3[Equivalencia en Kg],"ELVIS",0)</f>
        <v>327.616258064516</v>
      </c>
      <c r="J2071" s="2" t="n">
        <v>1356</v>
      </c>
      <c r="K2071" s="2" t="s">
        <v>18</v>
      </c>
      <c r="L2071" s="2" t="n">
        <f aca="false">J2071/_xlfn.XLOOKUP(Tabla2[[#This Row],[Unidad de precio]],Tabla3[Medida],Tabla3[Equivalencia en Kg],"ELVIS",0)</f>
        <v>29.8941798941799</v>
      </c>
      <c r="M2071" s="2" t="n">
        <v>9105.98860416</v>
      </c>
      <c r="N2071" s="3" t="n">
        <f aca="false">(Tabla2[[#This Row],[Productividad (kg/TAS)]]*Tabla2[[#This Row],[Precio por kg]]-Tabla2[[#This Row],[Costos (En RD$/Tarea)]])</f>
        <v>687.83075067871</v>
      </c>
      <c r="O2071" s="9" t="n">
        <f aca="false">IF(Tabla2[[#This Row],[Costos (En RD$/Tarea)]]=0,0,Tabla2[[#This Row],[Beneficio Neto  (En RD$/Tarea)]]/Tabla2[[#This Row],[Costos (En RD$/Tarea)]])</f>
        <v>0.0755360873573331</v>
      </c>
      <c r="P2071" s="7" t="n">
        <f aca="false">Tabla2[[#This Row],[Rentabilidad (%)]]/12</f>
        <v>0.00629467394644443</v>
      </c>
    </row>
    <row r="2072" customFormat="false" ht="14.25" hidden="false" customHeight="false" outlineLevel="0" collapsed="false">
      <c r="A2072" s="1" t="n">
        <v>41760</v>
      </c>
      <c r="B2072" s="2" t="s">
        <v>25</v>
      </c>
      <c r="C2072" s="3" t="n">
        <v>27945</v>
      </c>
      <c r="D2072" s="8" t="s">
        <v>17</v>
      </c>
      <c r="E2072" s="3" t="n">
        <f aca="false">IF(Tabla2[[#This Row],[Frecuencia]]="Annual", Tabla2[[#This Row],[Cosecha/Tarea]]/12,Tabla2[[#This Row],[Cosecha/Tarea]])</f>
        <v>27945</v>
      </c>
      <c r="F2072" s="3" t="n">
        <v>312993</v>
      </c>
      <c r="G2072" s="2" t="s">
        <v>18</v>
      </c>
      <c r="H2072" s="2" t="n">
        <f aca="false">F2072/Tabla2[[#This Row],[Cosecha Mensual]]</f>
        <v>11.2003220611916</v>
      </c>
      <c r="I2072" s="2" t="n">
        <f aca="false">H2072*_xlfn.XLOOKUP(Tabla2[[#This Row],[Unidad de producción]],Tabla3[Medida],Tabla3[Equivalencia en Kg],"ELVIS",0)</f>
        <v>508.046608695652</v>
      </c>
      <c r="J2072" s="2" t="n">
        <v>287.633357142857</v>
      </c>
      <c r="K2072" s="2" t="s">
        <v>18</v>
      </c>
      <c r="L2072" s="2" t="n">
        <f aca="false">J2072/_xlfn.XLOOKUP(Tabla2[[#This Row],[Unidad de precio]],Tabla3[Medida],Tabla3[Equivalencia en Kg],"ELVIS",0)</f>
        <v>6.34112339380196</v>
      </c>
      <c r="M2072" s="2" t="n">
        <v>4871.66870431878</v>
      </c>
      <c r="N2072" s="3" t="n">
        <f aca="false">(Tabla2[[#This Row],[Productividad (kg/TAS)]]*Tabla2[[#This Row],[Precio por kg]]-Tabla2[[#This Row],[Costos (En RD$/Tarea)]])</f>
        <v>-1650.08246877703</v>
      </c>
      <c r="O2072" s="9" t="n">
        <f aca="false">IF(Tabla2[[#This Row],[Costos (En RD$/Tarea)]]=0,0,Tabla2[[#This Row],[Beneficio Neto  (En RD$/Tarea)]]/Tabla2[[#This Row],[Costos (En RD$/Tarea)]])</f>
        <v>-0.338709910079521</v>
      </c>
      <c r="P2072" s="7" t="n">
        <f aca="false">Tabla2[[#This Row],[Rentabilidad (%)]]/12</f>
        <v>-0.0282258258399601</v>
      </c>
    </row>
    <row r="2073" customFormat="false" ht="14.25" hidden="false" customHeight="false" outlineLevel="0" collapsed="false">
      <c r="A2073" s="1" t="n">
        <v>41760</v>
      </c>
      <c r="B2073" s="2" t="s">
        <v>26</v>
      </c>
      <c r="C2073" s="3" t="n">
        <v>6585</v>
      </c>
      <c r="D2073" s="8" t="s">
        <v>17</v>
      </c>
      <c r="E2073" s="3" t="n">
        <f aca="false">IF(Tabla2[[#This Row],[Frecuencia]]="Annual", Tabla2[[#This Row],[Cosecha/Tarea]]/12,Tabla2[[#This Row],[Cosecha/Tarea]])</f>
        <v>6585</v>
      </c>
      <c r="F2073" s="3" t="n">
        <v>43056</v>
      </c>
      <c r="G2073" s="2" t="s">
        <v>18</v>
      </c>
      <c r="H2073" s="2" t="n">
        <f aca="false">F2073/Tabla2[[#This Row],[Cosecha Mensual]]</f>
        <v>6.53849658314351</v>
      </c>
      <c r="I2073" s="2" t="n">
        <f aca="false">H2073*_xlfn.XLOOKUP(Tabla2[[#This Row],[Unidad de producción]],Tabla3[Medida],Tabla3[Equivalencia en Kg],"ELVIS",0)</f>
        <v>296.58620501139</v>
      </c>
      <c r="J2073" s="2" t="n">
        <v>1004.86111111111</v>
      </c>
      <c r="K2073" s="2" t="s">
        <v>18</v>
      </c>
      <c r="L2073" s="2" t="n">
        <f aca="false">J2073/_xlfn.XLOOKUP(Tabla2[[#This Row],[Unidad de precio]],Tabla3[Medida],Tabla3[Equivalencia en Kg],"ELVIS",0)</f>
        <v>22.1530227317264</v>
      </c>
      <c r="M2073" s="2" t="n">
        <v>2107.55664</v>
      </c>
      <c r="N2073" s="3" t="n">
        <f aca="false">(Tabla2[[#This Row],[Productividad (kg/TAS)]]*Tabla2[[#This Row],[Precio por kg]]-Tabla2[[#This Row],[Costos (En RD$/Tarea)]])</f>
        <v>4462.72430153378</v>
      </c>
      <c r="O2073" s="9" t="n">
        <f aca="false">IF(Tabla2[[#This Row],[Costos (En RD$/Tarea)]]=0,0,Tabla2[[#This Row],[Beneficio Neto  (En RD$/Tarea)]]/Tabla2[[#This Row],[Costos (En RD$/Tarea)]])</f>
        <v>2.11748724415481</v>
      </c>
      <c r="P2073" s="7" t="n">
        <f aca="false">Tabla2[[#This Row],[Rentabilidad (%)]]/12</f>
        <v>0.176457270346235</v>
      </c>
    </row>
    <row r="2074" customFormat="false" ht="14.25" hidden="false" customHeight="false" outlineLevel="0" collapsed="false">
      <c r="A2074" s="1" t="n">
        <v>41760</v>
      </c>
      <c r="B2074" s="2" t="s">
        <v>27</v>
      </c>
      <c r="C2074" s="3" t="n">
        <v>3517</v>
      </c>
      <c r="D2074" s="8" t="s">
        <v>17</v>
      </c>
      <c r="E2074" s="3" t="n">
        <f aca="false">IF(Tabla2[[#This Row],[Frecuencia]]="Annual", Tabla2[[#This Row],[Cosecha/Tarea]]/12,Tabla2[[#This Row],[Cosecha/Tarea]])</f>
        <v>3517</v>
      </c>
      <c r="F2074" s="3" t="n">
        <v>35619</v>
      </c>
      <c r="G2074" s="2" t="s">
        <v>18</v>
      </c>
      <c r="H2074" s="2" t="n">
        <f aca="false">F2074/Tabla2[[#This Row],[Cosecha Mensual]]</f>
        <v>10.1276656241115</v>
      </c>
      <c r="I2074" s="2" t="n">
        <f aca="false">H2074*_xlfn.XLOOKUP(Tabla2[[#This Row],[Unidad de producción]],Tabla3[Medida],Tabla3[Equivalencia en Kg],"ELVIS",0)</f>
        <v>459.390912709696</v>
      </c>
      <c r="J2074" s="2" t="n">
        <v>688.511904761905</v>
      </c>
      <c r="K2074" s="2" t="s">
        <v>18</v>
      </c>
      <c r="L2074" s="2" t="n">
        <f aca="false">J2074/_xlfn.XLOOKUP(Tabla2[[#This Row],[Unidad de precio]],Tabla3[Medida],Tabla3[Equivalencia en Kg],"ELVIS",0)</f>
        <v>15.1788338792307</v>
      </c>
      <c r="M2074" s="2" t="n">
        <v>8288.298341505</v>
      </c>
      <c r="N2074" s="3" t="n">
        <f aca="false">(Tabla2[[#This Row],[Productividad (kg/TAS)]]*Tabla2[[#This Row],[Precio por kg]]-Tabla2[[#This Row],[Costos (En RD$/Tarea)]])</f>
        <v>-1315.27999185635</v>
      </c>
      <c r="O2074" s="9" t="n">
        <f aca="false">IF(Tabla2[[#This Row],[Costos (En RD$/Tarea)]]=0,0,Tabla2[[#This Row],[Beneficio Neto  (En RD$/Tarea)]]/Tabla2[[#This Row],[Costos (En RD$/Tarea)]])</f>
        <v>-0.158691197838509</v>
      </c>
      <c r="P2074" s="7" t="n">
        <f aca="false">Tabla2[[#This Row],[Rentabilidad (%)]]/12</f>
        <v>-0.0132242664865424</v>
      </c>
    </row>
    <row r="2075" customFormat="false" ht="14.25" hidden="false" customHeight="false" outlineLevel="0" collapsed="false">
      <c r="A2075" s="1" t="n">
        <v>41760</v>
      </c>
      <c r="B2075" s="2" t="s">
        <v>28</v>
      </c>
      <c r="C2075" s="3" t="n">
        <v>13924</v>
      </c>
      <c r="D2075" s="8" t="s">
        <v>17</v>
      </c>
      <c r="E2075" s="3" t="n">
        <f aca="false">IF(Tabla2[[#This Row],[Frecuencia]]="Annual", Tabla2[[#This Row],[Cosecha/Tarea]]/12,Tabla2[[#This Row],[Cosecha/Tarea]])</f>
        <v>13924</v>
      </c>
      <c r="F2075" s="3" t="n">
        <v>12773</v>
      </c>
      <c r="G2075" s="2" t="s">
        <v>29</v>
      </c>
      <c r="H2075" s="2" t="n">
        <f aca="false">F2075/Tabla2[[#This Row],[Cosecha Mensual]]</f>
        <v>0.917336972134444</v>
      </c>
      <c r="I2075" s="2" t="n">
        <f aca="false">H2075*_xlfn.XLOOKUP(Tabla2[[#This Row],[Unidad de producción]],Tabla3[Medida],Tabla3[Equivalencia en Kg],"ELVIS",0)</f>
        <v>515.855272910083</v>
      </c>
      <c r="J2075" s="2" t="n">
        <v>5818.75</v>
      </c>
      <c r="K2075" s="2" t="s">
        <v>29</v>
      </c>
      <c r="L2075" s="2" t="n">
        <f aca="false">J2075/_xlfn.XLOOKUP(Tabla2[[#This Row],[Unidad de precio]],Tabla3[Medida],Tabla3[Equivalencia en Kg],"ELVIS",0)</f>
        <v>10.3473877013906</v>
      </c>
      <c r="M2075" s="2" t="n">
        <v>7150.53423628677</v>
      </c>
      <c r="N2075" s="3" t="n">
        <f aca="false">(Tabla2[[#This Row],[Productividad (kg/TAS)]]*Tabla2[[#This Row],[Precio por kg]]-Tabla2[[#This Row],[Costos (En RD$/Tarea)]])</f>
        <v>-1812.77972967947</v>
      </c>
      <c r="O2075" s="9" t="n">
        <f aca="false">IF(Tabla2[[#This Row],[Costos (En RD$/Tarea)]]=0,0,Tabla2[[#This Row],[Beneficio Neto  (En RD$/Tarea)]]/Tabla2[[#This Row],[Costos (En RD$/Tarea)]])</f>
        <v>-0.253516684177271</v>
      </c>
      <c r="P2075" s="7" t="n">
        <f aca="false">Tabla2[[#This Row],[Rentabilidad (%)]]/12</f>
        <v>-0.0211263903481059</v>
      </c>
    </row>
    <row r="2076" customFormat="false" ht="14.25" hidden="false" customHeight="false" outlineLevel="0" collapsed="false">
      <c r="A2076" s="1" t="n">
        <v>41760</v>
      </c>
      <c r="B2076" s="2" t="s">
        <v>30</v>
      </c>
      <c r="C2076" s="3" t="n">
        <v>407360</v>
      </c>
      <c r="D2076" s="3" t="s">
        <v>31</v>
      </c>
      <c r="E2076" s="3" t="n">
        <f aca="false">IF(Tabla2[[#This Row],[Frecuencia]]="Annual", Tabla2[[#This Row],[Cosecha/Tarea]]/12,Tabla2[[#This Row],[Cosecha/Tarea]])</f>
        <v>33946.6666666667</v>
      </c>
      <c r="F2076" s="3" t="n">
        <v>3193926</v>
      </c>
      <c r="G2076" s="2" t="s">
        <v>32</v>
      </c>
      <c r="H2076" s="2" t="n">
        <f aca="false">F2076/Tabla2[[#This Row],[Cosecha Mensual]]</f>
        <v>94.086586802828</v>
      </c>
      <c r="I2076" s="2" t="n">
        <f aca="false">H2076*_xlfn.XLOOKUP(Tabla2[[#This Row],[Unidad de producción]],Tabla3[Medida],Tabla3[Equivalencia en Kg],"ELVIS",0)</f>
        <v>2560.09602690495</v>
      </c>
      <c r="J2076" s="2" t="n">
        <v>132.797619047619</v>
      </c>
      <c r="K2076" s="2" t="s">
        <v>32</v>
      </c>
      <c r="L2076" s="2" t="n">
        <f aca="false">J2076/_xlfn.XLOOKUP(Tabla2[[#This Row],[Unidad de precio]],Tabla3[Medida],Tabla3[Equivalencia en Kg],"ELVIS",0)</f>
        <v>4.88047111531125</v>
      </c>
      <c r="M2076" s="3" t="n">
        <v>12538.8969859716</v>
      </c>
      <c r="N2076" s="3" t="n">
        <f aca="false">(Tabla2[[#This Row],[Productividad (kg/TAS)]]*Tabla2[[#This Row],[Precio por kg]]-Tabla2[[#This Row],[Costos (En RD$/Tarea)]])</f>
        <v>-44.4222742389138</v>
      </c>
      <c r="O2076" s="9" t="n">
        <f aca="false">IF(Tabla2[[#This Row],[Costos (En RD$/Tarea)]]=0,0,Tabla2[[#This Row],[Beneficio Neto  (En RD$/Tarea)]]/Tabla2[[#This Row],[Costos (En RD$/Tarea)]])</f>
        <v>-0.00354275773129112</v>
      </c>
      <c r="P2076" s="7" t="n">
        <f aca="false">Tabla2[[#This Row],[Rentabilidad (%)]]/12</f>
        <v>-0.000295229810940927</v>
      </c>
    </row>
    <row r="2077" customFormat="false" ht="14.25" hidden="false" customHeight="false" outlineLevel="0" collapsed="false">
      <c r="A2077" s="1" t="n">
        <v>41760</v>
      </c>
      <c r="B2077" s="2" t="s">
        <v>33</v>
      </c>
      <c r="C2077" s="3" t="n">
        <v>702019</v>
      </c>
      <c r="D2077" s="3" t="s">
        <v>31</v>
      </c>
      <c r="E2077" s="11" t="n">
        <f aca="false">IF(Tabla2[[#This Row],[Frecuencia]]="Annual", Tabla2[[#This Row],[Cosecha/Tarea]]/12,Tabla2[[#This Row],[Cosecha/Tarea]])</f>
        <v>58501.5833333333</v>
      </c>
      <c r="F2077" s="3" t="n">
        <v>222822</v>
      </c>
      <c r="G2077" s="2" t="s">
        <v>34</v>
      </c>
      <c r="H2077" s="2" t="n">
        <f aca="false">F2077/Tabla2[[#This Row],[Cosecha Mensual]]</f>
        <v>3.80881998920257</v>
      </c>
      <c r="I2077" s="2" t="n">
        <f aca="false">H2077*_xlfn.XLOOKUP(Tabla2[[#This Row],[Unidad de producción]],Tabla3[Medida],Tabla3[Equivalencia en Kg],"ELVIS",0)</f>
        <v>1554.56987859303</v>
      </c>
      <c r="J2077" s="2" t="n">
        <v>4337.28571428572</v>
      </c>
      <c r="K2077" s="2" t="s">
        <v>34</v>
      </c>
      <c r="L2077" s="2" t="n">
        <f aca="false">J2077/_xlfn.XLOOKUP(Tabla2[[#This Row],[Unidad de precio]],Tabla3[Medida],Tabla3[Equivalencia en Kg],"ELVIS",0)</f>
        <v>10.6266953675995</v>
      </c>
      <c r="M2077" s="3" t="n">
        <v>12054.0166317253</v>
      </c>
      <c r="N2077" s="3" t="n">
        <f aca="false">(Tabla2[[#This Row],[Productividad (kg/TAS)]]*Tabla2[[#This Row],[Precio por kg]]-Tabla2[[#This Row],[Costos (En RD$/Tarea)]])</f>
        <v>4465.9238957289</v>
      </c>
      <c r="O2077" s="9" t="n">
        <f aca="false">IF(Tabla2[[#This Row],[Costos (En RD$/Tarea)]]=0,0,Tabla2[[#This Row],[Beneficio Neto  (En RD$/Tarea)]]/Tabla2[[#This Row],[Costos (En RD$/Tarea)]])</f>
        <v>0.370492594474684</v>
      </c>
      <c r="P2077" s="7" t="n">
        <f aca="false">Tabla2[[#This Row],[Rentabilidad (%)]]/12</f>
        <v>0.0308743828728903</v>
      </c>
    </row>
    <row r="2078" customFormat="false" ht="14.25" hidden="false" customHeight="false" outlineLevel="0" collapsed="false">
      <c r="A2078" s="1" t="n">
        <v>41791</v>
      </c>
      <c r="B2078" s="2" t="s">
        <v>16</v>
      </c>
      <c r="C2078" s="3" t="n">
        <v>169022</v>
      </c>
      <c r="D2078" s="8" t="s">
        <v>17</v>
      </c>
      <c r="E2078" s="3" t="n">
        <f aca="false">IF(Tabla2[[#This Row],[Frecuencia]]="Annual", Tabla2[[#This Row],[Cosecha/Tarea]]/12,Tabla2[[#This Row],[Cosecha/Tarea]])</f>
        <v>169022</v>
      </c>
      <c r="F2078" s="3" t="n">
        <v>846254</v>
      </c>
      <c r="G2078" s="2" t="s">
        <v>18</v>
      </c>
      <c r="H2078" s="2" t="n">
        <f aca="false">F2078/Tabla2[[#This Row],[Cosecha Mensual]]</f>
        <v>5.00676834968229</v>
      </c>
      <c r="I2078" s="2" t="n">
        <f aca="false">H2078*_xlfn.XLOOKUP(Tabla2[[#This Row],[Unidad de producción]],Tabla3[Medida],Tabla3[Equivalencia en Kg],"ELVIS",0)</f>
        <v>227.107012341589</v>
      </c>
      <c r="J2078" s="2" t="n">
        <v>1838.97988636364</v>
      </c>
      <c r="K2078" s="2" t="s">
        <v>19</v>
      </c>
      <c r="L2078" s="2" t="n">
        <f aca="false">J2078/_xlfn.XLOOKUP(Tabla2[[#This Row],[Unidad de precio]],Tabla3[Medida],Tabla3[Equivalencia en Kg],"ELVIS",0)</f>
        <v>16.7179989669422</v>
      </c>
      <c r="M2078" s="2" t="n">
        <v>7973.24325841281</v>
      </c>
      <c r="N2078" s="3" t="n">
        <f aca="false">(Tabla2[[#This Row],[Productividad (kg/TAS)]]*Tabla2[[#This Row],[Precio por kg]]-Tabla2[[#This Row],[Costos (En RD$/Tarea)]])</f>
        <v>-4176.46846070081</v>
      </c>
      <c r="O2078" s="9" t="n">
        <f aca="false">IF(Tabla2[[#This Row],[Costos (En RD$/Tarea)]]=0,0,Tabla2[[#This Row],[Beneficio Neto  (En RD$/Tarea)]]/Tabla2[[#This Row],[Costos (En RD$/Tarea)]])</f>
        <v>-0.523810490328899</v>
      </c>
      <c r="P2078" s="7" t="n">
        <f aca="false">Tabla2[[#This Row],[Rentabilidad (%)]]/12</f>
        <v>-0.043650874194075</v>
      </c>
    </row>
    <row r="2079" customFormat="false" ht="14.25" hidden="false" customHeight="false" outlineLevel="0" collapsed="false">
      <c r="A2079" s="1" t="n">
        <v>41791</v>
      </c>
      <c r="B2079" s="2" t="s">
        <v>20</v>
      </c>
      <c r="C2079" s="3" t="n">
        <v>34588</v>
      </c>
      <c r="D2079" s="8" t="s">
        <v>17</v>
      </c>
      <c r="E2079" s="3" t="n">
        <f aca="false">IF(Tabla2[[#This Row],[Frecuencia]]="Annual", Tabla2[[#This Row],[Cosecha/Tarea]]/12,Tabla2[[#This Row],[Cosecha/Tarea]])</f>
        <v>34588</v>
      </c>
      <c r="F2079" s="3" t="n">
        <v>85474</v>
      </c>
      <c r="G2079" s="2" t="s">
        <v>18</v>
      </c>
      <c r="H2079" s="2" t="n">
        <f aca="false">F2079/Tabla2[[#This Row],[Cosecha Mensual]]</f>
        <v>2.47120388574072</v>
      </c>
      <c r="I2079" s="2" t="n">
        <f aca="false">H2079*_xlfn.XLOOKUP(Tabla2[[#This Row],[Unidad de producción]],Tabla3[Medida],Tabla3[Equivalencia en Kg],"ELVIS",0)</f>
        <v>112.093808257199</v>
      </c>
      <c r="J2079" s="2" t="n">
        <v>762.618333333333</v>
      </c>
      <c r="K2079" s="2" t="s">
        <v>18</v>
      </c>
      <c r="L2079" s="2" t="n">
        <f aca="false">J2079/_xlfn.XLOOKUP(Tabla2[[#This Row],[Unidad de precio]],Tabla3[Medida],Tabla3[Equivalencia en Kg],"ELVIS",0)</f>
        <v>16.8125734861846</v>
      </c>
      <c r="M2079" s="2" t="n">
        <v>2447.4016476</v>
      </c>
      <c r="N2079" s="3" t="n">
        <f aca="false">(Tabla2[[#This Row],[Productividad (kg/TAS)]]*Tabla2[[#This Row],[Precio por kg]]-Tabla2[[#This Row],[Costos (En RD$/Tarea)]])</f>
        <v>-562.816258929556</v>
      </c>
      <c r="O2079" s="9" t="n">
        <f aca="false">IF(Tabla2[[#This Row],[Costos (En RD$/Tarea)]]=0,0,Tabla2[[#This Row],[Beneficio Neto  (En RD$/Tarea)]]/Tabla2[[#This Row],[Costos (En RD$/Tarea)]])</f>
        <v>-0.229964811652992</v>
      </c>
      <c r="P2079" s="7" t="n">
        <f aca="false">Tabla2[[#This Row],[Rentabilidad (%)]]/12</f>
        <v>-0.019163734304416</v>
      </c>
    </row>
    <row r="2080" customFormat="false" ht="14.25" hidden="false" customHeight="false" outlineLevel="0" collapsed="false">
      <c r="A2080" s="1" t="n">
        <v>41791</v>
      </c>
      <c r="B2080" s="2" t="s">
        <v>21</v>
      </c>
      <c r="C2080" s="3" t="n">
        <v>8854</v>
      </c>
      <c r="D2080" s="8" t="s">
        <v>17</v>
      </c>
      <c r="E2080" s="3" t="n">
        <f aca="false">IF(Tabla2[[#This Row],[Frecuencia]]="Annual", Tabla2[[#This Row],[Cosecha/Tarea]]/12,Tabla2[[#This Row],[Cosecha/Tarea]])</f>
        <v>8854</v>
      </c>
      <c r="F2080" s="3" t="n">
        <v>95211</v>
      </c>
      <c r="G2080" s="2" t="s">
        <v>18</v>
      </c>
      <c r="H2080" s="2" t="n">
        <f aca="false">F2080/Tabla2[[#This Row],[Cosecha Mensual]]</f>
        <v>10.7534447707251</v>
      </c>
      <c r="I2080" s="2" t="n">
        <f aca="false">H2080*_xlfn.XLOOKUP(Tabla2[[#This Row],[Unidad de producción]],Tabla3[Medida],Tabla3[Equivalencia en Kg],"ELVIS",0)</f>
        <v>487.77625480009</v>
      </c>
      <c r="J2080" s="2" t="n">
        <v>332.460916666667</v>
      </c>
      <c r="K2080" s="2" t="s">
        <v>18</v>
      </c>
      <c r="L2080" s="2" t="n">
        <f aca="false">J2080/_xlfn.XLOOKUP(Tabla2[[#This Row],[Unidad de precio]],Tabla3[Medida],Tabla3[Equivalencia en Kg],"ELVIS",0)</f>
        <v>7.32938528806585</v>
      </c>
      <c r="M2080" s="2" t="n">
        <v>5243.9203425</v>
      </c>
      <c r="N2080" s="3" t="n">
        <f aca="false">(Tabla2[[#This Row],[Productividad (kg/TAS)]]*Tabla2[[#This Row],[Precio por kg]]-Tabla2[[#This Row],[Costos (En RD$/Tarea)]])</f>
        <v>-1668.82023670036</v>
      </c>
      <c r="O2080" s="9" t="n">
        <f aca="false">IF(Tabla2[[#This Row],[Costos (En RD$/Tarea)]]=0,0,Tabla2[[#This Row],[Beneficio Neto  (En RD$/Tarea)]]/Tabla2[[#This Row],[Costos (En RD$/Tarea)]])</f>
        <v>-0.318239051645235</v>
      </c>
      <c r="P2080" s="7" t="n">
        <f aca="false">Tabla2[[#This Row],[Rentabilidad (%)]]/12</f>
        <v>-0.0265199209704363</v>
      </c>
    </row>
    <row r="2081" customFormat="false" ht="14.25" hidden="false" customHeight="false" outlineLevel="0" collapsed="false">
      <c r="A2081" s="1" t="n">
        <v>41791</v>
      </c>
      <c r="B2081" s="2" t="s">
        <v>22</v>
      </c>
      <c r="C2081" s="3" t="n">
        <v>4987</v>
      </c>
      <c r="D2081" s="8" t="s">
        <v>17</v>
      </c>
      <c r="E2081" s="3" t="n">
        <f aca="false">IF(Tabla2[[#This Row],[Frecuencia]]="Annual", Tabla2[[#This Row],[Cosecha/Tarea]]/12,Tabla2[[#This Row],[Cosecha/Tarea]])</f>
        <v>4987</v>
      </c>
      <c r="F2081" s="3" t="n">
        <v>39897</v>
      </c>
      <c r="G2081" s="2" t="s">
        <v>18</v>
      </c>
      <c r="H2081" s="2" t="n">
        <f aca="false">F2081/Tabla2[[#This Row],[Cosecha Mensual]]</f>
        <v>8.00020052135552</v>
      </c>
      <c r="I2081" s="2" t="n">
        <f aca="false">H2081*_xlfn.XLOOKUP(Tabla2[[#This Row],[Unidad de producción]],Tabla3[Medida],Tabla3[Equivalencia en Kg],"ELVIS",0)</f>
        <v>362.889095648687</v>
      </c>
      <c r="J2081" s="2" t="n">
        <v>934.366666666667</v>
      </c>
      <c r="K2081" s="2" t="s">
        <v>18</v>
      </c>
      <c r="L2081" s="2" t="n">
        <f aca="false">J2081/_xlfn.XLOOKUP(Tabla2[[#This Row],[Unidad de precio]],Tabla3[Medida],Tabla3[Equivalencia en Kg],"ELVIS",0)</f>
        <v>20.598912404468</v>
      </c>
      <c r="M2081" s="2" t="n">
        <v>9418.5442176</v>
      </c>
      <c r="N2081" s="3" t="n">
        <f aca="false">(Tabla2[[#This Row],[Productividad (kg/TAS)]]*Tabla2[[#This Row],[Precio por kg]]-Tabla2[[#This Row],[Costos (En RD$/Tarea)]])</f>
        <v>-1943.42352379611</v>
      </c>
      <c r="O2081" s="9" t="n">
        <f aca="false">IF(Tabla2[[#This Row],[Costos (En RD$/Tarea)]]=0,0,Tabla2[[#This Row],[Beneficio Neto  (En RD$/Tarea)]]/Tabla2[[#This Row],[Costos (En RD$/Tarea)]])</f>
        <v>-0.206340117845869</v>
      </c>
      <c r="P2081" s="7" t="n">
        <f aca="false">Tabla2[[#This Row],[Rentabilidad (%)]]/12</f>
        <v>-0.0171950098204891</v>
      </c>
    </row>
    <row r="2082" customFormat="false" ht="14.25" hidden="false" customHeight="false" outlineLevel="0" collapsed="false">
      <c r="A2082" s="1" t="n">
        <v>41791</v>
      </c>
      <c r="B2082" s="2" t="s">
        <v>23</v>
      </c>
      <c r="C2082" s="3" t="n">
        <v>3411</v>
      </c>
      <c r="D2082" s="8" t="s">
        <v>17</v>
      </c>
      <c r="E2082" s="3" t="n">
        <f aca="false">IF(Tabla2[[#This Row],[Frecuencia]]="Annual", Tabla2[[#This Row],[Cosecha/Tarea]]/12,Tabla2[[#This Row],[Cosecha/Tarea]])</f>
        <v>3411</v>
      </c>
      <c r="F2082" s="3" t="n">
        <v>129890</v>
      </c>
      <c r="G2082" s="2" t="s">
        <v>18</v>
      </c>
      <c r="H2082" s="2" t="n">
        <f aca="false">F2082/Tabla2[[#This Row],[Cosecha Mensual]]</f>
        <v>38.0797420111404</v>
      </c>
      <c r="I2082" s="2" t="n">
        <f aca="false">H2082*_xlfn.XLOOKUP(Tabla2[[#This Row],[Unidad de producción]],Tabla3[Medida],Tabla3[Equivalencia en Kg],"ELVIS",0)</f>
        <v>1727.29709762533</v>
      </c>
      <c r="J2082" s="2" t="n">
        <v>787.5</v>
      </c>
      <c r="K2082" s="2" t="s">
        <v>18</v>
      </c>
      <c r="L2082" s="2" t="n">
        <f aca="false">J2082/_xlfn.XLOOKUP(Tabla2[[#This Row],[Unidad de precio]],Tabla3[Medida],Tabla3[Equivalencia en Kg],"ELVIS",0)</f>
        <v>17.3611111111111</v>
      </c>
      <c r="M2082" s="2" t="n">
        <v>26184.1693466859</v>
      </c>
      <c r="N2082" s="3" t="n">
        <f aca="false">(Tabla2[[#This Row],[Productividad (kg/TAS)]]*Tabla2[[#This Row],[Precio por kg]]-Tabla2[[#This Row],[Costos (En RD$/Tarea)]])</f>
        <v>3803.62748708718</v>
      </c>
      <c r="O2082" s="9" t="n">
        <f aca="false">IF(Tabla2[[#This Row],[Costos (En RD$/Tarea)]]=0,0,Tabla2[[#This Row],[Beneficio Neto  (En RD$/Tarea)]]/Tabla2[[#This Row],[Costos (En RD$/Tarea)]])</f>
        <v>0.145264393791763</v>
      </c>
      <c r="P2082" s="7" t="n">
        <f aca="false">Tabla2[[#This Row],[Rentabilidad (%)]]/12</f>
        <v>0.0121053661493136</v>
      </c>
    </row>
    <row r="2083" customFormat="false" ht="14.25" hidden="false" customHeight="false" outlineLevel="0" collapsed="false">
      <c r="A2083" s="1" t="n">
        <v>41791</v>
      </c>
      <c r="B2083" s="2" t="s">
        <v>24</v>
      </c>
      <c r="C2083" s="3" t="n">
        <v>7854</v>
      </c>
      <c r="D2083" s="8" t="s">
        <v>17</v>
      </c>
      <c r="E2083" s="3" t="n">
        <f aca="false">IF(Tabla2[[#This Row],[Frecuencia]]="Annual", Tabla2[[#This Row],[Cosecha/Tarea]]/12,Tabla2[[#This Row],[Cosecha/Tarea]])</f>
        <v>7854</v>
      </c>
      <c r="F2083" s="3" t="n">
        <v>59874</v>
      </c>
      <c r="G2083" s="2" t="s">
        <v>18</v>
      </c>
      <c r="H2083" s="2" t="n">
        <f aca="false">F2083/Tabla2[[#This Row],[Cosecha Mensual]]</f>
        <v>7.62337662337662</v>
      </c>
      <c r="I2083" s="2" t="n">
        <f aca="false">H2083*_xlfn.XLOOKUP(Tabla2[[#This Row],[Unidad de producción]],Tabla3[Medida],Tabla3[Equivalencia en Kg],"ELVIS",0)</f>
        <v>345.796363636364</v>
      </c>
      <c r="J2083" s="2" t="n">
        <v>1365.71428571429</v>
      </c>
      <c r="K2083" s="2" t="s">
        <v>18</v>
      </c>
      <c r="L2083" s="2" t="n">
        <f aca="false">J2083/_xlfn.XLOOKUP(Tabla2[[#This Row],[Unidad de precio]],Tabla3[Medida],Tabla3[Equivalencia en Kg],"ELVIS",0)</f>
        <v>30.1083396321493</v>
      </c>
      <c r="M2083" s="2" t="n">
        <v>9105.98860416</v>
      </c>
      <c r="N2083" s="3" t="n">
        <f aca="false">(Tabla2[[#This Row],[Productividad (kg/TAS)]]*Tabla2[[#This Row],[Precio por kg]]-Tabla2[[#This Row],[Costos (En RD$/Tarea)]])</f>
        <v>1305.36575576582</v>
      </c>
      <c r="O2083" s="9" t="n">
        <f aca="false">IF(Tabla2[[#This Row],[Costos (En RD$/Tarea)]]=0,0,Tabla2[[#This Row],[Beneficio Neto  (En RD$/Tarea)]]/Tabla2[[#This Row],[Costos (En RD$/Tarea)]])</f>
        <v>0.143352447769315</v>
      </c>
      <c r="P2083" s="7" t="n">
        <f aca="false">Tabla2[[#This Row],[Rentabilidad (%)]]/12</f>
        <v>0.0119460373141096</v>
      </c>
    </row>
    <row r="2084" customFormat="false" ht="14.25" hidden="false" customHeight="false" outlineLevel="0" collapsed="false">
      <c r="A2084" s="1" t="n">
        <v>41791</v>
      </c>
      <c r="B2084" s="2" t="s">
        <v>25</v>
      </c>
      <c r="C2084" s="3" t="n">
        <v>27071</v>
      </c>
      <c r="D2084" s="8" t="s">
        <v>17</v>
      </c>
      <c r="E2084" s="3" t="n">
        <f aca="false">IF(Tabla2[[#This Row],[Frecuencia]]="Annual", Tabla2[[#This Row],[Cosecha/Tarea]]/12,Tabla2[[#This Row],[Cosecha/Tarea]])</f>
        <v>27071</v>
      </c>
      <c r="F2084" s="3" t="n">
        <v>304822</v>
      </c>
      <c r="G2084" s="2" t="s">
        <v>18</v>
      </c>
      <c r="H2084" s="2" t="n">
        <f aca="false">F2084/Tabla2[[#This Row],[Cosecha Mensual]]</f>
        <v>11.2600938273429</v>
      </c>
      <c r="I2084" s="2" t="n">
        <f aca="false">H2084*_xlfn.XLOOKUP(Tabla2[[#This Row],[Unidad de producción]],Tabla3[Medida],Tabla3[Equivalencia en Kg],"ELVIS",0)</f>
        <v>510.757856008275</v>
      </c>
      <c r="J2084" s="2" t="n">
        <v>285.527821428571</v>
      </c>
      <c r="K2084" s="2" t="s">
        <v>18</v>
      </c>
      <c r="L2084" s="2" t="n">
        <f aca="false">J2084/_xlfn.XLOOKUP(Tabla2[[#This Row],[Unidad de precio]],Tabla3[Medida],Tabla3[Equivalencia en Kg],"ELVIS",0)</f>
        <v>6.2947050579491</v>
      </c>
      <c r="M2084" s="2" t="n">
        <v>4871.66870431878</v>
      </c>
      <c r="N2084" s="3" t="n">
        <f aca="false">(Tabla2[[#This Row],[Productividad (kg/TAS)]]*Tabla2[[#This Row],[Precio por kg]]-Tabla2[[#This Row],[Costos (En RD$/Tarea)]])</f>
        <v>-1656.59864471626</v>
      </c>
      <c r="O2084" s="9" t="n">
        <f aca="false">IF(Tabla2[[#This Row],[Costos (En RD$/Tarea)]]=0,0,Tabla2[[#This Row],[Beneficio Neto  (En RD$/Tarea)]]/Tabla2[[#This Row],[Costos (En RD$/Tarea)]])</f>
        <v>-0.340047475569853</v>
      </c>
      <c r="P2084" s="7" t="n">
        <f aca="false">Tabla2[[#This Row],[Rentabilidad (%)]]/12</f>
        <v>-0.0283372896308211</v>
      </c>
    </row>
    <row r="2085" customFormat="false" ht="14.25" hidden="false" customHeight="false" outlineLevel="0" collapsed="false">
      <c r="A2085" s="1" t="n">
        <v>41791</v>
      </c>
      <c r="B2085" s="2" t="s">
        <v>26</v>
      </c>
      <c r="C2085" s="3" t="n">
        <v>17584</v>
      </c>
      <c r="D2085" s="8" t="s">
        <v>17</v>
      </c>
      <c r="E2085" s="3" t="n">
        <f aca="false">IF(Tabla2[[#This Row],[Frecuencia]]="Annual", Tabla2[[#This Row],[Cosecha/Tarea]]/12,Tabla2[[#This Row],[Cosecha/Tarea]])</f>
        <v>17584</v>
      </c>
      <c r="F2085" s="3" t="n">
        <v>90624</v>
      </c>
      <c r="G2085" s="2" t="s">
        <v>18</v>
      </c>
      <c r="H2085" s="2" t="n">
        <f aca="false">F2085/Tabla2[[#This Row],[Cosecha Mensual]]</f>
        <v>5.15377616014559</v>
      </c>
      <c r="I2085" s="2" t="n">
        <f aca="false">H2085*_xlfn.XLOOKUP(Tabla2[[#This Row],[Unidad de producción]],Tabla3[Medida],Tabla3[Equivalencia en Kg],"ELVIS",0)</f>
        <v>233.775286624204</v>
      </c>
      <c r="J2085" s="2" t="n">
        <v>862.222083333333</v>
      </c>
      <c r="K2085" s="2" t="s">
        <v>18</v>
      </c>
      <c r="L2085" s="2" t="n">
        <f aca="false">J2085/_xlfn.XLOOKUP(Tabla2[[#This Row],[Unidad de precio]],Tabla3[Medida],Tabla3[Equivalencia en Kg],"ELVIS",0)</f>
        <v>19.0084233539095</v>
      </c>
      <c r="M2085" s="2" t="n">
        <v>2107.55664</v>
      </c>
      <c r="N2085" s="3" t="n">
        <f aca="false">(Tabla2[[#This Row],[Productividad (kg/TAS)]]*Tabla2[[#This Row],[Precio por kg]]-Tabla2[[#This Row],[Costos (En RD$/Tarea)]])</f>
        <v>2336.14297783439</v>
      </c>
      <c r="O2085" s="9" t="n">
        <f aca="false">IF(Tabla2[[#This Row],[Costos (En RD$/Tarea)]]=0,0,Tabla2[[#This Row],[Beneficio Neto  (En RD$/Tarea)]]/Tabla2[[#This Row],[Costos (En RD$/Tarea)]])</f>
        <v>1.10846035332858</v>
      </c>
      <c r="P2085" s="7" t="n">
        <f aca="false">Tabla2[[#This Row],[Rentabilidad (%)]]/12</f>
        <v>0.092371696110715</v>
      </c>
    </row>
    <row r="2086" customFormat="false" ht="14.25" hidden="false" customHeight="false" outlineLevel="0" collapsed="false">
      <c r="A2086" s="1" t="n">
        <v>41791</v>
      </c>
      <c r="B2086" s="2" t="s">
        <v>27</v>
      </c>
      <c r="C2086" s="3" t="n">
        <v>6998</v>
      </c>
      <c r="D2086" s="8" t="s">
        <v>17</v>
      </c>
      <c r="E2086" s="3" t="n">
        <f aca="false">IF(Tabla2[[#This Row],[Frecuencia]]="Annual", Tabla2[[#This Row],[Cosecha/Tarea]]/12,Tabla2[[#This Row],[Cosecha/Tarea]])</f>
        <v>6998</v>
      </c>
      <c r="F2086" s="3" t="n">
        <v>38977</v>
      </c>
      <c r="G2086" s="2" t="s">
        <v>18</v>
      </c>
      <c r="H2086" s="2" t="n">
        <f aca="false">F2086/Tabla2[[#This Row],[Cosecha Mensual]]</f>
        <v>5.56973420977422</v>
      </c>
      <c r="I2086" s="2" t="n">
        <f aca="false">H2086*_xlfn.XLOOKUP(Tabla2[[#This Row],[Unidad de producción]],Tabla3[Medida],Tabla3[Equivalencia en Kg],"ELVIS",0)</f>
        <v>252.643143755359</v>
      </c>
      <c r="J2086" s="2" t="n">
        <v>585.98625</v>
      </c>
      <c r="K2086" s="2" t="s">
        <v>18</v>
      </c>
      <c r="L2086" s="2" t="n">
        <f aca="false">J2086/_xlfn.XLOOKUP(Tabla2[[#This Row],[Unidad de precio]],Tabla3[Medida],Tabla3[Equivalencia en Kg],"ELVIS",0)</f>
        <v>12.9185681216931</v>
      </c>
      <c r="M2086" s="2" t="n">
        <v>8288.298341505</v>
      </c>
      <c r="N2086" s="3" t="n">
        <f aca="false">(Tabla2[[#This Row],[Productividad (kg/TAS)]]*Tabla2[[#This Row],[Precio por kg]]-Tabla2[[#This Row],[Costos (En RD$/Tarea)]])</f>
        <v>-5024.51067842269</v>
      </c>
      <c r="O2086" s="9" t="n">
        <f aca="false">IF(Tabla2[[#This Row],[Costos (En RD$/Tarea)]]=0,0,Tabla2[[#This Row],[Beneficio Neto  (En RD$/Tarea)]]/Tabla2[[#This Row],[Costos (En RD$/Tarea)]])</f>
        <v>-0.606217400894178</v>
      </c>
      <c r="P2086" s="7" t="n">
        <f aca="false">Tabla2[[#This Row],[Rentabilidad (%)]]/12</f>
        <v>-0.0505181167411815</v>
      </c>
    </row>
    <row r="2087" customFormat="false" ht="14.25" hidden="false" customHeight="false" outlineLevel="0" collapsed="false">
      <c r="A2087" s="1" t="n">
        <v>41791</v>
      </c>
      <c r="B2087" s="2" t="s">
        <v>28</v>
      </c>
      <c r="C2087" s="3" t="n">
        <v>4210</v>
      </c>
      <c r="D2087" s="8" t="s">
        <v>17</v>
      </c>
      <c r="E2087" s="3" t="n">
        <f aca="false">IF(Tabla2[[#This Row],[Frecuencia]]="Annual", Tabla2[[#This Row],[Cosecha/Tarea]]/12,Tabla2[[#This Row],[Cosecha/Tarea]])</f>
        <v>4210</v>
      </c>
      <c r="F2087" s="3" t="n">
        <v>7854</v>
      </c>
      <c r="G2087" s="2" t="s">
        <v>29</v>
      </c>
      <c r="H2087" s="2" t="n">
        <f aca="false">F2087/Tabla2[[#This Row],[Cosecha Mensual]]</f>
        <v>1.86555819477435</v>
      </c>
      <c r="I2087" s="2" t="n">
        <f aca="false">H2087*_xlfn.XLOOKUP(Tabla2[[#This Row],[Unidad de producción]],Tabla3[Medida],Tabla3[Equivalencia en Kg],"ELVIS",0)</f>
        <v>1049.07799524941</v>
      </c>
      <c r="J2087" s="2" t="n">
        <v>6862.8</v>
      </c>
      <c r="K2087" s="2" t="s">
        <v>29</v>
      </c>
      <c r="L2087" s="2" t="n">
        <f aca="false">J2087/_xlfn.XLOOKUP(Tabla2[[#This Row],[Unidad de precio]],Tabla3[Medida],Tabla3[Equivalencia en Kg],"ELVIS",0)</f>
        <v>12.2040046946687</v>
      </c>
      <c r="M2087" s="2" t="n">
        <v>7150.53423628677</v>
      </c>
      <c r="N2087" s="3" t="n">
        <f aca="false">(Tabla2[[#This Row],[Productividad (kg/TAS)]]*Tabla2[[#This Row],[Precio por kg]]-Tabla2[[#This Row],[Costos (En RD$/Tarea)]])</f>
        <v>5652.41854281062</v>
      </c>
      <c r="O2087" s="9" t="n">
        <f aca="false">IF(Tabla2[[#This Row],[Costos (En RD$/Tarea)]]=0,0,Tabla2[[#This Row],[Beneficio Neto  (En RD$/Tarea)]]/Tabla2[[#This Row],[Costos (En RD$/Tarea)]])</f>
        <v>0.790488983903654</v>
      </c>
      <c r="P2087" s="7" t="n">
        <f aca="false">Tabla2[[#This Row],[Rentabilidad (%)]]/12</f>
        <v>0.0658740819919712</v>
      </c>
    </row>
    <row r="2088" customFormat="false" ht="14.25" hidden="false" customHeight="false" outlineLevel="0" collapsed="false">
      <c r="A2088" s="1" t="n">
        <v>41791</v>
      </c>
      <c r="B2088" s="2" t="s">
        <v>30</v>
      </c>
      <c r="C2088" s="3" t="n">
        <v>389744</v>
      </c>
      <c r="D2088" s="3" t="s">
        <v>31</v>
      </c>
      <c r="E2088" s="3" t="n">
        <f aca="false">IF(Tabla2[[#This Row],[Frecuencia]]="Annual", Tabla2[[#This Row],[Cosecha/Tarea]]/12,Tabla2[[#This Row],[Cosecha/Tarea]])</f>
        <v>32478.6666666667</v>
      </c>
      <c r="F2088" s="3" t="n">
        <v>3645111</v>
      </c>
      <c r="G2088" s="2" t="s">
        <v>32</v>
      </c>
      <c r="H2088" s="2" t="n">
        <f aca="false">F2088/Tabla2[[#This Row],[Cosecha Mensual]]</f>
        <v>112.230931072704</v>
      </c>
      <c r="I2088" s="2" t="n">
        <f aca="false">H2088*_xlfn.XLOOKUP(Tabla2[[#This Row],[Unidad de producción]],Tabla3[Medida],Tabla3[Equivalencia en Kg],"ELVIS",0)</f>
        <v>3053.80363448828</v>
      </c>
      <c r="J2088" s="2" t="n">
        <v>137.214285714286</v>
      </c>
      <c r="K2088" s="2" t="s">
        <v>32</v>
      </c>
      <c r="L2088" s="2" t="n">
        <f aca="false">J2088/_xlfn.XLOOKUP(Tabla2[[#This Row],[Unidad de precio]],Tabla3[Medida],Tabla3[Equivalencia en Kg],"ELVIS",0)</f>
        <v>5.04278889063896</v>
      </c>
      <c r="M2088" s="3" t="n">
        <v>12538.8969859716</v>
      </c>
      <c r="N2088" s="3" t="n">
        <f aca="false">(Tabla2[[#This Row],[Productividad (kg/TAS)]]*Tabla2[[#This Row],[Precio por kg]]-Tabla2[[#This Row],[Costos (En RD$/Tarea)]])</f>
        <v>2860.79005621876</v>
      </c>
      <c r="O2088" s="9" t="n">
        <f aca="false">IF(Tabla2[[#This Row],[Costos (En RD$/Tarea)]]=0,0,Tabla2[[#This Row],[Beneficio Neto  (En RD$/Tarea)]]/Tabla2[[#This Row],[Costos (En RD$/Tarea)]])</f>
        <v>0.22815324660689</v>
      </c>
      <c r="P2088" s="7" t="n">
        <f aca="false">Tabla2[[#This Row],[Rentabilidad (%)]]/12</f>
        <v>0.0190127705505741</v>
      </c>
    </row>
    <row r="2089" customFormat="false" ht="14.25" hidden="false" customHeight="false" outlineLevel="0" collapsed="false">
      <c r="A2089" s="1" t="n">
        <v>41791</v>
      </c>
      <c r="B2089" s="2" t="s">
        <v>33</v>
      </c>
      <c r="C2089" s="3" t="n">
        <v>754811</v>
      </c>
      <c r="D2089" s="3" t="s">
        <v>31</v>
      </c>
      <c r="E2089" s="11" t="n">
        <f aca="false">IF(Tabla2[[#This Row],[Frecuencia]]="Annual", Tabla2[[#This Row],[Cosecha/Tarea]]/12,Tabla2[[#This Row],[Cosecha/Tarea]])</f>
        <v>62900.9166666667</v>
      </c>
      <c r="F2089" s="3" t="n">
        <v>198164</v>
      </c>
      <c r="G2089" s="2" t="s">
        <v>34</v>
      </c>
      <c r="H2089" s="2" t="n">
        <f aca="false">F2089/Tabla2[[#This Row],[Cosecha Mensual]]</f>
        <v>3.1504151370343</v>
      </c>
      <c r="I2089" s="2" t="n">
        <f aca="false">H2089*_xlfn.XLOOKUP(Tabla2[[#This Row],[Unidad de producción]],Tabla3[Medida],Tabla3[Equivalencia en Kg],"ELVIS",0)</f>
        <v>1285.84193818055</v>
      </c>
      <c r="J2089" s="2" t="n">
        <v>4578.90607142857</v>
      </c>
      <c r="K2089" s="2" t="s">
        <v>34</v>
      </c>
      <c r="L2089" s="2" t="n">
        <f aca="false">J2089/_xlfn.XLOOKUP(Tabla2[[#This Row],[Unidad de precio]],Tabla3[Medida],Tabla3[Equivalencia en Kg],"ELVIS",0)</f>
        <v>11.2186844822457</v>
      </c>
      <c r="M2089" s="3" t="n">
        <v>12054.0166317253</v>
      </c>
      <c r="N2089" s="3" t="n">
        <f aca="false">(Tabla2[[#This Row],[Productividad (kg/TAS)]]*Tabla2[[#This Row],[Precio por kg]]-Tabla2[[#This Row],[Costos (En RD$/Tarea)]])</f>
        <v>2371.43836676154</v>
      </c>
      <c r="O2089" s="9" t="n">
        <f aca="false">IF(Tabla2[[#This Row],[Costos (En RD$/Tarea)]]=0,0,Tabla2[[#This Row],[Beneficio Neto  (En RD$/Tarea)]]/Tabla2[[#This Row],[Costos (En RD$/Tarea)]])</f>
        <v>0.196734286936363</v>
      </c>
      <c r="P2089" s="7" t="n">
        <f aca="false">Tabla2[[#This Row],[Rentabilidad (%)]]/12</f>
        <v>0.0163945239113636</v>
      </c>
    </row>
    <row r="2090" customFormat="false" ht="14.25" hidden="false" customHeight="false" outlineLevel="0" collapsed="false">
      <c r="A2090" s="1" t="n">
        <v>41821</v>
      </c>
      <c r="B2090" s="2" t="s">
        <v>16</v>
      </c>
      <c r="C2090" s="3" t="n">
        <v>39836</v>
      </c>
      <c r="D2090" s="8" t="s">
        <v>17</v>
      </c>
      <c r="E2090" s="3" t="n">
        <f aca="false">IF(Tabla2[[#This Row],[Frecuencia]]="Annual", Tabla2[[#This Row],[Cosecha/Tarea]]/12,Tabla2[[#This Row],[Cosecha/Tarea]])</f>
        <v>39836</v>
      </c>
      <c r="F2090" s="3" t="n">
        <v>166046</v>
      </c>
      <c r="G2090" s="2" t="s">
        <v>18</v>
      </c>
      <c r="H2090" s="2" t="n">
        <f aca="false">F2090/Tabla2[[#This Row],[Cosecha Mensual]]</f>
        <v>4.16823978311075</v>
      </c>
      <c r="I2090" s="2" t="n">
        <f aca="false">H2090*_xlfn.XLOOKUP(Tabla2[[#This Row],[Unidad de producción]],Tabla3[Medida],Tabla3[Equivalencia en Kg],"ELVIS",0)</f>
        <v>189.071356561904</v>
      </c>
      <c r="J2090" s="2" t="n">
        <v>1901.75322222222</v>
      </c>
      <c r="K2090" s="2" t="s">
        <v>19</v>
      </c>
      <c r="L2090" s="2" t="n">
        <f aca="false">J2090/_xlfn.XLOOKUP(Tabla2[[#This Row],[Unidad de precio]],Tabla3[Medida],Tabla3[Equivalencia en Kg],"ELVIS",0)</f>
        <v>17.2886656565656</v>
      </c>
      <c r="M2090" s="2" t="n">
        <v>7973.24325841281</v>
      </c>
      <c r="N2090" s="3" t="n">
        <f aca="false">(Tabla2[[#This Row],[Productividad (kg/TAS)]]*Tabla2[[#This Row],[Precio por kg]]-Tabla2[[#This Row],[Costos (En RD$/Tarea)]])</f>
        <v>-4704.45178958075</v>
      </c>
      <c r="O2090" s="9" t="n">
        <f aca="false">IF(Tabla2[[#This Row],[Costos (En RD$/Tarea)]]=0,0,Tabla2[[#This Row],[Beneficio Neto  (En RD$/Tarea)]]/Tabla2[[#This Row],[Costos (En RD$/Tarea)]])</f>
        <v>-0.59002988333724</v>
      </c>
      <c r="P2090" s="7" t="n">
        <f aca="false">Tabla2[[#This Row],[Rentabilidad (%)]]/12</f>
        <v>-0.04916915694477</v>
      </c>
    </row>
    <row r="2091" customFormat="false" ht="14.25" hidden="false" customHeight="false" outlineLevel="0" collapsed="false">
      <c r="A2091" s="1" t="n">
        <v>41821</v>
      </c>
      <c r="B2091" s="2" t="s">
        <v>20</v>
      </c>
      <c r="C2091" s="3" t="n">
        <v>35328</v>
      </c>
      <c r="D2091" s="8" t="s">
        <v>17</v>
      </c>
      <c r="E2091" s="3" t="n">
        <f aca="false">IF(Tabla2[[#This Row],[Frecuencia]]="Annual", Tabla2[[#This Row],[Cosecha/Tarea]]/12,Tabla2[[#This Row],[Cosecha/Tarea]])</f>
        <v>35328</v>
      </c>
      <c r="F2091" s="3" t="n">
        <v>87857</v>
      </c>
      <c r="G2091" s="2" t="s">
        <v>18</v>
      </c>
      <c r="H2091" s="2" t="n">
        <f aca="false">F2091/Tabla2[[#This Row],[Cosecha Mensual]]</f>
        <v>2.48689424818841</v>
      </c>
      <c r="I2091" s="2" t="n">
        <f aca="false">H2091*_xlfn.XLOOKUP(Tabla2[[#This Row],[Unidad de producción]],Tabla3[Medida],Tabla3[Equivalencia en Kg],"ELVIS",0)</f>
        <v>112.805523097826</v>
      </c>
      <c r="J2091" s="2" t="n">
        <v>720.490555555556</v>
      </c>
      <c r="K2091" s="2" t="s">
        <v>18</v>
      </c>
      <c r="L2091" s="2" t="n">
        <f aca="false">J2091/_xlfn.XLOOKUP(Tabla2[[#This Row],[Unidad de precio]],Tabla3[Medida],Tabla3[Equivalencia en Kg],"ELVIS",0)</f>
        <v>15.8838305898491</v>
      </c>
      <c r="M2091" s="2" t="n">
        <v>2447.4016476</v>
      </c>
      <c r="N2091" s="3" t="n">
        <f aca="false">(Tabla2[[#This Row],[Productividad (kg/TAS)]]*Tabla2[[#This Row],[Precio por kg]]-Tabla2[[#This Row],[Costos (En RD$/Tarea)]])</f>
        <v>-655.617829114819</v>
      </c>
      <c r="O2091" s="9" t="n">
        <f aca="false">IF(Tabla2[[#This Row],[Costos (En RD$/Tarea)]]=0,0,Tabla2[[#This Row],[Beneficio Neto  (En RD$/Tarea)]]/Tabla2[[#This Row],[Costos (En RD$/Tarea)]])</f>
        <v>-0.26788321800704</v>
      </c>
      <c r="P2091" s="7" t="n">
        <f aca="false">Tabla2[[#This Row],[Rentabilidad (%)]]/12</f>
        <v>-0.0223236015005866</v>
      </c>
    </row>
    <row r="2092" customFormat="false" ht="14.25" hidden="false" customHeight="false" outlineLevel="0" collapsed="false">
      <c r="A2092" s="1" t="n">
        <v>41821</v>
      </c>
      <c r="B2092" s="2" t="s">
        <v>21</v>
      </c>
      <c r="C2092" s="3" t="n">
        <v>5601</v>
      </c>
      <c r="D2092" s="8" t="s">
        <v>17</v>
      </c>
      <c r="E2092" s="3" t="n">
        <f aca="false">IF(Tabla2[[#This Row],[Frecuencia]]="Annual", Tabla2[[#This Row],[Cosecha/Tarea]]/12,Tabla2[[#This Row],[Cosecha/Tarea]])</f>
        <v>5601</v>
      </c>
      <c r="F2092" s="3" t="n">
        <v>62528</v>
      </c>
      <c r="G2092" s="2" t="s">
        <v>18</v>
      </c>
      <c r="H2092" s="2" t="n">
        <f aca="false">F2092/Tabla2[[#This Row],[Cosecha Mensual]]</f>
        <v>11.1637207641493</v>
      </c>
      <c r="I2092" s="2" t="n">
        <f aca="false">H2092*_xlfn.XLOOKUP(Tabla2[[#This Row],[Unidad de producción]],Tabla3[Medida],Tabla3[Equivalencia en Kg],"ELVIS",0)</f>
        <v>506.38637386181</v>
      </c>
      <c r="J2092" s="2" t="n">
        <v>364.3192</v>
      </c>
      <c r="K2092" s="2" t="s">
        <v>18</v>
      </c>
      <c r="L2092" s="2" t="n">
        <f aca="false">J2092/_xlfn.XLOOKUP(Tabla2[[#This Row],[Unidad de precio]],Tabla3[Medida],Tabla3[Equivalencia en Kg],"ELVIS",0)</f>
        <v>8.03172839506173</v>
      </c>
      <c r="M2092" s="2" t="n">
        <v>5243.9203425</v>
      </c>
      <c r="N2092" s="3" t="n">
        <f aca="false">(Tabla2[[#This Row],[Productividad (kg/TAS)]]*Tabla2[[#This Row],[Precio por kg]]-Tabla2[[#This Row],[Costos (En RD$/Tarea)]])</f>
        <v>-1176.76252468175</v>
      </c>
      <c r="O2092" s="9" t="n">
        <f aca="false">IF(Tabla2[[#This Row],[Costos (En RD$/Tarea)]]=0,0,Tabla2[[#This Row],[Beneficio Neto  (En RD$/Tarea)]]/Tabla2[[#This Row],[Costos (En RD$/Tarea)]])</f>
        <v>-0.224405110646807</v>
      </c>
      <c r="P2092" s="7" t="n">
        <f aca="false">Tabla2[[#This Row],[Rentabilidad (%)]]/12</f>
        <v>-0.0187004258872339</v>
      </c>
    </row>
    <row r="2093" customFormat="false" ht="14.25" hidden="false" customHeight="false" outlineLevel="0" collapsed="false">
      <c r="A2093" s="1" t="n">
        <v>41821</v>
      </c>
      <c r="B2093" s="2" t="s">
        <v>22</v>
      </c>
      <c r="C2093" s="3" t="n">
        <v>4092</v>
      </c>
      <c r="D2093" s="8" t="s">
        <v>17</v>
      </c>
      <c r="E2093" s="3" t="n">
        <f aca="false">IF(Tabla2[[#This Row],[Frecuencia]]="Annual", Tabla2[[#This Row],[Cosecha/Tarea]]/12,Tabla2[[#This Row],[Cosecha/Tarea]])</f>
        <v>4092</v>
      </c>
      <c r="F2093" s="3" t="n">
        <v>31466</v>
      </c>
      <c r="G2093" s="2" t="s">
        <v>18</v>
      </c>
      <c r="H2093" s="2" t="n">
        <f aca="false">F2093/Tabla2[[#This Row],[Cosecha Mensual]]</f>
        <v>7.68963831867058</v>
      </c>
      <c r="I2093" s="2" t="n">
        <f aca="false">H2093*_xlfn.XLOOKUP(Tabla2[[#This Row],[Unidad de producción]],Tabla3[Medida],Tabla3[Equivalencia en Kg],"ELVIS",0)</f>
        <v>348.801994134897</v>
      </c>
      <c r="J2093" s="2" t="n">
        <v>879</v>
      </c>
      <c r="K2093" s="2" t="s">
        <v>18</v>
      </c>
      <c r="L2093" s="2" t="n">
        <f aca="false">J2093/_xlfn.XLOOKUP(Tabla2[[#This Row],[Unidad de precio]],Tabla3[Medida],Tabla3[Equivalencia en Kg],"ELVIS",0)</f>
        <v>19.3783068783069</v>
      </c>
      <c r="M2093" s="2" t="n">
        <v>9418.5442176</v>
      </c>
      <c r="N2093" s="3" t="n">
        <f aca="false">(Tabla2[[#This Row],[Productividad (kg/TAS)]]*Tabla2[[#This Row],[Precio por kg]]-Tabla2[[#This Row],[Costos (En RD$/Tarea)]])</f>
        <v>-2659.35213548856</v>
      </c>
      <c r="O2093" s="9" t="n">
        <f aca="false">IF(Tabla2[[#This Row],[Costos (En RD$/Tarea)]]=0,0,Tabla2[[#This Row],[Beneficio Neto  (En RD$/Tarea)]]/Tabla2[[#This Row],[Costos (En RD$/Tarea)]])</f>
        <v>-0.282352779160834</v>
      </c>
      <c r="P2093" s="7" t="n">
        <f aca="false">Tabla2[[#This Row],[Rentabilidad (%)]]/12</f>
        <v>-0.0235293982634028</v>
      </c>
    </row>
    <row r="2094" customFormat="false" ht="14.25" hidden="false" customHeight="false" outlineLevel="0" collapsed="false">
      <c r="A2094" s="1" t="n">
        <v>41821</v>
      </c>
      <c r="B2094" s="2" t="s">
        <v>23</v>
      </c>
      <c r="C2094" s="3" t="n">
        <v>1641</v>
      </c>
      <c r="D2094" s="8" t="s">
        <v>17</v>
      </c>
      <c r="E2094" s="3" t="n">
        <f aca="false">IF(Tabla2[[#This Row],[Frecuencia]]="Annual", Tabla2[[#This Row],[Cosecha/Tarea]]/12,Tabla2[[#This Row],[Cosecha/Tarea]])</f>
        <v>1641</v>
      </c>
      <c r="F2094" s="3" t="n">
        <v>84546</v>
      </c>
      <c r="G2094" s="2" t="s">
        <v>18</v>
      </c>
      <c r="H2094" s="2" t="n">
        <f aca="false">F2094/Tabla2[[#This Row],[Cosecha Mensual]]</f>
        <v>51.5210237659964</v>
      </c>
      <c r="I2094" s="2" t="n">
        <f aca="false">H2094*_xlfn.XLOOKUP(Tabla2[[#This Row],[Unidad de producción]],Tabla3[Medida],Tabla3[Equivalencia en Kg],"ELVIS",0)</f>
        <v>2336.99363802559</v>
      </c>
      <c r="J2094" s="2" t="n">
        <v>887.5</v>
      </c>
      <c r="K2094" s="2" t="s">
        <v>18</v>
      </c>
      <c r="L2094" s="2" t="n">
        <f aca="false">J2094/_xlfn.XLOOKUP(Tabla2[[#This Row],[Unidad de precio]],Tabla3[Medida],Tabla3[Equivalencia en Kg],"ELVIS",0)</f>
        <v>19.56569664903</v>
      </c>
      <c r="M2094" s="2" t="n">
        <v>26184.1693466859</v>
      </c>
      <c r="N2094" s="3" t="n">
        <f aca="false">(Tabla2[[#This Row],[Productividad (kg/TAS)]]*Tabla2[[#This Row],[Precio por kg]]-Tabla2[[#This Row],[Costos (En RD$/Tarea)]])</f>
        <v>19540.7392456359</v>
      </c>
      <c r="O2094" s="9" t="n">
        <f aca="false">IF(Tabla2[[#This Row],[Costos (En RD$/Tarea)]]=0,0,Tabla2[[#This Row],[Beneficio Neto  (En RD$/Tarea)]]/Tabla2[[#This Row],[Costos (En RD$/Tarea)]])</f>
        <v>0.746280662445727</v>
      </c>
      <c r="P2094" s="7" t="n">
        <f aca="false">Tabla2[[#This Row],[Rentabilidad (%)]]/12</f>
        <v>0.0621900552038106</v>
      </c>
    </row>
    <row r="2095" customFormat="false" ht="14.25" hidden="false" customHeight="false" outlineLevel="0" collapsed="false">
      <c r="A2095" s="1" t="n">
        <v>41821</v>
      </c>
      <c r="B2095" s="2" t="s">
        <v>24</v>
      </c>
      <c r="C2095" s="3" t="n">
        <v>3887</v>
      </c>
      <c r="D2095" s="8" t="s">
        <v>17</v>
      </c>
      <c r="E2095" s="3" t="n">
        <f aca="false">IF(Tabla2[[#This Row],[Frecuencia]]="Annual", Tabla2[[#This Row],[Cosecha/Tarea]]/12,Tabla2[[#This Row],[Cosecha/Tarea]])</f>
        <v>3887</v>
      </c>
      <c r="F2095" s="3" t="n">
        <v>29673</v>
      </c>
      <c r="G2095" s="2" t="s">
        <v>18</v>
      </c>
      <c r="H2095" s="2" t="n">
        <f aca="false">F2095/Tabla2[[#This Row],[Cosecha Mensual]]</f>
        <v>7.63390789812195</v>
      </c>
      <c r="I2095" s="2" t="n">
        <f aca="false">H2095*_xlfn.XLOOKUP(Tabla2[[#This Row],[Unidad de producción]],Tabla3[Medida],Tabla3[Equivalencia en Kg],"ELVIS",0)</f>
        <v>346.274062258811</v>
      </c>
      <c r="J2095" s="2" t="n">
        <v>1335.20833333333</v>
      </c>
      <c r="K2095" s="2" t="s">
        <v>18</v>
      </c>
      <c r="L2095" s="2" t="n">
        <f aca="false">J2095/_xlfn.XLOOKUP(Tabla2[[#This Row],[Unidad de precio]],Tabla3[Medida],Tabla3[Equivalencia en Kg],"ELVIS",0)</f>
        <v>29.4358098177542</v>
      </c>
      <c r="M2095" s="2" t="n">
        <v>9105.98860416</v>
      </c>
      <c r="N2095" s="3" t="n">
        <f aca="false">(Tabla2[[#This Row],[Productividad (kg/TAS)]]*Tabla2[[#This Row],[Precio por kg]]-Tabla2[[#This Row],[Costos (En RD$/Tarea)]])</f>
        <v>1086.86883731155</v>
      </c>
      <c r="O2095" s="9" t="n">
        <f aca="false">IF(Tabla2[[#This Row],[Costos (En RD$/Tarea)]]=0,0,Tabla2[[#This Row],[Beneficio Neto  (En RD$/Tarea)]]/Tabla2[[#This Row],[Costos (En RD$/Tarea)]])</f>
        <v>0.119357588127775</v>
      </c>
      <c r="P2095" s="7" t="n">
        <f aca="false">Tabla2[[#This Row],[Rentabilidad (%)]]/12</f>
        <v>0.00994646567731462</v>
      </c>
    </row>
    <row r="2096" customFormat="false" ht="14.25" hidden="false" customHeight="false" outlineLevel="0" collapsed="false">
      <c r="A2096" s="1" t="n">
        <v>41821</v>
      </c>
      <c r="B2096" s="2" t="s">
        <v>25</v>
      </c>
      <c r="C2096" s="3" t="n">
        <v>22202</v>
      </c>
      <c r="D2096" s="8" t="s">
        <v>17</v>
      </c>
      <c r="E2096" s="3" t="n">
        <f aca="false">IF(Tabla2[[#This Row],[Frecuencia]]="Annual", Tabla2[[#This Row],[Cosecha/Tarea]]/12,Tabla2[[#This Row],[Cosecha/Tarea]])</f>
        <v>22202</v>
      </c>
      <c r="F2096" s="3" t="n">
        <v>255155</v>
      </c>
      <c r="G2096" s="2" t="s">
        <v>18</v>
      </c>
      <c r="H2096" s="2" t="n">
        <f aca="false">F2096/Tabla2[[#This Row],[Cosecha Mensual]]</f>
        <v>11.4924331141339</v>
      </c>
      <c r="I2096" s="2" t="n">
        <f aca="false">H2096*_xlfn.XLOOKUP(Tabla2[[#This Row],[Unidad de producción]],Tabla3[Medida],Tabla3[Equivalencia en Kg],"ELVIS",0)</f>
        <v>521.296766057112</v>
      </c>
      <c r="J2096" s="2" t="n">
        <v>287.932305555556</v>
      </c>
      <c r="K2096" s="2" t="s">
        <v>18</v>
      </c>
      <c r="L2096" s="2" t="n">
        <f aca="false">J2096/_xlfn.XLOOKUP(Tabla2[[#This Row],[Unidad de precio]],Tabla3[Medida],Tabla3[Equivalencia en Kg],"ELVIS",0)</f>
        <v>6.34771396727416</v>
      </c>
      <c r="M2096" s="2" t="n">
        <v>4871.66870431878</v>
      </c>
      <c r="N2096" s="3" t="n">
        <f aca="false">(Tabla2[[#This Row],[Productividad (kg/TAS)]]*Tabla2[[#This Row],[Precio por kg]]-Tabla2[[#This Row],[Costos (En RD$/Tarea)]])</f>
        <v>-1562.6259413232</v>
      </c>
      <c r="O2096" s="9" t="n">
        <f aca="false">IF(Tabla2[[#This Row],[Costos (En RD$/Tarea)]]=0,0,Tabla2[[#This Row],[Beneficio Neto  (En RD$/Tarea)]]/Tabla2[[#This Row],[Costos (En RD$/Tarea)]])</f>
        <v>-0.32075784216154</v>
      </c>
      <c r="P2096" s="7" t="n">
        <f aca="false">Tabla2[[#This Row],[Rentabilidad (%)]]/12</f>
        <v>-0.0267298201801284</v>
      </c>
    </row>
    <row r="2097" customFormat="false" ht="14.25" hidden="false" customHeight="false" outlineLevel="0" collapsed="false">
      <c r="A2097" s="1" t="n">
        <v>41821</v>
      </c>
      <c r="B2097" s="2" t="s">
        <v>26</v>
      </c>
      <c r="C2097" s="3" t="n">
        <v>8273</v>
      </c>
      <c r="D2097" s="8" t="s">
        <v>17</v>
      </c>
      <c r="E2097" s="3" t="n">
        <f aca="false">IF(Tabla2[[#This Row],[Frecuencia]]="Annual", Tabla2[[#This Row],[Cosecha/Tarea]]/12,Tabla2[[#This Row],[Cosecha/Tarea]])</f>
        <v>8273</v>
      </c>
      <c r="F2097" s="3" t="n">
        <v>56601</v>
      </c>
      <c r="G2097" s="2" t="s">
        <v>18</v>
      </c>
      <c r="H2097" s="2" t="n">
        <f aca="false">F2097/Tabla2[[#This Row],[Cosecha Mensual]]</f>
        <v>6.84165357186027</v>
      </c>
      <c r="I2097" s="2" t="n">
        <f aca="false">H2097*_xlfn.XLOOKUP(Tabla2[[#This Row],[Unidad de producción]],Tabla3[Medida],Tabla3[Equivalencia en Kg],"ELVIS",0)</f>
        <v>310.337406019582</v>
      </c>
      <c r="J2097" s="2" t="n">
        <v>852.778333333333</v>
      </c>
      <c r="K2097" s="2" t="s">
        <v>18</v>
      </c>
      <c r="L2097" s="2" t="n">
        <f aca="false">J2097/_xlfn.XLOOKUP(Tabla2[[#This Row],[Unidad de precio]],Tabla3[Medida],Tabla3[Equivalencia en Kg],"ELVIS",0)</f>
        <v>18.8002278071722</v>
      </c>
      <c r="M2097" s="2" t="n">
        <v>2107.55664</v>
      </c>
      <c r="N2097" s="3" t="n">
        <f aca="false">(Tabla2[[#This Row],[Productividad (kg/TAS)]]*Tabla2[[#This Row],[Precio por kg]]-Tabla2[[#This Row],[Costos (En RD$/Tarea)]])</f>
        <v>3726.85729025504</v>
      </c>
      <c r="O2097" s="9" t="n">
        <f aca="false">IF(Tabla2[[#This Row],[Costos (En RD$/Tarea)]]=0,0,Tabla2[[#This Row],[Beneficio Neto  (En RD$/Tarea)]]/Tabla2[[#This Row],[Costos (En RD$/Tarea)]])</f>
        <v>1.76833078623929</v>
      </c>
      <c r="P2097" s="7" t="n">
        <f aca="false">Tabla2[[#This Row],[Rentabilidad (%)]]/12</f>
        <v>0.147360898853275</v>
      </c>
    </row>
    <row r="2098" customFormat="false" ht="14.25" hidden="false" customHeight="false" outlineLevel="0" collapsed="false">
      <c r="A2098" s="1" t="n">
        <v>41821</v>
      </c>
      <c r="B2098" s="2" t="s">
        <v>27</v>
      </c>
      <c r="C2098" s="3" t="n">
        <v>5682</v>
      </c>
      <c r="D2098" s="8" t="s">
        <v>17</v>
      </c>
      <c r="E2098" s="3" t="n">
        <f aca="false">IF(Tabla2[[#This Row],[Frecuencia]]="Annual", Tabla2[[#This Row],[Cosecha/Tarea]]/12,Tabla2[[#This Row],[Cosecha/Tarea]])</f>
        <v>5682</v>
      </c>
      <c r="F2098" s="3" t="n">
        <v>49773</v>
      </c>
      <c r="G2098" s="2" t="s">
        <v>18</v>
      </c>
      <c r="H2098" s="2" t="n">
        <f aca="false">F2098/Tabla2[[#This Row],[Cosecha Mensual]]</f>
        <v>8.759767687434</v>
      </c>
      <c r="I2098" s="2" t="n">
        <f aca="false">H2098*_xlfn.XLOOKUP(Tabla2[[#This Row],[Unidad de producción]],Tabla3[Medida],Tabla3[Equivalencia en Kg],"ELVIS",0)</f>
        <v>397.343062302006</v>
      </c>
      <c r="J2098" s="2" t="n">
        <v>706.5</v>
      </c>
      <c r="K2098" s="2" t="s">
        <v>18</v>
      </c>
      <c r="L2098" s="2" t="n">
        <f aca="false">J2098/_xlfn.XLOOKUP(Tabla2[[#This Row],[Unidad de precio]],Tabla3[Medida],Tabla3[Equivalencia en Kg],"ELVIS",0)</f>
        <v>15.5753968253968</v>
      </c>
      <c r="M2098" s="2" t="n">
        <v>8288.298341505</v>
      </c>
      <c r="N2098" s="3" t="n">
        <f aca="false">(Tabla2[[#This Row],[Productividad (kg/TAS)]]*Tabla2[[#This Row],[Precio por kg]]-Tabla2[[#This Row],[Costos (En RD$/Tarea)]])</f>
        <v>-2099.52247033288</v>
      </c>
      <c r="O2098" s="9" t="n">
        <f aca="false">IF(Tabla2[[#This Row],[Costos (En RD$/Tarea)]]=0,0,Tabla2[[#This Row],[Beneficio Neto  (En RD$/Tarea)]]/Tabla2[[#This Row],[Costos (En RD$/Tarea)]])</f>
        <v>-0.2533116429725</v>
      </c>
      <c r="P2098" s="7" t="n">
        <f aca="false">Tabla2[[#This Row],[Rentabilidad (%)]]/12</f>
        <v>-0.0211093035810417</v>
      </c>
    </row>
    <row r="2099" customFormat="false" ht="14.25" hidden="false" customHeight="false" outlineLevel="0" collapsed="false">
      <c r="A2099" s="1" t="n">
        <v>41821</v>
      </c>
      <c r="B2099" s="2" t="s">
        <v>28</v>
      </c>
      <c r="C2099" s="3" t="n">
        <v>85114</v>
      </c>
      <c r="D2099" s="8" t="s">
        <v>17</v>
      </c>
      <c r="E2099" s="3" t="n">
        <f aca="false">IF(Tabla2[[#This Row],[Frecuencia]]="Annual", Tabla2[[#This Row],[Cosecha/Tarea]]/12,Tabla2[[#This Row],[Cosecha/Tarea]])</f>
        <v>85114</v>
      </c>
      <c r="F2099" s="3" t="n">
        <v>122337</v>
      </c>
      <c r="G2099" s="2" t="s">
        <v>29</v>
      </c>
      <c r="H2099" s="2" t="n">
        <f aca="false">F2099/Tabla2[[#This Row],[Cosecha Mensual]]</f>
        <v>1.43733110886576</v>
      </c>
      <c r="I2099" s="2" t="n">
        <f aca="false">H2099*_xlfn.XLOOKUP(Tabla2[[#This Row],[Unidad de producción]],Tabla3[Medida],Tabla3[Equivalencia en Kg],"ELVIS",0)</f>
        <v>808.26877575957</v>
      </c>
      <c r="J2099" s="2" t="n">
        <v>9833.33333333333</v>
      </c>
      <c r="K2099" s="2" t="s">
        <v>29</v>
      </c>
      <c r="L2099" s="2" t="n">
        <f aca="false">J2099/_xlfn.XLOOKUP(Tabla2[[#This Row],[Unidad de precio]],Tabla3[Medida],Tabla3[Equivalencia en Kg],"ELVIS",0)</f>
        <v>17.4864554065749</v>
      </c>
      <c r="M2099" s="2" t="n">
        <v>7150.53423628677</v>
      </c>
      <c r="N2099" s="3" t="n">
        <f aca="false">(Tabla2[[#This Row],[Productividad (kg/TAS)]]*Tabla2[[#This Row],[Precio por kg]]-Tabla2[[#This Row],[Costos (En RD$/Tarea)]])</f>
        <v>6983.22166755983</v>
      </c>
      <c r="O2099" s="9" t="n">
        <f aca="false">IF(Tabla2[[#This Row],[Costos (En RD$/Tarea)]]=0,0,Tabla2[[#This Row],[Beneficio Neto  (En RD$/Tarea)]]/Tabla2[[#This Row],[Costos (En RD$/Tarea)]])</f>
        <v>0.97660138904337</v>
      </c>
      <c r="P2099" s="7" t="n">
        <f aca="false">Tabla2[[#This Row],[Rentabilidad (%)]]/12</f>
        <v>0.0813834490869475</v>
      </c>
    </row>
    <row r="2100" customFormat="false" ht="14.25" hidden="false" customHeight="false" outlineLevel="0" collapsed="false">
      <c r="A2100" s="1" t="n">
        <v>41821</v>
      </c>
      <c r="B2100" s="2" t="s">
        <v>30</v>
      </c>
      <c r="C2100" s="3" t="n">
        <v>417025</v>
      </c>
      <c r="D2100" s="3" t="s">
        <v>31</v>
      </c>
      <c r="E2100" s="3" t="n">
        <f aca="false">IF(Tabla2[[#This Row],[Frecuencia]]="Annual", Tabla2[[#This Row],[Cosecha/Tarea]]/12,Tabla2[[#This Row],[Cosecha/Tarea]])</f>
        <v>34752.0833333333</v>
      </c>
      <c r="F2100" s="3" t="n">
        <v>3564224</v>
      </c>
      <c r="G2100" s="2" t="s">
        <v>32</v>
      </c>
      <c r="H2100" s="2" t="n">
        <f aca="false">F2100/Tabla2[[#This Row],[Cosecha Mensual]]</f>
        <v>102.561448354415</v>
      </c>
      <c r="I2100" s="2" t="n">
        <f aca="false">H2100*_xlfn.XLOOKUP(Tabla2[[#This Row],[Unidad de producción]],Tabla3[Medida],Tabla3[Equivalencia en Kg],"ELVIS",0)</f>
        <v>2790.69700972364</v>
      </c>
      <c r="J2100" s="2" t="n">
        <v>124.985833333333</v>
      </c>
      <c r="K2100" s="2" t="s">
        <v>32</v>
      </c>
      <c r="L2100" s="2" t="n">
        <f aca="false">J2100/_xlfn.XLOOKUP(Tabla2[[#This Row],[Unidad de precio]],Tabla3[Medida],Tabla3[Equivalencia en Kg],"ELVIS",0)</f>
        <v>4.59337865980643</v>
      </c>
      <c r="M2100" s="3" t="n">
        <v>12538.8969859716</v>
      </c>
      <c r="N2100" s="3" t="n">
        <f aca="false">(Tabla2[[#This Row],[Productividad (kg/TAS)]]*Tabla2[[#This Row],[Precio por kg]]-Tabla2[[#This Row],[Costos (En RD$/Tarea)]])</f>
        <v>279.831104478579</v>
      </c>
      <c r="O2100" s="9" t="n">
        <f aca="false">IF(Tabla2[[#This Row],[Costos (En RD$/Tarea)]]=0,0,Tabla2[[#This Row],[Beneficio Neto  (En RD$/Tarea)]]/Tabla2[[#This Row],[Costos (En RD$/Tarea)]])</f>
        <v>0.0223170431012912</v>
      </c>
      <c r="P2100" s="7" t="n">
        <f aca="false">Tabla2[[#This Row],[Rentabilidad (%)]]/12</f>
        <v>0.00185975359177427</v>
      </c>
    </row>
    <row r="2101" customFormat="false" ht="14.25" hidden="false" customHeight="false" outlineLevel="0" collapsed="false">
      <c r="A2101" s="1" t="n">
        <v>41821</v>
      </c>
      <c r="B2101" s="2" t="s">
        <v>33</v>
      </c>
      <c r="C2101" s="3" t="n">
        <v>770267</v>
      </c>
      <c r="D2101" s="3" t="s">
        <v>31</v>
      </c>
      <c r="E2101" s="11" t="n">
        <f aca="false">IF(Tabla2[[#This Row],[Frecuencia]]="Annual", Tabla2[[#This Row],[Cosecha/Tarea]]/12,Tabla2[[#This Row],[Cosecha/Tarea]])</f>
        <v>64188.9166666667</v>
      </c>
      <c r="F2101" s="3" t="n">
        <v>298408</v>
      </c>
      <c r="G2101" s="2" t="s">
        <v>34</v>
      </c>
      <c r="H2101" s="2" t="n">
        <f aca="false">F2101/Tabla2[[#This Row],[Cosecha Mensual]]</f>
        <v>4.64890226376049</v>
      </c>
      <c r="I2101" s="2" t="n">
        <f aca="false">H2101*_xlfn.XLOOKUP(Tabla2[[#This Row],[Unidad de producción]],Tabla3[Medida],Tabla3[Equivalencia en Kg],"ELVIS",0)</f>
        <v>1897.44945895384</v>
      </c>
      <c r="J2101" s="2" t="n">
        <v>4129.11111111111</v>
      </c>
      <c r="K2101" s="2" t="s">
        <v>34</v>
      </c>
      <c r="L2101" s="2" t="n">
        <f aca="false">J2101/_xlfn.XLOOKUP(Tabla2[[#This Row],[Unidad de precio]],Tabla3[Medida],Tabla3[Equivalencia en Kg],"ELVIS",0)</f>
        <v>10.1166510133802</v>
      </c>
      <c r="M2101" s="3" t="n">
        <v>12054.0166317253</v>
      </c>
      <c r="N2101" s="3" t="n">
        <f aca="false">(Tabla2[[#This Row],[Productividad (kg/TAS)]]*Tabla2[[#This Row],[Precio por kg]]-Tabla2[[#This Row],[Costos (En RD$/Tarea)]])</f>
        <v>7141.81736003773</v>
      </c>
      <c r="O2101" s="9" t="n">
        <f aca="false">IF(Tabla2[[#This Row],[Costos (En RD$/Tarea)]]=0,0,Tabla2[[#This Row],[Beneficio Neto  (En RD$/Tarea)]]/Tabla2[[#This Row],[Costos (En RD$/Tarea)]])</f>
        <v>0.592484445495204</v>
      </c>
      <c r="P2101" s="7" t="n">
        <f aca="false">Tabla2[[#This Row],[Rentabilidad (%)]]/12</f>
        <v>0.049373703791267</v>
      </c>
    </row>
    <row r="2102" customFormat="false" ht="14.25" hidden="false" customHeight="false" outlineLevel="0" collapsed="false">
      <c r="A2102" s="1" t="n">
        <v>41852</v>
      </c>
      <c r="B2102" s="2" t="s">
        <v>16</v>
      </c>
      <c r="C2102" s="3" t="n">
        <v>76460</v>
      </c>
      <c r="D2102" s="8" t="s">
        <v>17</v>
      </c>
      <c r="E2102" s="3" t="n">
        <f aca="false">IF(Tabla2[[#This Row],[Frecuencia]]="Annual", Tabla2[[#This Row],[Cosecha/Tarea]]/12,Tabla2[[#This Row],[Cosecha/Tarea]])</f>
        <v>76460</v>
      </c>
      <c r="F2102" s="3" t="n">
        <v>329162</v>
      </c>
      <c r="G2102" s="2" t="s">
        <v>18</v>
      </c>
      <c r="H2102" s="2" t="n">
        <f aca="false">F2102/Tabla2[[#This Row],[Cosecha Mensual]]</f>
        <v>4.30502223384776</v>
      </c>
      <c r="I2102" s="2" t="n">
        <f aca="false">H2102*_xlfn.XLOOKUP(Tabla2[[#This Row],[Unidad de producción]],Tabla3[Medida],Tabla3[Equivalencia en Kg],"ELVIS",0)</f>
        <v>195.275808527335</v>
      </c>
      <c r="J2102" s="2" t="n">
        <v>1811.62654225352</v>
      </c>
      <c r="K2102" s="2" t="s">
        <v>19</v>
      </c>
      <c r="L2102" s="2" t="n">
        <f aca="false">J2102/_xlfn.XLOOKUP(Tabla2[[#This Row],[Unidad de precio]],Tabla3[Medida],Tabla3[Equivalencia en Kg],"ELVIS",0)</f>
        <v>16.4693322023047</v>
      </c>
      <c r="M2102" s="2" t="n">
        <v>7973.24325841281</v>
      </c>
      <c r="N2102" s="3" t="n">
        <f aca="false">(Tabla2[[#This Row],[Productividad (kg/TAS)]]*Tabla2[[#This Row],[Precio por kg]]-Tabla2[[#This Row],[Costos (En RD$/Tarea)]])</f>
        <v>-4757.18109670249</v>
      </c>
      <c r="O2102" s="9" t="n">
        <f aca="false">IF(Tabla2[[#This Row],[Costos (En RD$/Tarea)]]=0,0,Tabla2[[#This Row],[Beneficio Neto  (En RD$/Tarea)]]/Tabla2[[#This Row],[Costos (En RD$/Tarea)]])</f>
        <v>-0.596643165462567</v>
      </c>
      <c r="P2102" s="7" t="n">
        <f aca="false">Tabla2[[#This Row],[Rentabilidad (%)]]/12</f>
        <v>-0.0497202637885472</v>
      </c>
    </row>
    <row r="2103" customFormat="false" ht="14.25" hidden="false" customHeight="false" outlineLevel="0" collapsed="false">
      <c r="A2103" s="1" t="n">
        <v>41852</v>
      </c>
      <c r="B2103" s="2" t="s">
        <v>20</v>
      </c>
      <c r="C2103" s="3" t="n">
        <v>53672</v>
      </c>
      <c r="D2103" s="8" t="s">
        <v>17</v>
      </c>
      <c r="E2103" s="3" t="n">
        <f aca="false">IF(Tabla2[[#This Row],[Frecuencia]]="Annual", Tabla2[[#This Row],[Cosecha/Tarea]]/12,Tabla2[[#This Row],[Cosecha/Tarea]])</f>
        <v>53672</v>
      </c>
      <c r="F2103" s="3" t="n">
        <v>91943</v>
      </c>
      <c r="G2103" s="2" t="s">
        <v>18</v>
      </c>
      <c r="H2103" s="2" t="n">
        <f aca="false">F2103/Tabla2[[#This Row],[Cosecha Mensual]]</f>
        <v>1.71305336115666</v>
      </c>
      <c r="I2103" s="2" t="n">
        <f aca="false">H2103*_xlfn.XLOOKUP(Tabla2[[#This Row],[Unidad de producción]],Tabla3[Medida],Tabla3[Equivalencia en Kg],"ELVIS",0)</f>
        <v>77.7041004620659</v>
      </c>
      <c r="J2103" s="2" t="n">
        <v>711.341428571429</v>
      </c>
      <c r="K2103" s="2" t="s">
        <v>18</v>
      </c>
      <c r="L2103" s="2" t="n">
        <f aca="false">J2103/_xlfn.XLOOKUP(Tabla2[[#This Row],[Unidad de precio]],Tabla3[Medida],Tabla3[Equivalencia en Kg],"ELVIS",0)</f>
        <v>15.6821302595112</v>
      </c>
      <c r="M2103" s="2" t="n">
        <v>2447.4016476</v>
      </c>
      <c r="N2103" s="3" t="n">
        <f aca="false">(Tabla2[[#This Row],[Productividad (kg/TAS)]]*Tabla2[[#This Row],[Precio por kg]]-Tabla2[[#This Row],[Costos (En RD$/Tarea)]])</f>
        <v>-1228.83582245574</v>
      </c>
      <c r="O2103" s="9" t="n">
        <f aca="false">IF(Tabla2[[#This Row],[Costos (En RD$/Tarea)]]=0,0,Tabla2[[#This Row],[Beneficio Neto  (En RD$/Tarea)]]/Tabla2[[#This Row],[Costos (En RD$/Tarea)]])</f>
        <v>-0.502098143008432</v>
      </c>
      <c r="P2103" s="7" t="n">
        <f aca="false">Tabla2[[#This Row],[Rentabilidad (%)]]/12</f>
        <v>-0.0418415119173693</v>
      </c>
    </row>
    <row r="2104" customFormat="false" ht="14.25" hidden="false" customHeight="false" outlineLevel="0" collapsed="false">
      <c r="A2104" s="1" t="n">
        <v>41852</v>
      </c>
      <c r="B2104" s="2" t="s">
        <v>21</v>
      </c>
      <c r="C2104" s="3" t="n">
        <v>5828</v>
      </c>
      <c r="D2104" s="8" t="s">
        <v>17</v>
      </c>
      <c r="E2104" s="3" t="n">
        <f aca="false">IF(Tabla2[[#This Row],[Frecuencia]]="Annual", Tabla2[[#This Row],[Cosecha/Tarea]]/12,Tabla2[[#This Row],[Cosecha/Tarea]])</f>
        <v>5828</v>
      </c>
      <c r="F2104" s="3" t="n">
        <v>71356</v>
      </c>
      <c r="G2104" s="2" t="s">
        <v>18</v>
      </c>
      <c r="H2104" s="2" t="n">
        <f aca="false">F2104/Tabla2[[#This Row],[Cosecha Mensual]]</f>
        <v>12.2436513383665</v>
      </c>
      <c r="I2104" s="2" t="n">
        <f aca="false">H2104*_xlfn.XLOOKUP(Tabla2[[#This Row],[Unidad de producción]],Tabla3[Medida],Tabla3[Equivalencia en Kg],"ELVIS",0)</f>
        <v>555.372024708305</v>
      </c>
      <c r="J2104" s="2" t="n">
        <v>370.805166666667</v>
      </c>
      <c r="K2104" s="2" t="s">
        <v>18</v>
      </c>
      <c r="L2104" s="2" t="n">
        <f aca="false">J2104/_xlfn.XLOOKUP(Tabla2[[#This Row],[Unidad de precio]],Tabla3[Medida],Tabla3[Equivalencia en Kg],"ELVIS",0)</f>
        <v>8.17471707818931</v>
      </c>
      <c r="M2104" s="2" t="n">
        <v>5243.9203425</v>
      </c>
      <c r="N2104" s="3" t="n">
        <f aca="false">(Tabla2[[#This Row],[Productividad (kg/TAS)]]*Tabla2[[#This Row],[Precio por kg]]-Tabla2[[#This Row],[Costos (En RD$/Tarea)]])</f>
        <v>-703.911167368447</v>
      </c>
      <c r="O2104" s="9" t="n">
        <f aca="false">IF(Tabla2[[#This Row],[Costos (En RD$/Tarea)]]=0,0,Tabla2[[#This Row],[Beneficio Neto  (En RD$/Tarea)]]/Tabla2[[#This Row],[Costos (En RD$/Tarea)]])</f>
        <v>-0.134233764320086</v>
      </c>
      <c r="P2104" s="7" t="n">
        <f aca="false">Tabla2[[#This Row],[Rentabilidad (%)]]/12</f>
        <v>-0.0111861470266738</v>
      </c>
    </row>
    <row r="2105" customFormat="false" ht="14.25" hidden="false" customHeight="false" outlineLevel="0" collapsed="false">
      <c r="A2105" s="1" t="n">
        <v>41852</v>
      </c>
      <c r="B2105" s="2" t="s">
        <v>22</v>
      </c>
      <c r="C2105" s="3" t="n">
        <v>5279</v>
      </c>
      <c r="D2105" s="8" t="s">
        <v>17</v>
      </c>
      <c r="E2105" s="3" t="n">
        <f aca="false">IF(Tabla2[[#This Row],[Frecuencia]]="Annual", Tabla2[[#This Row],[Cosecha/Tarea]]/12,Tabla2[[#This Row],[Cosecha/Tarea]])</f>
        <v>5279</v>
      </c>
      <c r="F2105" s="3" t="n">
        <v>39261</v>
      </c>
      <c r="G2105" s="2" t="s">
        <v>18</v>
      </c>
      <c r="H2105" s="2" t="n">
        <f aca="false">F2105/Tabla2[[#This Row],[Cosecha Mensual]]</f>
        <v>7.43720401591211</v>
      </c>
      <c r="I2105" s="2" t="n">
        <f aca="false">H2105*_xlfn.XLOOKUP(Tabla2[[#This Row],[Unidad de producción]],Tabla3[Medida],Tabla3[Equivalencia en Kg],"ELVIS",0)</f>
        <v>337.351574161773</v>
      </c>
      <c r="J2105" s="2" t="n">
        <v>957.916666666667</v>
      </c>
      <c r="K2105" s="2" t="s">
        <v>18</v>
      </c>
      <c r="L2105" s="2" t="n">
        <f aca="false">J2105/_xlfn.XLOOKUP(Tabla2[[#This Row],[Unidad de precio]],Tabla3[Medida],Tabla3[Equivalencia en Kg],"ELVIS",0)</f>
        <v>21.1180922986479</v>
      </c>
      <c r="M2105" s="2" t="n">
        <v>9418.5442176</v>
      </c>
      <c r="N2105" s="3" t="n">
        <f aca="false">(Tabla2[[#This Row],[Productividad (kg/TAS)]]*Tabla2[[#This Row],[Precio por kg]]-Tabla2[[#This Row],[Costos (En RD$/Tarea)]])</f>
        <v>-2294.32253735753</v>
      </c>
      <c r="O2105" s="9" t="n">
        <f aca="false">IF(Tabla2[[#This Row],[Costos (En RD$/Tarea)]]=0,0,Tabla2[[#This Row],[Beneficio Neto  (En RD$/Tarea)]]/Tabla2[[#This Row],[Costos (En RD$/Tarea)]])</f>
        <v>-0.243596301546287</v>
      </c>
      <c r="P2105" s="7" t="n">
        <f aca="false">Tabla2[[#This Row],[Rentabilidad (%)]]/12</f>
        <v>-0.0202996917955239</v>
      </c>
    </row>
    <row r="2106" customFormat="false" ht="14.25" hidden="false" customHeight="false" outlineLevel="0" collapsed="false">
      <c r="A2106" s="1" t="n">
        <v>41852</v>
      </c>
      <c r="B2106" s="2" t="s">
        <v>23</v>
      </c>
      <c r="C2106" s="3" t="n">
        <v>2479</v>
      </c>
      <c r="D2106" s="8" t="s">
        <v>17</v>
      </c>
      <c r="E2106" s="3" t="n">
        <f aca="false">IF(Tabla2[[#This Row],[Frecuencia]]="Annual", Tabla2[[#This Row],[Cosecha/Tarea]]/12,Tabla2[[#This Row],[Cosecha/Tarea]])</f>
        <v>2479</v>
      </c>
      <c r="F2106" s="3" t="n">
        <v>100560</v>
      </c>
      <c r="G2106" s="2" t="s">
        <v>18</v>
      </c>
      <c r="H2106" s="2" t="n">
        <f aca="false">F2106/Tabla2[[#This Row],[Cosecha Mensual]]</f>
        <v>40.5647438483259</v>
      </c>
      <c r="I2106" s="2" t="n">
        <f aca="false">H2106*_xlfn.XLOOKUP(Tabla2[[#This Row],[Unidad de producción]],Tabla3[Medida],Tabla3[Equivalencia en Kg],"ELVIS",0)</f>
        <v>1840.01678096006</v>
      </c>
      <c r="J2106" s="2" t="n">
        <v>931.056666666667</v>
      </c>
      <c r="K2106" s="2" t="s">
        <v>18</v>
      </c>
      <c r="L2106" s="2" t="n">
        <f aca="false">J2106/_xlfn.XLOOKUP(Tabla2[[#This Row],[Unidad de precio]],Tabla3[Medida],Tabla3[Equivalencia en Kg],"ELVIS",0)</f>
        <v>20.5259406231629</v>
      </c>
      <c r="M2106" s="2" t="n">
        <v>26184.1693466859</v>
      </c>
      <c r="N2106" s="3" t="n">
        <f aca="false">(Tabla2[[#This Row],[Productividad (kg/TAS)]]*Tabla2[[#This Row],[Precio por kg]]-Tabla2[[#This Row],[Costos (En RD$/Tarea)]])</f>
        <v>11583.9058449236</v>
      </c>
      <c r="O2106" s="9" t="n">
        <f aca="false">IF(Tabla2[[#This Row],[Costos (En RD$/Tarea)]]=0,0,Tabla2[[#This Row],[Beneficio Neto  (En RD$/Tarea)]]/Tabla2[[#This Row],[Costos (En RD$/Tarea)]])</f>
        <v>0.442401119987784</v>
      </c>
      <c r="P2106" s="7" t="n">
        <f aca="false">Tabla2[[#This Row],[Rentabilidad (%)]]/12</f>
        <v>0.036866759998982</v>
      </c>
    </row>
    <row r="2107" customFormat="false" ht="14.25" hidden="false" customHeight="false" outlineLevel="0" collapsed="false">
      <c r="A2107" s="1" t="n">
        <v>41852</v>
      </c>
      <c r="B2107" s="2" t="s">
        <v>24</v>
      </c>
      <c r="C2107" s="3" t="n">
        <v>4875</v>
      </c>
      <c r="D2107" s="8" t="s">
        <v>17</v>
      </c>
      <c r="E2107" s="3" t="n">
        <f aca="false">IF(Tabla2[[#This Row],[Frecuencia]]="Annual", Tabla2[[#This Row],[Cosecha/Tarea]]/12,Tabla2[[#This Row],[Cosecha/Tarea]])</f>
        <v>4875</v>
      </c>
      <c r="F2107" s="3" t="n">
        <v>50810</v>
      </c>
      <c r="G2107" s="2" t="s">
        <v>18</v>
      </c>
      <c r="H2107" s="2" t="n">
        <f aca="false">F2107/Tabla2[[#This Row],[Cosecha Mensual]]</f>
        <v>10.4225641025641</v>
      </c>
      <c r="I2107" s="2" t="n">
        <f aca="false">H2107*_xlfn.XLOOKUP(Tabla2[[#This Row],[Unidad de producción]],Tabla3[Medida],Tabla3[Equivalencia en Kg],"ELVIS",0)</f>
        <v>472.767507692308</v>
      </c>
      <c r="J2107" s="2" t="n">
        <v>1403.19</v>
      </c>
      <c r="K2107" s="2" t="s">
        <v>18</v>
      </c>
      <c r="L2107" s="2" t="n">
        <f aca="false">J2107/_xlfn.XLOOKUP(Tabla2[[#This Row],[Unidad de precio]],Tabla3[Medida],Tabla3[Equivalencia en Kg],"ELVIS",0)</f>
        <v>30.9345238095238</v>
      </c>
      <c r="M2107" s="2" t="n">
        <v>9105.98860416</v>
      </c>
      <c r="N2107" s="3" t="n">
        <f aca="false">(Tabla2[[#This Row],[Productividad (kg/TAS)]]*Tabla2[[#This Row],[Precio por kg]]-Tabla2[[#This Row],[Costos (En RD$/Tarea)]])</f>
        <v>5518.84911891692</v>
      </c>
      <c r="O2107" s="9" t="n">
        <f aca="false">IF(Tabla2[[#This Row],[Costos (En RD$/Tarea)]]=0,0,Tabla2[[#This Row],[Beneficio Neto  (En RD$/Tarea)]]/Tabla2[[#This Row],[Costos (En RD$/Tarea)]])</f>
        <v>0.606068089783868</v>
      </c>
      <c r="P2107" s="7" t="n">
        <f aca="false">Tabla2[[#This Row],[Rentabilidad (%)]]/12</f>
        <v>0.0505056741486557</v>
      </c>
    </row>
    <row r="2108" customFormat="false" ht="14.25" hidden="false" customHeight="false" outlineLevel="0" collapsed="false">
      <c r="A2108" s="1" t="n">
        <v>41852</v>
      </c>
      <c r="B2108" s="2" t="s">
        <v>25</v>
      </c>
      <c r="C2108" s="3" t="n">
        <v>29613</v>
      </c>
      <c r="D2108" s="8" t="s">
        <v>17</v>
      </c>
      <c r="E2108" s="3" t="n">
        <f aca="false">IF(Tabla2[[#This Row],[Frecuencia]]="Annual", Tabla2[[#This Row],[Cosecha/Tarea]]/12,Tabla2[[#This Row],[Cosecha/Tarea]])</f>
        <v>29613</v>
      </c>
      <c r="F2108" s="3" t="n">
        <v>281822</v>
      </c>
      <c r="G2108" s="2" t="s">
        <v>18</v>
      </c>
      <c r="H2108" s="2" t="n">
        <f aca="false">F2108/Tabla2[[#This Row],[Cosecha Mensual]]</f>
        <v>9.51683382298315</v>
      </c>
      <c r="I2108" s="2" t="n">
        <f aca="false">H2108*_xlfn.XLOOKUP(Tabla2[[#This Row],[Unidad de producción]],Tabla3[Medida],Tabla3[Equivalencia en Kg],"ELVIS",0)</f>
        <v>431.683582210516</v>
      </c>
      <c r="J2108" s="2" t="n">
        <v>294.81075</v>
      </c>
      <c r="K2108" s="2" t="s">
        <v>18</v>
      </c>
      <c r="L2108" s="2" t="n">
        <f aca="false">J2108/_xlfn.XLOOKUP(Tabla2[[#This Row],[Unidad de precio]],Tabla3[Medida],Tabla3[Equivalencia en Kg],"ELVIS",0)</f>
        <v>6.49935515873016</v>
      </c>
      <c r="M2108" s="2" t="n">
        <v>4871.66870431878</v>
      </c>
      <c r="N2108" s="3" t="n">
        <f aca="false">(Tabla2[[#This Row],[Productividad (kg/TAS)]]*Tabla2[[#This Row],[Precio por kg]]-Tabla2[[#This Row],[Costos (En RD$/Tarea)]])</f>
        <v>-2066.00378733975</v>
      </c>
      <c r="O2108" s="9" t="n">
        <f aca="false">IF(Tabla2[[#This Row],[Costos (En RD$/Tarea)]]=0,0,Tabla2[[#This Row],[Beneficio Neto  (En RD$/Tarea)]]/Tabla2[[#This Row],[Costos (En RD$/Tarea)]])</f>
        <v>-0.424085444379298</v>
      </c>
      <c r="P2108" s="7" t="n">
        <f aca="false">Tabla2[[#This Row],[Rentabilidad (%)]]/12</f>
        <v>-0.0353404536982749</v>
      </c>
    </row>
    <row r="2109" customFormat="false" ht="14.25" hidden="false" customHeight="false" outlineLevel="0" collapsed="false">
      <c r="A2109" s="1" t="n">
        <v>41852</v>
      </c>
      <c r="B2109" s="2" t="s">
        <v>26</v>
      </c>
      <c r="C2109" s="3" t="n">
        <v>10644</v>
      </c>
      <c r="D2109" s="8" t="s">
        <v>17</v>
      </c>
      <c r="E2109" s="3" t="n">
        <f aca="false">IF(Tabla2[[#This Row],[Frecuencia]]="Annual", Tabla2[[#This Row],[Cosecha/Tarea]]/12,Tabla2[[#This Row],[Cosecha/Tarea]])</f>
        <v>10644</v>
      </c>
      <c r="F2109" s="3" t="n">
        <v>66921</v>
      </c>
      <c r="G2109" s="2" t="s">
        <v>18</v>
      </c>
      <c r="H2109" s="2" t="n">
        <f aca="false">F2109/Tabla2[[#This Row],[Cosecha Mensual]]</f>
        <v>6.28720405862458</v>
      </c>
      <c r="I2109" s="2" t="n">
        <f aca="false">H2109*_xlfn.XLOOKUP(Tabla2[[#This Row],[Unidad de producción]],Tabla3[Medida],Tabla3[Equivalencia en Kg],"ELVIS",0)</f>
        <v>285.187576099211</v>
      </c>
      <c r="J2109" s="2" t="n">
        <v>834.325714285714</v>
      </c>
      <c r="K2109" s="2" t="s">
        <v>18</v>
      </c>
      <c r="L2109" s="2" t="n">
        <f aca="false">J2109/_xlfn.XLOOKUP(Tabla2[[#This Row],[Unidad de precio]],Tabla3[Medida],Tabla3[Equivalencia en Kg],"ELVIS",0)</f>
        <v>18.3934240362812</v>
      </c>
      <c r="M2109" s="2" t="n">
        <v>2107.55664</v>
      </c>
      <c r="N2109" s="3" t="n">
        <f aca="false">(Tabla2[[#This Row],[Productividad (kg/TAS)]]*Tabla2[[#This Row],[Precio por kg]]-Tabla2[[#This Row],[Costos (En RD$/Tarea)]])</f>
        <v>3138.01937707199</v>
      </c>
      <c r="O2109" s="9" t="n">
        <f aca="false">IF(Tabla2[[#This Row],[Costos (En RD$/Tarea)]]=0,0,Tabla2[[#This Row],[Beneficio Neto  (En RD$/Tarea)]]/Tabla2[[#This Row],[Costos (En RD$/Tarea)]])</f>
        <v>1.48893715002221</v>
      </c>
      <c r="P2109" s="7" t="n">
        <f aca="false">Tabla2[[#This Row],[Rentabilidad (%)]]/12</f>
        <v>0.124078095835184</v>
      </c>
    </row>
    <row r="2110" customFormat="false" ht="14.25" hidden="false" customHeight="false" outlineLevel="0" collapsed="false">
      <c r="A2110" s="1" t="n">
        <v>41852</v>
      </c>
      <c r="B2110" s="2" t="s">
        <v>27</v>
      </c>
      <c r="C2110" s="3" t="n">
        <v>4967</v>
      </c>
      <c r="D2110" s="8" t="s">
        <v>17</v>
      </c>
      <c r="E2110" s="3" t="n">
        <f aca="false">IF(Tabla2[[#This Row],[Frecuencia]]="Annual", Tabla2[[#This Row],[Cosecha/Tarea]]/12,Tabla2[[#This Row],[Cosecha/Tarea]])</f>
        <v>4967</v>
      </c>
      <c r="F2110" s="3" t="n">
        <v>45038</v>
      </c>
      <c r="G2110" s="2" t="s">
        <v>18</v>
      </c>
      <c r="H2110" s="2" t="n">
        <f aca="false">F2110/Tabla2[[#This Row],[Cosecha Mensual]]</f>
        <v>9.06744513791021</v>
      </c>
      <c r="I2110" s="2" t="n">
        <f aca="false">H2110*_xlfn.XLOOKUP(Tabla2[[#This Row],[Unidad de producción]],Tabla3[Medida],Tabla3[Equivalencia en Kg],"ELVIS",0)</f>
        <v>411.299311455607</v>
      </c>
      <c r="J2110" s="2" t="n">
        <v>801.705714285714</v>
      </c>
      <c r="K2110" s="2" t="s">
        <v>18</v>
      </c>
      <c r="L2110" s="2" t="n">
        <f aca="false">J2110/_xlfn.XLOOKUP(Tabla2[[#This Row],[Unidad de precio]],Tabla3[Medida],Tabla3[Equivalencia en Kg],"ELVIS",0)</f>
        <v>17.674288233812</v>
      </c>
      <c r="M2110" s="2" t="n">
        <v>8288.298341505</v>
      </c>
      <c r="N2110" s="3" t="n">
        <f aca="false">(Tabla2[[#This Row],[Productividad (kg/TAS)]]*Tabla2[[#This Row],[Precio por kg]]-Tabla2[[#This Row],[Costos (En RD$/Tarea)]])</f>
        <v>-1018.87576047017</v>
      </c>
      <c r="O2110" s="9" t="n">
        <f aca="false">IF(Tabla2[[#This Row],[Costos (En RD$/Tarea)]]=0,0,Tabla2[[#This Row],[Beneficio Neto  (En RD$/Tarea)]]/Tabla2[[#This Row],[Costos (En RD$/Tarea)]])</f>
        <v>-0.122929426341712</v>
      </c>
      <c r="P2110" s="7" t="n">
        <f aca="false">Tabla2[[#This Row],[Rentabilidad (%)]]/12</f>
        <v>-0.0102441188618093</v>
      </c>
    </row>
    <row r="2111" customFormat="false" ht="14.25" hidden="false" customHeight="false" outlineLevel="0" collapsed="false">
      <c r="A2111" s="1" t="n">
        <v>41852</v>
      </c>
      <c r="B2111" s="2" t="s">
        <v>28</v>
      </c>
      <c r="C2111" s="3" t="n">
        <v>71362</v>
      </c>
      <c r="D2111" s="8" t="s">
        <v>17</v>
      </c>
      <c r="E2111" s="3" t="n">
        <f aca="false">IF(Tabla2[[#This Row],[Frecuencia]]="Annual", Tabla2[[#This Row],[Cosecha/Tarea]]/12,Tabla2[[#This Row],[Cosecha/Tarea]])</f>
        <v>71362</v>
      </c>
      <c r="F2111" s="3" t="n">
        <v>154287</v>
      </c>
      <c r="G2111" s="2" t="s">
        <v>29</v>
      </c>
      <c r="H2111" s="2" t="n">
        <f aca="false">F2111/Tabla2[[#This Row],[Cosecha Mensual]]</f>
        <v>2.16203301476977</v>
      </c>
      <c r="I2111" s="2" t="n">
        <f aca="false">H2111*_xlfn.XLOOKUP(Tabla2[[#This Row],[Unidad de producción]],Tabla3[Medida],Tabla3[Equivalencia en Kg],"ELVIS",0)</f>
        <v>1215.79764552563</v>
      </c>
      <c r="J2111" s="2" t="n">
        <v>5361.11166666667</v>
      </c>
      <c r="K2111" s="2" t="s">
        <v>29</v>
      </c>
      <c r="L2111" s="2" t="n">
        <f aca="false">J2111/_xlfn.XLOOKUP(Tabla2[[#This Row],[Unidad de precio]],Tabla3[Medida],Tabla3[Equivalencia en Kg],"ELVIS",0)</f>
        <v>9.53357695818663</v>
      </c>
      <c r="M2111" s="2" t="n">
        <v>7150.53423628677</v>
      </c>
      <c r="N2111" s="3" t="n">
        <f aca="false">(Tabla2[[#This Row],[Productividad (kg/TAS)]]*Tabla2[[#This Row],[Precio por kg]]-Tabla2[[#This Row],[Costos (En RD$/Tarea)]])</f>
        <v>4440.36618291393</v>
      </c>
      <c r="O2111" s="9" t="n">
        <f aca="false">IF(Tabla2[[#This Row],[Costos (En RD$/Tarea)]]=0,0,Tabla2[[#This Row],[Beneficio Neto  (En RD$/Tarea)]]/Tabla2[[#This Row],[Costos (En RD$/Tarea)]])</f>
        <v>0.620983836477621</v>
      </c>
      <c r="P2111" s="7" t="n">
        <f aca="false">Tabla2[[#This Row],[Rentabilidad (%)]]/12</f>
        <v>0.0517486530398018</v>
      </c>
    </row>
    <row r="2112" customFormat="false" ht="14.25" hidden="false" customHeight="false" outlineLevel="0" collapsed="false">
      <c r="A2112" s="1" t="n">
        <v>41852</v>
      </c>
      <c r="B2112" s="2" t="s">
        <v>30</v>
      </c>
      <c r="C2112" s="3" t="n">
        <v>416483</v>
      </c>
      <c r="D2112" s="3" t="s">
        <v>31</v>
      </c>
      <c r="E2112" s="3" t="n">
        <f aca="false">IF(Tabla2[[#This Row],[Frecuencia]]="Annual", Tabla2[[#This Row],[Cosecha/Tarea]]/12,Tabla2[[#This Row],[Cosecha/Tarea]])</f>
        <v>34706.9166666667</v>
      </c>
      <c r="F2112" s="3" t="n">
        <v>3471133</v>
      </c>
      <c r="G2112" s="2" t="s">
        <v>32</v>
      </c>
      <c r="H2112" s="2" t="n">
        <f aca="false">F2112/Tabla2[[#This Row],[Cosecha Mensual]]</f>
        <v>100.012716005215</v>
      </c>
      <c r="I2112" s="2" t="n">
        <f aca="false">H2112*_xlfn.XLOOKUP(Tabla2[[#This Row],[Unidad de producción]],Tabla3[Medida],Tabla3[Equivalencia en Kg],"ELVIS",0)</f>
        <v>2721.3460025019</v>
      </c>
      <c r="J2112" s="2" t="n">
        <v>132.388571428571</v>
      </c>
      <c r="K2112" s="2" t="s">
        <v>32</v>
      </c>
      <c r="L2112" s="2" t="n">
        <f aca="false">J2112/_xlfn.XLOOKUP(Tabla2[[#This Row],[Unidad de precio]],Tabla3[Medida],Tabla3[Equivalencia en Kg],"ELVIS",0)</f>
        <v>4.8654381267391</v>
      </c>
      <c r="M2112" s="3" t="n">
        <v>12538.8969859716</v>
      </c>
      <c r="N2112" s="3" t="n">
        <f aca="false">(Tabla2[[#This Row],[Productividad (kg/TAS)]]*Tabla2[[#This Row],[Precio por kg]]-Tabla2[[#This Row],[Costos (En RD$/Tarea)]])</f>
        <v>701.643610650206</v>
      </c>
      <c r="O2112" s="9" t="n">
        <f aca="false">IF(Tabla2[[#This Row],[Costos (En RD$/Tarea)]]=0,0,Tabla2[[#This Row],[Beneficio Neto  (En RD$/Tarea)]]/Tabla2[[#This Row],[Costos (En RD$/Tarea)]])</f>
        <v>0.0559573630308311</v>
      </c>
      <c r="P2112" s="7" t="n">
        <f aca="false">Tabla2[[#This Row],[Rentabilidad (%)]]/12</f>
        <v>0.00466311358590259</v>
      </c>
    </row>
    <row r="2113" customFormat="false" ht="14.25" hidden="false" customHeight="false" outlineLevel="0" collapsed="false">
      <c r="A2113" s="1" t="n">
        <v>41852</v>
      </c>
      <c r="B2113" s="2" t="s">
        <v>33</v>
      </c>
      <c r="C2113" s="3" t="n">
        <v>776949</v>
      </c>
      <c r="D2113" s="3" t="s">
        <v>31</v>
      </c>
      <c r="E2113" s="11" t="n">
        <f aca="false">IF(Tabla2[[#This Row],[Frecuencia]]="Annual", Tabla2[[#This Row],[Cosecha/Tarea]]/12,Tabla2[[#This Row],[Cosecha/Tarea]])</f>
        <v>64745.75</v>
      </c>
      <c r="F2113" s="3" t="n">
        <v>215521</v>
      </c>
      <c r="G2113" s="2" t="s">
        <v>34</v>
      </c>
      <c r="H2113" s="2" t="n">
        <f aca="false">F2113/Tabla2[[#This Row],[Cosecha Mensual]]</f>
        <v>3.3287281404571</v>
      </c>
      <c r="I2113" s="2" t="n">
        <f aca="false">H2113*_xlfn.XLOOKUP(Tabla2[[#This Row],[Unidad de producción]],Tabla3[Medida],Tabla3[Equivalencia en Kg],"ELVIS",0)</f>
        <v>1358.62039052756</v>
      </c>
      <c r="J2113" s="2" t="n">
        <v>4136.26333333333</v>
      </c>
      <c r="K2113" s="2" t="s">
        <v>34</v>
      </c>
      <c r="L2113" s="2" t="n">
        <f aca="false">J2113/_xlfn.XLOOKUP(Tabla2[[#This Row],[Unidad de precio]],Tabla3[Medida],Tabla3[Equivalencia en Kg],"ELVIS",0)</f>
        <v>10.1341745273388</v>
      </c>
      <c r="M2113" s="3" t="n">
        <v>12054.0166317253</v>
      </c>
      <c r="N2113" s="3" t="n">
        <f aca="false">(Tabla2[[#This Row],[Productividad (kg/TAS)]]*Tabla2[[#This Row],[Precio por kg]]-Tabla2[[#This Row],[Costos (En RD$/Tarea)]])</f>
        <v>1714.47952228222</v>
      </c>
      <c r="O2113" s="9" t="n">
        <f aca="false">IF(Tabla2[[#This Row],[Costos (En RD$/Tarea)]]=0,0,Tabla2[[#This Row],[Beneficio Neto  (En RD$/Tarea)]]/Tabla2[[#This Row],[Costos (En RD$/Tarea)]])</f>
        <v>0.142233047677223</v>
      </c>
      <c r="P2113" s="7" t="n">
        <f aca="false">Tabla2[[#This Row],[Rentabilidad (%)]]/12</f>
        <v>0.0118527539731019</v>
      </c>
    </row>
    <row r="2114" customFormat="false" ht="14.25" hidden="false" customHeight="false" outlineLevel="0" collapsed="false">
      <c r="A2114" s="1" t="n">
        <v>41883</v>
      </c>
      <c r="B2114" s="2" t="s">
        <v>16</v>
      </c>
      <c r="C2114" s="3" t="n">
        <v>337172</v>
      </c>
      <c r="D2114" s="8" t="s">
        <v>17</v>
      </c>
      <c r="E2114" s="3" t="n">
        <f aca="false">IF(Tabla2[[#This Row],[Frecuencia]]="Annual", Tabla2[[#This Row],[Cosecha/Tarea]]/12,Tabla2[[#This Row],[Cosecha/Tarea]])</f>
        <v>337172</v>
      </c>
      <c r="F2114" s="3" t="n">
        <v>1448666</v>
      </c>
      <c r="G2114" s="2" t="s">
        <v>18</v>
      </c>
      <c r="H2114" s="2" t="n">
        <f aca="false">F2114/Tabla2[[#This Row],[Cosecha Mensual]]</f>
        <v>4.29651928392631</v>
      </c>
      <c r="I2114" s="2" t="n">
        <f aca="false">H2114*_xlfn.XLOOKUP(Tabla2[[#This Row],[Unidad de producción]],Tabla3[Medida],Tabla3[Equivalencia en Kg],"ELVIS",0)</f>
        <v>194.890114718897</v>
      </c>
      <c r="J2114" s="2" t="n">
        <v>2063.27666666667</v>
      </c>
      <c r="K2114" s="2" t="s">
        <v>19</v>
      </c>
      <c r="L2114" s="2" t="n">
        <f aca="false">J2114/_xlfn.XLOOKUP(Tabla2[[#This Row],[Unidad de precio]],Tabla3[Medida],Tabla3[Equivalencia en Kg],"ELVIS",0)</f>
        <v>18.7570606060606</v>
      </c>
      <c r="M2114" s="2" t="n">
        <v>7973.24325841281</v>
      </c>
      <c r="N2114" s="3" t="n">
        <f aca="false">(Tabla2[[#This Row],[Productividad (kg/TAS)]]*Tabla2[[#This Row],[Precio por kg]]-Tabla2[[#This Row],[Costos (En RD$/Tarea)]])</f>
        <v>-4317.67756510835</v>
      </c>
      <c r="O2114" s="9" t="n">
        <f aca="false">IF(Tabla2[[#This Row],[Costos (En RD$/Tarea)]]=0,0,Tabla2[[#This Row],[Beneficio Neto  (En RD$/Tarea)]]/Tabla2[[#This Row],[Costos (En RD$/Tarea)]])</f>
        <v>-0.541520862360826</v>
      </c>
      <c r="P2114" s="7" t="n">
        <f aca="false">Tabla2[[#This Row],[Rentabilidad (%)]]/12</f>
        <v>-0.0451267385300688</v>
      </c>
    </row>
    <row r="2115" customFormat="false" ht="14.25" hidden="false" customHeight="false" outlineLevel="0" collapsed="false">
      <c r="A2115" s="1" t="n">
        <v>41883</v>
      </c>
      <c r="B2115" s="2" t="s">
        <v>20</v>
      </c>
      <c r="C2115" s="3" t="n">
        <v>46198</v>
      </c>
      <c r="D2115" s="8" t="s">
        <v>17</v>
      </c>
      <c r="E2115" s="3" t="n">
        <f aca="false">IF(Tabla2[[#This Row],[Frecuencia]]="Annual", Tabla2[[#This Row],[Cosecha/Tarea]]/12,Tabla2[[#This Row],[Cosecha/Tarea]])</f>
        <v>46198</v>
      </c>
      <c r="F2115" s="3" t="n">
        <v>70817</v>
      </c>
      <c r="G2115" s="2" t="s">
        <v>18</v>
      </c>
      <c r="H2115" s="2" t="n">
        <f aca="false">F2115/Tabla2[[#This Row],[Cosecha Mensual]]</f>
        <v>1.53290185722326</v>
      </c>
      <c r="I2115" s="2" t="n">
        <f aca="false">H2115*_xlfn.XLOOKUP(Tabla2[[#This Row],[Unidad de producción]],Tabla3[Medida],Tabla3[Equivalencia en Kg],"ELVIS",0)</f>
        <v>69.5324282436469</v>
      </c>
      <c r="J2115" s="2" t="n">
        <v>741.872857142857</v>
      </c>
      <c r="K2115" s="2" t="s">
        <v>18</v>
      </c>
      <c r="L2115" s="2" t="n">
        <f aca="false">J2115/_xlfn.XLOOKUP(Tabla2[[#This Row],[Unidad de precio]],Tabla3[Medida],Tabla3[Equivalencia en Kg],"ELVIS",0)</f>
        <v>16.355221718317</v>
      </c>
      <c r="M2115" s="2" t="n">
        <v>2447.4016476</v>
      </c>
      <c r="N2115" s="3" t="n">
        <f aca="false">(Tabla2[[#This Row],[Productividad (kg/TAS)]]*Tabla2[[#This Row],[Precio por kg]]-Tabla2[[#This Row],[Costos (En RD$/Tarea)]])</f>
        <v>-1310.18336706219</v>
      </c>
      <c r="O2115" s="9" t="n">
        <f aca="false">IF(Tabla2[[#This Row],[Costos (En RD$/Tarea)]]=0,0,Tabla2[[#This Row],[Beneficio Neto  (En RD$/Tarea)]]/Tabla2[[#This Row],[Costos (En RD$/Tarea)]])</f>
        <v>-0.53533647341743</v>
      </c>
      <c r="P2115" s="7" t="n">
        <f aca="false">Tabla2[[#This Row],[Rentabilidad (%)]]/12</f>
        <v>-0.0446113727847858</v>
      </c>
    </row>
    <row r="2116" customFormat="false" ht="14.25" hidden="false" customHeight="false" outlineLevel="0" collapsed="false">
      <c r="A2116" s="1" t="n">
        <v>41883</v>
      </c>
      <c r="B2116" s="2" t="s">
        <v>21</v>
      </c>
      <c r="C2116" s="3" t="n">
        <v>4052</v>
      </c>
      <c r="D2116" s="8" t="s">
        <v>17</v>
      </c>
      <c r="E2116" s="3" t="n">
        <f aca="false">IF(Tabla2[[#This Row],[Frecuencia]]="Annual", Tabla2[[#This Row],[Cosecha/Tarea]]/12,Tabla2[[#This Row],[Cosecha/Tarea]])</f>
        <v>4052</v>
      </c>
      <c r="F2116" s="3" t="n">
        <v>49365</v>
      </c>
      <c r="G2116" s="2" t="s">
        <v>18</v>
      </c>
      <c r="H2116" s="2" t="n">
        <f aca="false">F2116/Tabla2[[#This Row],[Cosecha Mensual]]</f>
        <v>12.1828726554788</v>
      </c>
      <c r="I2116" s="2" t="n">
        <f aca="false">H2116*_xlfn.XLOOKUP(Tabla2[[#This Row],[Unidad de producción]],Tabla3[Medida],Tabla3[Equivalencia en Kg],"ELVIS",0)</f>
        <v>552.615103652517</v>
      </c>
      <c r="J2116" s="2" t="n">
        <v>384.74485</v>
      </c>
      <c r="K2116" s="2" t="s">
        <v>18</v>
      </c>
      <c r="L2116" s="2" t="n">
        <f aca="false">J2116/_xlfn.XLOOKUP(Tabla2[[#This Row],[Unidad de precio]],Tabla3[Medida],Tabla3[Equivalencia en Kg],"ELVIS",0)</f>
        <v>8.48202932098766</v>
      </c>
      <c r="M2116" s="2" t="n">
        <v>5243.9203425</v>
      </c>
      <c r="N2116" s="3" t="n">
        <f aca="false">(Tabla2[[#This Row],[Productividad (kg/TAS)]]*Tabla2[[#This Row],[Precio por kg]]-Tabla2[[#This Row],[Costos (En RD$/Tarea)]])</f>
        <v>-556.622830098716</v>
      </c>
      <c r="O2116" s="9" t="n">
        <f aca="false">IF(Tabla2[[#This Row],[Costos (En RD$/Tarea)]]=0,0,Tabla2[[#This Row],[Beneficio Neto  (En RD$/Tarea)]]/Tabla2[[#This Row],[Costos (En RD$/Tarea)]])</f>
        <v>-0.106146316828556</v>
      </c>
      <c r="P2116" s="7" t="n">
        <f aca="false">Tabla2[[#This Row],[Rentabilidad (%)]]/12</f>
        <v>-0.00884552640237968</v>
      </c>
    </row>
    <row r="2117" customFormat="false" ht="14.25" hidden="false" customHeight="false" outlineLevel="0" collapsed="false">
      <c r="A2117" s="1" t="n">
        <v>41883</v>
      </c>
      <c r="B2117" s="2" t="s">
        <v>22</v>
      </c>
      <c r="C2117" s="3" t="n">
        <v>2431</v>
      </c>
      <c r="D2117" s="8" t="s">
        <v>17</v>
      </c>
      <c r="E2117" s="3" t="n">
        <f aca="false">IF(Tabla2[[#This Row],[Frecuencia]]="Annual", Tabla2[[#This Row],[Cosecha/Tarea]]/12,Tabla2[[#This Row],[Cosecha/Tarea]])</f>
        <v>2431</v>
      </c>
      <c r="F2117" s="3" t="n">
        <v>29194</v>
      </c>
      <c r="G2117" s="2" t="s">
        <v>18</v>
      </c>
      <c r="H2117" s="2" t="n">
        <f aca="false">F2117/Tabla2[[#This Row],[Cosecha Mensual]]</f>
        <v>12.0090497737557</v>
      </c>
      <c r="I2117" s="2" t="n">
        <f aca="false">H2117*_xlfn.XLOOKUP(Tabla2[[#This Row],[Unidad de producción]],Tabla3[Medida],Tabla3[Equivalencia en Kg],"ELVIS",0)</f>
        <v>544.730497737557</v>
      </c>
      <c r="J2117" s="2" t="n">
        <v>1019.75</v>
      </c>
      <c r="K2117" s="2" t="s">
        <v>18</v>
      </c>
      <c r="L2117" s="2" t="n">
        <f aca="false">J2117/_xlfn.XLOOKUP(Tabla2[[#This Row],[Unidad de precio]],Tabla3[Medida],Tabla3[Equivalencia en Kg],"ELVIS",0)</f>
        <v>22.4812610229277</v>
      </c>
      <c r="M2117" s="2" t="n">
        <v>9418.5442176</v>
      </c>
      <c r="N2117" s="3" t="n">
        <f aca="false">(Tabla2[[#This Row],[Productividad (kg/TAS)]]*Tabla2[[#This Row],[Precio por kg]]-Tabla2[[#This Row],[Costos (En RD$/Tarea)]])</f>
        <v>2827.68428918733</v>
      </c>
      <c r="O2117" s="9" t="n">
        <f aca="false">IF(Tabla2[[#This Row],[Costos (En RD$/Tarea)]]=0,0,Tabla2[[#This Row],[Beneficio Neto  (En RD$/Tarea)]]/Tabla2[[#This Row],[Costos (En RD$/Tarea)]])</f>
        <v>0.300225196575854</v>
      </c>
      <c r="P2117" s="7" t="n">
        <f aca="false">Tabla2[[#This Row],[Rentabilidad (%)]]/12</f>
        <v>0.0250187663813212</v>
      </c>
    </row>
    <row r="2118" customFormat="false" ht="14.25" hidden="false" customHeight="false" outlineLevel="0" collapsed="false">
      <c r="A2118" s="1" t="n">
        <v>41883</v>
      </c>
      <c r="B2118" s="2" t="s">
        <v>23</v>
      </c>
      <c r="C2118" s="3" t="n">
        <v>3719</v>
      </c>
      <c r="D2118" s="8" t="s">
        <v>17</v>
      </c>
      <c r="E2118" s="3" t="n">
        <f aca="false">IF(Tabla2[[#This Row],[Frecuencia]]="Annual", Tabla2[[#This Row],[Cosecha/Tarea]]/12,Tabla2[[#This Row],[Cosecha/Tarea]])</f>
        <v>3719</v>
      </c>
      <c r="F2118" s="3" t="n">
        <v>138620</v>
      </c>
      <c r="G2118" s="2" t="s">
        <v>18</v>
      </c>
      <c r="H2118" s="2" t="n">
        <f aca="false">F2118/Tabla2[[#This Row],[Cosecha Mensual]]</f>
        <v>37.2734606076902</v>
      </c>
      <c r="I2118" s="2" t="n">
        <f aca="false">H2118*_xlfn.XLOOKUP(Tabla2[[#This Row],[Unidad de producción]],Tabla3[Medida],Tabla3[Equivalencia en Kg],"ELVIS",0)</f>
        <v>1690.72417316483</v>
      </c>
      <c r="J2118" s="2" t="n">
        <v>983.333333333333</v>
      </c>
      <c r="K2118" s="2" t="s">
        <v>18</v>
      </c>
      <c r="L2118" s="2" t="n">
        <f aca="false">J2118/_xlfn.XLOOKUP(Tabla2[[#This Row],[Unidad de precio]],Tabla3[Medida],Tabla3[Equivalencia en Kg],"ELVIS",0)</f>
        <v>21.6784244562022</v>
      </c>
      <c r="M2118" s="2" t="n">
        <v>26184.1693466859</v>
      </c>
      <c r="N2118" s="3" t="n">
        <f aca="false">(Tabla2[[#This Row],[Productividad (kg/TAS)]]*Tabla2[[#This Row],[Precio por kg]]-Tabla2[[#This Row],[Costos (En RD$/Tarea)]])</f>
        <v>10468.0669175428</v>
      </c>
      <c r="O2118" s="9" t="n">
        <f aca="false">IF(Tabla2[[#This Row],[Costos (En RD$/Tarea)]]=0,0,Tabla2[[#This Row],[Beneficio Neto  (En RD$/Tarea)]]/Tabla2[[#This Row],[Costos (En RD$/Tarea)]])</f>
        <v>0.399786098957069</v>
      </c>
      <c r="P2118" s="7" t="n">
        <f aca="false">Tabla2[[#This Row],[Rentabilidad (%)]]/12</f>
        <v>0.0333155082464224</v>
      </c>
    </row>
    <row r="2119" customFormat="false" ht="14.25" hidden="false" customHeight="false" outlineLevel="0" collapsed="false">
      <c r="A2119" s="1" t="n">
        <v>41883</v>
      </c>
      <c r="B2119" s="2" t="s">
        <v>24</v>
      </c>
      <c r="C2119" s="3" t="n">
        <v>4184</v>
      </c>
      <c r="D2119" s="8" t="s">
        <v>17</v>
      </c>
      <c r="E2119" s="3" t="n">
        <f aca="false">IF(Tabla2[[#This Row],[Frecuencia]]="Annual", Tabla2[[#This Row],[Cosecha/Tarea]]/12,Tabla2[[#This Row],[Cosecha/Tarea]])</f>
        <v>4184</v>
      </c>
      <c r="F2119" s="3" t="n">
        <v>32373</v>
      </c>
      <c r="G2119" s="2" t="s">
        <v>18</v>
      </c>
      <c r="H2119" s="2" t="n">
        <f aca="false">F2119/Tabla2[[#This Row],[Cosecha Mensual]]</f>
        <v>7.7373326959847</v>
      </c>
      <c r="I2119" s="2" t="n">
        <f aca="false">H2119*_xlfn.XLOOKUP(Tabla2[[#This Row],[Unidad de producción]],Tabla3[Medida],Tabla3[Equivalencia en Kg],"ELVIS",0)</f>
        <v>350.965411089866</v>
      </c>
      <c r="J2119" s="2" t="n">
        <v>1407.94444444444</v>
      </c>
      <c r="K2119" s="2" t="s">
        <v>18</v>
      </c>
      <c r="L2119" s="2" t="n">
        <f aca="false">J2119/_xlfn.XLOOKUP(Tabla2[[#This Row],[Unidad de precio]],Tabla3[Medida],Tabla3[Equivalencia en Kg],"ELVIS",0)</f>
        <v>31.0393396041543</v>
      </c>
      <c r="M2119" s="2" t="n">
        <v>9105.98860416</v>
      </c>
      <c r="N2119" s="3" t="n">
        <f aca="false">(Tabla2[[#This Row],[Productividad (kg/TAS)]]*Tabla2[[#This Row],[Precio por kg]]-Tabla2[[#This Row],[Costos (En RD$/Tarea)]])</f>
        <v>1787.74597996998</v>
      </c>
      <c r="O2119" s="9" t="n">
        <f aca="false">IF(Tabla2[[#This Row],[Costos (En RD$/Tarea)]]=0,0,Tabla2[[#This Row],[Beneficio Neto  (En RD$/Tarea)]]/Tabla2[[#This Row],[Costos (En RD$/Tarea)]])</f>
        <v>0.196326402072727</v>
      </c>
      <c r="P2119" s="7" t="n">
        <f aca="false">Tabla2[[#This Row],[Rentabilidad (%)]]/12</f>
        <v>0.0163605335060606</v>
      </c>
    </row>
    <row r="2120" customFormat="false" ht="14.25" hidden="false" customHeight="false" outlineLevel="0" collapsed="false">
      <c r="A2120" s="1" t="n">
        <v>41883</v>
      </c>
      <c r="B2120" s="2" t="s">
        <v>25</v>
      </c>
      <c r="C2120" s="3" t="n">
        <v>24674</v>
      </c>
      <c r="D2120" s="8" t="s">
        <v>17</v>
      </c>
      <c r="E2120" s="3" t="n">
        <f aca="false">IF(Tabla2[[#This Row],[Frecuencia]]="Annual", Tabla2[[#This Row],[Cosecha/Tarea]]/12,Tabla2[[#This Row],[Cosecha/Tarea]])</f>
        <v>24674</v>
      </c>
      <c r="F2120" s="3" t="n">
        <v>281486</v>
      </c>
      <c r="G2120" s="2" t="s">
        <v>18</v>
      </c>
      <c r="H2120" s="2" t="n">
        <f aca="false">F2120/Tabla2[[#This Row],[Cosecha Mensual]]</f>
        <v>11.4082029666856</v>
      </c>
      <c r="I2120" s="2" t="n">
        <f aca="false">H2120*_xlfn.XLOOKUP(Tabla2[[#This Row],[Unidad de producción]],Tabla3[Medida],Tabla3[Equivalencia en Kg],"ELVIS",0)</f>
        <v>517.476086568858</v>
      </c>
      <c r="J2120" s="2" t="n">
        <v>259.791025</v>
      </c>
      <c r="K2120" s="2" t="s">
        <v>18</v>
      </c>
      <c r="L2120" s="2" t="n">
        <f aca="false">J2120/_xlfn.XLOOKUP(Tabla2[[#This Row],[Unidad de precio]],Tabla3[Medida],Tabla3[Equivalencia en Kg],"ELVIS",0)</f>
        <v>5.7273153659612</v>
      </c>
      <c r="M2120" s="2" t="n">
        <v>4871.66870431878</v>
      </c>
      <c r="N2120" s="3" t="n">
        <f aca="false">(Tabla2[[#This Row],[Productividad (kg/TAS)]]*Tabla2[[#This Row],[Precio por kg]]-Tabla2[[#This Row],[Costos (En RD$/Tarea)]])</f>
        <v>-1907.91996219549</v>
      </c>
      <c r="O2120" s="9" t="n">
        <f aca="false">IF(Tabla2[[#This Row],[Costos (En RD$/Tarea)]]=0,0,Tabla2[[#This Row],[Beneficio Neto  (En RD$/Tarea)]]/Tabla2[[#This Row],[Costos (En RD$/Tarea)]])</f>
        <v>-0.39163581885281</v>
      </c>
      <c r="P2120" s="7" t="n">
        <f aca="false">Tabla2[[#This Row],[Rentabilidad (%)]]/12</f>
        <v>-0.0326363182377342</v>
      </c>
    </row>
    <row r="2121" customFormat="false" ht="14.25" hidden="false" customHeight="false" outlineLevel="0" collapsed="false">
      <c r="A2121" s="1" t="n">
        <v>41883</v>
      </c>
      <c r="B2121" s="2" t="s">
        <v>26</v>
      </c>
      <c r="C2121" s="3" t="n">
        <v>10410</v>
      </c>
      <c r="D2121" s="8" t="s">
        <v>17</v>
      </c>
      <c r="E2121" s="3" t="n">
        <f aca="false">IF(Tabla2[[#This Row],[Frecuencia]]="Annual", Tabla2[[#This Row],[Cosecha/Tarea]]/12,Tabla2[[#This Row],[Cosecha/Tarea]])</f>
        <v>10410</v>
      </c>
      <c r="F2121" s="3" t="n">
        <v>63529</v>
      </c>
      <c r="G2121" s="2" t="s">
        <v>18</v>
      </c>
      <c r="H2121" s="2" t="n">
        <f aca="false">F2121/Tabla2[[#This Row],[Cosecha Mensual]]</f>
        <v>6.10268972142171</v>
      </c>
      <c r="I2121" s="2" t="n">
        <f aca="false">H2121*_xlfn.XLOOKUP(Tabla2[[#This Row],[Unidad de producción]],Tabla3[Medida],Tabla3[Equivalencia en Kg],"ELVIS",0)</f>
        <v>276.818005763689</v>
      </c>
      <c r="J2121" s="2" t="n">
        <v>845.522</v>
      </c>
      <c r="K2121" s="2" t="s">
        <v>18</v>
      </c>
      <c r="L2121" s="2" t="n">
        <f aca="false">J2121/_xlfn.XLOOKUP(Tabla2[[#This Row],[Unidad de precio]],Tabla3[Medida],Tabla3[Equivalencia en Kg],"ELVIS",0)</f>
        <v>18.6402557319224</v>
      </c>
      <c r="M2121" s="2" t="n">
        <v>2107.55664</v>
      </c>
      <c r="N2121" s="3" t="n">
        <f aca="false">(Tabla2[[#This Row],[Productividad (kg/TAS)]]*Tabla2[[#This Row],[Precio por kg]]-Tabla2[[#This Row],[Costos (En RD$/Tarea)]])</f>
        <v>3052.40177863593</v>
      </c>
      <c r="O2121" s="9" t="n">
        <f aca="false">IF(Tabla2[[#This Row],[Costos (En RD$/Tarea)]]=0,0,Tabla2[[#This Row],[Beneficio Neto  (En RD$/Tarea)]]/Tabla2[[#This Row],[Costos (En RD$/Tarea)]])</f>
        <v>1.4483130468256</v>
      </c>
      <c r="P2121" s="7" t="n">
        <f aca="false">Tabla2[[#This Row],[Rentabilidad (%)]]/12</f>
        <v>0.120692753902134</v>
      </c>
    </row>
    <row r="2122" customFormat="false" ht="14.25" hidden="false" customHeight="false" outlineLevel="0" collapsed="false">
      <c r="A2122" s="1" t="n">
        <v>41883</v>
      </c>
      <c r="B2122" s="2" t="s">
        <v>27</v>
      </c>
      <c r="C2122" s="3" t="n">
        <v>3026</v>
      </c>
      <c r="D2122" s="8" t="s">
        <v>17</v>
      </c>
      <c r="E2122" s="3" t="n">
        <f aca="false">IF(Tabla2[[#This Row],[Frecuencia]]="Annual", Tabla2[[#This Row],[Cosecha/Tarea]]/12,Tabla2[[#This Row],[Cosecha/Tarea]])</f>
        <v>3026</v>
      </c>
      <c r="F2122" s="3" t="n">
        <v>35642</v>
      </c>
      <c r="G2122" s="2" t="s">
        <v>18</v>
      </c>
      <c r="H2122" s="2" t="n">
        <f aca="false">F2122/Tabla2[[#This Row],[Cosecha Mensual]]</f>
        <v>11.77858559154</v>
      </c>
      <c r="I2122" s="2" t="n">
        <f aca="false">H2122*_xlfn.XLOOKUP(Tabla2[[#This Row],[Unidad de producción]],Tabla3[Medida],Tabla3[Equivalencia en Kg],"ELVIS",0)</f>
        <v>534.276642432254</v>
      </c>
      <c r="J2122" s="2" t="n">
        <v>750.832777777778</v>
      </c>
      <c r="K2122" s="2" t="s">
        <v>18</v>
      </c>
      <c r="L2122" s="2" t="n">
        <f aca="false">J2122/_xlfn.XLOOKUP(Tabla2[[#This Row],[Unidad de precio]],Tabla3[Medida],Tabla3[Equivalencia en Kg],"ELVIS",0)</f>
        <v>16.5527508328434</v>
      </c>
      <c r="M2122" s="2" t="n">
        <v>8288.298341505</v>
      </c>
      <c r="N2122" s="3" t="n">
        <f aca="false">(Tabla2[[#This Row],[Productividad (kg/TAS)]]*Tabla2[[#This Row],[Precio por kg]]-Tabla2[[#This Row],[Costos (En RD$/Tarea)]])</f>
        <v>555.449796484279</v>
      </c>
      <c r="O2122" s="9" t="n">
        <f aca="false">IF(Tabla2[[#This Row],[Costos (En RD$/Tarea)]]=0,0,Tabla2[[#This Row],[Beneficio Neto  (En RD$/Tarea)]]/Tabla2[[#This Row],[Costos (En RD$/Tarea)]])</f>
        <v>0.0670161441586597</v>
      </c>
      <c r="P2122" s="7" t="n">
        <f aca="false">Tabla2[[#This Row],[Rentabilidad (%)]]/12</f>
        <v>0.00558467867988831</v>
      </c>
    </row>
    <row r="2123" customFormat="false" ht="14.25" hidden="false" customHeight="false" outlineLevel="0" collapsed="false">
      <c r="A2123" s="1" t="n">
        <v>41883</v>
      </c>
      <c r="B2123" s="2" t="s">
        <v>28</v>
      </c>
      <c r="C2123" s="3" t="n">
        <v>77013</v>
      </c>
      <c r="D2123" s="8" t="s">
        <v>17</v>
      </c>
      <c r="E2123" s="3" t="n">
        <f aca="false">IF(Tabla2[[#This Row],[Frecuencia]]="Annual", Tabla2[[#This Row],[Cosecha/Tarea]]/12,Tabla2[[#This Row],[Cosecha/Tarea]])</f>
        <v>77013</v>
      </c>
      <c r="F2123" s="3" t="n">
        <v>151664</v>
      </c>
      <c r="G2123" s="2" t="s">
        <v>29</v>
      </c>
      <c r="H2123" s="2" t="n">
        <f aca="false">F2123/Tabla2[[#This Row],[Cosecha Mensual]]</f>
        <v>1.96932985340137</v>
      </c>
      <c r="I2123" s="2" t="n">
        <f aca="false">H2123*_xlfn.XLOOKUP(Tabla2[[#This Row],[Unidad de producción]],Tabla3[Medida],Tabla3[Equivalencia en Kg],"ELVIS",0)</f>
        <v>1107.43294976173</v>
      </c>
      <c r="J2123" s="2" t="n">
        <v>4357.78571428572</v>
      </c>
      <c r="K2123" s="2" t="s">
        <v>29</v>
      </c>
      <c r="L2123" s="2" t="n">
        <f aca="false">J2123/_xlfn.XLOOKUP(Tabla2[[#This Row],[Unidad de precio]],Tabla3[Medida],Tabla3[Equivalencia en Kg],"ELVIS",0)</f>
        <v>7.74937887094235</v>
      </c>
      <c r="M2123" s="2" t="n">
        <v>7150.53423628677</v>
      </c>
      <c r="N2123" s="3" t="n">
        <f aca="false">(Tabla2[[#This Row],[Productividad (kg/TAS)]]*Tabla2[[#This Row],[Precio por kg]]-Tabla2[[#This Row],[Costos (En RD$/Tarea)]])</f>
        <v>1431.38326558213</v>
      </c>
      <c r="O2123" s="9" t="n">
        <f aca="false">IF(Tabla2[[#This Row],[Costos (En RD$/Tarea)]]=0,0,Tabla2[[#This Row],[Beneficio Neto  (En RD$/Tarea)]]/Tabla2[[#This Row],[Costos (En RD$/Tarea)]])</f>
        <v>0.200178506707694</v>
      </c>
      <c r="P2123" s="7" t="n">
        <f aca="false">Tabla2[[#This Row],[Rentabilidad (%)]]/12</f>
        <v>0.0166815422256412</v>
      </c>
    </row>
    <row r="2124" customFormat="false" ht="14.25" hidden="false" customHeight="false" outlineLevel="0" collapsed="false">
      <c r="A2124" s="1" t="n">
        <v>41883</v>
      </c>
      <c r="B2124" s="2" t="s">
        <v>30</v>
      </c>
      <c r="C2124" s="3" t="n">
        <v>413997</v>
      </c>
      <c r="D2124" s="3" t="s">
        <v>31</v>
      </c>
      <c r="E2124" s="3" t="n">
        <f aca="false">IF(Tabla2[[#This Row],[Frecuencia]]="Annual", Tabla2[[#This Row],[Cosecha/Tarea]]/12,Tabla2[[#This Row],[Cosecha/Tarea]])</f>
        <v>34499.75</v>
      </c>
      <c r="F2124" s="3" t="n">
        <v>4059062</v>
      </c>
      <c r="G2124" s="2" t="s">
        <v>32</v>
      </c>
      <c r="H2124" s="2" t="n">
        <f aca="false">F2124/Tabla2[[#This Row],[Cosecha Mensual]]</f>
        <v>117.654823585678</v>
      </c>
      <c r="I2124" s="2" t="n">
        <f aca="false">H2124*_xlfn.XLOOKUP(Tabla2[[#This Row],[Unidad de producción]],Tabla3[Medida],Tabla3[Equivalencia en Kg],"ELVIS",0)</f>
        <v>3201.3877497663</v>
      </c>
      <c r="J2124" s="2" t="n">
        <v>135.710476190476</v>
      </c>
      <c r="K2124" s="2" t="s">
        <v>32</v>
      </c>
      <c r="L2124" s="2" t="n">
        <f aca="false">J2124/_xlfn.XLOOKUP(Tabla2[[#This Row],[Unidad de precio]],Tabla3[Medida],Tabla3[Equivalencia en Kg],"ELVIS",0)</f>
        <v>4.98752209446806</v>
      </c>
      <c r="M2124" s="3" t="n">
        <v>12538.8969859716</v>
      </c>
      <c r="N2124" s="3" t="n">
        <f aca="false">(Tabla2[[#This Row],[Productividad (kg/TAS)]]*Tabla2[[#This Row],[Precio por kg]]-Tabla2[[#This Row],[Costos (En RD$/Tarea)]])</f>
        <v>3428.09514894723</v>
      </c>
      <c r="O2124" s="9" t="n">
        <f aca="false">IF(Tabla2[[#This Row],[Costos (En RD$/Tarea)]]=0,0,Tabla2[[#This Row],[Beneficio Neto  (En RD$/Tarea)]]/Tabla2[[#This Row],[Costos (En RD$/Tarea)]])</f>
        <v>0.273396866788407</v>
      </c>
      <c r="P2124" s="7" t="n">
        <f aca="false">Tabla2[[#This Row],[Rentabilidad (%)]]/12</f>
        <v>0.0227830722323672</v>
      </c>
    </row>
    <row r="2125" customFormat="false" ht="14.25" hidden="false" customHeight="false" outlineLevel="0" collapsed="false">
      <c r="A2125" s="1" t="n">
        <v>41883</v>
      </c>
      <c r="B2125" s="2" t="s">
        <v>33</v>
      </c>
      <c r="C2125" s="3" t="n">
        <v>724871</v>
      </c>
      <c r="D2125" s="3" t="s">
        <v>31</v>
      </c>
      <c r="E2125" s="11" t="n">
        <f aca="false">IF(Tabla2[[#This Row],[Frecuencia]]="Annual", Tabla2[[#This Row],[Cosecha/Tarea]]/12,Tabla2[[#This Row],[Cosecha/Tarea]])</f>
        <v>60405.9166666667</v>
      </c>
      <c r="F2125" s="3" t="n">
        <v>187449</v>
      </c>
      <c r="G2125" s="2" t="s">
        <v>34</v>
      </c>
      <c r="H2125" s="2" t="n">
        <f aca="false">F2125/Tabla2[[#This Row],[Cosecha Mensual]]</f>
        <v>3.10315628573912</v>
      </c>
      <c r="I2125" s="2" t="n">
        <f aca="false">H2125*_xlfn.XLOOKUP(Tabla2[[#This Row],[Unidad de producción]],Tabla3[Medida],Tabla3[Equivalencia en Kg],"ELVIS",0)</f>
        <v>1266.55323802442</v>
      </c>
      <c r="J2125" s="2" t="n">
        <v>4573.9025</v>
      </c>
      <c r="K2125" s="2" t="s">
        <v>34</v>
      </c>
      <c r="L2125" s="2" t="n">
        <f aca="false">J2125/_xlfn.XLOOKUP(Tabla2[[#This Row],[Unidad de precio]],Tabla3[Medida],Tabla3[Equivalencia en Kg],"ELVIS",0)</f>
        <v>11.2064253338234</v>
      </c>
      <c r="M2125" s="3" t="n">
        <v>12054.0166317253</v>
      </c>
      <c r="N2125" s="3" t="n">
        <f aca="false">(Tabla2[[#This Row],[Productividad (kg/TAS)]]*Tabla2[[#This Row],[Precio por kg]]-Tabla2[[#This Row],[Costos (En RD$/Tarea)]])</f>
        <v>2139.51766150757</v>
      </c>
      <c r="O2125" s="9" t="n">
        <f aca="false">IF(Tabla2[[#This Row],[Costos (En RD$/Tarea)]]=0,0,Tabla2[[#This Row],[Beneficio Neto  (En RD$/Tarea)]]/Tabla2[[#This Row],[Costos (En RD$/Tarea)]])</f>
        <v>0.177494168696973</v>
      </c>
      <c r="P2125" s="7" t="n">
        <f aca="false">Tabla2[[#This Row],[Rentabilidad (%)]]/12</f>
        <v>0.0147911807247477</v>
      </c>
    </row>
    <row r="2126" customFormat="false" ht="14.25" hidden="false" customHeight="false" outlineLevel="0" collapsed="false">
      <c r="A2126" s="1" t="n">
        <v>41913</v>
      </c>
      <c r="B2126" s="2" t="s">
        <v>16</v>
      </c>
      <c r="C2126" s="3" t="n">
        <v>548919</v>
      </c>
      <c r="D2126" s="8" t="s">
        <v>17</v>
      </c>
      <c r="E2126" s="3" t="n">
        <f aca="false">IF(Tabla2[[#This Row],[Frecuencia]]="Annual", Tabla2[[#This Row],[Cosecha/Tarea]]/12,Tabla2[[#This Row],[Cosecha/Tarea]])</f>
        <v>548919</v>
      </c>
      <c r="F2126" s="3" t="n">
        <v>2623187</v>
      </c>
      <c r="G2126" s="2" t="s">
        <v>18</v>
      </c>
      <c r="H2126" s="2" t="n">
        <f aca="false">F2126/Tabla2[[#This Row],[Cosecha Mensual]]</f>
        <v>4.77882346940077</v>
      </c>
      <c r="I2126" s="2" t="n">
        <f aca="false">H2126*_xlfn.XLOOKUP(Tabla2[[#This Row],[Unidad de producción]],Tabla3[Medida],Tabla3[Equivalencia en Kg],"ELVIS",0)</f>
        <v>216.767432572019</v>
      </c>
      <c r="J2126" s="2" t="n">
        <v>1895.34123652174</v>
      </c>
      <c r="K2126" s="2" t="s">
        <v>19</v>
      </c>
      <c r="L2126" s="2" t="n">
        <f aca="false">J2126/_xlfn.XLOOKUP(Tabla2[[#This Row],[Unidad de precio]],Tabla3[Medida],Tabla3[Equivalencia en Kg],"ELVIS",0)</f>
        <v>17.2303748774704</v>
      </c>
      <c r="M2126" s="2" t="n">
        <v>7973.24325841281</v>
      </c>
      <c r="N2126" s="3" t="n">
        <f aca="false">(Tabla2[[#This Row],[Productividad (kg/TAS)]]*Tabla2[[#This Row],[Precio por kg]]-Tabla2[[#This Row],[Costos (En RD$/Tarea)]])</f>
        <v>-4238.25913397015</v>
      </c>
      <c r="O2126" s="9" t="n">
        <f aca="false">IF(Tabla2[[#This Row],[Costos (En RD$/Tarea)]]=0,0,Tabla2[[#This Row],[Beneficio Neto  (En RD$/Tarea)]]/Tabla2[[#This Row],[Costos (En RD$/Tarea)]])</f>
        <v>-0.531560244257972</v>
      </c>
      <c r="P2126" s="7" t="n">
        <f aca="false">Tabla2[[#This Row],[Rentabilidad (%)]]/12</f>
        <v>-0.0442966870214977</v>
      </c>
    </row>
    <row r="2127" customFormat="false" ht="14.25" hidden="false" customHeight="false" outlineLevel="0" collapsed="false">
      <c r="A2127" s="1" t="n">
        <v>41913</v>
      </c>
      <c r="B2127" s="2" t="s">
        <v>20</v>
      </c>
      <c r="C2127" s="3" t="n">
        <v>29563</v>
      </c>
      <c r="D2127" s="8" t="s">
        <v>17</v>
      </c>
      <c r="E2127" s="3" t="n">
        <f aca="false">IF(Tabla2[[#This Row],[Frecuencia]]="Annual", Tabla2[[#This Row],[Cosecha/Tarea]]/12,Tabla2[[#This Row],[Cosecha/Tarea]])</f>
        <v>29563</v>
      </c>
      <c r="F2127" s="3" t="n">
        <v>76566</v>
      </c>
      <c r="G2127" s="2" t="s">
        <v>18</v>
      </c>
      <c r="H2127" s="2" t="n">
        <f aca="false">F2127/Tabla2[[#This Row],[Cosecha Mensual]]</f>
        <v>2.58992659743598</v>
      </c>
      <c r="I2127" s="2" t="n">
        <f aca="false">H2127*_xlfn.XLOOKUP(Tabla2[[#This Row],[Unidad de producción]],Tabla3[Medida],Tabla3[Equivalencia en Kg],"ELVIS",0)</f>
        <v>117.479070459696</v>
      </c>
      <c r="J2127" s="2" t="n">
        <v>791.507777777778</v>
      </c>
      <c r="K2127" s="2" t="s">
        <v>18</v>
      </c>
      <c r="L2127" s="2" t="n">
        <f aca="false">J2127/_xlfn.XLOOKUP(Tabla2[[#This Row],[Unidad de precio]],Tabla3[Medida],Tabla3[Equivalencia en Kg],"ELVIS",0)</f>
        <v>17.4494660003919</v>
      </c>
      <c r="M2127" s="2" t="n">
        <v>2447.4016476</v>
      </c>
      <c r="N2127" s="3" t="n">
        <f aca="false">(Tabla2[[#This Row],[Productividad (kg/TAS)]]*Tabla2[[#This Row],[Precio por kg]]-Tabla2[[#This Row],[Costos (En RD$/Tarea)]])</f>
        <v>-397.454601855883</v>
      </c>
      <c r="O2127" s="9" t="n">
        <f aca="false">IF(Tabla2[[#This Row],[Costos (En RD$/Tarea)]]=0,0,Tabla2[[#This Row],[Beneficio Neto  (En RD$/Tarea)]]/Tabla2[[#This Row],[Costos (En RD$/Tarea)]])</f>
        <v>-0.16239860026475</v>
      </c>
      <c r="P2127" s="7" t="n">
        <f aca="false">Tabla2[[#This Row],[Rentabilidad (%)]]/12</f>
        <v>-0.0135332166887292</v>
      </c>
    </row>
    <row r="2128" customFormat="false" ht="14.25" hidden="false" customHeight="false" outlineLevel="0" collapsed="false">
      <c r="A2128" s="1" t="n">
        <v>41913</v>
      </c>
      <c r="B2128" s="2" t="s">
        <v>21</v>
      </c>
      <c r="C2128" s="3" t="n">
        <v>4764</v>
      </c>
      <c r="D2128" s="8" t="s">
        <v>17</v>
      </c>
      <c r="E2128" s="3" t="n">
        <f aca="false">IF(Tabla2[[#This Row],[Frecuencia]]="Annual", Tabla2[[#This Row],[Cosecha/Tarea]]/12,Tabla2[[#This Row],[Cosecha/Tarea]])</f>
        <v>4764</v>
      </c>
      <c r="F2128" s="3" t="n">
        <v>62618</v>
      </c>
      <c r="G2128" s="2" t="s">
        <v>18</v>
      </c>
      <c r="H2128" s="2" t="n">
        <f aca="false">F2128/Tabla2[[#This Row],[Cosecha Mensual]]</f>
        <v>13.1439966414778</v>
      </c>
      <c r="I2128" s="2" t="n">
        <f aca="false">H2128*_xlfn.XLOOKUP(Tabla2[[#This Row],[Unidad de producción]],Tabla3[Medida],Tabla3[Equivalencia en Kg],"ELVIS",0)</f>
        <v>596.211687657431</v>
      </c>
      <c r="J2128" s="2" t="n">
        <v>631.3</v>
      </c>
      <c r="K2128" s="2" t="s">
        <v>18</v>
      </c>
      <c r="L2128" s="2" t="n">
        <f aca="false">J2128/_xlfn.XLOOKUP(Tabla2[[#This Row],[Unidad de precio]],Tabla3[Medida],Tabla3[Equivalencia en Kg],"ELVIS",0)</f>
        <v>13.9175485008818</v>
      </c>
      <c r="M2128" s="2" t="n">
        <v>5243.9203425</v>
      </c>
      <c r="N2128" s="3" t="n">
        <f aca="false">(Tabla2[[#This Row],[Productividad (kg/TAS)]]*Tabla2[[#This Row],[Precio por kg]]-Tabla2[[#This Row],[Costos (En RD$/Tarea)]])</f>
        <v>3053.8847372649</v>
      </c>
      <c r="O2128" s="9" t="n">
        <f aca="false">IF(Tabla2[[#This Row],[Costos (En RD$/Tarea)]]=0,0,Tabla2[[#This Row],[Beneficio Neto  (En RD$/Tarea)]]/Tabla2[[#This Row],[Costos (En RD$/Tarea)]])</f>
        <v>0.582366729050843</v>
      </c>
      <c r="P2128" s="7" t="n">
        <f aca="false">Tabla2[[#This Row],[Rentabilidad (%)]]/12</f>
        <v>0.048530560754237</v>
      </c>
    </row>
    <row r="2129" customFormat="false" ht="14.25" hidden="false" customHeight="false" outlineLevel="0" collapsed="false">
      <c r="A2129" s="1" t="n">
        <v>41913</v>
      </c>
      <c r="B2129" s="2" t="s">
        <v>22</v>
      </c>
      <c r="C2129" s="3" t="n">
        <v>2768</v>
      </c>
      <c r="D2129" s="8" t="s">
        <v>17</v>
      </c>
      <c r="E2129" s="3" t="n">
        <f aca="false">IF(Tabla2[[#This Row],[Frecuencia]]="Annual", Tabla2[[#This Row],[Cosecha/Tarea]]/12,Tabla2[[#This Row],[Cosecha/Tarea]])</f>
        <v>2768</v>
      </c>
      <c r="F2129" s="3" t="n">
        <v>23069</v>
      </c>
      <c r="G2129" s="2" t="s">
        <v>18</v>
      </c>
      <c r="H2129" s="2" t="n">
        <f aca="false">F2129/Tabla2[[#This Row],[Cosecha Mensual]]</f>
        <v>8.33417630057804</v>
      </c>
      <c r="I2129" s="2" t="n">
        <f aca="false">H2129*_xlfn.XLOOKUP(Tabla2[[#This Row],[Unidad de producción]],Tabla3[Medida],Tabla3[Equivalencia en Kg],"ELVIS",0)</f>
        <v>378.03823699422</v>
      </c>
      <c r="J2129" s="2" t="n">
        <v>1270.3125</v>
      </c>
      <c r="K2129" s="2" t="s">
        <v>18</v>
      </c>
      <c r="L2129" s="2" t="n">
        <f aca="false">J2129/_xlfn.XLOOKUP(Tabla2[[#This Row],[Unidad de precio]],Tabla3[Medida],Tabla3[Equivalencia en Kg],"ELVIS",0)</f>
        <v>28.0051256613757</v>
      </c>
      <c r="M2129" s="2" t="n">
        <v>9418.5442176</v>
      </c>
      <c r="N2129" s="3" t="n">
        <f aca="false">(Tabla2[[#This Row],[Productividad (kg/TAS)]]*Tabla2[[#This Row],[Precio por kg]]-Tabla2[[#This Row],[Costos (En RD$/Tarea)]])</f>
        <v>1168.46411422803</v>
      </c>
      <c r="O2129" s="9" t="n">
        <f aca="false">IF(Tabla2[[#This Row],[Costos (En RD$/Tarea)]]=0,0,Tabla2[[#This Row],[Beneficio Neto  (En RD$/Tarea)]]/Tabla2[[#This Row],[Costos (En RD$/Tarea)]])</f>
        <v>0.124059948887279</v>
      </c>
      <c r="P2129" s="7" t="n">
        <f aca="false">Tabla2[[#This Row],[Rentabilidad (%)]]/12</f>
        <v>0.0103383290739399</v>
      </c>
    </row>
    <row r="2130" customFormat="false" ht="14.25" hidden="false" customHeight="false" outlineLevel="0" collapsed="false">
      <c r="A2130" s="1" t="n">
        <v>41913</v>
      </c>
      <c r="B2130" s="2" t="s">
        <v>23</v>
      </c>
      <c r="C2130" s="3" t="n">
        <v>3463</v>
      </c>
      <c r="D2130" s="8" t="s">
        <v>17</v>
      </c>
      <c r="E2130" s="3" t="n">
        <f aca="false">IF(Tabla2[[#This Row],[Frecuencia]]="Annual", Tabla2[[#This Row],[Cosecha/Tarea]]/12,Tabla2[[#This Row],[Cosecha/Tarea]])</f>
        <v>3463</v>
      </c>
      <c r="F2130" s="3" t="n">
        <v>105980</v>
      </c>
      <c r="G2130" s="2" t="s">
        <v>18</v>
      </c>
      <c r="H2130" s="2" t="n">
        <f aca="false">F2130/Tabla2[[#This Row],[Cosecha Mensual]]</f>
        <v>30.6035229569737</v>
      </c>
      <c r="I2130" s="2" t="n">
        <f aca="false">H2130*_xlfn.XLOOKUP(Tabla2[[#This Row],[Unidad de producción]],Tabla3[Medida],Tabla3[Equivalencia en Kg],"ELVIS",0)</f>
        <v>1388.17580132833</v>
      </c>
      <c r="J2130" s="2" t="n">
        <v>862.5</v>
      </c>
      <c r="K2130" s="2" t="s">
        <v>18</v>
      </c>
      <c r="L2130" s="2" t="n">
        <f aca="false">J2130/_xlfn.XLOOKUP(Tabla2[[#This Row],[Unidad de precio]],Tabla3[Medida],Tabla3[Equivalencia en Kg],"ELVIS",0)</f>
        <v>19.0145502645503</v>
      </c>
      <c r="M2130" s="2" t="n">
        <v>26184.1693466859</v>
      </c>
      <c r="N2130" s="3" t="n">
        <f aca="false">(Tabla2[[#This Row],[Productividad (kg/TAS)]]*Tabla2[[#This Row],[Precio por kg]]-Tabla2[[#This Row],[Costos (En RD$/Tarea)]])</f>
        <v>211.36920370394</v>
      </c>
      <c r="O2130" s="9" t="n">
        <f aca="false">IF(Tabla2[[#This Row],[Costos (En RD$/Tarea)]]=0,0,Tabla2[[#This Row],[Beneficio Neto  (En RD$/Tarea)]]/Tabla2[[#This Row],[Costos (En RD$/Tarea)]])</f>
        <v>0.00807240439463063</v>
      </c>
      <c r="P2130" s="7" t="n">
        <f aca="false">Tabla2[[#This Row],[Rentabilidad (%)]]/12</f>
        <v>0.00067270036621922</v>
      </c>
    </row>
    <row r="2131" customFormat="false" ht="14.25" hidden="false" customHeight="false" outlineLevel="0" collapsed="false">
      <c r="A2131" s="1" t="n">
        <v>41913</v>
      </c>
      <c r="B2131" s="2" t="s">
        <v>24</v>
      </c>
      <c r="C2131" s="3" t="n">
        <v>5210</v>
      </c>
      <c r="D2131" s="8" t="s">
        <v>17</v>
      </c>
      <c r="E2131" s="3" t="n">
        <f aca="false">IF(Tabla2[[#This Row],[Frecuencia]]="Annual", Tabla2[[#This Row],[Cosecha/Tarea]]/12,Tabla2[[#This Row],[Cosecha/Tarea]])</f>
        <v>5210</v>
      </c>
      <c r="F2131" s="3" t="n">
        <v>38359</v>
      </c>
      <c r="G2131" s="2" t="s">
        <v>18</v>
      </c>
      <c r="H2131" s="2" t="n">
        <f aca="false">F2131/Tabla2[[#This Row],[Cosecha Mensual]]</f>
        <v>7.36257197696737</v>
      </c>
      <c r="I2131" s="2" t="n">
        <f aca="false">H2131*_xlfn.XLOOKUP(Tabla2[[#This Row],[Unidad de producción]],Tabla3[Medida],Tabla3[Equivalencia en Kg],"ELVIS",0)</f>
        <v>333.96626487524</v>
      </c>
      <c r="J2131" s="2" t="n">
        <v>1553.21428571429</v>
      </c>
      <c r="K2131" s="2" t="s">
        <v>18</v>
      </c>
      <c r="L2131" s="2" t="n">
        <f aca="false">J2131/_xlfn.XLOOKUP(Tabla2[[#This Row],[Unidad de precio]],Tabla3[Medida],Tabla3[Equivalencia en Kg],"ELVIS",0)</f>
        <v>34.2419375157471</v>
      </c>
      <c r="M2131" s="2" t="n">
        <v>9105.98860416</v>
      </c>
      <c r="N2131" s="3" t="n">
        <f aca="false">(Tabla2[[#This Row],[Productividad (kg/TAS)]]*Tabla2[[#This Row],[Precio por kg]]-Tabla2[[#This Row],[Costos (En RD$/Tarea)]])</f>
        <v>2329.66337006542</v>
      </c>
      <c r="O2131" s="9" t="n">
        <f aca="false">IF(Tabla2[[#This Row],[Costos (En RD$/Tarea)]]=0,0,Tabla2[[#This Row],[Beneficio Neto  (En RD$/Tarea)]]/Tabla2[[#This Row],[Costos (En RD$/Tarea)]])</f>
        <v>0.255838599336829</v>
      </c>
      <c r="P2131" s="7" t="n">
        <f aca="false">Tabla2[[#This Row],[Rentabilidad (%)]]/12</f>
        <v>0.0213198832780691</v>
      </c>
    </row>
    <row r="2132" customFormat="false" ht="14.25" hidden="false" customHeight="false" outlineLevel="0" collapsed="false">
      <c r="A2132" s="1" t="n">
        <v>41913</v>
      </c>
      <c r="B2132" s="2" t="s">
        <v>25</v>
      </c>
      <c r="C2132" s="3" t="n">
        <v>21501</v>
      </c>
      <c r="D2132" s="8" t="s">
        <v>17</v>
      </c>
      <c r="E2132" s="3" t="n">
        <f aca="false">IF(Tabla2[[#This Row],[Frecuencia]]="Annual", Tabla2[[#This Row],[Cosecha/Tarea]]/12,Tabla2[[#This Row],[Cosecha/Tarea]])</f>
        <v>21501</v>
      </c>
      <c r="F2132" s="3" t="n">
        <v>287932</v>
      </c>
      <c r="G2132" s="2" t="s">
        <v>18</v>
      </c>
      <c r="H2132" s="2" t="n">
        <f aca="false">F2132/Tabla2[[#This Row],[Cosecha Mensual]]</f>
        <v>13.3915631831078</v>
      </c>
      <c r="I2132" s="2" t="n">
        <f aca="false">H2132*_xlfn.XLOOKUP(Tabla2[[#This Row],[Unidad de producción]],Tabla3[Medida],Tabla3[Equivalencia en Kg],"ELVIS",0)</f>
        <v>607.441305985768</v>
      </c>
      <c r="J2132" s="2" t="n">
        <v>261.792993402778</v>
      </c>
      <c r="K2132" s="2" t="s">
        <v>18</v>
      </c>
      <c r="L2132" s="2" t="n">
        <f aca="false">J2132/_xlfn.XLOOKUP(Tabla2[[#This Row],[Unidad de precio]],Tabla3[Medida],Tabla3[Equivalencia en Kg],"ELVIS",0)</f>
        <v>5.77145047184255</v>
      </c>
      <c r="M2132" s="2" t="n">
        <v>4871.66870431878</v>
      </c>
      <c r="N2132" s="3" t="n">
        <f aca="false">(Tabla2[[#This Row],[Productividad (kg/TAS)]]*Tabla2[[#This Row],[Precio por kg]]-Tabla2[[#This Row],[Costos (En RD$/Tarea)]])</f>
        <v>-1365.85129227056</v>
      </c>
      <c r="O2132" s="9" t="n">
        <f aca="false">IF(Tabla2[[#This Row],[Costos (En RD$/Tarea)]]=0,0,Tabla2[[#This Row],[Beneficio Neto  (En RD$/Tarea)]]/Tabla2[[#This Row],[Costos (En RD$/Tarea)]])</f>
        <v>-0.280366210259685</v>
      </c>
      <c r="P2132" s="7" t="n">
        <f aca="false">Tabla2[[#This Row],[Rentabilidad (%)]]/12</f>
        <v>-0.0233638508549737</v>
      </c>
    </row>
    <row r="2133" customFormat="false" ht="14.25" hidden="false" customHeight="false" outlineLevel="0" collapsed="false">
      <c r="A2133" s="1" t="n">
        <v>41913</v>
      </c>
      <c r="B2133" s="2" t="s">
        <v>26</v>
      </c>
      <c r="C2133" s="3" t="n">
        <v>10784</v>
      </c>
      <c r="D2133" s="8" t="s">
        <v>17</v>
      </c>
      <c r="E2133" s="3" t="n">
        <f aca="false">IF(Tabla2[[#This Row],[Frecuencia]]="Annual", Tabla2[[#This Row],[Cosecha/Tarea]]/12,Tabla2[[#This Row],[Cosecha/Tarea]])</f>
        <v>10784</v>
      </c>
      <c r="F2133" s="3" t="n">
        <v>64540</v>
      </c>
      <c r="G2133" s="2" t="s">
        <v>18</v>
      </c>
      <c r="H2133" s="2" t="n">
        <f aca="false">F2133/Tabla2[[#This Row],[Cosecha Mensual]]</f>
        <v>5.98479228486647</v>
      </c>
      <c r="I2133" s="2" t="n">
        <f aca="false">H2133*_xlfn.XLOOKUP(Tabla2[[#This Row],[Unidad de producción]],Tabla3[Medida],Tabla3[Equivalencia en Kg],"ELVIS",0)</f>
        <v>271.470178041543</v>
      </c>
      <c r="J2133" s="2" t="n">
        <v>789.285357142857</v>
      </c>
      <c r="K2133" s="2" t="s">
        <v>18</v>
      </c>
      <c r="L2133" s="2" t="n">
        <f aca="false">J2133/_xlfn.XLOOKUP(Tabla2[[#This Row],[Unidad de precio]],Tabla3[Medida],Tabla3[Equivalencia en Kg],"ELVIS",0)</f>
        <v>17.4004708364827</v>
      </c>
      <c r="M2133" s="2" t="n">
        <v>2107.55664</v>
      </c>
      <c r="N2133" s="3" t="n">
        <f aca="false">(Tabla2[[#This Row],[Productividad (kg/TAS)]]*Tabla2[[#This Row],[Precio por kg]]-Tabla2[[#This Row],[Costos (En RD$/Tarea)]])</f>
        <v>2616.15227598665</v>
      </c>
      <c r="O2133" s="9" t="n">
        <f aca="false">IF(Tabla2[[#This Row],[Costos (En RD$/Tarea)]]=0,0,Tabla2[[#This Row],[Beneficio Neto  (En RD$/Tarea)]]/Tabla2[[#This Row],[Costos (En RD$/Tarea)]])</f>
        <v>1.24132003208542</v>
      </c>
      <c r="P2133" s="7" t="n">
        <f aca="false">Tabla2[[#This Row],[Rentabilidad (%)]]/12</f>
        <v>0.103443336007119</v>
      </c>
    </row>
    <row r="2134" customFormat="false" ht="14.25" hidden="false" customHeight="false" outlineLevel="0" collapsed="false">
      <c r="A2134" s="1" t="n">
        <v>41913</v>
      </c>
      <c r="B2134" s="2" t="s">
        <v>27</v>
      </c>
      <c r="C2134" s="3" t="n">
        <v>3324</v>
      </c>
      <c r="D2134" s="8" t="s">
        <v>17</v>
      </c>
      <c r="E2134" s="3" t="n">
        <f aca="false">IF(Tabla2[[#This Row],[Frecuencia]]="Annual", Tabla2[[#This Row],[Cosecha/Tarea]]/12,Tabla2[[#This Row],[Cosecha/Tarea]])</f>
        <v>3324</v>
      </c>
      <c r="F2134" s="3" t="n">
        <v>30092</v>
      </c>
      <c r="G2134" s="2" t="s">
        <v>18</v>
      </c>
      <c r="H2134" s="2" t="n">
        <f aca="false">F2134/Tabla2[[#This Row],[Cosecha Mensual]]</f>
        <v>9.05294825511432</v>
      </c>
      <c r="I2134" s="2" t="n">
        <f aca="false">H2134*_xlfn.XLOOKUP(Tabla2[[#This Row],[Unidad de producción]],Tabla3[Medida],Tabla3[Equivalencia en Kg],"ELVIS",0)</f>
        <v>410.641732851986</v>
      </c>
      <c r="J2134" s="2" t="n">
        <v>736.333</v>
      </c>
      <c r="K2134" s="2" t="s">
        <v>18</v>
      </c>
      <c r="L2134" s="2" t="n">
        <f aca="false">J2134/_xlfn.XLOOKUP(Tabla2[[#This Row],[Unidad de precio]],Tabla3[Medida],Tabla3[Equivalencia en Kg],"ELVIS",0)</f>
        <v>16.2330908289242</v>
      </c>
      <c r="M2134" s="2" t="n">
        <v>8288.298341505</v>
      </c>
      <c r="N2134" s="3" t="n">
        <f aca="false">(Tabla2[[#This Row],[Productividad (kg/TAS)]]*Tabla2[[#This Row],[Precio por kg]]-Tabla2[[#This Row],[Costos (En RD$/Tarea)]])</f>
        <v>-1622.31379397191</v>
      </c>
      <c r="O2134" s="9" t="n">
        <f aca="false">IF(Tabla2[[#This Row],[Costos (En RD$/Tarea)]]=0,0,Tabla2[[#This Row],[Beneficio Neto  (En RD$/Tarea)]]/Tabla2[[#This Row],[Costos (En RD$/Tarea)]])</f>
        <v>-0.195735448595993</v>
      </c>
      <c r="P2134" s="7" t="n">
        <f aca="false">Tabla2[[#This Row],[Rentabilidad (%)]]/12</f>
        <v>-0.0163112873829994</v>
      </c>
    </row>
    <row r="2135" customFormat="false" ht="14.25" hidden="false" customHeight="false" outlineLevel="0" collapsed="false">
      <c r="A2135" s="1" t="n">
        <v>41913</v>
      </c>
      <c r="B2135" s="2" t="s">
        <v>28</v>
      </c>
      <c r="C2135" s="3" t="n">
        <v>53496</v>
      </c>
      <c r="D2135" s="8" t="s">
        <v>17</v>
      </c>
      <c r="E2135" s="3" t="n">
        <f aca="false">IF(Tabla2[[#This Row],[Frecuencia]]="Annual", Tabla2[[#This Row],[Cosecha/Tarea]]/12,Tabla2[[#This Row],[Cosecha/Tarea]])</f>
        <v>53496</v>
      </c>
      <c r="F2135" s="3" t="n">
        <v>69442</v>
      </c>
      <c r="G2135" s="2" t="s">
        <v>29</v>
      </c>
      <c r="H2135" s="2" t="n">
        <f aca="false">F2135/Tabla2[[#This Row],[Cosecha Mensual]]</f>
        <v>1.29807836099895</v>
      </c>
      <c r="I2135" s="2" t="n">
        <f aca="false">H2135*_xlfn.XLOOKUP(Tabla2[[#This Row],[Unidad de producción]],Tabla3[Medida],Tabla3[Equivalencia en Kg],"ELVIS",0)</f>
        <v>729.961385524151</v>
      </c>
      <c r="J2135" s="2" t="n">
        <v>3496.5275</v>
      </c>
      <c r="K2135" s="2" t="s">
        <v>29</v>
      </c>
      <c r="L2135" s="2" t="n">
        <f aca="false">J2135/_xlfn.XLOOKUP(Tabla2[[#This Row],[Unidad de precio]],Tabla3[Medida],Tabla3[Equivalencia en Kg],"ELVIS",0)</f>
        <v>6.2178175125369</v>
      </c>
      <c r="M2135" s="2" t="n">
        <v>7150.53423628677</v>
      </c>
      <c r="N2135" s="3" t="n">
        <f aca="false">(Tabla2[[#This Row],[Productividad (kg/TAS)]]*Tabla2[[#This Row],[Precio por kg]]-Tabla2[[#This Row],[Costos (En RD$/Tarea)]])</f>
        <v>-2611.767549899</v>
      </c>
      <c r="O2135" s="9" t="n">
        <f aca="false">IF(Tabla2[[#This Row],[Costos (En RD$/Tarea)]]=0,0,Tabla2[[#This Row],[Beneficio Neto  (En RD$/Tarea)]]/Tabla2[[#This Row],[Costos (En RD$/Tarea)]])</f>
        <v>-0.365254883564515</v>
      </c>
      <c r="P2135" s="7" t="n">
        <f aca="false">Tabla2[[#This Row],[Rentabilidad (%)]]/12</f>
        <v>-0.0304379069637096</v>
      </c>
    </row>
    <row r="2136" customFormat="false" ht="14.25" hidden="false" customHeight="false" outlineLevel="0" collapsed="false">
      <c r="A2136" s="1" t="n">
        <v>41913</v>
      </c>
      <c r="B2136" s="2" t="s">
        <v>30</v>
      </c>
      <c r="C2136" s="3" t="n">
        <v>417187</v>
      </c>
      <c r="D2136" s="3" t="s">
        <v>31</v>
      </c>
      <c r="E2136" s="3" t="n">
        <f aca="false">IF(Tabla2[[#This Row],[Frecuencia]]="Annual", Tabla2[[#This Row],[Cosecha/Tarea]]/12,Tabla2[[#This Row],[Cosecha/Tarea]])</f>
        <v>34765.5833333333</v>
      </c>
      <c r="F2136" s="3" t="n">
        <v>4007672</v>
      </c>
      <c r="G2136" s="2" t="s">
        <v>32</v>
      </c>
      <c r="H2136" s="2" t="n">
        <f aca="false">F2136/Tabla2[[#This Row],[Cosecha Mensual]]</f>
        <v>115.276995687785</v>
      </c>
      <c r="I2136" s="2" t="n">
        <f aca="false">H2136*_xlfn.XLOOKUP(Tabla2[[#This Row],[Unidad de producción]],Tabla3[Medida],Tabla3[Equivalencia en Kg],"ELVIS",0)</f>
        <v>3136.68705266463</v>
      </c>
      <c r="J2136" s="2" t="n">
        <v>165.680416666667</v>
      </c>
      <c r="K2136" s="2" t="s">
        <v>32</v>
      </c>
      <c r="L2136" s="2" t="n">
        <f aca="false">J2136/_xlfn.XLOOKUP(Tabla2[[#This Row],[Unidad de precio]],Tabla3[Medida],Tabla3[Equivalencia en Kg],"ELVIS",0)</f>
        <v>6.08895320347913</v>
      </c>
      <c r="M2136" s="3" t="n">
        <v>12538.8969859716</v>
      </c>
      <c r="N2136" s="3" t="n">
        <f aca="false">(Tabla2[[#This Row],[Productividad (kg/TAS)]]*Tabla2[[#This Row],[Precio por kg]]-Tabla2[[#This Row],[Costos (En RD$/Tarea)]])</f>
        <v>6560.24369166221</v>
      </c>
      <c r="O2136" s="9" t="n">
        <f aca="false">IF(Tabla2[[#This Row],[Costos (En RD$/Tarea)]]=0,0,Tabla2[[#This Row],[Beneficio Neto  (En RD$/Tarea)]]/Tabla2[[#This Row],[Costos (En RD$/Tarea)]])</f>
        <v>0.523191449694638</v>
      </c>
      <c r="P2136" s="7" t="n">
        <f aca="false">Tabla2[[#This Row],[Rentabilidad (%)]]/12</f>
        <v>0.0435992874745532</v>
      </c>
    </row>
    <row r="2137" customFormat="false" ht="14.25" hidden="false" customHeight="false" outlineLevel="0" collapsed="false">
      <c r="A2137" s="1" t="n">
        <v>41913</v>
      </c>
      <c r="B2137" s="2" t="s">
        <v>33</v>
      </c>
      <c r="C2137" s="3" t="n">
        <v>710864</v>
      </c>
      <c r="D2137" s="3" t="s">
        <v>31</v>
      </c>
      <c r="E2137" s="11" t="n">
        <f aca="false">IF(Tabla2[[#This Row],[Frecuencia]]="Annual", Tabla2[[#This Row],[Cosecha/Tarea]]/12,Tabla2[[#This Row],[Cosecha/Tarea]])</f>
        <v>59238.6666666667</v>
      </c>
      <c r="F2137" s="3" t="n">
        <v>163930</v>
      </c>
      <c r="G2137" s="2" t="s">
        <v>34</v>
      </c>
      <c r="H2137" s="2" t="n">
        <f aca="false">F2137/Tabla2[[#This Row],[Cosecha Mensual]]</f>
        <v>2.76728037993203</v>
      </c>
      <c r="I2137" s="2" t="n">
        <f aca="false">H2137*_xlfn.XLOOKUP(Tabla2[[#This Row],[Unidad de producción]],Tabla3[Medida],Tabla3[Equivalencia en Kg],"ELVIS",0)</f>
        <v>1129.46548706926</v>
      </c>
      <c r="J2137" s="2" t="n">
        <v>5437.48773809524</v>
      </c>
      <c r="K2137" s="2" t="s">
        <v>34</v>
      </c>
      <c r="L2137" s="2" t="n">
        <f aca="false">J2137/_xlfn.XLOOKUP(Tabla2[[#This Row],[Unidad de precio]],Tabla3[Medida],Tabla3[Equivalencia en Kg],"ELVIS",0)</f>
        <v>13.3222779323661</v>
      </c>
      <c r="M2137" s="3" t="n">
        <v>12054.0166317253</v>
      </c>
      <c r="N2137" s="3" t="n">
        <f aca="false">(Tabla2[[#This Row],[Productividad (kg/TAS)]]*Tabla2[[#This Row],[Precio por kg]]-Tabla2[[#This Row],[Costos (En RD$/Tarea)]])</f>
        <v>2993.03650202663</v>
      </c>
      <c r="O2137" s="9" t="n">
        <f aca="false">IF(Tabla2[[#This Row],[Costos (En RD$/Tarea)]]=0,0,Tabla2[[#This Row],[Beneficio Neto  (En RD$/Tarea)]]/Tabla2[[#This Row],[Costos (En RD$/Tarea)]])</f>
        <v>0.248302005337306</v>
      </c>
      <c r="P2137" s="7" t="n">
        <f aca="false">Tabla2[[#This Row],[Rentabilidad (%)]]/12</f>
        <v>0.0206918337781088</v>
      </c>
    </row>
    <row r="2138" customFormat="false" ht="14.25" hidden="false" customHeight="false" outlineLevel="0" collapsed="false">
      <c r="A2138" s="1" t="n">
        <v>41944</v>
      </c>
      <c r="B2138" s="2" t="s">
        <v>16</v>
      </c>
      <c r="C2138" s="3" t="n">
        <v>290884</v>
      </c>
      <c r="D2138" s="8" t="s">
        <v>17</v>
      </c>
      <c r="E2138" s="3" t="n">
        <f aca="false">IF(Tabla2[[#This Row],[Frecuencia]]="Annual", Tabla2[[#This Row],[Cosecha/Tarea]]/12,Tabla2[[#This Row],[Cosecha/Tarea]])</f>
        <v>290884</v>
      </c>
      <c r="F2138" s="3" t="n">
        <v>1133230</v>
      </c>
      <c r="G2138" s="2" t="s">
        <v>18</v>
      </c>
      <c r="H2138" s="2" t="n">
        <f aca="false">F2138/Tabla2[[#This Row],[Cosecha Mensual]]</f>
        <v>3.89581413896949</v>
      </c>
      <c r="I2138" s="2" t="n">
        <f aca="false">H2138*_xlfn.XLOOKUP(Tabla2[[#This Row],[Unidad de producción]],Tabla3[Medida],Tabla3[Equivalencia en Kg],"ELVIS",0)</f>
        <v>176.714129343656</v>
      </c>
      <c r="J2138" s="2" t="n">
        <v>1832.51619565217</v>
      </c>
      <c r="K2138" s="2" t="s">
        <v>19</v>
      </c>
      <c r="L2138" s="2" t="n">
        <f aca="false">J2138/_xlfn.XLOOKUP(Tabla2[[#This Row],[Unidad de precio]],Tabla3[Medida],Tabla3[Equivalencia en Kg],"ELVIS",0)</f>
        <v>16.6592381422925</v>
      </c>
      <c r="M2138" s="2" t="n">
        <v>7973.24325841281</v>
      </c>
      <c r="N2138" s="3" t="n">
        <f aca="false">(Tabla2[[#This Row],[Productividad (kg/TAS)]]*Tabla2[[#This Row],[Precio por kg]]-Tabla2[[#This Row],[Costos (En RD$/Tarea)]])</f>
        <v>-5029.32049456898</v>
      </c>
      <c r="O2138" s="9" t="n">
        <f aca="false">IF(Tabla2[[#This Row],[Costos (En RD$/Tarea)]]=0,0,Tabla2[[#This Row],[Beneficio Neto  (En RD$/Tarea)]]/Tabla2[[#This Row],[Costos (En RD$/Tarea)]])</f>
        <v>-0.630774746432374</v>
      </c>
      <c r="P2138" s="7" t="n">
        <f aca="false">Tabla2[[#This Row],[Rentabilidad (%)]]/12</f>
        <v>-0.0525645622026978</v>
      </c>
    </row>
    <row r="2139" customFormat="false" ht="14.25" hidden="false" customHeight="false" outlineLevel="0" collapsed="false">
      <c r="A2139" s="1" t="n">
        <v>41944</v>
      </c>
      <c r="B2139" s="2" t="s">
        <v>20</v>
      </c>
      <c r="C2139" s="3" t="n">
        <v>25874</v>
      </c>
      <c r="D2139" s="8" t="s">
        <v>17</v>
      </c>
      <c r="E2139" s="3" t="n">
        <f aca="false">IF(Tabla2[[#This Row],[Frecuencia]]="Annual", Tabla2[[#This Row],[Cosecha/Tarea]]/12,Tabla2[[#This Row],[Cosecha/Tarea]])</f>
        <v>25874</v>
      </c>
      <c r="F2139" s="3" t="n">
        <v>57009</v>
      </c>
      <c r="G2139" s="2" t="s">
        <v>18</v>
      </c>
      <c r="H2139" s="2" t="n">
        <f aca="false">F2139/Tabla2[[#This Row],[Cosecha Mensual]]</f>
        <v>2.20333152972096</v>
      </c>
      <c r="I2139" s="2" t="n">
        <f aca="false">H2139*_xlfn.XLOOKUP(Tabla2[[#This Row],[Unidad de producción]],Tabla3[Medida],Tabla3[Equivalencia en Kg],"ELVIS",0)</f>
        <v>99.9431181881425</v>
      </c>
      <c r="J2139" s="2" t="n">
        <v>793.842777777778</v>
      </c>
      <c r="K2139" s="2" t="s">
        <v>18</v>
      </c>
      <c r="L2139" s="2" t="n">
        <f aca="false">J2139/_xlfn.XLOOKUP(Tabla2[[#This Row],[Unidad de precio]],Tabla3[Medida],Tabla3[Equivalencia en Kg],"ELVIS",0)</f>
        <v>17.5009430727023</v>
      </c>
      <c r="M2139" s="2" t="n">
        <v>2447.4016476</v>
      </c>
      <c r="N2139" s="3" t="n">
        <f aca="false">(Tabla2[[#This Row],[Productividad (kg/TAS)]]*Tabla2[[#This Row],[Precio por kg]]-Tabla2[[#This Row],[Costos (En RD$/Tarea)]])</f>
        <v>-698.302825680956</v>
      </c>
      <c r="O2139" s="9" t="n">
        <f aca="false">IF(Tabla2[[#This Row],[Costos (En RD$/Tarea)]]=0,0,Tabla2[[#This Row],[Beneficio Neto  (En RD$/Tarea)]]/Tabla2[[#This Row],[Costos (En RD$/Tarea)]])</f>
        <v>-0.285324162613739</v>
      </c>
      <c r="P2139" s="7" t="n">
        <f aca="false">Tabla2[[#This Row],[Rentabilidad (%)]]/12</f>
        <v>-0.0237770135511449</v>
      </c>
    </row>
    <row r="2140" customFormat="false" ht="14.25" hidden="false" customHeight="false" outlineLevel="0" collapsed="false">
      <c r="A2140" s="1" t="n">
        <v>41944</v>
      </c>
      <c r="B2140" s="2" t="s">
        <v>21</v>
      </c>
      <c r="C2140" s="3" t="n">
        <v>9852</v>
      </c>
      <c r="D2140" s="8" t="s">
        <v>17</v>
      </c>
      <c r="E2140" s="3" t="n">
        <f aca="false">IF(Tabla2[[#This Row],[Frecuencia]]="Annual", Tabla2[[#This Row],[Cosecha/Tarea]]/12,Tabla2[[#This Row],[Cosecha/Tarea]])</f>
        <v>9852</v>
      </c>
      <c r="F2140" s="3" t="n">
        <v>96551</v>
      </c>
      <c r="G2140" s="2" t="s">
        <v>18</v>
      </c>
      <c r="H2140" s="2" t="n">
        <f aca="false">F2140/Tabla2[[#This Row],[Cosecha Mensual]]</f>
        <v>9.80014210312627</v>
      </c>
      <c r="I2140" s="2" t="n">
        <f aca="false">H2140*_xlfn.XLOOKUP(Tabla2[[#This Row],[Unidad de producción]],Tabla3[Medida],Tabla3[Equivalencia en Kg],"ELVIS",0)</f>
        <v>444.534445797808</v>
      </c>
      <c r="J2140" s="2" t="n">
        <v>586.740046296296</v>
      </c>
      <c r="K2140" s="2" t="s">
        <v>18</v>
      </c>
      <c r="L2140" s="2" t="n">
        <f aca="false">J2140/_xlfn.XLOOKUP(Tabla2[[#This Row],[Unidad de precio]],Tabla3[Medida],Tabla3[Equivalencia en Kg],"ELVIS",0)</f>
        <v>12.9351862058266</v>
      </c>
      <c r="M2140" s="2" t="n">
        <v>5243.9203425</v>
      </c>
      <c r="N2140" s="3" t="n">
        <f aca="false">(Tabla2[[#This Row],[Productividad (kg/TAS)]]*Tabla2[[#This Row],[Precio por kg]]-Tabla2[[#This Row],[Costos (En RD$/Tarea)]])</f>
        <v>506.215488798587</v>
      </c>
      <c r="O2140" s="9" t="n">
        <f aca="false">IF(Tabla2[[#This Row],[Costos (En RD$/Tarea)]]=0,0,Tabla2[[#This Row],[Beneficio Neto  (En RD$/Tarea)]]/Tabla2[[#This Row],[Costos (En RD$/Tarea)]])</f>
        <v>0.096533786887627</v>
      </c>
      <c r="P2140" s="7" t="n">
        <f aca="false">Tabla2[[#This Row],[Rentabilidad (%)]]/12</f>
        <v>0.00804448224063559</v>
      </c>
    </row>
    <row r="2141" customFormat="false" ht="14.25" hidden="false" customHeight="false" outlineLevel="0" collapsed="false">
      <c r="A2141" s="1" t="n">
        <v>41944</v>
      </c>
      <c r="B2141" s="2" t="s">
        <v>22</v>
      </c>
      <c r="C2141" s="3" t="n">
        <v>6987</v>
      </c>
      <c r="D2141" s="8" t="s">
        <v>17</v>
      </c>
      <c r="E2141" s="3" t="n">
        <f aca="false">IF(Tabla2[[#This Row],[Frecuencia]]="Annual", Tabla2[[#This Row],[Cosecha/Tarea]]/12,Tabla2[[#This Row],[Cosecha/Tarea]])</f>
        <v>6987</v>
      </c>
      <c r="F2141" s="3" t="n">
        <v>55212</v>
      </c>
      <c r="G2141" s="2" t="s">
        <v>18</v>
      </c>
      <c r="H2141" s="2" t="n">
        <f aca="false">F2141/Tabla2[[#This Row],[Cosecha Mensual]]</f>
        <v>7.90210390725633</v>
      </c>
      <c r="I2141" s="2" t="n">
        <f aca="false">H2141*_xlfn.XLOOKUP(Tabla2[[#This Row],[Unidad de producción]],Tabla3[Medida],Tabla3[Equivalencia en Kg],"ELVIS",0)</f>
        <v>358.439433233147</v>
      </c>
      <c r="J2141" s="2" t="n">
        <v>1261.66666666667</v>
      </c>
      <c r="K2141" s="2" t="s">
        <v>18</v>
      </c>
      <c r="L2141" s="2" t="n">
        <f aca="false">J2141/_xlfn.XLOOKUP(Tabla2[[#This Row],[Unidad de precio]],Tabla3[Medida],Tabla3[Equivalencia en Kg],"ELVIS",0)</f>
        <v>27.8145208700765</v>
      </c>
      <c r="M2141" s="2" t="n">
        <v>9418.5442176</v>
      </c>
      <c r="N2141" s="3" t="n">
        <f aca="false">(Tabla2[[#This Row],[Productividad (kg/TAS)]]*Tabla2[[#This Row],[Precio por kg]]-Tabla2[[#This Row],[Costos (En RD$/Tarea)]])</f>
        <v>551.276878721767</v>
      </c>
      <c r="O2141" s="9" t="n">
        <f aca="false">IF(Tabla2[[#This Row],[Costos (En RD$/Tarea)]]=0,0,Tabla2[[#This Row],[Beneficio Neto  (En RD$/Tarea)]]/Tabla2[[#This Row],[Costos (En RD$/Tarea)]])</f>
        <v>0.0585310071265176</v>
      </c>
      <c r="P2141" s="7" t="n">
        <f aca="false">Tabla2[[#This Row],[Rentabilidad (%)]]/12</f>
        <v>0.0048775839272098</v>
      </c>
    </row>
    <row r="2142" customFormat="false" ht="14.25" hidden="false" customHeight="false" outlineLevel="0" collapsed="false">
      <c r="A2142" s="1" t="n">
        <v>41944</v>
      </c>
      <c r="B2142" s="2" t="s">
        <v>23</v>
      </c>
      <c r="C2142" s="3" t="n">
        <v>4021</v>
      </c>
      <c r="D2142" s="8" t="s">
        <v>17</v>
      </c>
      <c r="E2142" s="3" t="n">
        <f aca="false">IF(Tabla2[[#This Row],[Frecuencia]]="Annual", Tabla2[[#This Row],[Cosecha/Tarea]]/12,Tabla2[[#This Row],[Cosecha/Tarea]])</f>
        <v>4021</v>
      </c>
      <c r="F2142" s="3" t="n">
        <v>111207</v>
      </c>
      <c r="G2142" s="2" t="s">
        <v>18</v>
      </c>
      <c r="H2142" s="2" t="n">
        <f aca="false">F2142/Tabla2[[#This Row],[Cosecha Mensual]]</f>
        <v>27.6565530962447</v>
      </c>
      <c r="I2142" s="2" t="n">
        <f aca="false">H2142*_xlfn.XLOOKUP(Tabla2[[#This Row],[Unidad de producción]],Tabla3[Medida],Tabla3[Equivalencia en Kg],"ELVIS",0)</f>
        <v>1254.50124844566</v>
      </c>
      <c r="J2142" s="2" t="n">
        <v>935</v>
      </c>
      <c r="K2142" s="2" t="s">
        <v>18</v>
      </c>
      <c r="L2142" s="2" t="n">
        <f aca="false">J2142/_xlfn.XLOOKUP(Tabla2[[#This Row],[Unidad de precio]],Tabla3[Medida],Tabla3[Equivalencia en Kg],"ELVIS",0)</f>
        <v>20.6128747795414</v>
      </c>
      <c r="M2142" s="2" t="n">
        <v>26184.1693466859</v>
      </c>
      <c r="N2142" s="3" t="n">
        <f aca="false">(Tabla2[[#This Row],[Productividad (kg/TAS)]]*Tabla2[[#This Row],[Precio por kg]]-Tabla2[[#This Row],[Costos (En RD$/Tarea)]])</f>
        <v>-325.292201697092</v>
      </c>
      <c r="O2142" s="9" t="n">
        <f aca="false">IF(Tabla2[[#This Row],[Costos (En RD$/Tarea)]]=0,0,Tabla2[[#This Row],[Beneficio Neto  (En RD$/Tarea)]]/Tabla2[[#This Row],[Costos (En RD$/Tarea)]])</f>
        <v>-0.0124232393012026</v>
      </c>
      <c r="P2142" s="7" t="n">
        <f aca="false">Tabla2[[#This Row],[Rentabilidad (%)]]/12</f>
        <v>-0.00103526994176688</v>
      </c>
    </row>
    <row r="2143" customFormat="false" ht="14.25" hidden="false" customHeight="false" outlineLevel="0" collapsed="false">
      <c r="A2143" s="1" t="n">
        <v>41944</v>
      </c>
      <c r="B2143" s="2" t="s">
        <v>24</v>
      </c>
      <c r="C2143" s="3" t="n">
        <v>6999</v>
      </c>
      <c r="D2143" s="8" t="s">
        <v>17</v>
      </c>
      <c r="E2143" s="3" t="n">
        <f aca="false">IF(Tabla2[[#This Row],[Frecuencia]]="Annual", Tabla2[[#This Row],[Cosecha/Tarea]]/12,Tabla2[[#This Row],[Cosecha/Tarea]])</f>
        <v>6999</v>
      </c>
      <c r="F2143" s="3" t="n">
        <v>60580</v>
      </c>
      <c r="G2143" s="2" t="s">
        <v>18</v>
      </c>
      <c r="H2143" s="2" t="n">
        <f aca="false">F2143/Tabla2[[#This Row],[Cosecha Mensual]]</f>
        <v>8.65552221745964</v>
      </c>
      <c r="I2143" s="2" t="n">
        <f aca="false">H2143*_xlfn.XLOOKUP(Tabla2[[#This Row],[Unidad de producción]],Tabla3[Medida],Tabla3[Equivalencia en Kg],"ELVIS",0)</f>
        <v>392.614487783969</v>
      </c>
      <c r="J2143" s="2" t="n">
        <v>1376.51785714286</v>
      </c>
      <c r="K2143" s="2" t="s">
        <v>18</v>
      </c>
      <c r="L2143" s="2" t="n">
        <f aca="false">J2143/_xlfn.XLOOKUP(Tabla2[[#This Row],[Unidad de precio]],Tabla3[Medida],Tabla3[Equivalencia en Kg],"ELVIS",0)</f>
        <v>30.3465136054422</v>
      </c>
      <c r="M2143" s="2" t="n">
        <v>9105.98860416</v>
      </c>
      <c r="N2143" s="3" t="n">
        <f aca="false">(Tabla2[[#This Row],[Productividad (kg/TAS)]]*Tabla2[[#This Row],[Precio por kg]]-Tabla2[[#This Row],[Costos (En RD$/Tarea)]])</f>
        <v>2808.49229106996</v>
      </c>
      <c r="O2143" s="9" t="n">
        <f aca="false">IF(Tabla2[[#This Row],[Costos (En RD$/Tarea)]]=0,0,Tabla2[[#This Row],[Beneficio Neto  (En RD$/Tarea)]]/Tabla2[[#This Row],[Costos (En RD$/Tarea)]])</f>
        <v>0.308422557193506</v>
      </c>
      <c r="P2143" s="7" t="n">
        <f aca="false">Tabla2[[#This Row],[Rentabilidad (%)]]/12</f>
        <v>0.0257018797661255</v>
      </c>
    </row>
    <row r="2144" customFormat="false" ht="14.25" hidden="false" customHeight="false" outlineLevel="0" collapsed="false">
      <c r="A2144" s="1" t="n">
        <v>41944</v>
      </c>
      <c r="B2144" s="2" t="s">
        <v>25</v>
      </c>
      <c r="C2144" s="3" t="n">
        <v>46999</v>
      </c>
      <c r="D2144" s="8" t="s">
        <v>17</v>
      </c>
      <c r="E2144" s="3" t="n">
        <f aca="false">IF(Tabla2[[#This Row],[Frecuencia]]="Annual", Tabla2[[#This Row],[Cosecha/Tarea]]/12,Tabla2[[#This Row],[Cosecha/Tarea]])</f>
        <v>46999</v>
      </c>
      <c r="F2144" s="3" t="n">
        <v>421723</v>
      </c>
      <c r="G2144" s="2" t="s">
        <v>18</v>
      </c>
      <c r="H2144" s="2" t="n">
        <f aca="false">F2144/Tabla2[[#This Row],[Cosecha Mensual]]</f>
        <v>8.97302070256814</v>
      </c>
      <c r="I2144" s="2" t="n">
        <f aca="false">H2144*_xlfn.XLOOKUP(Tabla2[[#This Row],[Unidad de producción]],Tabla3[Medida],Tabla3[Equivalencia en Kg],"ELVIS",0)</f>
        <v>407.016219068491</v>
      </c>
      <c r="J2144" s="2" t="n">
        <v>242.3316</v>
      </c>
      <c r="K2144" s="2" t="s">
        <v>18</v>
      </c>
      <c r="L2144" s="2" t="n">
        <f aca="false">J2144/_xlfn.XLOOKUP(Tabla2[[#This Row],[Unidad de precio]],Tabla3[Medida],Tabla3[Equivalencia en Kg],"ELVIS",0)</f>
        <v>5.34240740740741</v>
      </c>
      <c r="M2144" s="2" t="n">
        <v>4871.66870431878</v>
      </c>
      <c r="N2144" s="3" t="n">
        <f aca="false">(Tabla2[[#This Row],[Productividad (kg/TAS)]]*Tabla2[[#This Row],[Precio por kg]]-Tabla2[[#This Row],[Costos (En RD$/Tarea)]])</f>
        <v>-2697.22224063232</v>
      </c>
      <c r="O2144" s="9" t="n">
        <f aca="false">IF(Tabla2[[#This Row],[Costos (En RD$/Tarea)]]=0,0,Tabla2[[#This Row],[Beneficio Neto  (En RD$/Tarea)]]/Tabla2[[#This Row],[Costos (En RD$/Tarea)]])</f>
        <v>-0.553654692947656</v>
      </c>
      <c r="P2144" s="7" t="n">
        <f aca="false">Tabla2[[#This Row],[Rentabilidad (%)]]/12</f>
        <v>-0.0461378910789713</v>
      </c>
    </row>
    <row r="2145" customFormat="false" ht="14.25" hidden="false" customHeight="false" outlineLevel="0" collapsed="false">
      <c r="A2145" s="1" t="n">
        <v>41944</v>
      </c>
      <c r="B2145" s="2" t="s">
        <v>26</v>
      </c>
      <c r="C2145" s="3" t="n">
        <v>13014</v>
      </c>
      <c r="D2145" s="8" t="s">
        <v>17</v>
      </c>
      <c r="E2145" s="3" t="n">
        <f aca="false">IF(Tabla2[[#This Row],[Frecuencia]]="Annual", Tabla2[[#This Row],[Cosecha/Tarea]]/12,Tabla2[[#This Row],[Cosecha/Tarea]])</f>
        <v>13014</v>
      </c>
      <c r="F2145" s="3" t="n">
        <v>79270</v>
      </c>
      <c r="G2145" s="2" t="s">
        <v>18</v>
      </c>
      <c r="H2145" s="2" t="n">
        <f aca="false">F2145/Tabla2[[#This Row],[Cosecha Mensual]]</f>
        <v>6.09113262640234</v>
      </c>
      <c r="I2145" s="2" t="n">
        <f aca="false">H2145*_xlfn.XLOOKUP(Tabla2[[#This Row],[Unidad de producción]],Tabla3[Medida],Tabla3[Equivalencia en Kg],"ELVIS",0)</f>
        <v>276.29377593361</v>
      </c>
      <c r="J2145" s="2" t="n">
        <v>794.25</v>
      </c>
      <c r="K2145" s="2" t="s">
        <v>18</v>
      </c>
      <c r="L2145" s="2" t="n">
        <f aca="false">J2145/_xlfn.XLOOKUP(Tabla2[[#This Row],[Unidad de precio]],Tabla3[Medida],Tabla3[Equivalencia en Kg],"ELVIS",0)</f>
        <v>17.5099206349206</v>
      </c>
      <c r="M2145" s="2" t="n">
        <v>2107.55664</v>
      </c>
      <c r="N2145" s="3" t="n">
        <f aca="false">(Tabla2[[#This Row],[Productividad (kg/TAS)]]*Tabla2[[#This Row],[Precio por kg]]-Tabla2[[#This Row],[Costos (En RD$/Tarea)]])</f>
        <v>2730.32544852006</v>
      </c>
      <c r="O2145" s="9" t="n">
        <f aca="false">IF(Tabla2[[#This Row],[Costos (En RD$/Tarea)]]=0,0,Tabla2[[#This Row],[Beneficio Neto  (En RD$/Tarea)]]/Tabla2[[#This Row],[Costos (En RD$/Tarea)]])</f>
        <v>1.295493272494</v>
      </c>
      <c r="P2145" s="7" t="n">
        <f aca="false">Tabla2[[#This Row],[Rentabilidad (%)]]/12</f>
        <v>0.107957772707833</v>
      </c>
    </row>
    <row r="2146" customFormat="false" ht="14.25" hidden="false" customHeight="false" outlineLevel="0" collapsed="false">
      <c r="A2146" s="1" t="n">
        <v>41944</v>
      </c>
      <c r="B2146" s="2" t="s">
        <v>27</v>
      </c>
      <c r="C2146" s="3" t="n">
        <v>8999</v>
      </c>
      <c r="D2146" s="8" t="s">
        <v>17</v>
      </c>
      <c r="E2146" s="3" t="n">
        <f aca="false">IF(Tabla2[[#This Row],[Frecuencia]]="Annual", Tabla2[[#This Row],[Cosecha/Tarea]]/12,Tabla2[[#This Row],[Cosecha/Tarea]])</f>
        <v>8999</v>
      </c>
      <c r="F2146" s="3" t="n">
        <v>30107</v>
      </c>
      <c r="G2146" s="2" t="s">
        <v>18</v>
      </c>
      <c r="H2146" s="2" t="n">
        <f aca="false">F2146/Tabla2[[#This Row],[Cosecha Mensual]]</f>
        <v>3.34559395488388</v>
      </c>
      <c r="I2146" s="2" t="n">
        <f aca="false">H2146*_xlfn.XLOOKUP(Tabla2[[#This Row],[Unidad de producción]],Tabla3[Medida],Tabla3[Equivalencia en Kg],"ELVIS",0)</f>
        <v>151.756141793533</v>
      </c>
      <c r="J2146" s="2" t="n">
        <v>675.857380952381</v>
      </c>
      <c r="K2146" s="2" t="s">
        <v>18</v>
      </c>
      <c r="L2146" s="2" t="n">
        <f aca="false">J2146/_xlfn.XLOOKUP(Tabla2[[#This Row],[Unidad de precio]],Tabla3[Medida],Tabla3[Equivalencia en Kg],"ELVIS",0)</f>
        <v>14.8998540774334</v>
      </c>
      <c r="M2146" s="2" t="n">
        <v>8288.298341505</v>
      </c>
      <c r="N2146" s="3" t="n">
        <f aca="false">(Tabla2[[#This Row],[Productividad (kg/TAS)]]*Tabla2[[#This Row],[Precio por kg]]-Tabla2[[#This Row],[Costos (En RD$/Tarea)]])</f>
        <v>-6027.15397342707</v>
      </c>
      <c r="O2146" s="9" t="n">
        <f aca="false">IF(Tabla2[[#This Row],[Costos (En RD$/Tarea)]]=0,0,Tabla2[[#This Row],[Beneficio Neto  (En RD$/Tarea)]]/Tabla2[[#This Row],[Costos (En RD$/Tarea)]])</f>
        <v>-0.727188347364997</v>
      </c>
      <c r="P2146" s="7" t="n">
        <f aca="false">Tabla2[[#This Row],[Rentabilidad (%)]]/12</f>
        <v>-0.0605990289470831</v>
      </c>
    </row>
    <row r="2147" customFormat="false" ht="14.25" hidden="false" customHeight="false" outlineLevel="0" collapsed="false">
      <c r="A2147" s="1" t="n">
        <v>41944</v>
      </c>
      <c r="B2147" s="2" t="s">
        <v>28</v>
      </c>
      <c r="C2147" s="3" t="n">
        <v>55487</v>
      </c>
      <c r="D2147" s="8" t="s">
        <v>17</v>
      </c>
      <c r="E2147" s="3" t="n">
        <f aca="false">IF(Tabla2[[#This Row],[Frecuencia]]="Annual", Tabla2[[#This Row],[Cosecha/Tarea]]/12,Tabla2[[#This Row],[Cosecha/Tarea]])</f>
        <v>55487</v>
      </c>
      <c r="F2147" s="3" t="n">
        <v>58576</v>
      </c>
      <c r="G2147" s="2" t="s">
        <v>29</v>
      </c>
      <c r="H2147" s="2" t="n">
        <f aca="false">F2147/Tabla2[[#This Row],[Cosecha Mensual]]</f>
        <v>1.05567069764089</v>
      </c>
      <c r="I2147" s="2" t="n">
        <f aca="false">H2147*_xlfn.XLOOKUP(Tabla2[[#This Row],[Unidad de producción]],Tabla3[Medida],Tabla3[Equivalencia en Kg],"ELVIS",0)</f>
        <v>593.645860111378</v>
      </c>
      <c r="J2147" s="2" t="n">
        <v>4289.58333333333</v>
      </c>
      <c r="K2147" s="2" t="s">
        <v>29</v>
      </c>
      <c r="L2147" s="2" t="n">
        <f aca="false">J2147/_xlfn.XLOOKUP(Tabla2[[#This Row],[Unidad de precio]],Tabla3[Medida],Tabla3[Equivalencia en Kg],"ELVIS",0)</f>
        <v>7.62809569536816</v>
      </c>
      <c r="M2147" s="2" t="n">
        <v>7150.53423628677</v>
      </c>
      <c r="N2147" s="3" t="n">
        <f aca="false">(Tabla2[[#This Row],[Productividad (kg/TAS)]]*Tabla2[[#This Row],[Precio por kg]]-Tabla2[[#This Row],[Costos (En RD$/Tarea)]])</f>
        <v>-2622.14680619804</v>
      </c>
      <c r="O2147" s="9" t="n">
        <f aca="false">IF(Tabla2[[#This Row],[Costos (En RD$/Tarea)]]=0,0,Tabla2[[#This Row],[Beneficio Neto  (En RD$/Tarea)]]/Tabla2[[#This Row],[Costos (En RD$/Tarea)]])</f>
        <v>-0.366706419345768</v>
      </c>
      <c r="P2147" s="7" t="n">
        <f aca="false">Tabla2[[#This Row],[Rentabilidad (%)]]/12</f>
        <v>-0.030558868278814</v>
      </c>
    </row>
    <row r="2148" customFormat="false" ht="14.25" hidden="false" customHeight="false" outlineLevel="0" collapsed="false">
      <c r="A2148" s="1" t="n">
        <v>41944</v>
      </c>
      <c r="B2148" s="2" t="s">
        <v>30</v>
      </c>
      <c r="C2148" s="3" t="n">
        <v>445620</v>
      </c>
      <c r="D2148" s="3" t="s">
        <v>31</v>
      </c>
      <c r="E2148" s="3" t="n">
        <f aca="false">IF(Tabla2[[#This Row],[Frecuencia]]="Annual", Tabla2[[#This Row],[Cosecha/Tarea]]/12,Tabla2[[#This Row],[Cosecha/Tarea]])</f>
        <v>37135</v>
      </c>
      <c r="F2148" s="3" t="n">
        <v>3573095</v>
      </c>
      <c r="G2148" s="2" t="s">
        <v>32</v>
      </c>
      <c r="H2148" s="2" t="n">
        <f aca="false">F2148/Tabla2[[#This Row],[Cosecha Mensual]]</f>
        <v>96.2190655715632</v>
      </c>
      <c r="I2148" s="2" t="n">
        <f aca="false">H2148*_xlfn.XLOOKUP(Tabla2[[#This Row],[Unidad de producción]],Tabla3[Medida],Tabla3[Equivalencia en Kg],"ELVIS",0)</f>
        <v>2618.12077420224</v>
      </c>
      <c r="J2148" s="2" t="n">
        <v>190.416428571429</v>
      </c>
      <c r="K2148" s="2" t="s">
        <v>32</v>
      </c>
      <c r="L2148" s="2" t="n">
        <f aca="false">J2148/_xlfn.XLOOKUP(Tabla2[[#This Row],[Unidad de precio]],Tabla3[Medida],Tabla3[Equivalencia en Kg],"ELVIS",0)</f>
        <v>6.99803118601356</v>
      </c>
      <c r="M2148" s="3" t="n">
        <v>12538.8969859716</v>
      </c>
      <c r="N2148" s="3" t="n">
        <f aca="false">(Tabla2[[#This Row],[Productividad (kg/TAS)]]*Tabla2[[#This Row],[Precio por kg]]-Tabla2[[#This Row],[Costos (En RD$/Tarea)]])</f>
        <v>5782.79384064561</v>
      </c>
      <c r="O2148" s="9" t="n">
        <f aca="false">IF(Tabla2[[#This Row],[Costos (En RD$/Tarea)]]=0,0,Tabla2[[#This Row],[Beneficio Neto  (En RD$/Tarea)]]/Tabla2[[#This Row],[Costos (En RD$/Tarea)]])</f>
        <v>0.461188400153167</v>
      </c>
      <c r="P2148" s="7" t="n">
        <f aca="false">Tabla2[[#This Row],[Rentabilidad (%)]]/12</f>
        <v>0.0384323666794306</v>
      </c>
    </row>
    <row r="2149" customFormat="false" ht="14.25" hidden="false" customHeight="false" outlineLevel="0" collapsed="false">
      <c r="A2149" s="1" t="n">
        <v>41944</v>
      </c>
      <c r="B2149" s="2" t="s">
        <v>33</v>
      </c>
      <c r="C2149" s="3" t="n">
        <v>789985</v>
      </c>
      <c r="D2149" s="3" t="s">
        <v>31</v>
      </c>
      <c r="E2149" s="11" t="n">
        <f aca="false">IF(Tabla2[[#This Row],[Frecuencia]]="Annual", Tabla2[[#This Row],[Cosecha/Tarea]]/12,Tabla2[[#This Row],[Cosecha/Tarea]])</f>
        <v>65832.0833333333</v>
      </c>
      <c r="F2149" s="3" t="n">
        <v>148331</v>
      </c>
      <c r="G2149" s="2" t="s">
        <v>34</v>
      </c>
      <c r="H2149" s="2" t="n">
        <f aca="false">F2149/Tabla2[[#This Row],[Cosecha Mensual]]</f>
        <v>2.25317189566891</v>
      </c>
      <c r="I2149" s="2" t="n">
        <f aca="false">H2149*_xlfn.XLOOKUP(Tabla2[[#This Row],[Unidad de producción]],Tabla3[Medida],Tabla3[Equivalencia en Kg],"ELVIS",0)</f>
        <v>919.632109217264</v>
      </c>
      <c r="J2149" s="2" t="n">
        <v>5514.38119047619</v>
      </c>
      <c r="K2149" s="2" t="s">
        <v>34</v>
      </c>
      <c r="L2149" s="2" t="n">
        <f aca="false">J2149/_xlfn.XLOOKUP(Tabla2[[#This Row],[Unidad de precio]],Tabla3[Medida],Tabla3[Equivalencia en Kg],"ELVIS",0)</f>
        <v>13.5106730135396</v>
      </c>
      <c r="M2149" s="3" t="n">
        <v>12054.0166317253</v>
      </c>
      <c r="N2149" s="3" t="n">
        <f aca="false">(Tabla2[[#This Row],[Productividad (kg/TAS)]]*Tabla2[[#This Row],[Precio por kg]]-Tabla2[[#This Row],[Costos (En RD$/Tarea)]])</f>
        <v>370.832088660891</v>
      </c>
      <c r="O2149" s="9" t="n">
        <f aca="false">IF(Tabla2[[#This Row],[Costos (En RD$/Tarea)]]=0,0,Tabla2[[#This Row],[Beneficio Neto  (En RD$/Tarea)]]/Tabla2[[#This Row],[Costos (En RD$/Tarea)]])</f>
        <v>0.030764192550132</v>
      </c>
      <c r="P2149" s="7" t="n">
        <f aca="false">Tabla2[[#This Row],[Rentabilidad (%)]]/12</f>
        <v>0.002563682712511</v>
      </c>
    </row>
    <row r="2150" customFormat="false" ht="14.25" hidden="false" customHeight="false" outlineLevel="0" collapsed="false">
      <c r="A2150" s="1" t="n">
        <v>41974</v>
      </c>
      <c r="B2150" s="2" t="s">
        <v>16</v>
      </c>
      <c r="C2150" s="3" t="n">
        <v>78743</v>
      </c>
      <c r="D2150" s="8" t="s">
        <v>17</v>
      </c>
      <c r="E2150" s="3" t="n">
        <f aca="false">IF(Tabla2[[#This Row],[Frecuencia]]="Annual", Tabla2[[#This Row],[Cosecha/Tarea]]/12,Tabla2[[#This Row],[Cosecha/Tarea]])</f>
        <v>78743</v>
      </c>
      <c r="F2150" s="3" t="n">
        <v>259278</v>
      </c>
      <c r="G2150" s="2" t="s">
        <v>18</v>
      </c>
      <c r="H2150" s="2" t="n">
        <f aca="false">F2150/Tabla2[[#This Row],[Cosecha Mensual]]</f>
        <v>3.29271173310644</v>
      </c>
      <c r="I2150" s="2" t="n">
        <f aca="false">H2150*_xlfn.XLOOKUP(Tabla2[[#This Row],[Unidad de producción]],Tabla3[Medida],Tabla3[Equivalencia en Kg],"ELVIS",0)</f>
        <v>149.357404213708</v>
      </c>
      <c r="J2150" s="2" t="n">
        <v>1922.86902173913</v>
      </c>
      <c r="K2150" s="2" t="s">
        <v>19</v>
      </c>
      <c r="L2150" s="2" t="n">
        <f aca="false">J2150/_xlfn.XLOOKUP(Tabla2[[#This Row],[Unidad de precio]],Tabla3[Medida],Tabla3[Equivalencia en Kg],"ELVIS",0)</f>
        <v>17.4806274703557</v>
      </c>
      <c r="M2150" s="2" t="n">
        <v>7973.24325841281</v>
      </c>
      <c r="N2150" s="3" t="n">
        <f aca="false">(Tabla2[[#This Row],[Productividad (kg/TAS)]]*Tabla2[[#This Row],[Precio por kg]]-Tabla2[[#This Row],[Costos (En RD$/Tarea)]])</f>
        <v>-5362.38211541364</v>
      </c>
      <c r="O2150" s="9" t="n">
        <f aca="false">IF(Tabla2[[#This Row],[Costos (En RD$/Tarea)]]=0,0,Tabla2[[#This Row],[Beneficio Neto  (En RD$/Tarea)]]/Tabla2[[#This Row],[Costos (En RD$/Tarea)]])</f>
        <v>-0.672547160749878</v>
      </c>
      <c r="P2150" s="7" t="n">
        <f aca="false">Tabla2[[#This Row],[Rentabilidad (%)]]/12</f>
        <v>-0.0560455967291565</v>
      </c>
    </row>
    <row r="2151" customFormat="false" ht="14.25" hidden="false" customHeight="false" outlineLevel="0" collapsed="false">
      <c r="A2151" s="1" t="n">
        <v>41974</v>
      </c>
      <c r="B2151" s="2" t="s">
        <v>20</v>
      </c>
      <c r="C2151" s="3" t="n">
        <v>45217</v>
      </c>
      <c r="D2151" s="8" t="s">
        <v>17</v>
      </c>
      <c r="E2151" s="3" t="n">
        <f aca="false">IF(Tabla2[[#This Row],[Frecuencia]]="Annual", Tabla2[[#This Row],[Cosecha/Tarea]]/12,Tabla2[[#This Row],[Cosecha/Tarea]])</f>
        <v>45217</v>
      </c>
      <c r="F2151" s="3" t="n">
        <v>83408</v>
      </c>
      <c r="G2151" s="2" t="s">
        <v>18</v>
      </c>
      <c r="H2151" s="2" t="n">
        <f aca="false">F2151/Tabla2[[#This Row],[Cosecha Mensual]]</f>
        <v>1.84461596302276</v>
      </c>
      <c r="I2151" s="2" t="n">
        <f aca="false">H2151*_xlfn.XLOOKUP(Tabla2[[#This Row],[Unidad de producción]],Tabla3[Medida],Tabla3[Equivalencia en Kg],"ELVIS",0)</f>
        <v>83.6717800827123</v>
      </c>
      <c r="J2151" s="2" t="n">
        <v>770.999666666667</v>
      </c>
      <c r="K2151" s="2" t="s">
        <v>18</v>
      </c>
      <c r="L2151" s="2" t="n">
        <f aca="false">J2151/_xlfn.XLOOKUP(Tabla2[[#This Row],[Unidad de precio]],Tabla3[Medida],Tabla3[Equivalencia en Kg],"ELVIS",0)</f>
        <v>16.997347148736</v>
      </c>
      <c r="M2151" s="2" t="n">
        <v>2447.4016476</v>
      </c>
      <c r="N2151" s="3" t="n">
        <f aca="false">(Tabla2[[#This Row],[Productividad (kg/TAS)]]*Tabla2[[#This Row],[Precio por kg]]-Tabla2[[#This Row],[Costos (En RD$/Tarea)]])</f>
        <v>-1025.20335498144</v>
      </c>
      <c r="O2151" s="9" t="n">
        <f aca="false">IF(Tabla2[[#This Row],[Costos (En RD$/Tarea)]]=0,0,Tabla2[[#This Row],[Beneficio Neto  (En RD$/Tarea)]]/Tabla2[[#This Row],[Costos (En RD$/Tarea)]])</f>
        <v>-0.418894608486837</v>
      </c>
      <c r="P2151" s="7" t="n">
        <f aca="false">Tabla2[[#This Row],[Rentabilidad (%)]]/12</f>
        <v>-0.0349078840405697</v>
      </c>
    </row>
    <row r="2152" customFormat="false" ht="14.25" hidden="false" customHeight="false" outlineLevel="0" collapsed="false">
      <c r="A2152" s="1" t="n">
        <v>41974</v>
      </c>
      <c r="B2152" s="2" t="s">
        <v>21</v>
      </c>
      <c r="C2152" s="3" t="n">
        <v>7010</v>
      </c>
      <c r="D2152" s="8" t="s">
        <v>17</v>
      </c>
      <c r="E2152" s="3" t="n">
        <f aca="false">IF(Tabla2[[#This Row],[Frecuencia]]="Annual", Tabla2[[#This Row],[Cosecha/Tarea]]/12,Tabla2[[#This Row],[Cosecha/Tarea]])</f>
        <v>7010</v>
      </c>
      <c r="F2152" s="3" t="n">
        <v>81967</v>
      </c>
      <c r="G2152" s="2" t="s">
        <v>18</v>
      </c>
      <c r="H2152" s="2" t="n">
        <f aca="false">F2152/Tabla2[[#This Row],[Cosecha Mensual]]</f>
        <v>11.6928673323823</v>
      </c>
      <c r="I2152" s="2" t="n">
        <f aca="false">H2152*_xlfn.XLOOKUP(Tabla2[[#This Row],[Unidad de producción]],Tabla3[Medida],Tabla3[Equivalencia en Kg],"ELVIS",0)</f>
        <v>530.388462196862</v>
      </c>
      <c r="J2152" s="2" t="n">
        <v>415.468865</v>
      </c>
      <c r="K2152" s="2" t="s">
        <v>18</v>
      </c>
      <c r="L2152" s="2" t="n">
        <f aca="false">J2152/_xlfn.XLOOKUP(Tabla2[[#This Row],[Unidad de precio]],Tabla3[Medida],Tabla3[Equivalencia en Kg],"ELVIS",0)</f>
        <v>9.15936651234568</v>
      </c>
      <c r="M2152" s="2" t="n">
        <v>5243.9203425</v>
      </c>
      <c r="N2152" s="3" t="n">
        <f aca="false">(Tabla2[[#This Row],[Productividad (kg/TAS)]]*Tabla2[[#This Row],[Precio por kg]]-Tabla2[[#This Row],[Costos (En RD$/Tarea)]])</f>
        <v>-385.898023319543</v>
      </c>
      <c r="O2152" s="9" t="n">
        <f aca="false">IF(Tabla2[[#This Row],[Costos (En RD$/Tarea)]]=0,0,Tabla2[[#This Row],[Beneficio Neto  (En RD$/Tarea)]]/Tabla2[[#This Row],[Costos (En RD$/Tarea)]])</f>
        <v>-0.0735896043637401</v>
      </c>
      <c r="P2152" s="7" t="n">
        <f aca="false">Tabla2[[#This Row],[Rentabilidad (%)]]/12</f>
        <v>-0.00613246703031168</v>
      </c>
    </row>
    <row r="2153" customFormat="false" ht="14.25" hidden="false" customHeight="false" outlineLevel="0" collapsed="false">
      <c r="A2153" s="1" t="n">
        <v>41974</v>
      </c>
      <c r="B2153" s="2" t="s">
        <v>22</v>
      </c>
      <c r="C2153" s="3" t="n">
        <v>6844</v>
      </c>
      <c r="D2153" s="8" t="s">
        <v>17</v>
      </c>
      <c r="E2153" s="3" t="n">
        <f aca="false">IF(Tabla2[[#This Row],[Frecuencia]]="Annual", Tabla2[[#This Row],[Cosecha/Tarea]]/12,Tabla2[[#This Row],[Cosecha/Tarea]])</f>
        <v>6844</v>
      </c>
      <c r="F2153" s="3" t="n">
        <v>60662</v>
      </c>
      <c r="G2153" s="2" t="s">
        <v>18</v>
      </c>
      <c r="H2153" s="2" t="n">
        <f aca="false">F2153/Tabla2[[#This Row],[Cosecha Mensual]]</f>
        <v>8.8635300993571</v>
      </c>
      <c r="I2153" s="2" t="n">
        <f aca="false">H2153*_xlfn.XLOOKUP(Tabla2[[#This Row],[Unidad de producción]],Tabla3[Medida],Tabla3[Equivalencia en Kg],"ELVIS",0)</f>
        <v>402.049725306838</v>
      </c>
      <c r="J2153" s="2" t="n">
        <v>1045.25</v>
      </c>
      <c r="K2153" s="2" t="s">
        <v>18</v>
      </c>
      <c r="L2153" s="2" t="n">
        <f aca="false">J2153/_xlfn.XLOOKUP(Tabla2[[#This Row],[Unidad de precio]],Tabla3[Medida],Tabla3[Equivalencia en Kg],"ELVIS",0)</f>
        <v>23.043430335097</v>
      </c>
      <c r="M2153" s="2" t="n">
        <v>9418.5442176</v>
      </c>
      <c r="N2153" s="3" t="n">
        <f aca="false">(Tabla2[[#This Row],[Productividad (kg/TAS)]]*Tabla2[[#This Row],[Precio por kg]]-Tabla2[[#This Row],[Costos (En RD$/Tarea)]])</f>
        <v>-153.939381246988</v>
      </c>
      <c r="O2153" s="9" t="n">
        <f aca="false">IF(Tabla2[[#This Row],[Costos (En RD$/Tarea)]]=0,0,Tabla2[[#This Row],[Beneficio Neto  (En RD$/Tarea)]]/Tabla2[[#This Row],[Costos (En RD$/Tarea)]])</f>
        <v>-0.0163442860903417</v>
      </c>
      <c r="P2153" s="7" t="n">
        <f aca="false">Tabla2[[#This Row],[Rentabilidad (%)]]/12</f>
        <v>-0.00136202384086181</v>
      </c>
    </row>
    <row r="2154" customFormat="false" ht="14.25" hidden="false" customHeight="false" outlineLevel="0" collapsed="false">
      <c r="A2154" s="1" t="n">
        <v>41974</v>
      </c>
      <c r="B2154" s="2" t="s">
        <v>23</v>
      </c>
      <c r="C2154" s="3" t="n">
        <v>2706</v>
      </c>
      <c r="D2154" s="8" t="s">
        <v>17</v>
      </c>
      <c r="E2154" s="3" t="n">
        <f aca="false">IF(Tabla2[[#This Row],[Frecuencia]]="Annual", Tabla2[[#This Row],[Cosecha/Tarea]]/12,Tabla2[[#This Row],[Cosecha/Tarea]])</f>
        <v>2706</v>
      </c>
      <c r="F2154" s="3" t="n">
        <v>94515</v>
      </c>
      <c r="G2154" s="2" t="s">
        <v>18</v>
      </c>
      <c r="H2154" s="2" t="n">
        <f aca="false">F2154/Tabla2[[#This Row],[Cosecha Mensual]]</f>
        <v>34.9279379157428</v>
      </c>
      <c r="I2154" s="2" t="n">
        <f aca="false">H2154*_xlfn.XLOOKUP(Tabla2[[#This Row],[Unidad de producción]],Tabla3[Medida],Tabla3[Equivalencia en Kg],"ELVIS",0)</f>
        <v>1584.33126385809</v>
      </c>
      <c r="J2154" s="2" t="n">
        <v>825</v>
      </c>
      <c r="K2154" s="2" t="s">
        <v>18</v>
      </c>
      <c r="L2154" s="2" t="n">
        <f aca="false">J2154/_xlfn.XLOOKUP(Tabla2[[#This Row],[Unidad de precio]],Tabla3[Medida],Tabla3[Equivalencia en Kg],"ELVIS",0)</f>
        <v>18.1878306878307</v>
      </c>
      <c r="M2154" s="2" t="n">
        <v>26184.1693466859</v>
      </c>
      <c r="N2154" s="3" t="n">
        <f aca="false">(Tabla2[[#This Row],[Productividad (kg/TAS)]]*Tabla2[[#This Row],[Precio por kg]]-Tabla2[[#This Row],[Costos (En RD$/Tarea)]])</f>
        <v>2631.37943380191</v>
      </c>
      <c r="O2154" s="9" t="n">
        <f aca="false">IF(Tabla2[[#This Row],[Costos (En RD$/Tarea)]]=0,0,Tabla2[[#This Row],[Beneficio Neto  (En RD$/Tarea)]]/Tabla2[[#This Row],[Costos (En RD$/Tarea)]])</f>
        <v>0.100495050996718</v>
      </c>
      <c r="P2154" s="7" t="n">
        <f aca="false">Tabla2[[#This Row],[Rentabilidad (%)]]/12</f>
        <v>0.00837458758305986</v>
      </c>
    </row>
    <row r="2155" customFormat="false" ht="14.25" hidden="false" customHeight="false" outlineLevel="0" collapsed="false">
      <c r="A2155" s="1" t="n">
        <v>41974</v>
      </c>
      <c r="B2155" s="2" t="s">
        <v>24</v>
      </c>
      <c r="C2155" s="3" t="n">
        <v>8235</v>
      </c>
      <c r="D2155" s="8" t="s">
        <v>17</v>
      </c>
      <c r="E2155" s="3" t="n">
        <f aca="false">IF(Tabla2[[#This Row],[Frecuencia]]="Annual", Tabla2[[#This Row],[Cosecha/Tarea]]/12,Tabla2[[#This Row],[Cosecha/Tarea]])</f>
        <v>8235</v>
      </c>
      <c r="F2155" s="3" t="n">
        <v>57249</v>
      </c>
      <c r="G2155" s="2" t="s">
        <v>18</v>
      </c>
      <c r="H2155" s="2" t="n">
        <f aca="false">F2155/Tabla2[[#This Row],[Cosecha Mensual]]</f>
        <v>6.95191256830601</v>
      </c>
      <c r="I2155" s="2" t="n">
        <f aca="false">H2155*_xlfn.XLOOKUP(Tabla2[[#This Row],[Unidad de producción]],Tabla3[Medida],Tabla3[Equivalencia en Kg],"ELVIS",0)</f>
        <v>315.338754098361</v>
      </c>
      <c r="J2155" s="2" t="n">
        <v>1359.8112</v>
      </c>
      <c r="K2155" s="2" t="s">
        <v>18</v>
      </c>
      <c r="L2155" s="2" t="n">
        <f aca="false">J2155/_xlfn.XLOOKUP(Tabla2[[#This Row],[Unidad de precio]],Tabla3[Medida],Tabla3[Equivalencia en Kg],"ELVIS",0)</f>
        <v>29.9782010582011</v>
      </c>
      <c r="M2155" s="2" t="n">
        <v>9105.98860416</v>
      </c>
      <c r="N2155" s="3" t="n">
        <f aca="false">(Tabla2[[#This Row],[Productividad (kg/TAS)]]*Tabla2[[#This Row],[Precio por kg]]-Tabla2[[#This Row],[Costos (En RD$/Tarea)]])</f>
        <v>347.299967643279</v>
      </c>
      <c r="O2155" s="9" t="n">
        <f aca="false">IF(Tabla2[[#This Row],[Costos (En RD$/Tarea)]]=0,0,Tabla2[[#This Row],[Beneficio Neto  (En RD$/Tarea)]]/Tabla2[[#This Row],[Costos (En RD$/Tarea)]])</f>
        <v>0.0381397322949227</v>
      </c>
      <c r="P2155" s="7" t="n">
        <f aca="false">Tabla2[[#This Row],[Rentabilidad (%)]]/12</f>
        <v>0.00317831102457689</v>
      </c>
    </row>
    <row r="2156" customFormat="false" ht="14.25" hidden="false" customHeight="false" outlineLevel="0" collapsed="false">
      <c r="A2156" s="1" t="n">
        <v>41974</v>
      </c>
      <c r="B2156" s="2" t="s">
        <v>25</v>
      </c>
      <c r="C2156" s="3" t="n">
        <v>29895</v>
      </c>
      <c r="D2156" s="8" t="s">
        <v>17</v>
      </c>
      <c r="E2156" s="3" t="n">
        <f aca="false">IF(Tabla2[[#This Row],[Frecuencia]]="Annual", Tabla2[[#This Row],[Cosecha/Tarea]]/12,Tabla2[[#This Row],[Cosecha/Tarea]])</f>
        <v>29895</v>
      </c>
      <c r="F2156" s="3" t="n">
        <v>346242</v>
      </c>
      <c r="G2156" s="2" t="s">
        <v>18</v>
      </c>
      <c r="H2156" s="2" t="n">
        <f aca="false">F2156/Tabla2[[#This Row],[Cosecha Mensual]]</f>
        <v>11.5819367787255</v>
      </c>
      <c r="I2156" s="2" t="n">
        <f aca="false">H2156*_xlfn.XLOOKUP(Tabla2[[#This Row],[Unidad de producción]],Tabla3[Medida],Tabla3[Equivalencia en Kg],"ELVIS",0)</f>
        <v>525.356652282991</v>
      </c>
      <c r="J2156" s="2" t="n">
        <v>368.0512</v>
      </c>
      <c r="K2156" s="2" t="s">
        <v>18</v>
      </c>
      <c r="L2156" s="2" t="n">
        <f aca="false">J2156/_xlfn.XLOOKUP(Tabla2[[#This Row],[Unidad de precio]],Tabla3[Medida],Tabla3[Equivalencia en Kg],"ELVIS",0)</f>
        <v>8.11400352733686</v>
      </c>
      <c r="M2156" s="2" t="n">
        <v>4871.66870431878</v>
      </c>
      <c r="N2156" s="3" t="n">
        <f aca="false">(Tabla2[[#This Row],[Productividad (kg/TAS)]]*Tabla2[[#This Row],[Precio por kg]]-Tabla2[[#This Row],[Costos (En RD$/Tarea)]])</f>
        <v>-608.922974584712</v>
      </c>
      <c r="O2156" s="9" t="n">
        <f aca="false">IF(Tabla2[[#This Row],[Costos (En RD$/Tarea)]]=0,0,Tabla2[[#This Row],[Beneficio Neto  (En RD$/Tarea)]]/Tabla2[[#This Row],[Costos (En RD$/Tarea)]])</f>
        <v>-0.124992689680416</v>
      </c>
      <c r="P2156" s="7" t="n">
        <f aca="false">Tabla2[[#This Row],[Rentabilidad (%)]]/12</f>
        <v>-0.010416057473368</v>
      </c>
    </row>
    <row r="2157" customFormat="false" ht="14.25" hidden="false" customHeight="false" outlineLevel="0" collapsed="false">
      <c r="A2157" s="1" t="n">
        <v>41974</v>
      </c>
      <c r="B2157" s="2" t="s">
        <v>26</v>
      </c>
      <c r="C2157" s="3" t="n">
        <v>14723</v>
      </c>
      <c r="D2157" s="8" t="s">
        <v>17</v>
      </c>
      <c r="E2157" s="3" t="n">
        <f aca="false">IF(Tabla2[[#This Row],[Frecuencia]]="Annual", Tabla2[[#This Row],[Cosecha/Tarea]]/12,Tabla2[[#This Row],[Cosecha/Tarea]])</f>
        <v>14723</v>
      </c>
      <c r="F2157" s="3" t="n">
        <v>93175</v>
      </c>
      <c r="G2157" s="2" t="s">
        <v>18</v>
      </c>
      <c r="H2157" s="2" t="n">
        <f aca="false">F2157/Tabla2[[#This Row],[Cosecha Mensual]]</f>
        <v>6.32853358690484</v>
      </c>
      <c r="I2157" s="2" t="n">
        <f aca="false">H2157*_xlfn.XLOOKUP(Tabla2[[#This Row],[Unidad de producción]],Tabla3[Medida],Tabla3[Equivalencia en Kg],"ELVIS",0)</f>
        <v>287.062283502004</v>
      </c>
      <c r="J2157" s="2" t="n">
        <v>798.610555555556</v>
      </c>
      <c r="K2157" s="2" t="s">
        <v>18</v>
      </c>
      <c r="L2157" s="2" t="n">
        <f aca="false">J2157/_xlfn.XLOOKUP(Tabla2[[#This Row],[Unidad de precio]],Tabla3[Medida],Tabla3[Equivalencia en Kg],"ELVIS",0)</f>
        <v>17.6060528120713</v>
      </c>
      <c r="M2157" s="2" t="n">
        <v>2107.55664</v>
      </c>
      <c r="N2157" s="3" t="n">
        <f aca="false">(Tabla2[[#This Row],[Productividad (kg/TAS)]]*Tabla2[[#This Row],[Precio por kg]]-Tabla2[[#This Row],[Costos (En RD$/Tarea)]])</f>
        <v>2946.47708369007</v>
      </c>
      <c r="O2157" s="9" t="n">
        <f aca="false">IF(Tabla2[[#This Row],[Costos (En RD$/Tarea)]]=0,0,Tabla2[[#This Row],[Beneficio Neto  (En RD$/Tarea)]]/Tabla2[[#This Row],[Costos (En RD$/Tarea)]])</f>
        <v>1.39805356960185</v>
      </c>
      <c r="P2157" s="7" t="n">
        <f aca="false">Tabla2[[#This Row],[Rentabilidad (%)]]/12</f>
        <v>0.116504464133487</v>
      </c>
    </row>
    <row r="2158" customFormat="false" ht="14.25" hidden="false" customHeight="false" outlineLevel="0" collapsed="false">
      <c r="A2158" s="1" t="n">
        <v>41974</v>
      </c>
      <c r="B2158" s="2" t="s">
        <v>27</v>
      </c>
      <c r="C2158" s="3" t="n">
        <v>7012</v>
      </c>
      <c r="D2158" s="8" t="s">
        <v>17</v>
      </c>
      <c r="E2158" s="3" t="n">
        <f aca="false">IF(Tabla2[[#This Row],[Frecuencia]]="Annual", Tabla2[[#This Row],[Cosecha/Tarea]]/12,Tabla2[[#This Row],[Cosecha/Tarea]])</f>
        <v>7012</v>
      </c>
      <c r="F2158" s="3" t="n">
        <v>42401</v>
      </c>
      <c r="G2158" s="2" t="s">
        <v>18</v>
      </c>
      <c r="H2158" s="2" t="n">
        <f aca="false">F2158/Tabla2[[#This Row],[Cosecha Mensual]]</f>
        <v>6.0469195664575</v>
      </c>
      <c r="I2158" s="2" t="n">
        <f aca="false">H2158*_xlfn.XLOOKUP(Tabla2[[#This Row],[Unidad de producción]],Tabla3[Medida],Tabla3[Equivalencia en Kg],"ELVIS",0)</f>
        <v>274.288271534512</v>
      </c>
      <c r="J2158" s="2" t="n">
        <v>706.15</v>
      </c>
      <c r="K2158" s="2" t="s">
        <v>18</v>
      </c>
      <c r="L2158" s="2" t="n">
        <f aca="false">J2158/_xlfn.XLOOKUP(Tabla2[[#This Row],[Unidad de precio]],Tabla3[Medida],Tabla3[Equivalencia en Kg],"ELVIS",0)</f>
        <v>15.5676807760141</v>
      </c>
      <c r="M2158" s="2" t="n">
        <v>8288.298341505</v>
      </c>
      <c r="N2158" s="3" t="n">
        <f aca="false">(Tabla2[[#This Row],[Productividad (kg/TAS)]]*Tabla2[[#This Row],[Precio por kg]]-Tabla2[[#This Row],[Costos (En RD$/Tarea)]])</f>
        <v>-4018.26608965104</v>
      </c>
      <c r="O2158" s="9" t="n">
        <f aca="false">IF(Tabla2[[#This Row],[Costos (En RD$/Tarea)]]=0,0,Tabla2[[#This Row],[Beneficio Neto  (En RD$/Tarea)]]/Tabla2[[#This Row],[Costos (En RD$/Tarea)]])</f>
        <v>-0.484811951028466</v>
      </c>
      <c r="P2158" s="7" t="n">
        <f aca="false">Tabla2[[#This Row],[Rentabilidad (%)]]/12</f>
        <v>-0.0404009959190388</v>
      </c>
    </row>
    <row r="2159" customFormat="false" ht="14.25" hidden="false" customHeight="false" outlineLevel="0" collapsed="false">
      <c r="A2159" s="1" t="n">
        <v>41974</v>
      </c>
      <c r="B2159" s="2" t="s">
        <v>28</v>
      </c>
      <c r="C2159" s="3" t="n">
        <v>54508</v>
      </c>
      <c r="D2159" s="8" t="s">
        <v>17</v>
      </c>
      <c r="E2159" s="3" t="n">
        <f aca="false">IF(Tabla2[[#This Row],[Frecuencia]]="Annual", Tabla2[[#This Row],[Cosecha/Tarea]]/12,Tabla2[[#This Row],[Cosecha/Tarea]])</f>
        <v>54508</v>
      </c>
      <c r="F2159" s="3" t="n">
        <v>94661</v>
      </c>
      <c r="G2159" s="2" t="s">
        <v>29</v>
      </c>
      <c r="H2159" s="2" t="n">
        <f aca="false">F2159/Tabla2[[#This Row],[Cosecha Mensual]]</f>
        <v>1.7366441623248</v>
      </c>
      <c r="I2159" s="2" t="n">
        <f aca="false">H2159*_xlfn.XLOOKUP(Tabla2[[#This Row],[Unidad de producción]],Tabla3[Medida],Tabla3[Equivalencia en Kg],"ELVIS",0)</f>
        <v>976.584478241726</v>
      </c>
      <c r="J2159" s="2" t="n">
        <v>6277.77777777778</v>
      </c>
      <c r="K2159" s="2" t="s">
        <v>29</v>
      </c>
      <c r="L2159" s="2" t="n">
        <f aca="false">J2159/_xlfn.XLOOKUP(Tabla2[[#This Row],[Unidad de precio]],Tabla3[Medida],Tabla3[Equivalencia en Kg],"ELVIS",0)</f>
        <v>11.1636692708642</v>
      </c>
      <c r="M2159" s="2" t="n">
        <v>7150.53423628677</v>
      </c>
      <c r="N2159" s="3" t="n">
        <f aca="false">(Tabla2[[#This Row],[Productividad (kg/TAS)]]*Tabla2[[#This Row],[Precio por kg]]-Tabla2[[#This Row],[Costos (En RD$/Tarea)]])</f>
        <v>3751.73189386334</v>
      </c>
      <c r="O2159" s="9" t="n">
        <f aca="false">IF(Tabla2[[#This Row],[Costos (En RD$/Tarea)]]=0,0,Tabla2[[#This Row],[Beneficio Neto  (En RD$/Tarea)]]/Tabla2[[#This Row],[Costos (En RD$/Tarea)]])</f>
        <v>0.524678544272183</v>
      </c>
      <c r="P2159" s="7" t="n">
        <f aca="false">Tabla2[[#This Row],[Rentabilidad (%)]]/12</f>
        <v>0.0437232120226819</v>
      </c>
    </row>
    <row r="2160" customFormat="false" ht="14.25" hidden="false" customHeight="false" outlineLevel="0" collapsed="false">
      <c r="A2160" s="1" t="n">
        <v>41974</v>
      </c>
      <c r="B2160" s="2" t="s">
        <v>30</v>
      </c>
      <c r="C2160" s="3" t="n">
        <v>387374</v>
      </c>
      <c r="D2160" s="3" t="s">
        <v>31</v>
      </c>
      <c r="E2160" s="3" t="n">
        <f aca="false">IF(Tabla2[[#This Row],[Frecuencia]]="Annual", Tabla2[[#This Row],[Cosecha/Tarea]]/12,Tabla2[[#This Row],[Cosecha/Tarea]])</f>
        <v>32281.1666666667</v>
      </c>
      <c r="F2160" s="3" t="n">
        <v>3938397</v>
      </c>
      <c r="G2160" s="2" t="s">
        <v>32</v>
      </c>
      <c r="H2160" s="2" t="n">
        <f aca="false">F2160/Tabla2[[#This Row],[Cosecha Mensual]]</f>
        <v>122.00293256646</v>
      </c>
      <c r="I2160" s="2" t="n">
        <f aca="false">H2160*_xlfn.XLOOKUP(Tabla2[[#This Row],[Unidad de producción]],Tabla3[Medida],Tabla3[Equivalencia en Kg],"ELVIS",0)</f>
        <v>3319.69979513339</v>
      </c>
      <c r="J2160" s="2" t="n">
        <v>209.083333333333</v>
      </c>
      <c r="K2160" s="2" t="s">
        <v>32</v>
      </c>
      <c r="L2160" s="2" t="n">
        <f aca="false">J2160/_xlfn.XLOOKUP(Tabla2[[#This Row],[Unidad de precio]],Tabla3[Medida],Tabla3[Equivalencia en Kg],"ELVIS",0)</f>
        <v>7.68406223202253</v>
      </c>
      <c r="M2160" s="3" t="n">
        <v>12538.8969859716</v>
      </c>
      <c r="N2160" s="3" t="n">
        <f aca="false">(Tabla2[[#This Row],[Productividad (kg/TAS)]]*Tabla2[[#This Row],[Precio por kg]]-Tabla2[[#This Row],[Costos (En RD$/Tarea)]])</f>
        <v>12969.8828314658</v>
      </c>
      <c r="O2160" s="9" t="n">
        <f aca="false">IF(Tabla2[[#This Row],[Costos (En RD$/Tarea)]]=0,0,Tabla2[[#This Row],[Beneficio Neto  (En RD$/Tarea)]]/Tabla2[[#This Row],[Costos (En RD$/Tarea)]])</f>
        <v>1.03437191054176</v>
      </c>
      <c r="P2160" s="7" t="n">
        <f aca="false">Tabla2[[#This Row],[Rentabilidad (%)]]/12</f>
        <v>0.0861976592118134</v>
      </c>
    </row>
    <row r="2161" customFormat="false" ht="14.25" hidden="false" customHeight="false" outlineLevel="0" collapsed="false">
      <c r="A2161" s="1" t="n">
        <v>41974</v>
      </c>
      <c r="B2161" s="2" t="s">
        <v>33</v>
      </c>
      <c r="C2161" s="3" t="n">
        <v>742104</v>
      </c>
      <c r="D2161" s="3" t="s">
        <v>31</v>
      </c>
      <c r="E2161" s="11" t="n">
        <f aca="false">IF(Tabla2[[#This Row],[Frecuencia]]="Annual", Tabla2[[#This Row],[Cosecha/Tarea]]/12,Tabla2[[#This Row],[Cosecha/Tarea]])</f>
        <v>61842</v>
      </c>
      <c r="F2161" s="3" t="n">
        <v>281618</v>
      </c>
      <c r="G2161" s="2" t="s">
        <v>34</v>
      </c>
      <c r="H2161" s="2" t="n">
        <f aca="false">F2161/Tabla2[[#This Row],[Cosecha Mensual]]</f>
        <v>4.55383072992465</v>
      </c>
      <c r="I2161" s="2" t="n">
        <f aca="false">H2161*_xlfn.XLOOKUP(Tabla2[[#This Row],[Unidad de producción]],Tabla3[Medida],Tabla3[Equivalencia en Kg],"ELVIS",0)</f>
        <v>1858.64601241874</v>
      </c>
      <c r="J2161" s="2" t="n">
        <v>5816.76166666667</v>
      </c>
      <c r="K2161" s="2" t="s">
        <v>34</v>
      </c>
      <c r="L2161" s="2" t="n">
        <f aca="false">J2161/_xlfn.XLOOKUP(Tabla2[[#This Row],[Unidad de precio]],Tabla3[Medida],Tabla3[Equivalencia en Kg],"ELVIS",0)</f>
        <v>14.2515292580342</v>
      </c>
      <c r="M2161" s="3" t="n">
        <v>12054.0166317253</v>
      </c>
      <c r="N2161" s="3" t="n">
        <f aca="false">(Tabla2[[#This Row],[Productividad (kg/TAS)]]*Tabla2[[#This Row],[Precio por kg]]-Tabla2[[#This Row],[Costos (En RD$/Tarea)]])</f>
        <v>14434.5313945891</v>
      </c>
      <c r="O2161" s="9" t="n">
        <f aca="false">IF(Tabla2[[#This Row],[Costos (En RD$/Tarea)]]=0,0,Tabla2[[#This Row],[Beneficio Neto  (En RD$/Tarea)]]/Tabla2[[#This Row],[Costos (En RD$/Tarea)]])</f>
        <v>1.19748726383855</v>
      </c>
      <c r="P2161" s="7" t="n">
        <f aca="false">Tabla2[[#This Row],[Rentabilidad (%)]]/12</f>
        <v>0.099790605319879</v>
      </c>
    </row>
    <row r="2162" customFormat="false" ht="14.25" hidden="false" customHeight="false" outlineLevel="0" collapsed="false">
      <c r="A2162" s="1" t="n">
        <v>42005</v>
      </c>
      <c r="B2162" s="2" t="s">
        <v>16</v>
      </c>
      <c r="C2162" s="3" t="n">
        <v>15645</v>
      </c>
      <c r="D2162" s="8" t="s">
        <v>17</v>
      </c>
      <c r="E2162" s="3" t="n">
        <f aca="false">IF(Tabla2[[#This Row],[Frecuencia]]="Annual", Tabla2[[#This Row],[Cosecha/Tarea]]/12,Tabla2[[#This Row],[Cosecha/Tarea]])</f>
        <v>15645</v>
      </c>
      <c r="F2162" s="3" t="n">
        <v>52428</v>
      </c>
      <c r="G2162" s="2" t="s">
        <v>18</v>
      </c>
      <c r="H2162" s="2" t="n">
        <f aca="false">F2162/Tabla2[[#This Row],[Cosecha Mensual]]</f>
        <v>3.35110258868648</v>
      </c>
      <c r="I2162" s="2" t="n">
        <f aca="false">H2162*_xlfn.XLOOKUP(Tabla2[[#This Row],[Unidad de producción]],Tabla3[Medida],Tabla3[Equivalencia en Kg],"ELVIS",0)</f>
        <v>152.006013422819</v>
      </c>
      <c r="J2162" s="2" t="n">
        <v>1657.59790123457</v>
      </c>
      <c r="K2162" s="2" t="s">
        <v>19</v>
      </c>
      <c r="L2162" s="2" t="n">
        <f aca="false">J2162/_xlfn.XLOOKUP(Tabla2[[#This Row],[Unidad de precio]],Tabla3[Medida],Tabla3[Equivalencia en Kg],"ELVIS",0)</f>
        <v>15.0690718294052</v>
      </c>
      <c r="M2162" s="2" t="n">
        <v>7019.06666466125</v>
      </c>
      <c r="N2162" s="3" t="n">
        <f aca="false">(Tabla2[[#This Row],[Productividad (kg/TAS)]]*Tabla2[[#This Row],[Precio por kg]]-Tabla2[[#This Row],[Costos (En RD$/Tarea)]])</f>
        <v>-4728.47712989127</v>
      </c>
      <c r="O2162" s="9" t="n">
        <f aca="false">IF(Tabla2[[#This Row],[Costos (En RD$/Tarea)]]=0,0,Tabla2[[#This Row],[Beneficio Neto  (En RD$/Tarea)]]/Tabla2[[#This Row],[Costos (En RD$/Tarea)]])</f>
        <v>-0.673661806589989</v>
      </c>
      <c r="P2162" s="7" t="n">
        <f aca="false">Tabla2[[#This Row],[Rentabilidad (%)]]/12</f>
        <v>-0.0561384838824991</v>
      </c>
    </row>
    <row r="2163" customFormat="false" ht="14.25" hidden="false" customHeight="false" outlineLevel="0" collapsed="false">
      <c r="A2163" s="1" t="n">
        <v>42005</v>
      </c>
      <c r="B2163" s="2" t="s">
        <v>20</v>
      </c>
      <c r="C2163" s="3" t="n">
        <v>29790</v>
      </c>
      <c r="D2163" s="8" t="s">
        <v>17</v>
      </c>
      <c r="E2163" s="3" t="n">
        <f aca="false">IF(Tabla2[[#This Row],[Frecuencia]]="Annual", Tabla2[[#This Row],[Cosecha/Tarea]]/12,Tabla2[[#This Row],[Cosecha/Tarea]])</f>
        <v>29790</v>
      </c>
      <c r="F2163" s="3" t="n">
        <v>54109</v>
      </c>
      <c r="G2163" s="2" t="s">
        <v>18</v>
      </c>
      <c r="H2163" s="2" t="n">
        <f aca="false">F2163/Tabla2[[#This Row],[Cosecha Mensual]]</f>
        <v>1.81634776770728</v>
      </c>
      <c r="I2163" s="2" t="n">
        <f aca="false">H2163*_xlfn.XLOOKUP(Tabla2[[#This Row],[Unidad de producción]],Tabla3[Medida],Tabla3[Equivalencia en Kg],"ELVIS",0)</f>
        <v>82.3895347432024</v>
      </c>
      <c r="J2163" s="2" t="n">
        <v>798.277222222222</v>
      </c>
      <c r="K2163" s="2" t="s">
        <v>18</v>
      </c>
      <c r="L2163" s="2" t="n">
        <f aca="false">J2163/_xlfn.XLOOKUP(Tabla2[[#This Row],[Unidad de precio]],Tabla3[Medida],Tabla3[Equivalencia en Kg],"ELVIS",0)</f>
        <v>17.5987041936116</v>
      </c>
      <c r="M2163" s="2" t="n">
        <v>2574.584905776</v>
      </c>
      <c r="N2163" s="3" t="n">
        <f aca="false">(Tabla2[[#This Row],[Productividad (kg/TAS)]]*Tabla2[[#This Row],[Precio por kg]]-Tabla2[[#This Row],[Costos (En RD$/Tarea)]])</f>
        <v>-1124.6358551811</v>
      </c>
      <c r="O2163" s="9" t="n">
        <f aca="false">IF(Tabla2[[#This Row],[Costos (En RD$/Tarea)]]=0,0,Tabla2[[#This Row],[Beneficio Neto  (En RD$/Tarea)]]/Tabla2[[#This Row],[Costos (En RD$/Tarea)]])</f>
        <v>-0.436822204875827</v>
      </c>
      <c r="P2163" s="7" t="n">
        <f aca="false">Tabla2[[#This Row],[Rentabilidad (%)]]/12</f>
        <v>-0.0364018504063189</v>
      </c>
    </row>
    <row r="2164" customFormat="false" ht="14.25" hidden="false" customHeight="false" outlineLevel="0" collapsed="false">
      <c r="A2164" s="1" t="n">
        <v>42005</v>
      </c>
      <c r="B2164" s="2" t="s">
        <v>21</v>
      </c>
      <c r="C2164" s="3" t="n">
        <v>4021</v>
      </c>
      <c r="D2164" s="8" t="s">
        <v>17</v>
      </c>
      <c r="E2164" s="3" t="n">
        <f aca="false">IF(Tabla2[[#This Row],[Frecuencia]]="Annual", Tabla2[[#This Row],[Cosecha/Tarea]]/12,Tabla2[[#This Row],[Cosecha/Tarea]])</f>
        <v>4021</v>
      </c>
      <c r="F2164" s="3" t="n">
        <v>61936</v>
      </c>
      <c r="G2164" s="2" t="s">
        <v>18</v>
      </c>
      <c r="H2164" s="2" t="n">
        <f aca="false">F2164/Tabla2[[#This Row],[Cosecha Mensual]]</f>
        <v>15.4031335488684</v>
      </c>
      <c r="I2164" s="2" t="n">
        <f aca="false">H2164*_xlfn.XLOOKUP(Tabla2[[#This Row],[Unidad de producción]],Tabla3[Medida],Tabla3[Equivalencia en Kg],"ELVIS",0)</f>
        <v>698.686137776673</v>
      </c>
      <c r="J2164" s="2" t="n">
        <v>388.660755</v>
      </c>
      <c r="K2164" s="2" t="s">
        <v>18</v>
      </c>
      <c r="L2164" s="2" t="n">
        <f aca="false">J2164/_xlfn.XLOOKUP(Tabla2[[#This Row],[Unidad de precio]],Tabla3[Medida],Tabla3[Equivalencia en Kg],"ELVIS",0)</f>
        <v>8.5683587962963</v>
      </c>
      <c r="M2164" s="2" t="n">
        <v>5153.88882833038</v>
      </c>
      <c r="N2164" s="3" t="n">
        <f aca="false">(Tabla2[[#This Row],[Productividad (kg/TAS)]]*Tabla2[[#This Row],[Precio por kg]]-Tabla2[[#This Row],[Costos (En RD$/Tarea)]])</f>
        <v>832.704686138657</v>
      </c>
      <c r="O2164" s="9" t="n">
        <f aca="false">IF(Tabla2[[#This Row],[Costos (En RD$/Tarea)]]=0,0,Tabla2[[#This Row],[Beneficio Neto  (En RD$/Tarea)]]/Tabla2[[#This Row],[Costos (En RD$/Tarea)]])</f>
        <v>0.16156822816227</v>
      </c>
      <c r="P2164" s="7" t="n">
        <f aca="false">Tabla2[[#This Row],[Rentabilidad (%)]]/12</f>
        <v>0.0134640190135225</v>
      </c>
    </row>
    <row r="2165" customFormat="false" ht="14.25" hidden="false" customHeight="false" outlineLevel="0" collapsed="false">
      <c r="A2165" s="1" t="n">
        <v>42005</v>
      </c>
      <c r="B2165" s="2" t="s">
        <v>22</v>
      </c>
      <c r="C2165" s="3" t="n">
        <v>7984</v>
      </c>
      <c r="D2165" s="8" t="s">
        <v>17</v>
      </c>
      <c r="E2165" s="3" t="n">
        <f aca="false">IF(Tabla2[[#This Row],[Frecuencia]]="Annual", Tabla2[[#This Row],[Cosecha/Tarea]]/12,Tabla2[[#This Row],[Cosecha/Tarea]])</f>
        <v>7984</v>
      </c>
      <c r="F2165" s="3" t="n">
        <v>74805</v>
      </c>
      <c r="G2165" s="2" t="s">
        <v>18</v>
      </c>
      <c r="H2165" s="2" t="n">
        <f aca="false">F2165/Tabla2[[#This Row],[Cosecha Mensual]]</f>
        <v>9.36936372745491</v>
      </c>
      <c r="I2165" s="2" t="n">
        <f aca="false">H2165*_xlfn.XLOOKUP(Tabla2[[#This Row],[Unidad de producción]],Tabla3[Medida],Tabla3[Equivalencia en Kg],"ELVIS",0)</f>
        <v>424.994338677355</v>
      </c>
      <c r="J2165" s="2" t="n">
        <v>1058.5</v>
      </c>
      <c r="K2165" s="2" t="s">
        <v>18</v>
      </c>
      <c r="L2165" s="2" t="n">
        <f aca="false">J2165/_xlfn.XLOOKUP(Tabla2[[#This Row],[Unidad de precio]],Tabla3[Medida],Tabla3[Equivalencia en Kg],"ELVIS",0)</f>
        <v>23.3355379188713</v>
      </c>
      <c r="M2165" s="2" t="n">
        <v>9360.09200898452</v>
      </c>
      <c r="N2165" s="3" t="n">
        <f aca="false">(Tabla2[[#This Row],[Productividad (kg/TAS)]]*Tabla2[[#This Row],[Precio por kg]]-Tabla2[[#This Row],[Costos (En RD$/Tarea)]])</f>
        <v>557.379496526502</v>
      </c>
      <c r="O2165" s="9" t="n">
        <f aca="false">IF(Tabla2[[#This Row],[Costos (En RD$/Tarea)]]=0,0,Tabla2[[#This Row],[Beneficio Neto  (En RD$/Tarea)]]/Tabla2[[#This Row],[Costos (En RD$/Tarea)]])</f>
        <v>0.0595485061462524</v>
      </c>
      <c r="P2165" s="7" t="n">
        <f aca="false">Tabla2[[#This Row],[Rentabilidad (%)]]/12</f>
        <v>0.0049623755121877</v>
      </c>
    </row>
    <row r="2166" customFormat="false" ht="14.25" hidden="false" customHeight="false" outlineLevel="0" collapsed="false">
      <c r="A2166" s="1" t="n">
        <v>42005</v>
      </c>
      <c r="B2166" s="2" t="s">
        <v>23</v>
      </c>
      <c r="C2166" s="3" t="n">
        <v>3852</v>
      </c>
      <c r="D2166" s="8" t="s">
        <v>17</v>
      </c>
      <c r="E2166" s="3" t="n">
        <f aca="false">IF(Tabla2[[#This Row],[Frecuencia]]="Annual", Tabla2[[#This Row],[Cosecha/Tarea]]/12,Tabla2[[#This Row],[Cosecha/Tarea]])</f>
        <v>3852</v>
      </c>
      <c r="F2166" s="3" t="n">
        <v>129985</v>
      </c>
      <c r="G2166" s="2" t="s">
        <v>18</v>
      </c>
      <c r="H2166" s="2" t="n">
        <f aca="false">F2166/Tabla2[[#This Row],[Cosecha Mensual]]</f>
        <v>33.7448078920042</v>
      </c>
      <c r="I2166" s="2" t="n">
        <f aca="false">H2166*_xlfn.XLOOKUP(Tabla2[[#This Row],[Unidad de producción]],Tabla3[Medida],Tabla3[Equivalencia en Kg],"ELVIS",0)</f>
        <v>1530.66448598131</v>
      </c>
      <c r="J2166" s="2" t="n">
        <v>800</v>
      </c>
      <c r="K2166" s="2" t="s">
        <v>18</v>
      </c>
      <c r="L2166" s="2" t="n">
        <f aca="false">J2166/_xlfn.XLOOKUP(Tabla2[[#This Row],[Unidad de precio]],Tabla3[Medida],Tabla3[Equivalencia en Kg],"ELVIS",0)</f>
        <v>17.636684303351</v>
      </c>
      <c r="M2166" s="2" t="n">
        <v>25505.1939374778</v>
      </c>
      <c r="N2166" s="3" t="n">
        <f aca="false">(Tabla2[[#This Row],[Productividad (kg/TAS)]]*Tabla2[[#This Row],[Precio por kg]]-Tabla2[[#This Row],[Costos (En RD$/Tarea)]])</f>
        <v>1490.65237612552</v>
      </c>
      <c r="O2166" s="9" t="n">
        <f aca="false">IF(Tabla2[[#This Row],[Costos (En RD$/Tarea)]]=0,0,Tabla2[[#This Row],[Beneficio Neto  (En RD$/Tarea)]]/Tabla2[[#This Row],[Costos (En RD$/Tarea)]])</f>
        <v>0.0584450516149627</v>
      </c>
      <c r="P2166" s="7" t="n">
        <f aca="false">Tabla2[[#This Row],[Rentabilidad (%)]]/12</f>
        <v>0.00487042096791356</v>
      </c>
    </row>
    <row r="2167" customFormat="false" ht="14.25" hidden="false" customHeight="false" outlineLevel="0" collapsed="false">
      <c r="A2167" s="1" t="n">
        <v>42005</v>
      </c>
      <c r="B2167" s="2" t="s">
        <v>24</v>
      </c>
      <c r="C2167" s="3" t="n">
        <v>5410</v>
      </c>
      <c r="D2167" s="8" t="s">
        <v>17</v>
      </c>
      <c r="E2167" s="3" t="n">
        <f aca="false">IF(Tabla2[[#This Row],[Frecuencia]]="Annual", Tabla2[[#This Row],[Cosecha/Tarea]]/12,Tabla2[[#This Row],[Cosecha/Tarea]])</f>
        <v>5410</v>
      </c>
      <c r="F2167" s="3" t="n">
        <v>75241</v>
      </c>
      <c r="G2167" s="2" t="s">
        <v>18</v>
      </c>
      <c r="H2167" s="2" t="n">
        <f aca="false">F2167/Tabla2[[#This Row],[Cosecha Mensual]]</f>
        <v>13.9077634011091</v>
      </c>
      <c r="I2167" s="2" t="n">
        <f aca="false">H2167*_xlfn.XLOOKUP(Tabla2[[#This Row],[Unidad de producción]],Tabla3[Medida],Tabla3[Equivalencia en Kg],"ELVIS",0)</f>
        <v>630.856147874307</v>
      </c>
      <c r="J2167" s="2" t="n">
        <v>1245.5625</v>
      </c>
      <c r="K2167" s="2" t="s">
        <v>18</v>
      </c>
      <c r="L2167" s="2" t="n">
        <f aca="false">J2167/_xlfn.XLOOKUP(Tabla2[[#This Row],[Unidad de precio]],Tabla3[Medida],Tabla3[Equivalencia en Kg],"ELVIS",0)</f>
        <v>27.4594907407407</v>
      </c>
      <c r="M2167" s="2" t="n">
        <v>9240.56556420077</v>
      </c>
      <c r="N2167" s="3" t="n">
        <f aca="false">(Tabla2[[#This Row],[Productividad (kg/TAS)]]*Tabla2[[#This Row],[Precio por kg]]-Tabla2[[#This Row],[Costos (En RD$/Tarea)]])</f>
        <v>8082.42298709313</v>
      </c>
      <c r="O2167" s="9" t="n">
        <f aca="false">IF(Tabla2[[#This Row],[Costos (En RD$/Tarea)]]=0,0,Tabla2[[#This Row],[Beneficio Neto  (En RD$/Tarea)]]/Tabla2[[#This Row],[Costos (En RD$/Tarea)]])</f>
        <v>0.874667565631</v>
      </c>
      <c r="P2167" s="7" t="n">
        <f aca="false">Tabla2[[#This Row],[Rentabilidad (%)]]/12</f>
        <v>0.0728889638025833</v>
      </c>
    </row>
    <row r="2168" customFormat="false" ht="14.25" hidden="false" customHeight="false" outlineLevel="0" collapsed="false">
      <c r="A2168" s="1" t="n">
        <v>42005</v>
      </c>
      <c r="B2168" s="2" t="s">
        <v>25</v>
      </c>
      <c r="C2168" s="3" t="n">
        <v>27857</v>
      </c>
      <c r="D2168" s="8" t="s">
        <v>17</v>
      </c>
      <c r="E2168" s="3" t="n">
        <f aca="false">IF(Tabla2[[#This Row],[Frecuencia]]="Annual", Tabla2[[#This Row],[Cosecha/Tarea]]/12,Tabla2[[#This Row],[Cosecha/Tarea]])</f>
        <v>27857</v>
      </c>
      <c r="F2168" s="3" t="n">
        <v>286214</v>
      </c>
      <c r="G2168" s="2" t="s">
        <v>18</v>
      </c>
      <c r="H2168" s="2" t="n">
        <f aca="false">F2168/Tabla2[[#This Row],[Cosecha Mensual]]</f>
        <v>10.2744014071867</v>
      </c>
      <c r="I2168" s="2" t="n">
        <f aca="false">H2168*_xlfn.XLOOKUP(Tabla2[[#This Row],[Unidad de producción]],Tabla3[Medida],Tabla3[Equivalencia en Kg],"ELVIS",0)</f>
        <v>466.046847829989</v>
      </c>
      <c r="J2168" s="2" t="n">
        <v>465.283333333333</v>
      </c>
      <c r="K2168" s="2" t="s">
        <v>18</v>
      </c>
      <c r="L2168" s="2" t="n">
        <f aca="false">J2168/_xlfn.XLOOKUP(Tabla2[[#This Row],[Unidad de precio]],Tabla3[Medida],Tabla3[Equivalencia en Kg],"ELVIS",0)</f>
        <v>10.2575690770135</v>
      </c>
      <c r="M2168" s="2" t="n">
        <v>5033.45303788251</v>
      </c>
      <c r="N2168" s="3" t="n">
        <f aca="false">(Tabla2[[#This Row],[Productividad (kg/TAS)]]*Tabla2[[#This Row],[Precio por kg]]-Tabla2[[#This Row],[Costos (En RD$/Tarea)]])</f>
        <v>-252.945303141993</v>
      </c>
      <c r="O2168" s="9" t="n">
        <f aca="false">IF(Tabla2[[#This Row],[Costos (En RD$/Tarea)]]=0,0,Tabla2[[#This Row],[Beneficio Neto  (En RD$/Tarea)]]/Tabla2[[#This Row],[Costos (En RD$/Tarea)]])</f>
        <v>-0.0502528386056828</v>
      </c>
      <c r="P2168" s="7" t="n">
        <f aca="false">Tabla2[[#This Row],[Rentabilidad (%)]]/12</f>
        <v>-0.00418773655047356</v>
      </c>
    </row>
    <row r="2169" customFormat="false" ht="14.25" hidden="false" customHeight="false" outlineLevel="0" collapsed="false">
      <c r="A2169" s="1" t="n">
        <v>42005</v>
      </c>
      <c r="B2169" s="2" t="s">
        <v>26</v>
      </c>
      <c r="C2169" s="3" t="n">
        <v>12547</v>
      </c>
      <c r="D2169" s="8" t="s">
        <v>17</v>
      </c>
      <c r="E2169" s="3" t="n">
        <f aca="false">IF(Tabla2[[#This Row],[Frecuencia]]="Annual", Tabla2[[#This Row],[Cosecha/Tarea]]/12,Tabla2[[#This Row],[Cosecha/Tarea]])</f>
        <v>12547</v>
      </c>
      <c r="F2169" s="3" t="n">
        <v>72652</v>
      </c>
      <c r="G2169" s="2" t="s">
        <v>18</v>
      </c>
      <c r="H2169" s="2" t="n">
        <f aca="false">F2169/Tabla2[[#This Row],[Cosecha Mensual]]</f>
        <v>5.79038814059138</v>
      </c>
      <c r="I2169" s="2" t="n">
        <f aca="false">H2169*_xlfn.XLOOKUP(Tabla2[[#This Row],[Unidad de producción]],Tabla3[Medida],Tabla3[Equivalencia en Kg],"ELVIS",0)</f>
        <v>262.652006057225</v>
      </c>
      <c r="J2169" s="2" t="n">
        <v>745</v>
      </c>
      <c r="K2169" s="2" t="s">
        <v>18</v>
      </c>
      <c r="L2169" s="2" t="n">
        <f aca="false">J2169/_xlfn.XLOOKUP(Tabla2[[#This Row],[Unidad de precio]],Tabla3[Medida],Tabla3[Equivalencia en Kg],"ELVIS",0)</f>
        <v>16.4241622574956</v>
      </c>
      <c r="M2169" s="2" t="n">
        <v>2123.36088960426</v>
      </c>
      <c r="N2169" s="3" t="n">
        <f aca="false">(Tabla2[[#This Row],[Productividad (kg/TAS)]]*Tabla2[[#This Row],[Precio por kg]]-Tabla2[[#This Row],[Costos (En RD$/Tarea)]])</f>
        <v>2190.47827513632</v>
      </c>
      <c r="O2169" s="9" t="n">
        <f aca="false">IF(Tabla2[[#This Row],[Costos (En RD$/Tarea)]]=0,0,Tabla2[[#This Row],[Beneficio Neto  (En RD$/Tarea)]]/Tabla2[[#This Row],[Costos (En RD$/Tarea)]])</f>
        <v>1.03160903351882</v>
      </c>
      <c r="P2169" s="7" t="n">
        <f aca="false">Tabla2[[#This Row],[Rentabilidad (%)]]/12</f>
        <v>0.0859674194599018</v>
      </c>
    </row>
    <row r="2170" customFormat="false" ht="14.25" hidden="false" customHeight="false" outlineLevel="0" collapsed="false">
      <c r="A2170" s="1" t="n">
        <v>42005</v>
      </c>
      <c r="B2170" s="2" t="s">
        <v>27</v>
      </c>
      <c r="C2170" s="3" t="n">
        <v>4810</v>
      </c>
      <c r="D2170" s="8" t="s">
        <v>17</v>
      </c>
      <c r="E2170" s="3" t="n">
        <f aca="false">IF(Tabla2[[#This Row],[Frecuencia]]="Annual", Tabla2[[#This Row],[Cosecha/Tarea]]/12,Tabla2[[#This Row],[Cosecha/Tarea]])</f>
        <v>4810</v>
      </c>
      <c r="F2170" s="3" t="n">
        <v>42014</v>
      </c>
      <c r="G2170" s="2" t="s">
        <v>18</v>
      </c>
      <c r="H2170" s="2" t="n">
        <f aca="false">F2170/Tabla2[[#This Row],[Cosecha Mensual]]</f>
        <v>8.73471933471934</v>
      </c>
      <c r="I2170" s="2" t="n">
        <f aca="false">H2170*_xlfn.XLOOKUP(Tabla2[[#This Row],[Unidad de producción]],Tabla3[Medida],Tabla3[Equivalencia en Kg],"ELVIS",0)</f>
        <v>396.206869022869</v>
      </c>
      <c r="J2170" s="2" t="n">
        <v>496.608857142857</v>
      </c>
      <c r="K2170" s="2" t="s">
        <v>18</v>
      </c>
      <c r="L2170" s="2" t="n">
        <f aca="false">J2170/_xlfn.XLOOKUP(Tabla2[[#This Row],[Unidad de precio]],Tabla3[Medida],Tabla3[Equivalencia en Kg],"ELVIS",0)</f>
        <v>10.9481670445956</v>
      </c>
      <c r="M2170" s="2" t="n">
        <v>8682.692545606</v>
      </c>
      <c r="N2170" s="3" t="n">
        <f aca="false">(Tabla2[[#This Row],[Productividad (kg/TAS)]]*Tabla2[[#This Row],[Precio por kg]]-Tabla2[[#This Row],[Costos (En RD$/Tarea)]])</f>
        <v>-4344.95355932742</v>
      </c>
      <c r="O2170" s="9" t="n">
        <f aca="false">IF(Tabla2[[#This Row],[Costos (En RD$/Tarea)]]=0,0,Tabla2[[#This Row],[Beneficio Neto  (En RD$/Tarea)]]/Tabla2[[#This Row],[Costos (En RD$/Tarea)]])</f>
        <v>-0.500415457129856</v>
      </c>
      <c r="P2170" s="7" t="n">
        <f aca="false">Tabla2[[#This Row],[Rentabilidad (%)]]/12</f>
        <v>-0.0417012880941546</v>
      </c>
    </row>
    <row r="2171" customFormat="false" ht="14.25" hidden="false" customHeight="false" outlineLevel="0" collapsed="false">
      <c r="A2171" s="1" t="n">
        <v>42005</v>
      </c>
      <c r="B2171" s="2" t="s">
        <v>28</v>
      </c>
      <c r="C2171" s="3" t="n">
        <v>69877</v>
      </c>
      <c r="D2171" s="8" t="s">
        <v>17</v>
      </c>
      <c r="E2171" s="3" t="n">
        <f aca="false">IF(Tabla2[[#This Row],[Frecuencia]]="Annual", Tabla2[[#This Row],[Cosecha/Tarea]]/12,Tabla2[[#This Row],[Cosecha/Tarea]])</f>
        <v>69877</v>
      </c>
      <c r="F2171" s="3" t="n">
        <v>1201444</v>
      </c>
      <c r="G2171" s="2" t="s">
        <v>18</v>
      </c>
      <c r="H2171" s="2" t="n">
        <f aca="false">F2171/Tabla2[[#This Row],[Cosecha Mensual]]</f>
        <v>17.1936974970305</v>
      </c>
      <c r="I2171" s="2" t="n">
        <f aca="false">H2171*_xlfn.XLOOKUP(Tabla2[[#This Row],[Unidad de producción]],Tabla3[Medida],Tabla3[Equivalencia en Kg],"ELVIS",0)</f>
        <v>779.906118465303</v>
      </c>
      <c r="J2171" s="2" t="n">
        <v>6742.5</v>
      </c>
      <c r="K2171" s="2" t="s">
        <v>29</v>
      </c>
      <c r="L2171" s="2" t="n">
        <f aca="false">J2171/_xlfn.XLOOKUP(Tabla2[[#This Row],[Unidad de precio]],Tabla3[Medida],Tabla3[Equivalencia en Kg],"ELVIS",0)</f>
        <v>11.9900771775083</v>
      </c>
      <c r="M2171" s="2" t="n">
        <v>7427.37867438309</v>
      </c>
      <c r="N2171" s="3" t="n">
        <f aca="false">(Tabla2[[#This Row],[Productividad (kg/TAS)]]*Tabla2[[#This Row],[Precio por kg]]-Tabla2[[#This Row],[Costos (En RD$/Tarea)]])</f>
        <v>1923.7558772268</v>
      </c>
      <c r="O2171" s="9" t="n">
        <f aca="false">IF(Tabla2[[#This Row],[Costos (En RD$/Tarea)]]=0,0,Tabla2[[#This Row],[Beneficio Neto  (En RD$/Tarea)]]/Tabla2[[#This Row],[Costos (En RD$/Tarea)]])</f>
        <v>0.259008724553362</v>
      </c>
      <c r="P2171" s="7" t="n">
        <f aca="false">Tabla2[[#This Row],[Rentabilidad (%)]]/12</f>
        <v>0.0215840603794468</v>
      </c>
    </row>
    <row r="2172" customFormat="false" ht="14.25" hidden="false" customHeight="false" outlineLevel="0" collapsed="false">
      <c r="A2172" s="1" t="n">
        <v>42005</v>
      </c>
      <c r="B2172" s="2" t="s">
        <v>30</v>
      </c>
      <c r="C2172" s="3" t="n">
        <v>425012</v>
      </c>
      <c r="D2172" s="3" t="s">
        <v>31</v>
      </c>
      <c r="E2172" s="3" t="n">
        <f aca="false">IF(Tabla2[[#This Row],[Frecuencia]]="Annual", Tabla2[[#This Row],[Cosecha/Tarea]]/12,Tabla2[[#This Row],[Cosecha/Tarea]])</f>
        <v>35417.6666666667</v>
      </c>
      <c r="F2172" s="3" t="n">
        <v>2014555</v>
      </c>
      <c r="G2172" s="2" t="s">
        <v>18</v>
      </c>
      <c r="H2172" s="2" t="n">
        <f aca="false">F2172/Tabla2[[#This Row],[Cosecha Mensual]]</f>
        <v>56.8799469191458</v>
      </c>
      <c r="I2172" s="2" t="n">
        <f aca="false">H2172*_xlfn.XLOOKUP(Tabla2[[#This Row],[Unidad de producción]],Tabla3[Medida],Tabla3[Equivalencia en Kg],"ELVIS",0)</f>
        <v>2580.07439225245</v>
      </c>
      <c r="J2172" s="2" t="n">
        <v>202.94</v>
      </c>
      <c r="K2172" s="2" t="s">
        <v>32</v>
      </c>
      <c r="L2172" s="2" t="n">
        <f aca="false">J2172/_xlfn.XLOOKUP(Tabla2[[#This Row],[Unidad de precio]],Tabla3[Medida],Tabla3[Equivalencia en Kg],"ELVIS",0)</f>
        <v>7.45828739434032</v>
      </c>
      <c r="M2172" s="3" t="n">
        <v>22429.7248632058</v>
      </c>
      <c r="N2172" s="3" t="n">
        <f aca="false">(Tabla2[[#This Row],[Productividad (kg/TAS)]]*Tabla2[[#This Row],[Precio por kg]]-Tabla2[[#This Row],[Costos (En RD$/Tarea)]])</f>
        <v>-3186.78854700907</v>
      </c>
      <c r="O2172" s="9" t="n">
        <f aca="false">IF(Tabla2[[#This Row],[Costos (En RD$/Tarea)]]=0,0,Tabla2[[#This Row],[Beneficio Neto  (En RD$/Tarea)]]/Tabla2[[#This Row],[Costos (En RD$/Tarea)]])</f>
        <v>-0.142078806870999</v>
      </c>
      <c r="P2172" s="7" t="n">
        <f aca="false">Tabla2[[#This Row],[Rentabilidad (%)]]/12</f>
        <v>-0.0118399005725833</v>
      </c>
    </row>
    <row r="2173" customFormat="false" ht="14.25" hidden="false" customHeight="false" outlineLevel="0" collapsed="false">
      <c r="A2173" s="1" t="n">
        <v>42005</v>
      </c>
      <c r="B2173" s="2" t="s">
        <v>33</v>
      </c>
      <c r="C2173" s="3" t="n">
        <v>712044</v>
      </c>
      <c r="D2173" s="3" t="s">
        <v>31</v>
      </c>
      <c r="E2173" s="11" t="n">
        <f aca="false">IF(Tabla2[[#This Row],[Frecuencia]]="Annual", Tabla2[[#This Row],[Cosecha/Tarea]]/12,Tabla2[[#This Row],[Cosecha/Tarea]])</f>
        <v>59337</v>
      </c>
      <c r="F2173" s="3" t="n">
        <v>1302440</v>
      </c>
      <c r="G2173" s="2" t="s">
        <v>18</v>
      </c>
      <c r="H2173" s="2" t="n">
        <f aca="false">F2173/Tabla2[[#This Row],[Cosecha Mensual]]</f>
        <v>21.9498795018285</v>
      </c>
      <c r="I2173" s="2" t="n">
        <f aca="false">H2173*_xlfn.XLOOKUP(Tabla2[[#This Row],[Unidad de producción]],Tabla3[Medida],Tabla3[Equivalencia en Kg],"ELVIS",0)</f>
        <v>995.646534202943</v>
      </c>
      <c r="J2173" s="2" t="n">
        <v>6857.11857142857</v>
      </c>
      <c r="K2173" s="2" t="s">
        <v>34</v>
      </c>
      <c r="L2173" s="2" t="n">
        <f aca="false">J2173/_xlfn.XLOOKUP(Tabla2[[#This Row],[Unidad de precio]],Tabla3[Medida],Tabla3[Equivalencia en Kg],"ELVIS",0)</f>
        <v>16.8004865158118</v>
      </c>
      <c r="M2173" s="3" t="n">
        <v>16317.7474581161</v>
      </c>
      <c r="N2173" s="3" t="n">
        <f aca="false">(Tabla2[[#This Row],[Productividad (kg/TAS)]]*Tabla2[[#This Row],[Precio por kg]]-Tabla2[[#This Row],[Costos (En RD$/Tarea)]])</f>
        <v>409.598714275147</v>
      </c>
      <c r="O2173" s="9" t="n">
        <f aca="false">IF(Tabla2[[#This Row],[Costos (En RD$/Tarea)]]=0,0,Tabla2[[#This Row],[Beneficio Neto  (En RD$/Tarea)]]/Tabla2[[#This Row],[Costos (En RD$/Tarea)]])</f>
        <v>0.0251014250175456</v>
      </c>
      <c r="P2173" s="7" t="n">
        <f aca="false">Tabla2[[#This Row],[Rentabilidad (%)]]/12</f>
        <v>0.0020917854181288</v>
      </c>
    </row>
    <row r="2174" customFormat="false" ht="14.25" hidden="false" customHeight="false" outlineLevel="0" collapsed="false">
      <c r="A2174" s="1" t="n">
        <v>42036</v>
      </c>
      <c r="B2174" s="2" t="s">
        <v>16</v>
      </c>
      <c r="C2174" s="3" t="n">
        <v>283</v>
      </c>
      <c r="D2174" s="8" t="s">
        <v>17</v>
      </c>
      <c r="E2174" s="3" t="n">
        <f aca="false">IF(Tabla2[[#This Row],[Frecuencia]]="Annual", Tabla2[[#This Row],[Cosecha/Tarea]]/12,Tabla2[[#This Row],[Cosecha/Tarea]])</f>
        <v>283</v>
      </c>
      <c r="F2174" s="3" t="n">
        <v>849</v>
      </c>
      <c r="G2174" s="2" t="s">
        <v>18</v>
      </c>
      <c r="H2174" s="2" t="n">
        <f aca="false">F2174/Tabla2[[#This Row],[Cosecha Mensual]]</f>
        <v>3</v>
      </c>
      <c r="I2174" s="2" t="n">
        <f aca="false">H2174*_xlfn.XLOOKUP(Tabla2[[#This Row],[Unidad de producción]],Tabla3[Medida],Tabla3[Equivalencia en Kg],"ELVIS",0)</f>
        <v>136.08</v>
      </c>
      <c r="J2174" s="2" t="n">
        <v>1505.95739130435</v>
      </c>
      <c r="K2174" s="2" t="s">
        <v>19</v>
      </c>
      <c r="L2174" s="2" t="n">
        <f aca="false">J2174/_xlfn.XLOOKUP(Tabla2[[#This Row],[Unidad de precio]],Tabla3[Medida],Tabla3[Equivalencia en Kg],"ELVIS",0)</f>
        <v>13.6905217391305</v>
      </c>
      <c r="M2174" s="2" t="n">
        <v>7019.06666466125</v>
      </c>
      <c r="N2174" s="3" t="n">
        <f aca="false">(Tabla2[[#This Row],[Productividad (kg/TAS)]]*Tabla2[[#This Row],[Precio por kg]]-Tabla2[[#This Row],[Costos (En RD$/Tarea)]])</f>
        <v>-5156.06046640038</v>
      </c>
      <c r="O2174" s="9" t="n">
        <f aca="false">IF(Tabla2[[#This Row],[Costos (En RD$/Tarea)]]=0,0,Tabla2[[#This Row],[Beneficio Neto  (En RD$/Tarea)]]/Tabla2[[#This Row],[Costos (En RD$/Tarea)]])</f>
        <v>-0.734579212982759</v>
      </c>
      <c r="P2174" s="7" t="n">
        <f aca="false">Tabla2[[#This Row],[Rentabilidad (%)]]/12</f>
        <v>-0.0612149344152299</v>
      </c>
    </row>
    <row r="2175" customFormat="false" ht="14.25" hidden="false" customHeight="false" outlineLevel="0" collapsed="false">
      <c r="A2175" s="1" t="n">
        <v>42036</v>
      </c>
      <c r="B2175" s="2" t="s">
        <v>20</v>
      </c>
      <c r="C2175" s="3" t="n">
        <v>29851</v>
      </c>
      <c r="D2175" s="8" t="s">
        <v>17</v>
      </c>
      <c r="E2175" s="3" t="n">
        <f aca="false">IF(Tabla2[[#This Row],[Frecuencia]]="Annual", Tabla2[[#This Row],[Cosecha/Tarea]]/12,Tabla2[[#This Row],[Cosecha/Tarea]])</f>
        <v>29851</v>
      </c>
      <c r="F2175" s="3" t="n">
        <v>69877</v>
      </c>
      <c r="G2175" s="2" t="s">
        <v>18</v>
      </c>
      <c r="H2175" s="2" t="n">
        <f aca="false">F2175/Tabla2[[#This Row],[Cosecha Mensual]]</f>
        <v>2.34085960269338</v>
      </c>
      <c r="I2175" s="2" t="n">
        <f aca="false">H2175*_xlfn.XLOOKUP(Tabla2[[#This Row],[Unidad de producción]],Tabla3[Medida],Tabla3[Equivalencia en Kg],"ELVIS",0)</f>
        <v>106.181391578172</v>
      </c>
      <c r="J2175" s="2" t="n">
        <v>830.75</v>
      </c>
      <c r="K2175" s="2" t="s">
        <v>18</v>
      </c>
      <c r="L2175" s="2" t="n">
        <f aca="false">J2175/_xlfn.XLOOKUP(Tabla2[[#This Row],[Unidad de precio]],Tabla3[Medida],Tabla3[Equivalencia en Kg],"ELVIS",0)</f>
        <v>18.314594356261</v>
      </c>
      <c r="M2175" s="2" t="n">
        <v>2574.584905776</v>
      </c>
      <c r="N2175" s="3" t="n">
        <f aca="false">(Tabla2[[#This Row],[Productividad (kg/TAS)]]*Tabla2[[#This Row],[Precio por kg]]-Tabla2[[#This Row],[Costos (En RD$/Tarea)]])</f>
        <v>-629.915790838477</v>
      </c>
      <c r="O2175" s="9" t="n">
        <f aca="false">IF(Tabla2[[#This Row],[Costos (En RD$/Tarea)]]=0,0,Tabla2[[#This Row],[Beneficio Neto  (En RD$/Tarea)]]/Tabla2[[#This Row],[Costos (En RD$/Tarea)]])</f>
        <v>-0.244666932298593</v>
      </c>
      <c r="P2175" s="7" t="n">
        <f aca="false">Tabla2[[#This Row],[Rentabilidad (%)]]/12</f>
        <v>-0.0203889110248828</v>
      </c>
    </row>
    <row r="2176" customFormat="false" ht="14.25" hidden="false" customHeight="false" outlineLevel="0" collapsed="false">
      <c r="A2176" s="1" t="n">
        <v>42036</v>
      </c>
      <c r="B2176" s="2" t="s">
        <v>21</v>
      </c>
      <c r="C2176" s="3" t="n">
        <v>8952</v>
      </c>
      <c r="D2176" s="8" t="s">
        <v>17</v>
      </c>
      <c r="E2176" s="3" t="n">
        <f aca="false">IF(Tabla2[[#This Row],[Frecuencia]]="Annual", Tabla2[[#This Row],[Cosecha/Tarea]]/12,Tabla2[[#This Row],[Cosecha/Tarea]])</f>
        <v>8952</v>
      </c>
      <c r="F2176" s="3" t="n">
        <v>87406</v>
      </c>
      <c r="G2176" s="2" t="s">
        <v>18</v>
      </c>
      <c r="H2176" s="2" t="n">
        <f aca="false">F2176/Tabla2[[#This Row],[Cosecha Mensual]]</f>
        <v>9.76385165326184</v>
      </c>
      <c r="I2176" s="2" t="n">
        <f aca="false">H2176*_xlfn.XLOOKUP(Tabla2[[#This Row],[Unidad de producción]],Tabla3[Medida],Tabla3[Equivalencia en Kg],"ELVIS",0)</f>
        <v>442.888310991957</v>
      </c>
      <c r="J2176" s="2" t="n">
        <v>303.684885</v>
      </c>
      <c r="K2176" s="2" t="s">
        <v>18</v>
      </c>
      <c r="L2176" s="2" t="n">
        <f aca="false">J2176/_xlfn.XLOOKUP(Tabla2[[#This Row],[Unidad de precio]],Tabla3[Medida],Tabla3[Equivalencia en Kg],"ELVIS",0)</f>
        <v>6.69499305555556</v>
      </c>
      <c r="M2176" s="2" t="n">
        <v>5153.88882833038</v>
      </c>
      <c r="N2176" s="3" t="n">
        <f aca="false">(Tabla2[[#This Row],[Productividad (kg/TAS)]]*Tabla2[[#This Row],[Precio por kg]]-Tabla2[[#This Row],[Costos (En RD$/Tarea)]])</f>
        <v>-2188.7546618525</v>
      </c>
      <c r="O2176" s="9" t="n">
        <f aca="false">IF(Tabla2[[#This Row],[Costos (En RD$/Tarea)]]=0,0,Tabla2[[#This Row],[Beneficio Neto  (En RD$/Tarea)]]/Tabla2[[#This Row],[Costos (En RD$/Tarea)]])</f>
        <v>-0.424680223954608</v>
      </c>
      <c r="P2176" s="7" t="n">
        <f aca="false">Tabla2[[#This Row],[Rentabilidad (%)]]/12</f>
        <v>-0.035390018662884</v>
      </c>
    </row>
    <row r="2177" customFormat="false" ht="14.25" hidden="false" customHeight="false" outlineLevel="0" collapsed="false">
      <c r="A2177" s="1" t="n">
        <v>42036</v>
      </c>
      <c r="B2177" s="2" t="s">
        <v>22</v>
      </c>
      <c r="C2177" s="3" t="n">
        <v>9732</v>
      </c>
      <c r="D2177" s="8" t="s">
        <v>17</v>
      </c>
      <c r="E2177" s="3" t="n">
        <f aca="false">IF(Tabla2[[#This Row],[Frecuencia]]="Annual", Tabla2[[#This Row],[Cosecha/Tarea]]/12,Tabla2[[#This Row],[Cosecha/Tarea]])</f>
        <v>9732</v>
      </c>
      <c r="F2177" s="3" t="n">
        <v>91169</v>
      </c>
      <c r="G2177" s="2" t="s">
        <v>18</v>
      </c>
      <c r="H2177" s="2" t="n">
        <f aca="false">F2177/Tabla2[[#This Row],[Cosecha Mensual]]</f>
        <v>9.36796136457049</v>
      </c>
      <c r="I2177" s="2" t="n">
        <f aca="false">H2177*_xlfn.XLOOKUP(Tabla2[[#This Row],[Unidad de producción]],Tabla3[Medida],Tabla3[Equivalencia en Kg],"ELVIS",0)</f>
        <v>424.930727496917</v>
      </c>
      <c r="J2177" s="2" t="n">
        <v>1009.305</v>
      </c>
      <c r="K2177" s="2" t="s">
        <v>18</v>
      </c>
      <c r="L2177" s="2" t="n">
        <f aca="false">J2177/_xlfn.XLOOKUP(Tabla2[[#This Row],[Unidad de precio]],Tabla3[Medida],Tabla3[Equivalencia en Kg],"ELVIS",0)</f>
        <v>22.2509920634921</v>
      </c>
      <c r="M2177" s="2" t="n">
        <v>9360.09200898452</v>
      </c>
      <c r="N2177" s="3" t="n">
        <f aca="false">(Tabla2[[#This Row],[Productividad (kg/TAS)]]*Tabla2[[#This Row],[Precio por kg]]-Tabla2[[#This Row],[Costos (En RD$/Tarea)]])</f>
        <v>95.0382360832973</v>
      </c>
      <c r="O2177" s="9" t="n">
        <f aca="false">IF(Tabla2[[#This Row],[Costos (En RD$/Tarea)]]=0,0,Tabla2[[#This Row],[Beneficio Neto  (En RD$/Tarea)]]/Tabla2[[#This Row],[Costos (En RD$/Tarea)]])</f>
        <v>0.0101535578915327</v>
      </c>
      <c r="P2177" s="7" t="n">
        <f aca="false">Tabla2[[#This Row],[Rentabilidad (%)]]/12</f>
        <v>0.000846129824294395</v>
      </c>
    </row>
    <row r="2178" customFormat="false" ht="14.25" hidden="false" customHeight="false" outlineLevel="0" collapsed="false">
      <c r="A2178" s="1" t="n">
        <v>42036</v>
      </c>
      <c r="B2178" s="2" t="s">
        <v>23</v>
      </c>
      <c r="C2178" s="3" t="n">
        <v>5223</v>
      </c>
      <c r="D2178" s="8" t="s">
        <v>17</v>
      </c>
      <c r="E2178" s="3" t="n">
        <f aca="false">IF(Tabla2[[#This Row],[Frecuencia]]="Annual", Tabla2[[#This Row],[Cosecha/Tarea]]/12,Tabla2[[#This Row],[Cosecha/Tarea]])</f>
        <v>5223</v>
      </c>
      <c r="F2178" s="3" t="n">
        <v>206940</v>
      </c>
      <c r="G2178" s="2" t="s">
        <v>18</v>
      </c>
      <c r="H2178" s="2" t="n">
        <f aca="false">F2178/Tabla2[[#This Row],[Cosecha Mensual]]</f>
        <v>39.6209075244113</v>
      </c>
      <c r="I2178" s="2" t="n">
        <f aca="false">H2178*_xlfn.XLOOKUP(Tabla2[[#This Row],[Unidad de producción]],Tabla3[Medida],Tabla3[Equivalencia en Kg],"ELVIS",0)</f>
        <v>1797.20436530729</v>
      </c>
      <c r="J2178" s="2" t="n">
        <v>800</v>
      </c>
      <c r="K2178" s="2" t="s">
        <v>18</v>
      </c>
      <c r="L2178" s="2" t="n">
        <f aca="false">J2178/_xlfn.XLOOKUP(Tabla2[[#This Row],[Unidad de precio]],Tabla3[Medida],Tabla3[Equivalencia en Kg],"ELVIS",0)</f>
        <v>17.636684303351</v>
      </c>
      <c r="M2178" s="2" t="n">
        <v>25505.1939374778</v>
      </c>
      <c r="N2178" s="3" t="n">
        <f aca="false">(Tabla2[[#This Row],[Productividad (kg/TAS)]]*Tabla2[[#This Row],[Precio por kg]]-Tabla2[[#This Row],[Costos (En RD$/Tarea)]])</f>
        <v>6191.53208205121</v>
      </c>
      <c r="O2178" s="9" t="n">
        <f aca="false">IF(Tabla2[[#This Row],[Costos (En RD$/Tarea)]]=0,0,Tabla2[[#This Row],[Beneficio Neto  (En RD$/Tarea)]]/Tabla2[[#This Row],[Costos (En RD$/Tarea)]])</f>
        <v>0.242755734272354</v>
      </c>
      <c r="P2178" s="7" t="n">
        <f aca="false">Tabla2[[#This Row],[Rentabilidad (%)]]/12</f>
        <v>0.0202296445226962</v>
      </c>
    </row>
    <row r="2179" customFormat="false" ht="14.25" hidden="false" customHeight="false" outlineLevel="0" collapsed="false">
      <c r="A2179" s="1" t="n">
        <v>42036</v>
      </c>
      <c r="B2179" s="2" t="s">
        <v>24</v>
      </c>
      <c r="C2179" s="3" t="n">
        <v>8649</v>
      </c>
      <c r="D2179" s="8" t="s">
        <v>17</v>
      </c>
      <c r="E2179" s="3" t="n">
        <f aca="false">IF(Tabla2[[#This Row],[Frecuencia]]="Annual", Tabla2[[#This Row],[Cosecha/Tarea]]/12,Tabla2[[#This Row],[Cosecha/Tarea]])</f>
        <v>8649</v>
      </c>
      <c r="F2179" s="3" t="n">
        <v>77017</v>
      </c>
      <c r="G2179" s="2" t="s">
        <v>18</v>
      </c>
      <c r="H2179" s="2" t="n">
        <f aca="false">F2179/Tabla2[[#This Row],[Cosecha Mensual]]</f>
        <v>8.90472887038964</v>
      </c>
      <c r="I2179" s="2" t="n">
        <f aca="false">H2179*_xlfn.XLOOKUP(Tabla2[[#This Row],[Unidad de producción]],Tabla3[Medida],Tabla3[Equivalencia en Kg],"ELVIS",0)</f>
        <v>403.918501560874</v>
      </c>
      <c r="J2179" s="2" t="n">
        <v>1512.140625</v>
      </c>
      <c r="K2179" s="2" t="s">
        <v>18</v>
      </c>
      <c r="L2179" s="2" t="n">
        <f aca="false">J2179/_xlfn.XLOOKUP(Tabla2[[#This Row],[Unidad de precio]],Tabla3[Medida],Tabla3[Equivalencia en Kg],"ELVIS",0)</f>
        <v>33.336433531746</v>
      </c>
      <c r="M2179" s="2" t="n">
        <v>9240.56556420077</v>
      </c>
      <c r="N2179" s="3" t="n">
        <f aca="false">(Tabla2[[#This Row],[Productividad (kg/TAS)]]*Tabla2[[#This Row],[Precio por kg]]-Tabla2[[#This Row],[Costos (En RD$/Tarea)]])</f>
        <v>4224.63671532577</v>
      </c>
      <c r="O2179" s="9" t="n">
        <f aca="false">IF(Tabla2[[#This Row],[Costos (En RD$/Tarea)]]=0,0,Tabla2[[#This Row],[Beneficio Neto  (En RD$/Tarea)]]/Tabla2[[#This Row],[Costos (En RD$/Tarea)]])</f>
        <v>0.457183782310099</v>
      </c>
      <c r="P2179" s="7" t="n">
        <f aca="false">Tabla2[[#This Row],[Rentabilidad (%)]]/12</f>
        <v>0.0380986485258416</v>
      </c>
    </row>
    <row r="2180" customFormat="false" ht="14.25" hidden="false" customHeight="false" outlineLevel="0" collapsed="false">
      <c r="A2180" s="1" t="n">
        <v>42036</v>
      </c>
      <c r="B2180" s="2" t="s">
        <v>25</v>
      </c>
      <c r="C2180" s="3" t="n">
        <v>45210</v>
      </c>
      <c r="D2180" s="8" t="s">
        <v>17</v>
      </c>
      <c r="E2180" s="3" t="n">
        <f aca="false">IF(Tabla2[[#This Row],[Frecuencia]]="Annual", Tabla2[[#This Row],[Cosecha/Tarea]]/12,Tabla2[[#This Row],[Cosecha/Tarea]])</f>
        <v>45210</v>
      </c>
      <c r="F2180" s="3" t="n">
        <v>452122</v>
      </c>
      <c r="G2180" s="2" t="s">
        <v>18</v>
      </c>
      <c r="H2180" s="2" t="n">
        <f aca="false">F2180/Tabla2[[#This Row],[Cosecha Mensual]]</f>
        <v>10.0004866180049</v>
      </c>
      <c r="I2180" s="2" t="n">
        <f aca="false">H2180*_xlfn.XLOOKUP(Tabla2[[#This Row],[Unidad de producción]],Tabla3[Medida],Tabla3[Equivalencia en Kg],"ELVIS",0)</f>
        <v>453.622072992701</v>
      </c>
      <c r="J2180" s="2" t="n">
        <v>471.983</v>
      </c>
      <c r="K2180" s="2" t="s">
        <v>18</v>
      </c>
      <c r="L2180" s="2" t="n">
        <f aca="false">J2180/_xlfn.XLOOKUP(Tabla2[[#This Row],[Unidad de precio]],Tabla3[Medida],Tabla3[Equivalencia en Kg],"ELVIS",0)</f>
        <v>10.4052689594356</v>
      </c>
      <c r="M2180" s="2" t="n">
        <v>5033.45303788251</v>
      </c>
      <c r="N2180" s="3" t="n">
        <f aca="false">(Tabla2[[#This Row],[Productividad (kg/TAS)]]*Tabla2[[#This Row],[Precio por kg]]-Tabla2[[#This Row],[Costos (En RD$/Tarea)]])</f>
        <v>-313.39336245672</v>
      </c>
      <c r="O2180" s="9" t="n">
        <f aca="false">IF(Tabla2[[#This Row],[Costos (En RD$/Tarea)]]=0,0,Tabla2[[#This Row],[Beneficio Neto  (En RD$/Tarea)]]/Tabla2[[#This Row],[Costos (En RD$/Tarea)]])</f>
        <v>-0.0622621012052909</v>
      </c>
      <c r="P2180" s="7" t="n">
        <f aca="false">Tabla2[[#This Row],[Rentabilidad (%)]]/12</f>
        <v>-0.00518850843377424</v>
      </c>
    </row>
    <row r="2181" customFormat="false" ht="14.25" hidden="false" customHeight="false" outlineLevel="0" collapsed="false">
      <c r="A2181" s="1" t="n">
        <v>42036</v>
      </c>
      <c r="B2181" s="2" t="s">
        <v>26</v>
      </c>
      <c r="C2181" s="3" t="n">
        <v>8849</v>
      </c>
      <c r="D2181" s="8" t="s">
        <v>17</v>
      </c>
      <c r="E2181" s="3" t="n">
        <f aca="false">IF(Tabla2[[#This Row],[Frecuencia]]="Annual", Tabla2[[#This Row],[Cosecha/Tarea]]/12,Tabla2[[#This Row],[Cosecha/Tarea]])</f>
        <v>8849</v>
      </c>
      <c r="F2181" s="3" t="n">
        <v>53458</v>
      </c>
      <c r="G2181" s="2" t="s">
        <v>18</v>
      </c>
      <c r="H2181" s="2" t="n">
        <f aca="false">F2181/Tabla2[[#This Row],[Cosecha Mensual]]</f>
        <v>6.04113459147926</v>
      </c>
      <c r="I2181" s="2" t="n">
        <f aca="false">H2181*_xlfn.XLOOKUP(Tabla2[[#This Row],[Unidad de producción]],Tabla3[Medida],Tabla3[Equivalencia en Kg],"ELVIS",0)</f>
        <v>274.025865069499</v>
      </c>
      <c r="J2181" s="2" t="n">
        <v>787.188</v>
      </c>
      <c r="K2181" s="2" t="s">
        <v>18</v>
      </c>
      <c r="L2181" s="2" t="n">
        <f aca="false">J2181/_xlfn.XLOOKUP(Tabla2[[#This Row],[Unidad de precio]],Tabla3[Medida],Tabla3[Equivalencia en Kg],"ELVIS",0)</f>
        <v>17.3542328042328</v>
      </c>
      <c r="M2181" s="2" t="n">
        <v>2123.36088960426</v>
      </c>
      <c r="N2181" s="3" t="n">
        <f aca="false">(Tabla2[[#This Row],[Productividad (kg/TAS)]]*Tabla2[[#This Row],[Precio por kg]]-Tabla2[[#This Row],[Costos (En RD$/Tarea)]])</f>
        <v>2632.14776719312</v>
      </c>
      <c r="O2181" s="9" t="n">
        <f aca="false">IF(Tabla2[[#This Row],[Costos (En RD$/Tarea)]]=0,0,Tabla2[[#This Row],[Beneficio Neto  (En RD$/Tarea)]]/Tabla2[[#This Row],[Costos (En RD$/Tarea)]])</f>
        <v>1.23961394413913</v>
      </c>
      <c r="P2181" s="7" t="n">
        <f aca="false">Tabla2[[#This Row],[Rentabilidad (%)]]/12</f>
        <v>0.103301162011595</v>
      </c>
    </row>
    <row r="2182" customFormat="false" ht="14.25" hidden="false" customHeight="false" outlineLevel="0" collapsed="false">
      <c r="A2182" s="1" t="n">
        <v>42036</v>
      </c>
      <c r="B2182" s="2" t="s">
        <v>27</v>
      </c>
      <c r="C2182" s="3" t="n">
        <v>5176</v>
      </c>
      <c r="D2182" s="8" t="s">
        <v>17</v>
      </c>
      <c r="E2182" s="3" t="n">
        <f aca="false">IF(Tabla2[[#This Row],[Frecuencia]]="Annual", Tabla2[[#This Row],[Cosecha/Tarea]]/12,Tabla2[[#This Row],[Cosecha/Tarea]])</f>
        <v>5176</v>
      </c>
      <c r="F2182" s="3" t="n">
        <v>33286</v>
      </c>
      <c r="G2182" s="2" t="s">
        <v>18</v>
      </c>
      <c r="H2182" s="2" t="n">
        <f aca="false">F2182/Tabla2[[#This Row],[Cosecha Mensual]]</f>
        <v>6.43083462132921</v>
      </c>
      <c r="I2182" s="2" t="n">
        <f aca="false">H2182*_xlfn.XLOOKUP(Tabla2[[#This Row],[Unidad de producción]],Tabla3[Medida],Tabla3[Equivalencia en Kg],"ELVIS",0)</f>
        <v>291.702658423493</v>
      </c>
      <c r="J2182" s="2" t="n">
        <v>634.488571428571</v>
      </c>
      <c r="K2182" s="2" t="s">
        <v>18</v>
      </c>
      <c r="L2182" s="2" t="n">
        <f aca="false">J2182/_xlfn.XLOOKUP(Tabla2[[#This Row],[Unidad de precio]],Tabla3[Medida],Tabla3[Equivalencia en Kg],"ELVIS",0)</f>
        <v>13.9878432854623</v>
      </c>
      <c r="M2182" s="2" t="n">
        <v>8682.692545606</v>
      </c>
      <c r="N2182" s="3" t="n">
        <f aca="false">(Tabla2[[#This Row],[Productividad (kg/TAS)]]*Tabla2[[#This Row],[Precio por kg]]-Tabla2[[#This Row],[Costos (En RD$/Tarea)]])</f>
        <v>-4602.40147362543</v>
      </c>
      <c r="O2182" s="9" t="n">
        <f aca="false">IF(Tabla2[[#This Row],[Costos (En RD$/Tarea)]]=0,0,Tabla2[[#This Row],[Beneficio Neto  (En RD$/Tarea)]]/Tabla2[[#This Row],[Costos (En RD$/Tarea)]])</f>
        <v>-0.530066157410416</v>
      </c>
      <c r="P2182" s="7" t="n">
        <f aca="false">Tabla2[[#This Row],[Rentabilidad (%)]]/12</f>
        <v>-0.0441721797842013</v>
      </c>
    </row>
    <row r="2183" customFormat="false" ht="14.25" hidden="false" customHeight="false" outlineLevel="0" collapsed="false">
      <c r="A2183" s="1" t="n">
        <v>42036</v>
      </c>
      <c r="B2183" s="2" t="s">
        <v>28</v>
      </c>
      <c r="C2183" s="3" t="n">
        <v>93288</v>
      </c>
      <c r="D2183" s="8" t="s">
        <v>17</v>
      </c>
      <c r="E2183" s="3" t="n">
        <f aca="false">IF(Tabla2[[#This Row],[Frecuencia]]="Annual", Tabla2[[#This Row],[Cosecha/Tarea]]/12,Tabla2[[#This Row],[Cosecha/Tarea]])</f>
        <v>93288</v>
      </c>
      <c r="F2183" s="3" t="n">
        <v>1442919</v>
      </c>
      <c r="G2183" s="2" t="s">
        <v>18</v>
      </c>
      <c r="H2183" s="2" t="n">
        <f aca="false">F2183/Tabla2[[#This Row],[Cosecha Mensual]]</f>
        <v>15.4673591458709</v>
      </c>
      <c r="I2183" s="2" t="n">
        <f aca="false">H2183*_xlfn.XLOOKUP(Tabla2[[#This Row],[Unidad de producción]],Tabla3[Medida],Tabla3[Equivalencia en Kg],"ELVIS",0)</f>
        <v>701.599410856702</v>
      </c>
      <c r="J2183" s="2" t="n">
        <v>8835.08333333333</v>
      </c>
      <c r="K2183" s="2" t="s">
        <v>29</v>
      </c>
      <c r="L2183" s="2" t="n">
        <f aca="false">J2183/_xlfn.XLOOKUP(Tabla2[[#This Row],[Unidad de precio]],Tabla3[Medida],Tabla3[Equivalencia en Kg],"ELVIS",0)</f>
        <v>15.7112838022074</v>
      </c>
      <c r="M2183" s="2" t="n">
        <v>7427.37867438309</v>
      </c>
      <c r="N2183" s="3" t="n">
        <f aca="false">(Tabla2[[#This Row],[Productividad (kg/TAS)]]*Tabla2[[#This Row],[Precio por kg]]-Tabla2[[#This Row],[Costos (En RD$/Tarea)]])</f>
        <v>3595.64878504809</v>
      </c>
      <c r="O2183" s="9" t="n">
        <f aca="false">IF(Tabla2[[#This Row],[Costos (En RD$/Tarea)]]=0,0,Tabla2[[#This Row],[Beneficio Neto  (En RD$/Tarea)]]/Tabla2[[#This Row],[Costos (En RD$/Tarea)]])</f>
        <v>0.484107373904258</v>
      </c>
      <c r="P2183" s="7" t="n">
        <f aca="false">Tabla2[[#This Row],[Rentabilidad (%)]]/12</f>
        <v>0.0403422811586882</v>
      </c>
    </row>
    <row r="2184" customFormat="false" ht="14.25" hidden="false" customHeight="false" outlineLevel="0" collapsed="false">
      <c r="A2184" s="1" t="n">
        <v>42036</v>
      </c>
      <c r="B2184" s="2" t="s">
        <v>30</v>
      </c>
      <c r="C2184" s="3" t="n">
        <v>425199</v>
      </c>
      <c r="D2184" s="3" t="s">
        <v>31</v>
      </c>
      <c r="E2184" s="3" t="n">
        <f aca="false">IF(Tabla2[[#This Row],[Frecuencia]]="Annual", Tabla2[[#This Row],[Cosecha/Tarea]]/12,Tabla2[[#This Row],[Cosecha/Tarea]])</f>
        <v>35433.25</v>
      </c>
      <c r="F2184" s="3" t="n">
        <v>2014558</v>
      </c>
      <c r="G2184" s="2" t="s">
        <v>18</v>
      </c>
      <c r="H2184" s="2" t="n">
        <f aca="false">F2184/Tabla2[[#This Row],[Cosecha Mensual]]</f>
        <v>56.8550161218629</v>
      </c>
      <c r="I2184" s="2" t="n">
        <f aca="false">H2184*_xlfn.XLOOKUP(Tabla2[[#This Row],[Unidad de producción]],Tabla3[Medida],Tabla3[Equivalencia en Kg],"ELVIS",0)</f>
        <v>2578.9435312877</v>
      </c>
      <c r="J2184" s="2" t="n">
        <v>155.326</v>
      </c>
      <c r="K2184" s="2" t="s">
        <v>32</v>
      </c>
      <c r="L2184" s="2" t="n">
        <f aca="false">J2184/_xlfn.XLOOKUP(Tabla2[[#This Row],[Unidad de precio]],Tabla3[Medida],Tabla3[Equivalencia en Kg],"ELVIS",0)</f>
        <v>5.70841602352076</v>
      </c>
      <c r="M2184" s="3" t="n">
        <v>22429.7248632058</v>
      </c>
      <c r="N2184" s="3" t="n">
        <f aca="false">(Tabla2[[#This Row],[Productividad (kg/TAS)]]*Tabla2[[#This Row],[Precio por kg]]-Tabla2[[#This Row],[Costos (En RD$/Tarea)]])</f>
        <v>-7708.04228544785</v>
      </c>
      <c r="O2184" s="9" t="n">
        <f aca="false">IF(Tabla2[[#This Row],[Costos (En RD$/Tarea)]]=0,0,Tabla2[[#This Row],[Beneficio Neto  (En RD$/Tarea)]]/Tabla2[[#This Row],[Costos (En RD$/Tarea)]])</f>
        <v>-0.343653002096887</v>
      </c>
      <c r="P2184" s="7" t="n">
        <f aca="false">Tabla2[[#This Row],[Rentabilidad (%)]]/12</f>
        <v>-0.0286377501747406</v>
      </c>
    </row>
    <row r="2185" customFormat="false" ht="14.25" hidden="false" customHeight="false" outlineLevel="0" collapsed="false">
      <c r="A2185" s="1" t="n">
        <v>42036</v>
      </c>
      <c r="B2185" s="2" t="s">
        <v>33</v>
      </c>
      <c r="C2185" s="3" t="n">
        <v>724014</v>
      </c>
      <c r="D2185" s="3" t="s">
        <v>31</v>
      </c>
      <c r="E2185" s="3" t="n">
        <f aca="false">IF(Tabla2[[#This Row],[Frecuencia]]="Annual", Tabla2[[#This Row],[Cosecha/Tarea]]/12,Tabla2[[#This Row],[Cosecha/Tarea]])</f>
        <v>60334.5</v>
      </c>
      <c r="F2185" s="3" t="n">
        <v>1330214</v>
      </c>
      <c r="G2185" s="2" t="s">
        <v>18</v>
      </c>
      <c r="H2185" s="2" t="n">
        <f aca="false">F2185/Tabla2[[#This Row],[Cosecha Mensual]]</f>
        <v>22.0473195269705</v>
      </c>
      <c r="I2185" s="2" t="n">
        <f aca="false">H2185*_xlfn.XLOOKUP(Tabla2[[#This Row],[Unidad de producción]],Tabla3[Medida],Tabla3[Equivalencia en Kg],"ELVIS",0)</f>
        <v>1000.06641374338</v>
      </c>
      <c r="J2185" s="2" t="n">
        <v>6065.27833333333</v>
      </c>
      <c r="K2185" s="2" t="s">
        <v>34</v>
      </c>
      <c r="L2185" s="2" t="n">
        <f aca="false">J2185/_xlfn.XLOOKUP(Tabla2[[#This Row],[Unidad de precio]],Tabla3[Medida],Tabla3[Equivalencia en Kg],"ELVIS",0)</f>
        <v>14.8604148801503</v>
      </c>
      <c r="M2185" s="3" t="n">
        <v>16317.7474581161</v>
      </c>
      <c r="N2185" s="3" t="n">
        <f aca="false">(Tabla2[[#This Row],[Productividad (kg/TAS)]]*Tabla2[[#This Row],[Precio por kg]]-Tabla2[[#This Row],[Costos (En RD$/Tarea)]])</f>
        <v>-1456.34564218546</v>
      </c>
      <c r="O2185" s="9" t="n">
        <f aca="false">IF(Tabla2[[#This Row],[Costos (En RD$/Tarea)]]=0,0,Tabla2[[#This Row],[Beneficio Neto  (En RD$/Tarea)]]/Tabla2[[#This Row],[Costos (En RD$/Tarea)]])</f>
        <v>-0.0892491838057649</v>
      </c>
      <c r="P2185" s="7" t="n">
        <f aca="false">Tabla2[[#This Row],[Rentabilidad (%)]]/12</f>
        <v>-0.00743743198381374</v>
      </c>
    </row>
    <row r="2186" customFormat="false" ht="14.25" hidden="false" customHeight="false" outlineLevel="0" collapsed="false">
      <c r="A2186" s="1" t="n">
        <v>42064</v>
      </c>
      <c r="B2186" s="2" t="s">
        <v>16</v>
      </c>
      <c r="C2186" s="3" t="n">
        <v>80162</v>
      </c>
      <c r="D2186" s="8" t="s">
        <v>17</v>
      </c>
      <c r="E2186" s="3" t="n">
        <f aca="false">IF(Tabla2[[#This Row],[Frecuencia]]="Annual", Tabla2[[#This Row],[Cosecha/Tarea]]/12,Tabla2[[#This Row],[Cosecha/Tarea]])</f>
        <v>80162</v>
      </c>
      <c r="F2186" s="3" t="n">
        <v>416843.546959834</v>
      </c>
      <c r="G2186" s="2" t="s">
        <v>18</v>
      </c>
      <c r="H2186" s="2" t="n">
        <f aca="false">F2186/Tabla2[[#This Row],[Cosecha Mensual]]</f>
        <v>5.20001430802418</v>
      </c>
      <c r="I2186" s="2" t="n">
        <f aca="false">H2186*_xlfn.XLOOKUP(Tabla2[[#This Row],[Unidad de producción]],Tabla3[Medida],Tabla3[Equivalencia en Kg],"ELVIS",0)</f>
        <v>235.872649011977</v>
      </c>
      <c r="J2186" s="2" t="n">
        <v>1741.41231884058</v>
      </c>
      <c r="K2186" s="2" t="s">
        <v>19</v>
      </c>
      <c r="L2186" s="2" t="n">
        <f aca="false">J2186/_xlfn.XLOOKUP(Tabla2[[#This Row],[Unidad de precio]],Tabla3[Medida],Tabla3[Equivalencia en Kg],"ELVIS",0)</f>
        <v>15.8310210803689</v>
      </c>
      <c r="M2186" s="2" t="n">
        <v>7019.06666466125</v>
      </c>
      <c r="N2186" s="3" t="n">
        <f aca="false">(Tabla2[[#This Row],[Productividad (kg/TAS)]]*Tabla2[[#This Row],[Precio por kg]]-Tabla2[[#This Row],[Costos (En RD$/Tarea)]])</f>
        <v>-3284.96178587019</v>
      </c>
      <c r="O2186" s="9" t="n">
        <f aca="false">IF(Tabla2[[#This Row],[Costos (En RD$/Tarea)]]=0,0,Tabla2[[#This Row],[Beneficio Neto  (En RD$/Tarea)]]/Tabla2[[#This Row],[Costos (En RD$/Tarea)]])</f>
        <v>-0.468005497427303</v>
      </c>
      <c r="P2186" s="7" t="n">
        <f aca="false">Tabla2[[#This Row],[Rentabilidad (%)]]/12</f>
        <v>-0.039000458118942</v>
      </c>
    </row>
    <row r="2187" customFormat="false" ht="14.25" hidden="false" customHeight="false" outlineLevel="0" collapsed="false">
      <c r="A2187" s="1" t="n">
        <v>42064</v>
      </c>
      <c r="B2187" s="2" t="s">
        <v>20</v>
      </c>
      <c r="C2187" s="3" t="n">
        <v>20147</v>
      </c>
      <c r="D2187" s="8" t="s">
        <v>17</v>
      </c>
      <c r="E2187" s="3" t="n">
        <f aca="false">IF(Tabla2[[#This Row],[Frecuencia]]="Annual", Tabla2[[#This Row],[Cosecha/Tarea]]/12,Tabla2[[#This Row],[Cosecha/Tarea]])</f>
        <v>20147</v>
      </c>
      <c r="F2187" s="3" t="n">
        <v>46090</v>
      </c>
      <c r="G2187" s="2" t="s">
        <v>18</v>
      </c>
      <c r="H2187" s="2" t="n">
        <f aca="false">F2187/Tabla2[[#This Row],[Cosecha Mensual]]</f>
        <v>2.28768551149054</v>
      </c>
      <c r="I2187" s="2" t="n">
        <f aca="false">H2187*_xlfn.XLOOKUP(Tabla2[[#This Row],[Unidad de producción]],Tabla3[Medida],Tabla3[Equivalencia en Kg],"ELVIS",0)</f>
        <v>103.769414801211</v>
      </c>
      <c r="J2187" s="2" t="n">
        <v>783.875</v>
      </c>
      <c r="K2187" s="2" t="s">
        <v>18</v>
      </c>
      <c r="L2187" s="2" t="n">
        <f aca="false">J2187/_xlfn.XLOOKUP(Tabla2[[#This Row],[Unidad de precio]],Tabla3[Medida],Tabla3[Equivalencia en Kg],"ELVIS",0)</f>
        <v>17.2811948853616</v>
      </c>
      <c r="M2187" s="2" t="n">
        <v>2574.584905776</v>
      </c>
      <c r="N2187" s="3" t="n">
        <f aca="false">(Tabla2[[#This Row],[Productividad (kg/TAS)]]*Tabla2[[#This Row],[Precio por kg]]-Tabla2[[#This Row],[Costos (En RD$/Tarea)]])</f>
        <v>-781.32542545635</v>
      </c>
      <c r="O2187" s="9" t="n">
        <f aca="false">IF(Tabla2[[#This Row],[Costos (En RD$/Tarea)]]=0,0,Tabla2[[#This Row],[Beneficio Neto  (En RD$/Tarea)]]/Tabla2[[#This Row],[Costos (En RD$/Tarea)]])</f>
        <v>-0.30347627056442</v>
      </c>
      <c r="P2187" s="7" t="n">
        <f aca="false">Tabla2[[#This Row],[Rentabilidad (%)]]/12</f>
        <v>-0.0252896892137017</v>
      </c>
    </row>
    <row r="2188" customFormat="false" ht="14.25" hidden="false" customHeight="false" outlineLevel="0" collapsed="false">
      <c r="A2188" s="1" t="n">
        <v>42064</v>
      </c>
      <c r="B2188" s="2" t="s">
        <v>21</v>
      </c>
      <c r="C2188" s="3" t="n">
        <v>8345</v>
      </c>
      <c r="D2188" s="8" t="s">
        <v>17</v>
      </c>
      <c r="E2188" s="3" t="n">
        <f aca="false">IF(Tabla2[[#This Row],[Frecuencia]]="Annual", Tabla2[[#This Row],[Cosecha/Tarea]]/12,Tabla2[[#This Row],[Cosecha/Tarea]])</f>
        <v>8345</v>
      </c>
      <c r="F2188" s="3" t="n">
        <v>92684</v>
      </c>
      <c r="G2188" s="2" t="s">
        <v>18</v>
      </c>
      <c r="H2188" s="2" t="n">
        <f aca="false">F2188/Tabla2[[#This Row],[Cosecha Mensual]]</f>
        <v>11.1065308568005</v>
      </c>
      <c r="I2188" s="2" t="n">
        <f aca="false">H2188*_xlfn.XLOOKUP(Tabla2[[#This Row],[Unidad de producción]],Tabla3[Medida],Tabla3[Equivalencia en Kg],"ELVIS",0)</f>
        <v>503.79223966447</v>
      </c>
      <c r="J2188" s="2" t="n">
        <v>337.42765</v>
      </c>
      <c r="K2188" s="2" t="s">
        <v>18</v>
      </c>
      <c r="L2188" s="2" t="n">
        <f aca="false">J2188/_xlfn.XLOOKUP(Tabla2[[#This Row],[Unidad de precio]],Tabla3[Medida],Tabla3[Equivalencia en Kg],"ELVIS",0)</f>
        <v>7.43888117283951</v>
      </c>
      <c r="M2188" s="2" t="n">
        <v>5153.88882833038</v>
      </c>
      <c r="N2188" s="3" t="n">
        <f aca="false">(Tabla2[[#This Row],[Productividad (kg/TAS)]]*Tabla2[[#This Row],[Precio por kg]]-Tabla2[[#This Row],[Costos (En RD$/Tarea)]])</f>
        <v>-1406.23822166771</v>
      </c>
      <c r="O2188" s="9" t="n">
        <f aca="false">IF(Tabla2[[#This Row],[Costos (En RD$/Tarea)]]=0,0,Tabla2[[#This Row],[Beneficio Neto  (En RD$/Tarea)]]/Tabla2[[#This Row],[Costos (En RD$/Tarea)]])</f>
        <v>-0.272849933032658</v>
      </c>
      <c r="P2188" s="7" t="n">
        <f aca="false">Tabla2[[#This Row],[Rentabilidad (%)]]/12</f>
        <v>-0.0227374944193882</v>
      </c>
    </row>
    <row r="2189" customFormat="false" ht="14.25" hidden="false" customHeight="false" outlineLevel="0" collapsed="false">
      <c r="A2189" s="1" t="n">
        <v>42064</v>
      </c>
      <c r="B2189" s="2" t="s">
        <v>22</v>
      </c>
      <c r="C2189" s="3" t="n">
        <v>5382</v>
      </c>
      <c r="D2189" s="8" t="s">
        <v>17</v>
      </c>
      <c r="E2189" s="3" t="n">
        <f aca="false">IF(Tabla2[[#This Row],[Frecuencia]]="Annual", Tabla2[[#This Row],[Cosecha/Tarea]]/12,Tabla2[[#This Row],[Cosecha/Tarea]])</f>
        <v>5382</v>
      </c>
      <c r="F2189" s="3" t="n">
        <v>52834</v>
      </c>
      <c r="G2189" s="2" t="s">
        <v>18</v>
      </c>
      <c r="H2189" s="2" t="n">
        <f aca="false">F2189/Tabla2[[#This Row],[Cosecha Mensual]]</f>
        <v>9.81679672984021</v>
      </c>
      <c r="I2189" s="2" t="n">
        <f aca="false">H2189*_xlfn.XLOOKUP(Tabla2[[#This Row],[Unidad de producción]],Tabla3[Medida],Tabla3[Equivalencia en Kg],"ELVIS",0)</f>
        <v>445.289899665552</v>
      </c>
      <c r="J2189" s="2" t="n">
        <v>937.583333333333</v>
      </c>
      <c r="K2189" s="2" t="s">
        <v>18</v>
      </c>
      <c r="L2189" s="2" t="n">
        <f aca="false">J2189/_xlfn.XLOOKUP(Tabla2[[#This Row],[Unidad de precio]],Tabla3[Medida],Tabla3[Equivalencia en Kg],"ELVIS",0)</f>
        <v>20.6698265726043</v>
      </c>
      <c r="M2189" s="2" t="n">
        <v>9360.09200898452</v>
      </c>
      <c r="N2189" s="3" t="n">
        <f aca="false">(Tabla2[[#This Row],[Productividad (kg/TAS)]]*Tabla2[[#This Row],[Precio por kg]]-Tabla2[[#This Row],[Costos (En RD$/Tarea)]])</f>
        <v>-156.027008365176</v>
      </c>
      <c r="O2189" s="9" t="n">
        <f aca="false">IF(Tabla2[[#This Row],[Costos (En RD$/Tarea)]]=0,0,Tabla2[[#This Row],[Beneficio Neto  (En RD$/Tarea)]]/Tabla2[[#This Row],[Costos (En RD$/Tarea)]])</f>
        <v>-0.0166693883153509</v>
      </c>
      <c r="P2189" s="7" t="n">
        <f aca="false">Tabla2[[#This Row],[Rentabilidad (%)]]/12</f>
        <v>-0.00138911569294591</v>
      </c>
    </row>
    <row r="2190" customFormat="false" ht="14.25" hidden="false" customHeight="false" outlineLevel="0" collapsed="false">
      <c r="A2190" s="1" t="n">
        <v>42064</v>
      </c>
      <c r="B2190" s="2" t="s">
        <v>23</v>
      </c>
      <c r="C2190" s="3" t="n">
        <v>3753</v>
      </c>
      <c r="D2190" s="8" t="s">
        <v>17</v>
      </c>
      <c r="E2190" s="3" t="n">
        <f aca="false">IF(Tabla2[[#This Row],[Frecuencia]]="Annual", Tabla2[[#This Row],[Cosecha/Tarea]]/12,Tabla2[[#This Row],[Cosecha/Tarea]])</f>
        <v>3753</v>
      </c>
      <c r="F2190" s="3" t="n">
        <v>135150</v>
      </c>
      <c r="G2190" s="2" t="s">
        <v>18</v>
      </c>
      <c r="H2190" s="2" t="n">
        <f aca="false">F2190/Tabla2[[#This Row],[Cosecha Mensual]]</f>
        <v>36.0111910471623</v>
      </c>
      <c r="I2190" s="2" t="n">
        <f aca="false">H2190*_xlfn.XLOOKUP(Tabla2[[#This Row],[Unidad de producción]],Tabla3[Medida],Tabla3[Equivalencia en Kg],"ELVIS",0)</f>
        <v>1633.46762589928</v>
      </c>
      <c r="J2190" s="2" t="n">
        <v>866.67</v>
      </c>
      <c r="K2190" s="2" t="s">
        <v>18</v>
      </c>
      <c r="L2190" s="2" t="n">
        <f aca="false">J2190/_xlfn.XLOOKUP(Tabla2[[#This Row],[Unidad de precio]],Tabla3[Medida],Tabla3[Equivalencia en Kg],"ELVIS",0)</f>
        <v>19.1064814814815</v>
      </c>
      <c r="M2190" s="2" t="n">
        <v>25505.1939374778</v>
      </c>
      <c r="N2190" s="3" t="n">
        <f aca="false">(Tabla2[[#This Row],[Productividad (kg/TAS)]]*Tabla2[[#This Row],[Precio por kg]]-Tabla2[[#This Row],[Costos (En RD$/Tarea)]])</f>
        <v>5704.62500736633</v>
      </c>
      <c r="O2190" s="9" t="n">
        <f aca="false">IF(Tabla2[[#This Row],[Costos (En RD$/Tarea)]]=0,0,Tabla2[[#This Row],[Beneficio Neto  (En RD$/Tarea)]]/Tabla2[[#This Row],[Costos (En RD$/Tarea)]])</f>
        <v>0.223665227614045</v>
      </c>
      <c r="P2190" s="7" t="n">
        <f aca="false">Tabla2[[#This Row],[Rentabilidad (%)]]/12</f>
        <v>0.0186387689678371</v>
      </c>
    </row>
    <row r="2191" customFormat="false" ht="14.25" hidden="false" customHeight="false" outlineLevel="0" collapsed="false">
      <c r="A2191" s="1" t="n">
        <v>42064</v>
      </c>
      <c r="B2191" s="2" t="s">
        <v>24</v>
      </c>
      <c r="C2191" s="3" t="n">
        <v>6585</v>
      </c>
      <c r="D2191" s="8" t="s">
        <v>17</v>
      </c>
      <c r="E2191" s="3" t="n">
        <f aca="false">IF(Tabla2[[#This Row],[Frecuencia]]="Annual", Tabla2[[#This Row],[Cosecha/Tarea]]/12,Tabla2[[#This Row],[Cosecha/Tarea]])</f>
        <v>6585</v>
      </c>
      <c r="F2191" s="3" t="n">
        <v>51933</v>
      </c>
      <c r="G2191" s="2" t="s">
        <v>18</v>
      </c>
      <c r="H2191" s="2" t="n">
        <f aca="false">F2191/Tabla2[[#This Row],[Cosecha Mensual]]</f>
        <v>7.88656036446469</v>
      </c>
      <c r="I2191" s="2" t="n">
        <f aca="false">H2191*_xlfn.XLOOKUP(Tabla2[[#This Row],[Unidad de producción]],Tabla3[Medida],Tabla3[Equivalencia en Kg],"ELVIS",0)</f>
        <v>357.734378132118</v>
      </c>
      <c r="J2191" s="2" t="n">
        <v>1525.78125</v>
      </c>
      <c r="K2191" s="2" t="s">
        <v>18</v>
      </c>
      <c r="L2191" s="2" t="n">
        <f aca="false">J2191/_xlfn.XLOOKUP(Tabla2[[#This Row],[Unidad de precio]],Tabla3[Medida],Tabla3[Equivalencia en Kg],"ELVIS",0)</f>
        <v>33.6371527777778</v>
      </c>
      <c r="M2191" s="2" t="n">
        <v>9240.56556420077</v>
      </c>
      <c r="N2191" s="3" t="n">
        <f aca="false">(Tabla2[[#This Row],[Productividad (kg/TAS)]]*Tabla2[[#This Row],[Precio por kg]]-Tabla2[[#This Row],[Costos (En RD$/Tarea)]])</f>
        <v>2792.60036689262</v>
      </c>
      <c r="O2191" s="9" t="n">
        <f aca="false">IF(Tabla2[[#This Row],[Costos (En RD$/Tarea)]]=0,0,Tabla2[[#This Row],[Beneficio Neto  (En RD$/Tarea)]]/Tabla2[[#This Row],[Costos (En RD$/Tarea)]])</f>
        <v>0.302210979132224</v>
      </c>
      <c r="P2191" s="7" t="n">
        <f aca="false">Tabla2[[#This Row],[Rentabilidad (%)]]/12</f>
        <v>0.0251842482610186</v>
      </c>
    </row>
    <row r="2192" customFormat="false" ht="14.25" hidden="false" customHeight="false" outlineLevel="0" collapsed="false">
      <c r="A2192" s="1" t="n">
        <v>42064</v>
      </c>
      <c r="B2192" s="2" t="s">
        <v>25</v>
      </c>
      <c r="C2192" s="3" t="n">
        <v>26021</v>
      </c>
      <c r="D2192" s="8" t="s">
        <v>17</v>
      </c>
      <c r="E2192" s="3" t="n">
        <f aca="false">IF(Tabla2[[#This Row],[Frecuencia]]="Annual", Tabla2[[#This Row],[Cosecha/Tarea]]/12,Tabla2[[#This Row],[Cosecha/Tarea]])</f>
        <v>26021</v>
      </c>
      <c r="F2192" s="3" t="n">
        <v>258967</v>
      </c>
      <c r="G2192" s="2" t="s">
        <v>18</v>
      </c>
      <c r="H2192" s="2" t="n">
        <f aca="false">F2192/Tabla2[[#This Row],[Cosecha Mensual]]</f>
        <v>9.95223089043465</v>
      </c>
      <c r="I2192" s="2" t="n">
        <f aca="false">H2192*_xlfn.XLOOKUP(Tabla2[[#This Row],[Unidad de producción]],Tabla3[Medida],Tabla3[Equivalencia en Kg],"ELVIS",0)</f>
        <v>451.433193190116</v>
      </c>
      <c r="J2192" s="2" t="n">
        <v>486.5</v>
      </c>
      <c r="K2192" s="2" t="s">
        <v>18</v>
      </c>
      <c r="L2192" s="2" t="n">
        <f aca="false">J2192/_xlfn.XLOOKUP(Tabla2[[#This Row],[Unidad de precio]],Tabla3[Medida],Tabla3[Equivalencia en Kg],"ELVIS",0)</f>
        <v>10.7253086419753</v>
      </c>
      <c r="M2192" s="2" t="n">
        <v>5033.45303788251</v>
      </c>
      <c r="N2192" s="3" t="n">
        <f aca="false">(Tabla2[[#This Row],[Productividad (kg/TAS)]]*Tabla2[[#This Row],[Precio por kg]]-Tabla2[[#This Row],[Costos (En RD$/Tarea)]])</f>
        <v>-191.692709686054</v>
      </c>
      <c r="O2192" s="9" t="n">
        <f aca="false">IF(Tabla2[[#This Row],[Costos (En RD$/Tarea)]]=0,0,Tabla2[[#This Row],[Beneficio Neto  (En RD$/Tarea)]]/Tabla2[[#This Row],[Costos (En RD$/Tarea)]])</f>
        <v>-0.0380837385872772</v>
      </c>
      <c r="P2192" s="7" t="n">
        <f aca="false">Tabla2[[#This Row],[Rentabilidad (%)]]/12</f>
        <v>-0.0031736448822731</v>
      </c>
    </row>
    <row r="2193" customFormat="false" ht="14.25" hidden="false" customHeight="false" outlineLevel="0" collapsed="false">
      <c r="A2193" s="1" t="n">
        <v>42064</v>
      </c>
      <c r="B2193" s="2" t="s">
        <v>26</v>
      </c>
      <c r="C2193" s="3" t="n">
        <v>12901</v>
      </c>
      <c r="D2193" s="8" t="s">
        <v>17</v>
      </c>
      <c r="E2193" s="3" t="n">
        <f aca="false">IF(Tabla2[[#This Row],[Frecuencia]]="Annual", Tabla2[[#This Row],[Cosecha/Tarea]]/12,Tabla2[[#This Row],[Cosecha/Tarea]])</f>
        <v>12901</v>
      </c>
      <c r="F2193" s="3" t="n">
        <v>58980</v>
      </c>
      <c r="G2193" s="2" t="s">
        <v>18</v>
      </c>
      <c r="H2193" s="2" t="n">
        <f aca="false">F2193/Tabla2[[#This Row],[Cosecha Mensual]]</f>
        <v>4.5717386249128</v>
      </c>
      <c r="I2193" s="2" t="n">
        <f aca="false">H2193*_xlfn.XLOOKUP(Tabla2[[#This Row],[Unidad de producción]],Tabla3[Medida],Tabla3[Equivalencia en Kg],"ELVIS",0)</f>
        <v>207.374064026045</v>
      </c>
      <c r="J2193" s="2" t="n">
        <v>770.416666666667</v>
      </c>
      <c r="K2193" s="2" t="s">
        <v>18</v>
      </c>
      <c r="L2193" s="2" t="n">
        <f aca="false">J2193/_xlfn.XLOOKUP(Tabla2[[#This Row],[Unidad de precio]],Tabla3[Medida],Tabla3[Equivalencia en Kg],"ELVIS",0)</f>
        <v>16.98449441505</v>
      </c>
      <c r="M2193" s="2" t="n">
        <v>2123.36088960426</v>
      </c>
      <c r="N2193" s="3" t="n">
        <f aca="false">(Tabla2[[#This Row],[Productividad (kg/TAS)]]*Tabla2[[#This Row],[Precio por kg]]-Tabla2[[#This Row],[Costos (En RD$/Tarea)]])</f>
        <v>1398.78274267231</v>
      </c>
      <c r="O2193" s="9" t="n">
        <f aca="false">IF(Tabla2[[#This Row],[Costos (En RD$/Tarea)]]=0,0,Tabla2[[#This Row],[Beneficio Neto  (En RD$/Tarea)]]/Tabla2[[#This Row],[Costos (En RD$/Tarea)]])</f>
        <v>0.65875883347037</v>
      </c>
      <c r="P2193" s="7" t="n">
        <f aca="false">Tabla2[[#This Row],[Rentabilidad (%)]]/12</f>
        <v>0.0548965694558641</v>
      </c>
    </row>
    <row r="2194" customFormat="false" ht="14.25" hidden="false" customHeight="false" outlineLevel="0" collapsed="false">
      <c r="A2194" s="1" t="n">
        <v>42064</v>
      </c>
      <c r="B2194" s="2" t="s">
        <v>27</v>
      </c>
      <c r="C2194" s="3" t="n">
        <v>5028</v>
      </c>
      <c r="D2194" s="8" t="s">
        <v>17</v>
      </c>
      <c r="E2194" s="3" t="n">
        <f aca="false">IF(Tabla2[[#This Row],[Frecuencia]]="Annual", Tabla2[[#This Row],[Cosecha/Tarea]]/12,Tabla2[[#This Row],[Cosecha/Tarea]])</f>
        <v>5028</v>
      </c>
      <c r="F2194" s="3" t="n">
        <v>47662</v>
      </c>
      <c r="G2194" s="2" t="s">
        <v>18</v>
      </c>
      <c r="H2194" s="2" t="n">
        <f aca="false">F2194/Tabla2[[#This Row],[Cosecha Mensual]]</f>
        <v>9.47931583134447</v>
      </c>
      <c r="I2194" s="2" t="n">
        <f aca="false">H2194*_xlfn.XLOOKUP(Tabla2[[#This Row],[Unidad de producción]],Tabla3[Medida],Tabla3[Equivalencia en Kg],"ELVIS",0)</f>
        <v>429.981766109785</v>
      </c>
      <c r="J2194" s="2" t="n">
        <v>655.555</v>
      </c>
      <c r="K2194" s="2" t="s">
        <v>18</v>
      </c>
      <c r="L2194" s="2" t="n">
        <f aca="false">J2194/_xlfn.XLOOKUP(Tabla2[[#This Row],[Unidad de precio]],Tabla3[Medida],Tabla3[Equivalencia en Kg],"ELVIS",0)</f>
        <v>14.4522707231041</v>
      </c>
      <c r="M2194" s="2" t="n">
        <v>8682.692545606</v>
      </c>
      <c r="N2194" s="3" t="n">
        <f aca="false">(Tabla2[[#This Row],[Productividad (kg/TAS)]]*Tabla2[[#This Row],[Precio por kg]]-Tabla2[[#This Row],[Costos (En RD$/Tarea)]])</f>
        <v>-2468.47965578898</v>
      </c>
      <c r="O2194" s="9" t="n">
        <f aca="false">IF(Tabla2[[#This Row],[Costos (En RD$/Tarea)]]=0,0,Tabla2[[#This Row],[Beneficio Neto  (En RD$/Tarea)]]/Tabla2[[#This Row],[Costos (En RD$/Tarea)]])</f>
        <v>-0.284298867295282</v>
      </c>
      <c r="P2194" s="7" t="n">
        <f aca="false">Tabla2[[#This Row],[Rentabilidad (%)]]/12</f>
        <v>-0.0236915722746069</v>
      </c>
    </row>
    <row r="2195" customFormat="false" ht="14.25" hidden="false" customHeight="false" outlineLevel="0" collapsed="false">
      <c r="A2195" s="1" t="n">
        <v>42064</v>
      </c>
      <c r="B2195" s="2" t="s">
        <v>28</v>
      </c>
      <c r="C2195" s="3" t="n">
        <v>73815</v>
      </c>
      <c r="D2195" s="8" t="s">
        <v>17</v>
      </c>
      <c r="E2195" s="3" t="n">
        <f aca="false">IF(Tabla2[[#This Row],[Frecuencia]]="Annual", Tabla2[[#This Row],[Cosecha/Tarea]]/12,Tabla2[[#This Row],[Cosecha/Tarea]])</f>
        <v>73815</v>
      </c>
      <c r="F2195" s="3" t="n">
        <v>1100234</v>
      </c>
      <c r="G2195" s="2" t="s">
        <v>18</v>
      </c>
      <c r="H2195" s="2" t="n">
        <f aca="false">F2195/Tabla2[[#This Row],[Cosecha Mensual]]</f>
        <v>14.9052902526587</v>
      </c>
      <c r="I2195" s="2" t="n">
        <f aca="false">H2195*_xlfn.XLOOKUP(Tabla2[[#This Row],[Unidad de producción]],Tabla3[Medida],Tabla3[Equivalencia en Kg],"ELVIS",0)</f>
        <v>676.103965860597</v>
      </c>
      <c r="J2195" s="2" t="n">
        <v>11839.85</v>
      </c>
      <c r="K2195" s="2" t="s">
        <v>29</v>
      </c>
      <c r="L2195" s="2" t="n">
        <f aca="false">J2195/_xlfn.XLOOKUP(Tabla2[[#This Row],[Unidad de precio]],Tabla3[Medida],Tabla3[Equivalencia en Kg],"ELVIS",0)</f>
        <v>21.0546110893765</v>
      </c>
      <c r="M2195" s="2" t="n">
        <v>7427.37867438309</v>
      </c>
      <c r="N2195" s="3" t="n">
        <f aca="false">(Tabla2[[#This Row],[Productividad (kg/TAS)]]*Tabla2[[#This Row],[Precio por kg]]-Tabla2[[#This Row],[Costos (En RD$/Tarea)]])</f>
        <v>6807.7273827969</v>
      </c>
      <c r="O2195" s="9" t="n">
        <f aca="false">IF(Tabla2[[#This Row],[Costos (En RD$/Tarea)]]=0,0,Tabla2[[#This Row],[Beneficio Neto  (En RD$/Tarea)]]/Tabla2[[#This Row],[Costos (En RD$/Tarea)]])</f>
        <v>0.916572007601638</v>
      </c>
      <c r="P2195" s="7" t="n">
        <f aca="false">Tabla2[[#This Row],[Rentabilidad (%)]]/12</f>
        <v>0.0763810006334698</v>
      </c>
    </row>
    <row r="2196" customFormat="false" ht="14.25" hidden="false" customHeight="false" outlineLevel="0" collapsed="false">
      <c r="A2196" s="1" t="n">
        <v>42064</v>
      </c>
      <c r="B2196" s="2" t="s">
        <v>30</v>
      </c>
      <c r="C2196" s="3" t="n">
        <v>451021</v>
      </c>
      <c r="D2196" s="3" t="s">
        <v>31</v>
      </c>
      <c r="E2196" s="3" t="n">
        <f aca="false">IF(Tabla2[[#This Row],[Frecuencia]]="Annual", Tabla2[[#This Row],[Cosecha/Tarea]]/12,Tabla2[[#This Row],[Cosecha/Tarea]])</f>
        <v>37585.0833333333</v>
      </c>
      <c r="F2196" s="3" t="n">
        <v>2003620</v>
      </c>
      <c r="G2196" s="2" t="s">
        <v>18</v>
      </c>
      <c r="H2196" s="2" t="n">
        <f aca="false">F2196/Tabla2[[#This Row],[Cosecha Mensual]]</f>
        <v>53.3089146625102</v>
      </c>
      <c r="I2196" s="2" t="n">
        <f aca="false">H2196*_xlfn.XLOOKUP(Tabla2[[#This Row],[Unidad de producción]],Tabla3[Medida],Tabla3[Equivalencia en Kg],"ELVIS",0)</f>
        <v>2418.09236909146</v>
      </c>
      <c r="J2196" s="2" t="n">
        <v>177.742857142857</v>
      </c>
      <c r="K2196" s="2" t="s">
        <v>32</v>
      </c>
      <c r="L2196" s="2" t="n">
        <f aca="false">J2196/_xlfn.XLOOKUP(Tabla2[[#This Row],[Unidad de precio]],Tabla3[Medida],Tabla3[Equivalencia en Kg],"ELVIS",0)</f>
        <v>6.5322622985247</v>
      </c>
      <c r="M2196" s="3" t="n">
        <v>22429.7248632058</v>
      </c>
      <c r="N2196" s="3" t="n">
        <f aca="false">(Tabla2[[#This Row],[Productividad (kg/TAS)]]*Tabla2[[#This Row],[Precio por kg]]-Tabla2[[#This Row],[Costos (En RD$/Tarea)]])</f>
        <v>-6634.11124623939</v>
      </c>
      <c r="O2196" s="9" t="n">
        <f aca="false">IF(Tabla2[[#This Row],[Costos (En RD$/Tarea)]]=0,0,Tabla2[[#This Row],[Beneficio Neto  (En RD$/Tarea)]]/Tabla2[[#This Row],[Costos (En RD$/Tarea)]])</f>
        <v>-0.295773188779597</v>
      </c>
      <c r="P2196" s="7" t="n">
        <f aca="false">Tabla2[[#This Row],[Rentabilidad (%)]]/12</f>
        <v>-0.0246477657316331</v>
      </c>
    </row>
    <row r="2197" customFormat="false" ht="14.25" hidden="false" customHeight="false" outlineLevel="0" collapsed="false">
      <c r="A2197" s="1" t="n">
        <v>42064</v>
      </c>
      <c r="B2197" s="2" t="s">
        <v>33</v>
      </c>
      <c r="C2197" s="3" t="n">
        <v>712001</v>
      </c>
      <c r="D2197" s="3" t="s">
        <v>31</v>
      </c>
      <c r="E2197" s="3" t="n">
        <f aca="false">IF(Tabla2[[#This Row],[Frecuencia]]="Annual", Tabla2[[#This Row],[Cosecha/Tarea]]/12,Tabla2[[#This Row],[Cosecha/Tarea]])</f>
        <v>59333.4166666667</v>
      </c>
      <c r="F2197" s="3" t="n">
        <v>1354255</v>
      </c>
      <c r="G2197" s="2" t="s">
        <v>18</v>
      </c>
      <c r="H2197" s="2" t="n">
        <f aca="false">F2197/Tabla2[[#This Row],[Cosecha Mensual]]</f>
        <v>22.8244904150416</v>
      </c>
      <c r="I2197" s="2" t="n">
        <f aca="false">H2197*_xlfn.XLOOKUP(Tabla2[[#This Row],[Unidad de producción]],Tabla3[Medida],Tabla3[Equivalencia en Kg],"ELVIS",0)</f>
        <v>1035.31888522628</v>
      </c>
      <c r="J2197" s="2" t="n">
        <v>6151.54125</v>
      </c>
      <c r="K2197" s="2" t="s">
        <v>34</v>
      </c>
      <c r="L2197" s="2" t="n">
        <f aca="false">J2197/_xlfn.XLOOKUP(Tabla2[[#This Row],[Unidad de precio]],Tabla3[Medida],Tabla3[Equivalencia en Kg],"ELVIS",0)</f>
        <v>15.0717658948916</v>
      </c>
      <c r="M2197" s="3" t="n">
        <v>16317.7474581161</v>
      </c>
      <c r="N2197" s="3" t="n">
        <f aca="false">(Tabla2[[#This Row],[Productividad (kg/TAS)]]*Tabla2[[#This Row],[Precio por kg]]-Tabla2[[#This Row],[Costos (En RD$/Tarea)]])</f>
        <v>-713.663593425406</v>
      </c>
      <c r="O2197" s="9" t="n">
        <f aca="false">IF(Tabla2[[#This Row],[Costos (En RD$/Tarea)]]=0,0,Tabla2[[#This Row],[Beneficio Neto  (En RD$/Tarea)]]/Tabla2[[#This Row],[Costos (En RD$/Tarea)]])</f>
        <v>-0.0437354233638691</v>
      </c>
      <c r="P2197" s="7" t="n">
        <f aca="false">Tabla2[[#This Row],[Rentabilidad (%)]]/12</f>
        <v>-0.00364461861365576</v>
      </c>
    </row>
    <row r="2198" customFormat="false" ht="14.25" hidden="false" customHeight="false" outlineLevel="0" collapsed="false">
      <c r="A2198" s="1" t="n">
        <v>42095</v>
      </c>
      <c r="B2198" s="2" t="s">
        <v>16</v>
      </c>
      <c r="C2198" s="3" t="n">
        <v>407643</v>
      </c>
      <c r="D2198" s="8" t="s">
        <v>17</v>
      </c>
      <c r="E2198" s="3" t="n">
        <f aca="false">IF(Tabla2[[#This Row],[Frecuencia]]="Annual", Tabla2[[#This Row],[Cosecha/Tarea]]/12,Tabla2[[#This Row],[Cosecha/Tarea]])</f>
        <v>407643</v>
      </c>
      <c r="F2198" s="3" t="n">
        <v>2006735</v>
      </c>
      <c r="G2198" s="2" t="s">
        <v>18</v>
      </c>
      <c r="H2198" s="2" t="n">
        <f aca="false">F2198/Tabla2[[#This Row],[Cosecha Mensual]]</f>
        <v>4.92277556587504</v>
      </c>
      <c r="I2198" s="2" t="n">
        <f aca="false">H2198*_xlfn.XLOOKUP(Tabla2[[#This Row],[Unidad de producción]],Tabla3[Medida],Tabla3[Equivalencia en Kg],"ELVIS",0)</f>
        <v>223.297099668092</v>
      </c>
      <c r="J2198" s="2" t="n">
        <v>1769.55545491143</v>
      </c>
      <c r="K2198" s="2" t="s">
        <v>19</v>
      </c>
      <c r="L2198" s="2" t="n">
        <f aca="false">J2198/_xlfn.XLOOKUP(Tabla2[[#This Row],[Unidad de precio]],Tabla3[Medida],Tabla3[Equivalencia en Kg],"ELVIS",0)</f>
        <v>16.0868677719221</v>
      </c>
      <c r="M2198" s="2" t="n">
        <v>7019.06666466125</v>
      </c>
      <c r="N2198" s="3" t="n">
        <f aca="false">(Tabla2[[#This Row],[Productividad (kg/TAS)]]*Tabla2[[#This Row],[Precio por kg]]-Tabla2[[#This Row],[Costos (En RD$/Tarea)]])</f>
        <v>-3426.91574844695</v>
      </c>
      <c r="O2198" s="9" t="n">
        <f aca="false">IF(Tabla2[[#This Row],[Costos (En RD$/Tarea)]]=0,0,Tabla2[[#This Row],[Beneficio Neto  (En RD$/Tarea)]]/Tabla2[[#This Row],[Costos (En RD$/Tarea)]])</f>
        <v>-0.488229548481192</v>
      </c>
      <c r="P2198" s="7" t="n">
        <f aca="false">Tabla2[[#This Row],[Rentabilidad (%)]]/12</f>
        <v>-0.040685795706766</v>
      </c>
    </row>
    <row r="2199" customFormat="false" ht="14.25" hidden="false" customHeight="false" outlineLevel="0" collapsed="false">
      <c r="A2199" s="1" t="n">
        <v>42095</v>
      </c>
      <c r="B2199" s="2" t="s">
        <v>20</v>
      </c>
      <c r="C2199" s="3" t="n">
        <v>25104</v>
      </c>
      <c r="D2199" s="8" t="s">
        <v>17</v>
      </c>
      <c r="E2199" s="3" t="n">
        <f aca="false">IF(Tabla2[[#This Row],[Frecuencia]]="Annual", Tabla2[[#This Row],[Cosecha/Tarea]]/12,Tabla2[[#This Row],[Cosecha/Tarea]])</f>
        <v>25104</v>
      </c>
      <c r="F2199" s="3" t="n">
        <v>58201</v>
      </c>
      <c r="G2199" s="2" t="s">
        <v>18</v>
      </c>
      <c r="H2199" s="2" t="n">
        <f aca="false">F2199/Tabla2[[#This Row],[Cosecha Mensual]]</f>
        <v>2.31839547482473</v>
      </c>
      <c r="I2199" s="2" t="n">
        <f aca="false">H2199*_xlfn.XLOOKUP(Tabla2[[#This Row],[Unidad de producción]],Tabla3[Medida],Tabla3[Equivalencia en Kg],"ELVIS",0)</f>
        <v>105.16241873805</v>
      </c>
      <c r="J2199" s="2" t="n">
        <v>799.528333333333</v>
      </c>
      <c r="K2199" s="2" t="s">
        <v>18</v>
      </c>
      <c r="L2199" s="2" t="n">
        <f aca="false">J2199/_xlfn.XLOOKUP(Tabla2[[#This Row],[Unidad de precio]],Tabla3[Medida],Tabla3[Equivalencia en Kg],"ELVIS",0)</f>
        <v>17.6262860082304</v>
      </c>
      <c r="M2199" s="2" t="n">
        <v>2574.584905776</v>
      </c>
      <c r="N2199" s="3" t="n">
        <f aca="false">(Tabla2[[#This Row],[Productividad (kg/TAS)]]*Tabla2[[#This Row],[Precio por kg]]-Tabla2[[#This Row],[Costos (En RD$/Tarea)]])</f>
        <v>-720.962035781844</v>
      </c>
      <c r="O2199" s="9" t="n">
        <f aca="false">IF(Tabla2[[#This Row],[Costos (En RD$/Tarea)]]=0,0,Tabla2[[#This Row],[Beneficio Neto  (En RD$/Tarea)]]/Tabla2[[#This Row],[Costos (En RD$/Tarea)]])</f>
        <v>-0.28003039797382</v>
      </c>
      <c r="P2199" s="7" t="n">
        <f aca="false">Tabla2[[#This Row],[Rentabilidad (%)]]/12</f>
        <v>-0.0233358664978183</v>
      </c>
    </row>
    <row r="2200" customFormat="false" ht="14.25" hidden="false" customHeight="false" outlineLevel="0" collapsed="false">
      <c r="A2200" s="1" t="n">
        <v>42095</v>
      </c>
      <c r="B2200" s="2" t="s">
        <v>21</v>
      </c>
      <c r="C2200" s="3" t="n">
        <v>8750</v>
      </c>
      <c r="D2200" s="8" t="s">
        <v>17</v>
      </c>
      <c r="E2200" s="3" t="n">
        <f aca="false">IF(Tabla2[[#This Row],[Frecuencia]]="Annual", Tabla2[[#This Row],[Cosecha/Tarea]]/12,Tabla2[[#This Row],[Cosecha/Tarea]])</f>
        <v>8750</v>
      </c>
      <c r="F2200" s="3" t="n">
        <v>112044</v>
      </c>
      <c r="G2200" s="2" t="s">
        <v>18</v>
      </c>
      <c r="H2200" s="2" t="n">
        <f aca="false">F2200/Tabla2[[#This Row],[Cosecha Mensual]]</f>
        <v>12.8050285714286</v>
      </c>
      <c r="I2200" s="2" t="n">
        <f aca="false">H2200*_xlfn.XLOOKUP(Tabla2[[#This Row],[Unidad de producción]],Tabla3[Medida],Tabla3[Equivalencia en Kg],"ELVIS",0)</f>
        <v>580.836096</v>
      </c>
      <c r="J2200" s="2" t="n">
        <v>279.883722222222</v>
      </c>
      <c r="K2200" s="2" t="s">
        <v>18</v>
      </c>
      <c r="L2200" s="2" t="n">
        <f aca="false">J2200/_xlfn.XLOOKUP(Tabla2[[#This Row],[Unidad de precio]],Tabla3[Medida],Tabla3[Equivalencia en Kg],"ELVIS",0)</f>
        <v>6.17027606310013</v>
      </c>
      <c r="M2200" s="2" t="n">
        <v>5153.88882833038</v>
      </c>
      <c r="N2200" s="3" t="n">
        <f aca="false">(Tabla2[[#This Row],[Productividad (kg/TAS)]]*Tabla2[[#This Row],[Precio por kg]]-Tabla2[[#This Row],[Costos (En RD$/Tarea)]])</f>
        <v>-1569.96976859705</v>
      </c>
      <c r="O2200" s="9" t="n">
        <f aca="false">IF(Tabla2[[#This Row],[Costos (En RD$/Tarea)]]=0,0,Tabla2[[#This Row],[Beneficio Neto  (En RD$/Tarea)]]/Tabla2[[#This Row],[Costos (En RD$/Tarea)]])</f>
        <v>-0.304618477598332</v>
      </c>
      <c r="P2200" s="7" t="n">
        <f aca="false">Tabla2[[#This Row],[Rentabilidad (%)]]/12</f>
        <v>-0.0253848731331943</v>
      </c>
    </row>
    <row r="2201" customFormat="false" ht="14.25" hidden="false" customHeight="false" outlineLevel="0" collapsed="false">
      <c r="A2201" s="1" t="n">
        <v>42095</v>
      </c>
      <c r="B2201" s="2" t="s">
        <v>22</v>
      </c>
      <c r="C2201" s="3" t="n">
        <v>9521</v>
      </c>
      <c r="D2201" s="8" t="s">
        <v>17</v>
      </c>
      <c r="E2201" s="3" t="n">
        <f aca="false">IF(Tabla2[[#This Row],[Frecuencia]]="Annual", Tabla2[[#This Row],[Cosecha/Tarea]]/12,Tabla2[[#This Row],[Cosecha/Tarea]])</f>
        <v>9521</v>
      </c>
      <c r="F2201" s="3" t="n">
        <v>91874</v>
      </c>
      <c r="G2201" s="2" t="s">
        <v>18</v>
      </c>
      <c r="H2201" s="2" t="n">
        <f aca="false">F2201/Tabla2[[#This Row],[Cosecha Mensual]]</f>
        <v>9.64961663690789</v>
      </c>
      <c r="I2201" s="2" t="n">
        <f aca="false">H2201*_xlfn.XLOOKUP(Tabla2[[#This Row],[Unidad de producción]],Tabla3[Medida],Tabla3[Equivalencia en Kg],"ELVIS",0)</f>
        <v>437.706610650142</v>
      </c>
      <c r="J2201" s="2" t="n">
        <v>1164.43047619048</v>
      </c>
      <c r="K2201" s="2" t="s">
        <v>18</v>
      </c>
      <c r="L2201" s="2" t="n">
        <f aca="false">J2201/_xlfn.XLOOKUP(Tabla2[[#This Row],[Unidad de precio]],Tabla3[Medida],Tabla3[Equivalencia en Kg],"ELVIS",0)</f>
        <v>25.6708658772152</v>
      </c>
      <c r="M2201" s="2" t="n">
        <v>9360.09200898452</v>
      </c>
      <c r="N2201" s="3" t="n">
        <f aca="false">(Tabla2[[#This Row],[Productividad (kg/TAS)]]*Tabla2[[#This Row],[Precio por kg]]-Tabla2[[#This Row],[Costos (En RD$/Tarea)]])</f>
        <v>1876.21568658571</v>
      </c>
      <c r="O2201" s="9" t="n">
        <f aca="false">IF(Tabla2[[#This Row],[Costos (En RD$/Tarea)]]=0,0,Tabla2[[#This Row],[Beneficio Neto  (En RD$/Tarea)]]/Tabla2[[#This Row],[Costos (En RD$/Tarea)]])</f>
        <v>0.20044842345404</v>
      </c>
      <c r="P2201" s="7" t="n">
        <f aca="false">Tabla2[[#This Row],[Rentabilidad (%)]]/12</f>
        <v>0.0167040352878367</v>
      </c>
    </row>
    <row r="2202" customFormat="false" ht="14.25" hidden="false" customHeight="false" outlineLevel="0" collapsed="false">
      <c r="A2202" s="1" t="n">
        <v>42095</v>
      </c>
      <c r="B2202" s="2" t="s">
        <v>23</v>
      </c>
      <c r="C2202" s="3" t="n">
        <v>3102</v>
      </c>
      <c r="D2202" s="8" t="s">
        <v>17</v>
      </c>
      <c r="E2202" s="3" t="n">
        <f aca="false">IF(Tabla2[[#This Row],[Frecuencia]]="Annual", Tabla2[[#This Row],[Cosecha/Tarea]]/12,Tabla2[[#This Row],[Cosecha/Tarea]])</f>
        <v>3102</v>
      </c>
      <c r="F2202" s="3" t="n">
        <v>118969</v>
      </c>
      <c r="G2202" s="2" t="s">
        <v>18</v>
      </c>
      <c r="H2202" s="2" t="n">
        <f aca="false">F2202/Tabla2[[#This Row],[Cosecha Mensual]]</f>
        <v>38.3523533204384</v>
      </c>
      <c r="I2202" s="2" t="n">
        <f aca="false">H2202*_xlfn.XLOOKUP(Tabla2[[#This Row],[Unidad de producción]],Tabla3[Medida],Tabla3[Equivalencia en Kg],"ELVIS",0)</f>
        <v>1739.66274661509</v>
      </c>
      <c r="J2202" s="2" t="n">
        <v>931.25</v>
      </c>
      <c r="K2202" s="2" t="s">
        <v>18</v>
      </c>
      <c r="L2202" s="2" t="n">
        <f aca="false">J2202/_xlfn.XLOOKUP(Tabla2[[#This Row],[Unidad de precio]],Tabla3[Medida],Tabla3[Equivalencia en Kg],"ELVIS",0)</f>
        <v>20.5302028218695</v>
      </c>
      <c r="M2202" s="2" t="n">
        <v>25505.1939374778</v>
      </c>
      <c r="N2202" s="3" t="n">
        <f aca="false">(Tabla2[[#This Row],[Productividad (kg/TAS)]]*Tabla2[[#This Row],[Precio por kg]]-Tabla2[[#This Row],[Costos (En RD$/Tarea)]])</f>
        <v>10210.4350921805</v>
      </c>
      <c r="O2202" s="9" t="n">
        <f aca="false">IF(Tabla2[[#This Row],[Costos (En RD$/Tarea)]]=0,0,Tabla2[[#This Row],[Beneficio Neto  (En RD$/Tarea)]]/Tabla2[[#This Row],[Costos (En RD$/Tarea)]])</f>
        <v>0.400327679029214</v>
      </c>
      <c r="P2202" s="7" t="n">
        <f aca="false">Tabla2[[#This Row],[Rentabilidad (%)]]/12</f>
        <v>0.0333606399191012</v>
      </c>
    </row>
    <row r="2203" customFormat="false" ht="14.25" hidden="false" customHeight="false" outlineLevel="0" collapsed="false">
      <c r="A2203" s="1" t="n">
        <v>42095</v>
      </c>
      <c r="B2203" s="2" t="s">
        <v>24</v>
      </c>
      <c r="C2203" s="3" t="n">
        <v>7201</v>
      </c>
      <c r="D2203" s="8" t="s">
        <v>17</v>
      </c>
      <c r="E2203" s="3" t="n">
        <f aca="false">IF(Tabla2[[#This Row],[Frecuencia]]="Annual", Tabla2[[#This Row],[Cosecha/Tarea]]/12,Tabla2[[#This Row],[Cosecha/Tarea]])</f>
        <v>7201</v>
      </c>
      <c r="F2203" s="3" t="n">
        <v>66201</v>
      </c>
      <c r="G2203" s="2" t="s">
        <v>18</v>
      </c>
      <c r="H2203" s="2" t="n">
        <f aca="false">F2203/Tabla2[[#This Row],[Cosecha Mensual]]</f>
        <v>9.19330648521039</v>
      </c>
      <c r="I2203" s="2" t="n">
        <f aca="false">H2203*_xlfn.XLOOKUP(Tabla2[[#This Row],[Unidad de producción]],Tabla3[Medida],Tabla3[Equivalencia en Kg],"ELVIS",0)</f>
        <v>417.008382169143</v>
      </c>
      <c r="J2203" s="2" t="n">
        <v>1517.67857142857</v>
      </c>
      <c r="K2203" s="2" t="s">
        <v>18</v>
      </c>
      <c r="L2203" s="2" t="n">
        <f aca="false">J2203/_xlfn.XLOOKUP(Tabla2[[#This Row],[Unidad de precio]],Tabla3[Medida],Tabla3[Equivalencia en Kg],"ELVIS",0)</f>
        <v>33.458522297808</v>
      </c>
      <c r="M2203" s="2" t="n">
        <v>9240.56556420077</v>
      </c>
      <c r="N2203" s="3" t="n">
        <f aca="false">(Tabla2[[#This Row],[Productividad (kg/TAS)]]*Tabla2[[#This Row],[Precio por kg]]-Tabla2[[#This Row],[Costos (En RD$/Tarea)]])</f>
        <v>4711.91868897834</v>
      </c>
      <c r="O2203" s="9" t="n">
        <f aca="false">IF(Tabla2[[#This Row],[Costos (En RD$/Tarea)]]=0,0,Tabla2[[#This Row],[Beneficio Neto  (En RD$/Tarea)]]/Tabla2[[#This Row],[Costos (En RD$/Tarea)]])</f>
        <v>0.509916698955415</v>
      </c>
      <c r="P2203" s="7" t="n">
        <f aca="false">Tabla2[[#This Row],[Rentabilidad (%)]]/12</f>
        <v>0.0424930582462846</v>
      </c>
    </row>
    <row r="2204" customFormat="false" ht="14.25" hidden="false" customHeight="false" outlineLevel="0" collapsed="false">
      <c r="A2204" s="1" t="n">
        <v>42095</v>
      </c>
      <c r="B2204" s="2" t="s">
        <v>25</v>
      </c>
      <c r="C2204" s="3" t="n">
        <v>26587</v>
      </c>
      <c r="D2204" s="8" t="s">
        <v>17</v>
      </c>
      <c r="E2204" s="3" t="n">
        <f aca="false">IF(Tabla2[[#This Row],[Frecuencia]]="Annual", Tabla2[[#This Row],[Cosecha/Tarea]]/12,Tabla2[[#This Row],[Cosecha/Tarea]])</f>
        <v>26587</v>
      </c>
      <c r="F2204" s="3" t="n">
        <v>258930</v>
      </c>
      <c r="G2204" s="2" t="s">
        <v>18</v>
      </c>
      <c r="H2204" s="2" t="n">
        <f aca="false">F2204/Tabla2[[#This Row],[Cosecha Mensual]]</f>
        <v>9.73897017339301</v>
      </c>
      <c r="I2204" s="2" t="n">
        <f aca="false">H2204*_xlfn.XLOOKUP(Tabla2[[#This Row],[Unidad de producción]],Tabla3[Medida],Tabla3[Equivalencia en Kg],"ELVIS",0)</f>
        <v>441.759687065107</v>
      </c>
      <c r="J2204" s="2" t="n">
        <v>535.2604</v>
      </c>
      <c r="K2204" s="2" t="s">
        <v>18</v>
      </c>
      <c r="L2204" s="2" t="n">
        <f aca="false">J2204/_xlfn.XLOOKUP(Tabla2[[#This Row],[Unidad de precio]],Tabla3[Medida],Tabla3[Equivalencia en Kg],"ELVIS",0)</f>
        <v>11.8002733686067</v>
      </c>
      <c r="M2204" s="2" t="n">
        <v>5033.45303788251</v>
      </c>
      <c r="N2204" s="3" t="n">
        <f aca="false">(Tabla2[[#This Row],[Productividad (kg/TAS)]]*Tabla2[[#This Row],[Precio por kg]]-Tabla2[[#This Row],[Costos (En RD$/Tarea)]])</f>
        <v>179.432032715902</v>
      </c>
      <c r="O2204" s="9" t="n">
        <f aca="false">IF(Tabla2[[#This Row],[Costos (En RD$/Tarea)]]=0,0,Tabla2[[#This Row],[Beneficio Neto  (En RD$/Tarea)]]/Tabla2[[#This Row],[Costos (En RD$/Tarea)]])</f>
        <v>0.0356479004304739</v>
      </c>
      <c r="P2204" s="7" t="n">
        <f aca="false">Tabla2[[#This Row],[Rentabilidad (%)]]/12</f>
        <v>0.00297065836920616</v>
      </c>
    </row>
    <row r="2205" customFormat="false" ht="14.25" hidden="false" customHeight="false" outlineLevel="0" collapsed="false">
      <c r="A2205" s="1" t="n">
        <v>42095</v>
      </c>
      <c r="B2205" s="2" t="s">
        <v>26</v>
      </c>
      <c r="C2205" s="3" t="n">
        <v>9703</v>
      </c>
      <c r="D2205" s="8" t="s">
        <v>17</v>
      </c>
      <c r="E2205" s="3" t="n">
        <f aca="false">IF(Tabla2[[#This Row],[Frecuencia]]="Annual", Tabla2[[#This Row],[Cosecha/Tarea]]/12,Tabla2[[#This Row],[Cosecha/Tarea]])</f>
        <v>9703</v>
      </c>
      <c r="F2205" s="3" t="n">
        <v>65042</v>
      </c>
      <c r="G2205" s="2" t="s">
        <v>18</v>
      </c>
      <c r="H2205" s="2" t="n">
        <f aca="false">F2205/Tabla2[[#This Row],[Cosecha Mensual]]</f>
        <v>6.70328764299701</v>
      </c>
      <c r="I2205" s="2" t="n">
        <f aca="false">H2205*_xlfn.XLOOKUP(Tabla2[[#This Row],[Unidad de producción]],Tabla3[Medida],Tabla3[Equivalencia en Kg],"ELVIS",0)</f>
        <v>304.061127486344</v>
      </c>
      <c r="J2205" s="2" t="n">
        <v>684.888333333333</v>
      </c>
      <c r="K2205" s="2" t="s">
        <v>18</v>
      </c>
      <c r="L2205" s="2" t="n">
        <f aca="false">J2205/_xlfn.XLOOKUP(Tabla2[[#This Row],[Unidad de precio]],Tabla3[Medida],Tabla3[Equivalencia en Kg],"ELVIS",0)</f>
        <v>15.0989491475603</v>
      </c>
      <c r="M2205" s="2" t="n">
        <v>2123.36088960426</v>
      </c>
      <c r="N2205" s="3" t="n">
        <f aca="false">(Tabla2[[#This Row],[Productividad (kg/TAS)]]*Tabla2[[#This Row],[Precio por kg]]-Tabla2[[#This Row],[Costos (En RD$/Tarea)]])</f>
        <v>2467.64261206189</v>
      </c>
      <c r="O2205" s="9" t="n">
        <f aca="false">IF(Tabla2[[#This Row],[Costos (En RD$/Tarea)]]=0,0,Tabla2[[#This Row],[Beneficio Neto  (En RD$/Tarea)]]/Tabla2[[#This Row],[Costos (En RD$/Tarea)]])</f>
        <v>1.16213999426249</v>
      </c>
      <c r="P2205" s="7" t="n">
        <f aca="false">Tabla2[[#This Row],[Rentabilidad (%)]]/12</f>
        <v>0.0968449995218741</v>
      </c>
    </row>
    <row r="2206" customFormat="false" ht="14.25" hidden="false" customHeight="false" outlineLevel="0" collapsed="false">
      <c r="A2206" s="1" t="n">
        <v>42095</v>
      </c>
      <c r="B2206" s="2" t="s">
        <v>27</v>
      </c>
      <c r="C2206" s="3" t="n">
        <v>5460</v>
      </c>
      <c r="D2206" s="8" t="s">
        <v>17</v>
      </c>
      <c r="E2206" s="3" t="n">
        <f aca="false">IF(Tabla2[[#This Row],[Frecuencia]]="Annual", Tabla2[[#This Row],[Cosecha/Tarea]]/12,Tabla2[[#This Row],[Cosecha/Tarea]])</f>
        <v>5460</v>
      </c>
      <c r="F2206" s="3" t="n">
        <v>53522</v>
      </c>
      <c r="G2206" s="2" t="s">
        <v>18</v>
      </c>
      <c r="H2206" s="2" t="n">
        <f aca="false">F2206/Tabla2[[#This Row],[Cosecha Mensual]]</f>
        <v>9.8025641025641</v>
      </c>
      <c r="I2206" s="2" t="n">
        <f aca="false">H2206*_xlfn.XLOOKUP(Tabla2[[#This Row],[Unidad de producción]],Tabla3[Medida],Tabla3[Equivalencia en Kg],"ELVIS",0)</f>
        <v>444.644307692308</v>
      </c>
      <c r="J2206" s="2" t="n">
        <v>579.638144285714</v>
      </c>
      <c r="K2206" s="2" t="s">
        <v>18</v>
      </c>
      <c r="L2206" s="2" t="n">
        <f aca="false">J2206/_xlfn.XLOOKUP(Tabla2[[#This Row],[Unidad de precio]],Tabla3[Medida],Tabla3[Equivalencia en Kg],"ELVIS",0)</f>
        <v>12.7786187011842</v>
      </c>
      <c r="M2206" s="2" t="n">
        <v>8682.692545606</v>
      </c>
      <c r="N2206" s="3" t="n">
        <f aca="false">(Tabla2[[#This Row],[Productividad (kg/TAS)]]*Tabla2[[#This Row],[Precio por kg]]-Tabla2[[#This Row],[Costos (En RD$/Tarea)]])</f>
        <v>-3000.75247995399</v>
      </c>
      <c r="O2206" s="9" t="n">
        <f aca="false">IF(Tabla2[[#This Row],[Costos (En RD$/Tarea)]]=0,0,Tabla2[[#This Row],[Beneficio Neto  (En RD$/Tarea)]]/Tabla2[[#This Row],[Costos (En RD$/Tarea)]])</f>
        <v>-0.345601605054248</v>
      </c>
      <c r="P2206" s="7" t="n">
        <f aca="false">Tabla2[[#This Row],[Rentabilidad (%)]]/12</f>
        <v>-0.0288001337545207</v>
      </c>
    </row>
    <row r="2207" customFormat="false" ht="14.25" hidden="false" customHeight="false" outlineLevel="0" collapsed="false">
      <c r="A2207" s="1" t="n">
        <v>42095</v>
      </c>
      <c r="B2207" s="2" t="s">
        <v>28</v>
      </c>
      <c r="C2207" s="3" t="n">
        <v>19211</v>
      </c>
      <c r="D2207" s="8" t="s">
        <v>17</v>
      </c>
      <c r="E2207" s="3" t="n">
        <f aca="false">IF(Tabla2[[#This Row],[Frecuencia]]="Annual", Tabla2[[#This Row],[Cosecha/Tarea]]/12,Tabla2[[#This Row],[Cosecha/Tarea]])</f>
        <v>19211</v>
      </c>
      <c r="F2207" s="3" t="n">
        <v>275890</v>
      </c>
      <c r="G2207" s="2" t="s">
        <v>18</v>
      </c>
      <c r="H2207" s="2" t="n">
        <f aca="false">F2207/Tabla2[[#This Row],[Cosecha Mensual]]</f>
        <v>14.3610431523606</v>
      </c>
      <c r="I2207" s="2" t="n">
        <f aca="false">H2207*_xlfn.XLOOKUP(Tabla2[[#This Row],[Unidad de producción]],Tabla3[Medida],Tabla3[Equivalencia en Kg],"ELVIS",0)</f>
        <v>651.416917391078</v>
      </c>
      <c r="J2207" s="2" t="n">
        <v>10063.065</v>
      </c>
      <c r="K2207" s="2" t="s">
        <v>29</v>
      </c>
      <c r="L2207" s="2" t="n">
        <f aca="false">J2207/_xlfn.XLOOKUP(Tabla2[[#This Row],[Unidad de precio]],Tabla3[Medida],Tabla3[Equivalencia en Kg],"ELVIS",0)</f>
        <v>17.8949834619625</v>
      </c>
      <c r="M2207" s="2" t="n">
        <v>7427.37867438309</v>
      </c>
      <c r="N2207" s="3" t="n">
        <f aca="false">(Tabla2[[#This Row],[Productividad (kg/TAS)]]*Tabla2[[#This Row],[Precio por kg]]-Tabla2[[#This Row],[Costos (En RD$/Tarea)]])</f>
        <v>4229.71628917285</v>
      </c>
      <c r="O2207" s="9" t="n">
        <f aca="false">IF(Tabla2[[#This Row],[Costos (En RD$/Tarea)]]=0,0,Tabla2[[#This Row],[Beneficio Neto  (En RD$/Tarea)]]/Tabla2[[#This Row],[Costos (En RD$/Tarea)]])</f>
        <v>0.569476321943982</v>
      </c>
      <c r="P2207" s="7" t="n">
        <f aca="false">Tabla2[[#This Row],[Rentabilidad (%)]]/12</f>
        <v>0.0474563601619985</v>
      </c>
    </row>
    <row r="2208" customFormat="false" ht="14.25" hidden="false" customHeight="false" outlineLevel="0" collapsed="false">
      <c r="A2208" s="1" t="n">
        <v>42095</v>
      </c>
      <c r="B2208" s="2" t="s">
        <v>30</v>
      </c>
      <c r="C2208" s="3" t="n">
        <v>442014</v>
      </c>
      <c r="D2208" s="3" t="s">
        <v>31</v>
      </c>
      <c r="E2208" s="3" t="n">
        <f aca="false">IF(Tabla2[[#This Row],[Frecuencia]]="Annual", Tabla2[[#This Row],[Cosecha/Tarea]]/12,Tabla2[[#This Row],[Cosecha/Tarea]])</f>
        <v>36834.5</v>
      </c>
      <c r="F2208" s="3" t="n">
        <v>2112084</v>
      </c>
      <c r="G2208" s="2" t="s">
        <v>18</v>
      </c>
      <c r="H2208" s="2" t="n">
        <f aca="false">F2208/Tabla2[[#This Row],[Cosecha Mensual]]</f>
        <v>57.3398308650857</v>
      </c>
      <c r="I2208" s="2" t="n">
        <f aca="false">H2208*_xlfn.XLOOKUP(Tabla2[[#This Row],[Unidad de producción]],Tabla3[Medida],Tabla3[Equivalencia en Kg],"ELVIS",0)</f>
        <v>2600.93472804029</v>
      </c>
      <c r="J2208" s="2" t="n">
        <v>158.338571428571</v>
      </c>
      <c r="K2208" s="2" t="s">
        <v>32</v>
      </c>
      <c r="L2208" s="2" t="n">
        <f aca="false">J2208/_xlfn.XLOOKUP(Tabla2[[#This Row],[Unidad de precio]],Tabla3[Medida],Tabla3[Equivalencia en Kg],"ELVIS",0)</f>
        <v>5.81913162177769</v>
      </c>
      <c r="M2208" s="3" t="n">
        <v>22429.7248632058</v>
      </c>
      <c r="N2208" s="3" t="n">
        <f aca="false">(Tabla2[[#This Row],[Productividad (kg/TAS)]]*Tabla2[[#This Row],[Precio por kg]]-Tabla2[[#This Row],[Costos (En RD$/Tarea)]])</f>
        <v>-7294.5433410868</v>
      </c>
      <c r="O2208" s="9" t="n">
        <f aca="false">IF(Tabla2[[#This Row],[Costos (En RD$/Tarea)]]=0,0,Tabla2[[#This Row],[Beneficio Neto  (En RD$/Tarea)]]/Tabla2[[#This Row],[Costos (En RD$/Tarea)]])</f>
        <v>-0.325217691504229</v>
      </c>
      <c r="P2208" s="7" t="n">
        <f aca="false">Tabla2[[#This Row],[Rentabilidad (%)]]/12</f>
        <v>-0.0271014742920191</v>
      </c>
    </row>
    <row r="2209" customFormat="false" ht="14.25" hidden="false" customHeight="false" outlineLevel="0" collapsed="false">
      <c r="A2209" s="1" t="n">
        <v>42095</v>
      </c>
      <c r="B2209" s="2" t="s">
        <v>33</v>
      </c>
      <c r="C2209" s="3" t="n">
        <v>742401</v>
      </c>
      <c r="D2209" s="3" t="s">
        <v>31</v>
      </c>
      <c r="E2209" s="11" t="n">
        <f aca="false">IF(Tabla2[[#This Row],[Frecuencia]]="Annual", Tabla2[[#This Row],[Cosecha/Tarea]]/12,Tabla2[[#This Row],[Cosecha/Tarea]])</f>
        <v>61866.75</v>
      </c>
      <c r="F2209" s="3" t="n">
        <v>2799158</v>
      </c>
      <c r="G2209" s="2" t="s">
        <v>18</v>
      </c>
      <c r="H2209" s="2" t="n">
        <f aca="false">F2209/Tabla2[[#This Row],[Cosecha Mensual]]</f>
        <v>45.2449498316947</v>
      </c>
      <c r="I2209" s="2" t="n">
        <f aca="false">H2209*_xlfn.XLOOKUP(Tabla2[[#This Row],[Unidad de producción]],Tabla3[Medida],Tabla3[Equivalencia en Kg],"ELVIS",0)</f>
        <v>2052.31092436567</v>
      </c>
      <c r="J2209" s="2" t="n">
        <v>6015.09571428571</v>
      </c>
      <c r="K2209" s="2" t="s">
        <v>34</v>
      </c>
      <c r="L2209" s="2" t="n">
        <f aca="false">J2209/_xlfn.XLOOKUP(Tabla2[[#This Row],[Unidad de precio]],Tabla3[Medida],Tabla3[Equivalencia en Kg],"ELVIS",0)</f>
        <v>14.7374634675627</v>
      </c>
      <c r="M2209" s="3" t="n">
        <v>16317.7474581161</v>
      </c>
      <c r="N2209" s="3" t="n">
        <f aca="false">(Tabla2[[#This Row],[Productividad (kg/TAS)]]*Tabla2[[#This Row],[Precio por kg]]-Tabla2[[#This Row],[Costos (En RD$/Tarea)]])</f>
        <v>13928.1098138028</v>
      </c>
      <c r="O2209" s="9" t="n">
        <f aca="false">IF(Tabla2[[#This Row],[Costos (En RD$/Tarea)]]=0,0,Tabla2[[#This Row],[Beneficio Neto  (En RD$/Tarea)]]/Tabla2[[#This Row],[Costos (En RD$/Tarea)]])</f>
        <v>0.85355591202481</v>
      </c>
      <c r="P2209" s="7" t="n">
        <f aca="false">Tabla2[[#This Row],[Rentabilidad (%)]]/12</f>
        <v>0.0711296593354008</v>
      </c>
    </row>
    <row r="2210" customFormat="false" ht="14.25" hidden="false" customHeight="false" outlineLevel="0" collapsed="false">
      <c r="A2210" s="1" t="n">
        <v>42125</v>
      </c>
      <c r="B2210" s="2" t="s">
        <v>16</v>
      </c>
      <c r="C2210" s="3" t="n">
        <v>671067</v>
      </c>
      <c r="D2210" s="8" t="s">
        <v>17</v>
      </c>
      <c r="E2210" s="3" t="n">
        <f aca="false">IF(Tabla2[[#This Row],[Frecuencia]]="Annual", Tabla2[[#This Row],[Cosecha/Tarea]]/12,Tabla2[[#This Row],[Cosecha/Tarea]])</f>
        <v>671067</v>
      </c>
      <c r="F2210" s="3" t="n">
        <v>3491262</v>
      </c>
      <c r="G2210" s="2" t="s">
        <v>18</v>
      </c>
      <c r="H2210" s="2" t="n">
        <f aca="false">F2210/Tabla2[[#This Row],[Cosecha Mensual]]</f>
        <v>5.20255354532409</v>
      </c>
      <c r="I2210" s="2" t="n">
        <f aca="false">H2210*_xlfn.XLOOKUP(Tabla2[[#This Row],[Unidad de producción]],Tabla3[Medida],Tabla3[Equivalencia en Kg],"ELVIS",0)</f>
        <v>235.987828815901</v>
      </c>
      <c r="J2210" s="2" t="n">
        <v>1797.8950617284</v>
      </c>
      <c r="K2210" s="2" t="s">
        <v>19</v>
      </c>
      <c r="L2210" s="2" t="n">
        <f aca="false">J2210/_xlfn.XLOOKUP(Tabla2[[#This Row],[Unidad de precio]],Tabla3[Medida],Tabla3[Equivalencia en Kg],"ELVIS",0)</f>
        <v>16.3445005611673</v>
      </c>
      <c r="M2210" s="2" t="n">
        <v>7019.06666466125</v>
      </c>
      <c r="N2210" s="3" t="n">
        <f aca="false">(Tabla2[[#This Row],[Productividad (kg/TAS)]]*Tabla2[[#This Row],[Precio por kg]]-Tabla2[[#This Row],[Costos (En RD$/Tarea)]])</f>
        <v>-3161.96346415112</v>
      </c>
      <c r="O2210" s="9" t="n">
        <f aca="false">IF(Tabla2[[#This Row],[Costos (En RD$/Tarea)]]=0,0,Tabla2[[#This Row],[Beneficio Neto  (En RD$/Tarea)]]/Tabla2[[#This Row],[Costos (En RD$/Tarea)]])</f>
        <v>-0.45048203916777</v>
      </c>
      <c r="P2210" s="7" t="n">
        <f aca="false">Tabla2[[#This Row],[Rentabilidad (%)]]/12</f>
        <v>-0.0375401699306475</v>
      </c>
    </row>
    <row r="2211" customFormat="false" ht="14.25" hidden="false" customHeight="false" outlineLevel="0" collapsed="false">
      <c r="A2211" s="1" t="n">
        <v>42125</v>
      </c>
      <c r="B2211" s="2" t="s">
        <v>20</v>
      </c>
      <c r="C2211" s="3" t="n">
        <v>19822</v>
      </c>
      <c r="D2211" s="8" t="s">
        <v>17</v>
      </c>
      <c r="E2211" s="3" t="n">
        <f aca="false">IF(Tabla2[[#This Row],[Frecuencia]]="Annual", Tabla2[[#This Row],[Cosecha/Tarea]]/12,Tabla2[[#This Row],[Cosecha/Tarea]])</f>
        <v>19822</v>
      </c>
      <c r="F2211" s="3" t="n">
        <v>42849</v>
      </c>
      <c r="G2211" s="2" t="s">
        <v>18</v>
      </c>
      <c r="H2211" s="2" t="n">
        <f aca="false">F2211/Tabla2[[#This Row],[Cosecha Mensual]]</f>
        <v>2.16168903238826</v>
      </c>
      <c r="I2211" s="2" t="n">
        <f aca="false">H2211*_xlfn.XLOOKUP(Tabla2[[#This Row],[Unidad de producción]],Tabla3[Medida],Tabla3[Equivalencia en Kg],"ELVIS",0)</f>
        <v>98.0542145091313</v>
      </c>
      <c r="J2211" s="2" t="n">
        <v>866.430555555556</v>
      </c>
      <c r="K2211" s="2" t="s">
        <v>18</v>
      </c>
      <c r="L2211" s="2" t="n">
        <f aca="false">J2211/_xlfn.XLOOKUP(Tabla2[[#This Row],[Unidad de precio]],Tabla3[Medida],Tabla3[Equivalencia en Kg],"ELVIS",0)</f>
        <v>19.1012027238879</v>
      </c>
      <c r="M2211" s="2" t="n">
        <v>2574.584905776</v>
      </c>
      <c r="N2211" s="3" t="n">
        <f aca="false">(Tabla2[[#This Row],[Productividad (kg/TAS)]]*Tabla2[[#This Row],[Precio por kg]]-Tabla2[[#This Row],[Costos (En RD$/Tarea)]])</f>
        <v>-701.631476505492</v>
      </c>
      <c r="O2211" s="9" t="n">
        <f aca="false">IF(Tabla2[[#This Row],[Costos (En RD$/Tarea)]]=0,0,Tabla2[[#This Row],[Beneficio Neto  (En RD$/Tarea)]]/Tabla2[[#This Row],[Costos (En RD$/Tarea)]])</f>
        <v>-0.272522174324647</v>
      </c>
      <c r="P2211" s="7" t="n">
        <f aca="false">Tabla2[[#This Row],[Rentabilidad (%)]]/12</f>
        <v>-0.0227101811937206</v>
      </c>
    </row>
    <row r="2212" customFormat="false" ht="14.25" hidden="false" customHeight="false" outlineLevel="0" collapsed="false">
      <c r="A2212" s="1" t="n">
        <v>42125</v>
      </c>
      <c r="B2212" s="2" t="s">
        <v>21</v>
      </c>
      <c r="C2212" s="3" t="n">
        <v>6458</v>
      </c>
      <c r="D2212" s="8" t="s">
        <v>17</v>
      </c>
      <c r="E2212" s="3" t="n">
        <f aca="false">IF(Tabla2[[#This Row],[Frecuencia]]="Annual", Tabla2[[#This Row],[Cosecha/Tarea]]/12,Tabla2[[#This Row],[Cosecha/Tarea]])</f>
        <v>6458</v>
      </c>
      <c r="F2212" s="3" t="n">
        <v>64122</v>
      </c>
      <c r="G2212" s="2" t="s">
        <v>18</v>
      </c>
      <c r="H2212" s="2" t="n">
        <f aca="false">F2212/Tabla2[[#This Row],[Cosecha Mensual]]</f>
        <v>9.92908021059152</v>
      </c>
      <c r="I2212" s="2" t="n">
        <f aca="false">H2212*_xlfn.XLOOKUP(Tabla2[[#This Row],[Unidad de producción]],Tabla3[Medida],Tabla3[Equivalencia en Kg],"ELVIS",0)</f>
        <v>450.383078352431</v>
      </c>
      <c r="J2212" s="2" t="n">
        <v>296.357142857143</v>
      </c>
      <c r="K2212" s="2" t="s">
        <v>18</v>
      </c>
      <c r="L2212" s="2" t="n">
        <f aca="false">J2212/_xlfn.XLOOKUP(Tabla2[[#This Row],[Unidad de precio]],Tabla3[Medida],Tabla3[Equivalencia en Kg],"ELVIS",0)</f>
        <v>6.53344671201814</v>
      </c>
      <c r="M2212" s="2" t="n">
        <v>5153.88882833038</v>
      </c>
      <c r="N2212" s="3" t="n">
        <f aca="false">(Tabla2[[#This Row],[Productividad (kg/TAS)]]*Tabla2[[#This Row],[Precio por kg]]-Tabla2[[#This Row],[Costos (En RD$/Tarea)]])</f>
        <v>-2211.33498592008</v>
      </c>
      <c r="O2212" s="9" t="n">
        <f aca="false">IF(Tabla2[[#This Row],[Costos (En RD$/Tarea)]]=0,0,Tabla2[[#This Row],[Beneficio Neto  (En RD$/Tarea)]]/Tabla2[[#This Row],[Costos (En RD$/Tarea)]])</f>
        <v>-0.429061444586194</v>
      </c>
      <c r="P2212" s="7" t="n">
        <f aca="false">Tabla2[[#This Row],[Rentabilidad (%)]]/12</f>
        <v>-0.0357551203821828</v>
      </c>
    </row>
    <row r="2213" customFormat="false" ht="14.25" hidden="false" customHeight="false" outlineLevel="0" collapsed="false">
      <c r="A2213" s="1" t="n">
        <v>42125</v>
      </c>
      <c r="B2213" s="2" t="s">
        <v>22</v>
      </c>
      <c r="C2213" s="3" t="n">
        <v>4309</v>
      </c>
      <c r="D2213" s="8" t="s">
        <v>17</v>
      </c>
      <c r="E2213" s="3" t="n">
        <f aca="false">IF(Tabla2[[#This Row],[Frecuencia]]="Annual", Tabla2[[#This Row],[Cosecha/Tarea]]/12,Tabla2[[#This Row],[Cosecha/Tarea]])</f>
        <v>4309</v>
      </c>
      <c r="F2213" s="3" t="n">
        <v>42273</v>
      </c>
      <c r="G2213" s="2" t="s">
        <v>18</v>
      </c>
      <c r="H2213" s="2" t="n">
        <f aca="false">F2213/Tabla2[[#This Row],[Cosecha Mensual]]</f>
        <v>9.81039684381527</v>
      </c>
      <c r="I2213" s="2" t="n">
        <f aca="false">H2213*_xlfn.XLOOKUP(Tabla2[[#This Row],[Unidad de producción]],Tabla3[Medida],Tabla3[Equivalencia en Kg],"ELVIS",0)</f>
        <v>444.999600835461</v>
      </c>
      <c r="J2213" s="2" t="n">
        <v>1177.8125</v>
      </c>
      <c r="K2213" s="2" t="s">
        <v>18</v>
      </c>
      <c r="L2213" s="2" t="n">
        <f aca="false">J2213/_xlfn.XLOOKUP(Tabla2[[#This Row],[Unidad de precio]],Tabla3[Medida],Tabla3[Equivalencia en Kg],"ELVIS",0)</f>
        <v>25.9658840388007</v>
      </c>
      <c r="M2213" s="2" t="n">
        <v>9360.09200898452</v>
      </c>
      <c r="N2213" s="3" t="n">
        <f aca="false">(Tabla2[[#This Row],[Productividad (kg/TAS)]]*Tabla2[[#This Row],[Precio por kg]]-Tabla2[[#This Row],[Costos (En RD$/Tarea)]])</f>
        <v>2194.71602362165</v>
      </c>
      <c r="O2213" s="9" t="n">
        <f aca="false">IF(Tabla2[[#This Row],[Costos (En RD$/Tarea)]]=0,0,Tabla2[[#This Row],[Beneficio Neto  (En RD$/Tarea)]]/Tabla2[[#This Row],[Costos (En RD$/Tarea)]])</f>
        <v>0.23447590274914</v>
      </c>
      <c r="P2213" s="7" t="n">
        <f aca="false">Tabla2[[#This Row],[Rentabilidad (%)]]/12</f>
        <v>0.0195396585624283</v>
      </c>
    </row>
    <row r="2214" customFormat="false" ht="14.25" hidden="false" customHeight="false" outlineLevel="0" collapsed="false">
      <c r="A2214" s="1" t="n">
        <v>42125</v>
      </c>
      <c r="B2214" s="2" t="s">
        <v>23</v>
      </c>
      <c r="C2214" s="3" t="n">
        <v>4320</v>
      </c>
      <c r="D2214" s="8" t="s">
        <v>17</v>
      </c>
      <c r="E2214" s="3" t="n">
        <f aca="false">IF(Tabla2[[#This Row],[Frecuencia]]="Annual", Tabla2[[#This Row],[Cosecha/Tarea]]/12,Tabla2[[#This Row],[Cosecha/Tarea]])</f>
        <v>4320</v>
      </c>
      <c r="F2214" s="3" t="n">
        <v>172014</v>
      </c>
      <c r="G2214" s="2" t="s">
        <v>18</v>
      </c>
      <c r="H2214" s="2" t="n">
        <f aca="false">F2214/Tabla2[[#This Row],[Cosecha Mensual]]</f>
        <v>39.8180555555556</v>
      </c>
      <c r="I2214" s="2" t="n">
        <f aca="false">H2214*_xlfn.XLOOKUP(Tabla2[[#This Row],[Unidad de producción]],Tabla3[Medida],Tabla3[Equivalencia en Kg],"ELVIS",0)</f>
        <v>1806.147</v>
      </c>
      <c r="J2214" s="2" t="n">
        <v>898.96</v>
      </c>
      <c r="K2214" s="2" t="s">
        <v>18</v>
      </c>
      <c r="L2214" s="2" t="n">
        <f aca="false">J2214/_xlfn.XLOOKUP(Tabla2[[#This Row],[Unidad de precio]],Tabla3[Medida],Tabla3[Equivalencia en Kg],"ELVIS",0)</f>
        <v>19.8183421516755</v>
      </c>
      <c r="M2214" s="2" t="n">
        <v>25505.1939374778</v>
      </c>
      <c r="N2214" s="3" t="n">
        <f aca="false">(Tabla2[[#This Row],[Productividad (kg/TAS)]]*Tabla2[[#This Row],[Precio por kg]]-Tabla2[[#This Row],[Costos (En RD$/Tarea)]])</f>
        <v>10289.6452847444</v>
      </c>
      <c r="O2214" s="9" t="n">
        <f aca="false">IF(Tabla2[[#This Row],[Costos (En RD$/Tarea)]]=0,0,Tabla2[[#This Row],[Beneficio Neto  (En RD$/Tarea)]]/Tabla2[[#This Row],[Costos (En RD$/Tarea)]])</f>
        <v>0.403433328519986</v>
      </c>
      <c r="P2214" s="7" t="n">
        <f aca="false">Tabla2[[#This Row],[Rentabilidad (%)]]/12</f>
        <v>0.0336194440433321</v>
      </c>
    </row>
    <row r="2215" customFormat="false" ht="14.25" hidden="false" customHeight="false" outlineLevel="0" collapsed="false">
      <c r="A2215" s="1" t="n">
        <v>42125</v>
      </c>
      <c r="B2215" s="2" t="s">
        <v>24</v>
      </c>
      <c r="C2215" s="3" t="n">
        <v>5114</v>
      </c>
      <c r="D2215" s="8" t="s">
        <v>17</v>
      </c>
      <c r="E2215" s="3" t="n">
        <f aca="false">IF(Tabla2[[#This Row],[Frecuencia]]="Annual", Tabla2[[#This Row],[Cosecha/Tarea]]/12,Tabla2[[#This Row],[Cosecha/Tarea]])</f>
        <v>5114</v>
      </c>
      <c r="F2215" s="3" t="n">
        <v>37544</v>
      </c>
      <c r="G2215" s="2" t="s">
        <v>18</v>
      </c>
      <c r="H2215" s="2" t="n">
        <f aca="false">F2215/Tabla2[[#This Row],[Cosecha Mensual]]</f>
        <v>7.34141572154869</v>
      </c>
      <c r="I2215" s="2" t="n">
        <f aca="false">H2215*_xlfn.XLOOKUP(Tabla2[[#This Row],[Unidad de producción]],Tabla3[Medida],Tabla3[Equivalencia en Kg],"ELVIS",0)</f>
        <v>333.006617129449</v>
      </c>
      <c r="J2215" s="2" t="n">
        <v>1447.51041666667</v>
      </c>
      <c r="K2215" s="2" t="s">
        <v>18</v>
      </c>
      <c r="L2215" s="2" t="n">
        <f aca="false">J2215/_xlfn.XLOOKUP(Tabla2[[#This Row],[Unidad de precio]],Tabla3[Medida],Tabla3[Equivalencia en Kg],"ELVIS",0)</f>
        <v>31.9116053057026</v>
      </c>
      <c r="M2215" s="2" t="n">
        <v>9240.56556420077</v>
      </c>
      <c r="N2215" s="3" t="n">
        <f aca="false">(Tabla2[[#This Row],[Productividad (kg/TAS)]]*Tabla2[[#This Row],[Precio por kg]]-Tabla2[[#This Row],[Costos (En RD$/Tarea)]])</f>
        <v>1386.21016582142</v>
      </c>
      <c r="O2215" s="9" t="n">
        <f aca="false">IF(Tabla2[[#This Row],[Costos (En RD$/Tarea)]]=0,0,Tabla2[[#This Row],[Beneficio Neto  (En RD$/Tarea)]]/Tabla2[[#This Row],[Costos (En RD$/Tarea)]])</f>
        <v>0.150013563151566</v>
      </c>
      <c r="P2215" s="7" t="n">
        <f aca="false">Tabla2[[#This Row],[Rentabilidad (%)]]/12</f>
        <v>0.0125011302626305</v>
      </c>
    </row>
    <row r="2216" customFormat="false" ht="14.25" hidden="false" customHeight="false" outlineLevel="0" collapsed="false">
      <c r="A2216" s="1" t="n">
        <v>42125</v>
      </c>
      <c r="B2216" s="2" t="s">
        <v>25</v>
      </c>
      <c r="C2216" s="3" t="n">
        <v>30244</v>
      </c>
      <c r="D2216" s="8" t="s">
        <v>17</v>
      </c>
      <c r="E2216" s="3" t="n">
        <f aca="false">IF(Tabla2[[#This Row],[Frecuencia]]="Annual", Tabla2[[#This Row],[Cosecha/Tarea]]/12,Tabla2[[#This Row],[Cosecha/Tarea]])</f>
        <v>30244</v>
      </c>
      <c r="F2216" s="3" t="n">
        <v>289544</v>
      </c>
      <c r="G2216" s="2" t="s">
        <v>18</v>
      </c>
      <c r="H2216" s="2" t="n">
        <f aca="false">F2216/Tabla2[[#This Row],[Cosecha Mensual]]</f>
        <v>9.57360137547943</v>
      </c>
      <c r="I2216" s="2" t="n">
        <f aca="false">H2216*_xlfn.XLOOKUP(Tabla2[[#This Row],[Unidad de producción]],Tabla3[Medida],Tabla3[Equivalencia en Kg],"ELVIS",0)</f>
        <v>434.258558391747</v>
      </c>
      <c r="J2216" s="2" t="n">
        <v>459.975</v>
      </c>
      <c r="K2216" s="2" t="s">
        <v>18</v>
      </c>
      <c r="L2216" s="2" t="n">
        <f aca="false">J2216/_xlfn.XLOOKUP(Tabla2[[#This Row],[Unidad de precio]],Tabla3[Medida],Tabla3[Equivalencia en Kg],"ELVIS",0)</f>
        <v>10.1405423280423</v>
      </c>
      <c r="M2216" s="2" t="n">
        <v>5033.45303788251</v>
      </c>
      <c r="N2216" s="3" t="n">
        <f aca="false">(Tabla2[[#This Row],[Productividad (kg/TAS)]]*Tabla2[[#This Row],[Precio por kg]]-Tabla2[[#This Row],[Costos (En RD$/Tarea)]])</f>
        <v>-629.835745196357</v>
      </c>
      <c r="O2216" s="9" t="n">
        <f aca="false">IF(Tabla2[[#This Row],[Costos (En RD$/Tarea)]]=0,0,Tabla2[[#This Row],[Beneficio Neto  (En RD$/Tarea)]]/Tabla2[[#This Row],[Costos (En RD$/Tarea)]])</f>
        <v>-0.125129953623511</v>
      </c>
      <c r="P2216" s="7" t="n">
        <f aca="false">Tabla2[[#This Row],[Rentabilidad (%)]]/12</f>
        <v>-0.0104274961352925</v>
      </c>
    </row>
    <row r="2217" customFormat="false" ht="14.25" hidden="false" customHeight="false" outlineLevel="0" collapsed="false">
      <c r="A2217" s="1" t="n">
        <v>42125</v>
      </c>
      <c r="B2217" s="2" t="s">
        <v>26</v>
      </c>
      <c r="C2217" s="3" t="n">
        <v>6854</v>
      </c>
      <c r="D2217" s="8" t="s">
        <v>17</v>
      </c>
      <c r="E2217" s="3" t="n">
        <f aca="false">IF(Tabla2[[#This Row],[Frecuencia]]="Annual", Tabla2[[#This Row],[Cosecha/Tarea]]/12,Tabla2[[#This Row],[Cosecha/Tarea]])</f>
        <v>6854</v>
      </c>
      <c r="F2217" s="3" t="n">
        <v>44100</v>
      </c>
      <c r="G2217" s="2" t="s">
        <v>18</v>
      </c>
      <c r="H2217" s="2" t="n">
        <f aca="false">F2217/Tabla2[[#This Row],[Cosecha Mensual]]</f>
        <v>6.43419900787861</v>
      </c>
      <c r="I2217" s="2" t="n">
        <f aca="false">H2217*_xlfn.XLOOKUP(Tabla2[[#This Row],[Unidad de producción]],Tabla3[Medida],Tabla3[Equivalencia en Kg],"ELVIS",0)</f>
        <v>291.855266997374</v>
      </c>
      <c r="J2217" s="2" t="n">
        <v>784.7</v>
      </c>
      <c r="K2217" s="2" t="s">
        <v>18</v>
      </c>
      <c r="L2217" s="2" t="n">
        <f aca="false">J2217/_xlfn.XLOOKUP(Tabla2[[#This Row],[Unidad de precio]],Tabla3[Medida],Tabla3[Equivalencia en Kg],"ELVIS",0)</f>
        <v>17.2993827160494</v>
      </c>
      <c r="M2217" s="2" t="n">
        <v>2123.36088960426</v>
      </c>
      <c r="N2217" s="3" t="n">
        <f aca="false">(Tabla2[[#This Row],[Productividad (kg/TAS)]]*Tabla2[[#This Row],[Precio por kg]]-Tabla2[[#This Row],[Costos (En RD$/Tarea)]])</f>
        <v>2925.55507187809</v>
      </c>
      <c r="O2217" s="9" t="n">
        <f aca="false">IF(Tabla2[[#This Row],[Costos (En RD$/Tarea)]]=0,0,Tabla2[[#This Row],[Beneficio Neto  (En RD$/Tarea)]]/Tabla2[[#This Row],[Costos (En RD$/Tarea)]])</f>
        <v>1.37779455494414</v>
      </c>
      <c r="P2217" s="7" t="n">
        <f aca="false">Tabla2[[#This Row],[Rentabilidad (%)]]/12</f>
        <v>0.114816212912011</v>
      </c>
    </row>
    <row r="2218" customFormat="false" ht="14.25" hidden="false" customHeight="false" outlineLevel="0" collapsed="false">
      <c r="A2218" s="1" t="n">
        <v>42125</v>
      </c>
      <c r="B2218" s="2" t="s">
        <v>27</v>
      </c>
      <c r="C2218" s="3" t="n">
        <v>3421</v>
      </c>
      <c r="D2218" s="8" t="s">
        <v>17</v>
      </c>
      <c r="E2218" s="3" t="n">
        <f aca="false">IF(Tabla2[[#This Row],[Frecuencia]]="Annual", Tabla2[[#This Row],[Cosecha/Tarea]]/12,Tabla2[[#This Row],[Cosecha/Tarea]])</f>
        <v>3421</v>
      </c>
      <c r="F2218" s="3" t="n">
        <v>32013.9999999999</v>
      </c>
      <c r="G2218" s="2" t="s">
        <v>18</v>
      </c>
      <c r="H2218" s="2" t="n">
        <f aca="false">F2218/Tabla2[[#This Row],[Cosecha Mensual]]</f>
        <v>9.35808243203739</v>
      </c>
      <c r="I2218" s="2" t="n">
        <f aca="false">H2218*_xlfn.XLOOKUP(Tabla2[[#This Row],[Unidad de producción]],Tabla3[Medida],Tabla3[Equivalencia en Kg],"ELVIS",0)</f>
        <v>424.482619117216</v>
      </c>
      <c r="J2218" s="2" t="n">
        <v>749.285714285714</v>
      </c>
      <c r="K2218" s="2" t="s">
        <v>18</v>
      </c>
      <c r="L2218" s="2" t="n">
        <f aca="false">J2218/_xlfn.XLOOKUP(Tabla2[[#This Row],[Unidad de precio]],Tabla3[Medida],Tabla3[Equivalencia en Kg],"ELVIS",0)</f>
        <v>16.518644494835</v>
      </c>
      <c r="M2218" s="2" t="n">
        <v>8682.692545606</v>
      </c>
      <c r="N2218" s="3" t="n">
        <f aca="false">(Tabla2[[#This Row],[Productividad (kg/TAS)]]*Tabla2[[#This Row],[Precio por kg]]-Tabla2[[#This Row],[Costos (En RD$/Tarea)]])</f>
        <v>-1670.81506617227</v>
      </c>
      <c r="O2218" s="9" t="n">
        <f aca="false">IF(Tabla2[[#This Row],[Costos (En RD$/Tarea)]]=0,0,Tabla2[[#This Row],[Beneficio Neto  (En RD$/Tarea)]]/Tabla2[[#This Row],[Costos (En RD$/Tarea)]])</f>
        <v>-0.192430522835663</v>
      </c>
      <c r="P2218" s="7" t="n">
        <f aca="false">Tabla2[[#This Row],[Rentabilidad (%)]]/12</f>
        <v>-0.0160358769029719</v>
      </c>
    </row>
    <row r="2219" customFormat="false" ht="14.25" hidden="false" customHeight="false" outlineLevel="0" collapsed="false">
      <c r="A2219" s="1" t="n">
        <v>42125</v>
      </c>
      <c r="B2219" s="2" t="s">
        <v>28</v>
      </c>
      <c r="C2219" s="3" t="n">
        <v>11024</v>
      </c>
      <c r="D2219" s="8" t="s">
        <v>17</v>
      </c>
      <c r="E2219" s="3" t="n">
        <f aca="false">IF(Tabla2[[#This Row],[Frecuencia]]="Annual", Tabla2[[#This Row],[Cosecha/Tarea]]/12,Tabla2[[#This Row],[Cosecha/Tarea]])</f>
        <v>11024</v>
      </c>
      <c r="F2219" s="3" t="n">
        <v>131844</v>
      </c>
      <c r="G2219" s="2" t="s">
        <v>18</v>
      </c>
      <c r="H2219" s="2" t="n">
        <f aca="false">F2219/Tabla2[[#This Row],[Cosecha Mensual]]</f>
        <v>11.9597242380261</v>
      </c>
      <c r="I2219" s="2" t="n">
        <f aca="false">H2219*_xlfn.XLOOKUP(Tabla2[[#This Row],[Unidad de producción]],Tabla3[Medida],Tabla3[Equivalencia en Kg],"ELVIS",0)</f>
        <v>542.493091436865</v>
      </c>
      <c r="J2219" s="2" t="n">
        <v>10960.65</v>
      </c>
      <c r="K2219" s="2" t="s">
        <v>29</v>
      </c>
      <c r="L2219" s="2" t="n">
        <f aca="false">J2219/_xlfn.XLOOKUP(Tabla2[[#This Row],[Unidad de precio]],Tabla3[Medida],Tabla3[Equivalencia en Kg],"ELVIS",0)</f>
        <v>19.4911441476687</v>
      </c>
      <c r="M2219" s="2" t="n">
        <v>7427.37867438309</v>
      </c>
      <c r="N2219" s="3" t="n">
        <f aca="false">(Tabla2[[#This Row],[Productividad (kg/TAS)]]*Tabla2[[#This Row],[Precio por kg]]-Tabla2[[#This Row],[Costos (En RD$/Tarea)]])</f>
        <v>3146.43236992724</v>
      </c>
      <c r="O2219" s="9" t="n">
        <f aca="false">IF(Tabla2[[#This Row],[Costos (En RD$/Tarea)]]=0,0,Tabla2[[#This Row],[Beneficio Neto  (En RD$/Tarea)]]/Tabla2[[#This Row],[Costos (En RD$/Tarea)]])</f>
        <v>0.423626222368228</v>
      </c>
      <c r="P2219" s="7" t="n">
        <f aca="false">Tabla2[[#This Row],[Rentabilidad (%)]]/12</f>
        <v>0.0353021851973523</v>
      </c>
    </row>
    <row r="2220" customFormat="false" ht="14.25" hidden="false" customHeight="false" outlineLevel="0" collapsed="false">
      <c r="A2220" s="1" t="n">
        <v>42125</v>
      </c>
      <c r="B2220" s="2" t="s">
        <v>30</v>
      </c>
      <c r="C2220" s="3" t="n">
        <v>432100</v>
      </c>
      <c r="D2220" s="3" t="s">
        <v>31</v>
      </c>
      <c r="E2220" s="3" t="n">
        <f aca="false">IF(Tabla2[[#This Row],[Frecuencia]]="Annual", Tabla2[[#This Row],[Cosecha/Tarea]]/12,Tabla2[[#This Row],[Cosecha/Tarea]])</f>
        <v>36008.3333333333</v>
      </c>
      <c r="F2220" s="3" t="n">
        <v>1967433.6</v>
      </c>
      <c r="G2220" s="2" t="s">
        <v>18</v>
      </c>
      <c r="H2220" s="2" t="n">
        <f aca="false">F2220/Tabla2[[#This Row],[Cosecha Mensual]]</f>
        <v>54.6382855820412</v>
      </c>
      <c r="I2220" s="2" t="n">
        <f aca="false">H2220*_xlfn.XLOOKUP(Tabla2[[#This Row],[Unidad de producción]],Tabla3[Medida],Tabla3[Equivalencia en Kg],"ELVIS",0)</f>
        <v>2478.39263400139</v>
      </c>
      <c r="J2220" s="2" t="n">
        <v>138.59375</v>
      </c>
      <c r="K2220" s="2" t="s">
        <v>32</v>
      </c>
      <c r="L2220" s="2" t="n">
        <f aca="false">J2220/_xlfn.XLOOKUP(Tabla2[[#This Row],[Unidad de precio]],Tabla3[Medida],Tabla3[Equivalencia en Kg],"ELVIS",0)</f>
        <v>5.09348585079015</v>
      </c>
      <c r="M2220" s="3" t="n">
        <v>22429.7248632058</v>
      </c>
      <c r="N2220" s="3" t="n">
        <f aca="false">(Tabla2[[#This Row],[Productividad (kg/TAS)]]*Tabla2[[#This Row],[Precio por kg]]-Tabla2[[#This Row],[Costos (En RD$/Tarea)]])</f>
        <v>-9806.06704921719</v>
      </c>
      <c r="O2220" s="9" t="n">
        <f aca="false">IF(Tabla2[[#This Row],[Costos (En RD$/Tarea)]]=0,0,Tabla2[[#This Row],[Beneficio Neto  (En RD$/Tarea)]]/Tabla2[[#This Row],[Costos (En RD$/Tarea)]])</f>
        <v>-0.437190697122784</v>
      </c>
      <c r="P2220" s="7" t="n">
        <f aca="false">Tabla2[[#This Row],[Rentabilidad (%)]]/12</f>
        <v>-0.0364325580935654</v>
      </c>
    </row>
    <row r="2221" customFormat="false" ht="14.25" hidden="false" customHeight="false" outlineLevel="0" collapsed="false">
      <c r="A2221" s="1" t="n">
        <v>42125</v>
      </c>
      <c r="B2221" s="2" t="s">
        <v>33</v>
      </c>
      <c r="C2221" s="3" t="n">
        <v>712544</v>
      </c>
      <c r="D2221" s="3" t="s">
        <v>31</v>
      </c>
      <c r="E2221" s="11" t="n">
        <f aca="false">IF(Tabla2[[#This Row],[Frecuencia]]="Annual", Tabla2[[#This Row],[Cosecha/Tarea]]/12,Tabla2[[#This Row],[Cosecha/Tarea]])</f>
        <v>59378.6666666667</v>
      </c>
      <c r="F2221" s="3" t="n">
        <v>2020689</v>
      </c>
      <c r="G2221" s="2" t="s">
        <v>18</v>
      </c>
      <c r="H2221" s="2" t="n">
        <f aca="false">F2221/Tabla2[[#This Row],[Cosecha Mensual]]</f>
        <v>34.0305553060583</v>
      </c>
      <c r="I2221" s="2" t="n">
        <f aca="false">H2221*_xlfn.XLOOKUP(Tabla2[[#This Row],[Unidad de producción]],Tabla3[Medida],Tabla3[Equivalencia en Kg],"ELVIS",0)</f>
        <v>1543.6259886828</v>
      </c>
      <c r="J2221" s="2" t="n">
        <v>5449.9375</v>
      </c>
      <c r="K2221" s="2" t="s">
        <v>34</v>
      </c>
      <c r="L2221" s="2" t="n">
        <f aca="false">J2221/_xlfn.XLOOKUP(Tabla2[[#This Row],[Unidad de precio]],Tabla3[Medida],Tabla3[Equivalencia en Kg],"ELVIS",0)</f>
        <v>13.3527808403773</v>
      </c>
      <c r="M2221" s="3" t="n">
        <v>16317.7474581161</v>
      </c>
      <c r="N2221" s="3" t="n">
        <f aca="false">(Tabla2[[#This Row],[Productividad (kg/TAS)]]*Tabla2[[#This Row],[Precio por kg]]-Tabla2[[#This Row],[Costos (En RD$/Tarea)]])</f>
        <v>4293.95206827614</v>
      </c>
      <c r="O2221" s="9" t="n">
        <f aca="false">IF(Tabla2[[#This Row],[Costos (En RD$/Tarea)]]=0,0,Tabla2[[#This Row],[Beneficio Neto  (En RD$/Tarea)]]/Tabla2[[#This Row],[Costos (En RD$/Tarea)]])</f>
        <v>0.263146128428432</v>
      </c>
      <c r="P2221" s="7" t="n">
        <f aca="false">Tabla2[[#This Row],[Rentabilidad (%)]]/12</f>
        <v>0.0219288440357027</v>
      </c>
    </row>
    <row r="2222" customFormat="false" ht="14.25" hidden="false" customHeight="false" outlineLevel="0" collapsed="false">
      <c r="A2222" s="1" t="n">
        <v>42156</v>
      </c>
      <c r="B2222" s="2" t="s">
        <v>16</v>
      </c>
      <c r="C2222" s="3" t="n">
        <v>168957</v>
      </c>
      <c r="D2222" s="8" t="s">
        <v>17</v>
      </c>
      <c r="E2222" s="3" t="n">
        <f aca="false">IF(Tabla2[[#This Row],[Frecuencia]]="Annual", Tabla2[[#This Row],[Cosecha/Tarea]]/12,Tabla2[[#This Row],[Cosecha/Tarea]])</f>
        <v>168957</v>
      </c>
      <c r="F2222" s="3" t="n">
        <v>814397</v>
      </c>
      <c r="G2222" s="2" t="s">
        <v>18</v>
      </c>
      <c r="H2222" s="2" t="n">
        <f aca="false">F2222/Tabla2[[#This Row],[Cosecha Mensual]]</f>
        <v>4.82014358682979</v>
      </c>
      <c r="I2222" s="2" t="n">
        <f aca="false">H2222*_xlfn.XLOOKUP(Tabla2[[#This Row],[Unidad de producción]],Tabla3[Medida],Tabla3[Equivalencia en Kg],"ELVIS",0)</f>
        <v>218.641713098599</v>
      </c>
      <c r="J2222" s="2" t="n">
        <v>1930.70987654321</v>
      </c>
      <c r="K2222" s="2" t="s">
        <v>19</v>
      </c>
      <c r="L2222" s="2" t="n">
        <f aca="false">J2222/_xlfn.XLOOKUP(Tabla2[[#This Row],[Unidad de precio]],Tabla3[Medida],Tabla3[Equivalencia en Kg],"ELVIS",0)</f>
        <v>17.5519079685746</v>
      </c>
      <c r="M2222" s="2" t="n">
        <v>7019.06666466125</v>
      </c>
      <c r="N2222" s="3" t="n">
        <f aca="false">(Tabla2[[#This Row],[Productividad (kg/TAS)]]*Tabla2[[#This Row],[Precio por kg]]-Tabla2[[#This Row],[Costos (En RD$/Tarea)]])</f>
        <v>-3181.48743826314</v>
      </c>
      <c r="O2222" s="9" t="n">
        <f aca="false">IF(Tabla2[[#This Row],[Costos (En RD$/Tarea)]]=0,0,Tabla2[[#This Row],[Beneficio Neto  (En RD$/Tarea)]]/Tabla2[[#This Row],[Costos (En RD$/Tarea)]])</f>
        <v>-0.453263601880419</v>
      </c>
      <c r="P2222" s="7" t="n">
        <f aca="false">Tabla2[[#This Row],[Rentabilidad (%)]]/12</f>
        <v>-0.0377719668233683</v>
      </c>
    </row>
    <row r="2223" customFormat="false" ht="14.25" hidden="false" customHeight="false" outlineLevel="0" collapsed="false">
      <c r="A2223" s="1" t="n">
        <v>42156</v>
      </c>
      <c r="B2223" s="2" t="s">
        <v>20</v>
      </c>
      <c r="C2223" s="3" t="n">
        <v>32101</v>
      </c>
      <c r="D2223" s="8" t="s">
        <v>17</v>
      </c>
      <c r="E2223" s="3" t="n">
        <f aca="false">IF(Tabla2[[#This Row],[Frecuencia]]="Annual", Tabla2[[#This Row],[Cosecha/Tarea]]/12,Tabla2[[#This Row],[Cosecha/Tarea]])</f>
        <v>32101</v>
      </c>
      <c r="F2223" s="3" t="n">
        <v>75854</v>
      </c>
      <c r="G2223" s="2" t="s">
        <v>18</v>
      </c>
      <c r="H2223" s="2" t="n">
        <f aca="false">F2223/Tabla2[[#This Row],[Cosecha Mensual]]</f>
        <v>2.36297934643781</v>
      </c>
      <c r="I2223" s="2" t="n">
        <f aca="false">H2223*_xlfn.XLOOKUP(Tabla2[[#This Row],[Unidad de producción]],Tabla3[Medida],Tabla3[Equivalencia en Kg],"ELVIS",0)</f>
        <v>107.184743154419</v>
      </c>
      <c r="J2223" s="2" t="n">
        <v>864.428333333333</v>
      </c>
      <c r="K2223" s="2" t="s">
        <v>18</v>
      </c>
      <c r="L2223" s="2" t="n">
        <f aca="false">J2223/_xlfn.XLOOKUP(Tabla2[[#This Row],[Unidad de precio]],Tabla3[Medida],Tabla3[Equivalencia en Kg],"ELVIS",0)</f>
        <v>19.0570620223398</v>
      </c>
      <c r="M2223" s="2" t="n">
        <v>2574.584905776</v>
      </c>
      <c r="N2223" s="3" t="n">
        <f aca="false">(Tabla2[[#This Row],[Productividad (kg/TAS)]]*Tabla2[[#This Row],[Precio por kg]]-Tabla2[[#This Row],[Costos (En RD$/Tarea)]])</f>
        <v>-531.958607633679</v>
      </c>
      <c r="O2223" s="9" t="n">
        <f aca="false">IF(Tabla2[[#This Row],[Costos (En RD$/Tarea)]]=0,0,Tabla2[[#This Row],[Beneficio Neto  (En RD$/Tarea)]]/Tabla2[[#This Row],[Costos (En RD$/Tarea)]])</f>
        <v>-0.206619174392053</v>
      </c>
      <c r="P2223" s="7" t="n">
        <f aca="false">Tabla2[[#This Row],[Rentabilidad (%)]]/12</f>
        <v>-0.0172182645326711</v>
      </c>
    </row>
    <row r="2224" customFormat="false" ht="14.25" hidden="false" customHeight="false" outlineLevel="0" collapsed="false">
      <c r="A2224" s="1" t="n">
        <v>42156</v>
      </c>
      <c r="B2224" s="2" t="s">
        <v>21</v>
      </c>
      <c r="C2224" s="3" t="n">
        <v>6895</v>
      </c>
      <c r="D2224" s="8" t="s">
        <v>17</v>
      </c>
      <c r="E2224" s="3" t="n">
        <f aca="false">IF(Tabla2[[#This Row],[Frecuencia]]="Annual", Tabla2[[#This Row],[Cosecha/Tarea]]/12,Tabla2[[#This Row],[Cosecha/Tarea]])</f>
        <v>6895</v>
      </c>
      <c r="F2224" s="3" t="n">
        <v>79852</v>
      </c>
      <c r="G2224" s="2" t="s">
        <v>18</v>
      </c>
      <c r="H2224" s="2" t="n">
        <f aca="false">F2224/Tabla2[[#This Row],[Cosecha Mensual]]</f>
        <v>11.5811457577955</v>
      </c>
      <c r="I2224" s="2" t="n">
        <f aca="false">H2224*_xlfn.XLOOKUP(Tabla2[[#This Row],[Unidad de producción]],Tabla3[Medida],Tabla3[Equivalencia en Kg],"ELVIS",0)</f>
        <v>525.320771573604</v>
      </c>
      <c r="J2224" s="2" t="n">
        <v>324.4415</v>
      </c>
      <c r="K2224" s="2" t="s">
        <v>18</v>
      </c>
      <c r="L2224" s="2" t="n">
        <f aca="false">J2224/_xlfn.XLOOKUP(Tabla2[[#This Row],[Unidad de precio]],Tabla3[Medida],Tabla3[Equivalencia en Kg],"ELVIS",0)</f>
        <v>7.15259038800706</v>
      </c>
      <c r="M2224" s="2" t="n">
        <v>5153.88882833038</v>
      </c>
      <c r="N2224" s="3" t="n">
        <f aca="false">(Tabla2[[#This Row],[Productividad (kg/TAS)]]*Tabla2[[#This Row],[Precio por kg]]-Tabla2[[#This Row],[Costos (En RD$/Tarea)]])</f>
        <v>-1396.48452695257</v>
      </c>
      <c r="O2224" s="9" t="n">
        <f aca="false">IF(Tabla2[[#This Row],[Costos (En RD$/Tarea)]]=0,0,Tabla2[[#This Row],[Beneficio Neto  (En RD$/Tarea)]]/Tabla2[[#This Row],[Costos (En RD$/Tarea)]])</f>
        <v>-0.270957440772925</v>
      </c>
      <c r="P2224" s="7" t="n">
        <f aca="false">Tabla2[[#This Row],[Rentabilidad (%)]]/12</f>
        <v>-0.0225797867310771</v>
      </c>
    </row>
    <row r="2225" customFormat="false" ht="14.25" hidden="false" customHeight="false" outlineLevel="0" collapsed="false">
      <c r="A2225" s="1" t="n">
        <v>42156</v>
      </c>
      <c r="B2225" s="2" t="s">
        <v>22</v>
      </c>
      <c r="C2225" s="3" t="n">
        <v>5201</v>
      </c>
      <c r="D2225" s="8" t="s">
        <v>17</v>
      </c>
      <c r="E2225" s="3" t="n">
        <f aca="false">IF(Tabla2[[#This Row],[Frecuencia]]="Annual", Tabla2[[#This Row],[Cosecha/Tarea]]/12,Tabla2[[#This Row],[Cosecha/Tarea]])</f>
        <v>5201</v>
      </c>
      <c r="F2225" s="3" t="n">
        <v>40114</v>
      </c>
      <c r="G2225" s="2" t="s">
        <v>18</v>
      </c>
      <c r="H2225" s="2" t="n">
        <f aca="false">F2225/Tabla2[[#This Row],[Cosecha Mensual]]</f>
        <v>7.71274754854836</v>
      </c>
      <c r="I2225" s="2" t="n">
        <f aca="false">H2225*_xlfn.XLOOKUP(Tabla2[[#This Row],[Unidad de producción]],Tabla3[Medida],Tabla3[Equivalencia en Kg],"ELVIS",0)</f>
        <v>349.850228802153</v>
      </c>
      <c r="J2225" s="2" t="n">
        <v>1136.875</v>
      </c>
      <c r="K2225" s="2" t="s">
        <v>18</v>
      </c>
      <c r="L2225" s="2" t="n">
        <f aca="false">J2225/_xlfn.XLOOKUP(Tabla2[[#This Row],[Unidad de precio]],Tabla3[Medida],Tabla3[Equivalencia en Kg],"ELVIS",0)</f>
        <v>25.0633818342152</v>
      </c>
      <c r="M2225" s="2" t="n">
        <v>9360.09200898452</v>
      </c>
      <c r="N2225" s="3" t="n">
        <f aca="false">(Tabla2[[#This Row],[Productividad (kg/TAS)]]*Tabla2[[#This Row],[Precio por kg]]-Tabla2[[#This Row],[Costos (En RD$/Tarea)]])</f>
        <v>-591.662139728609</v>
      </c>
      <c r="O2225" s="9" t="n">
        <f aca="false">IF(Tabla2[[#This Row],[Costos (En RD$/Tarea)]]=0,0,Tabla2[[#This Row],[Beneficio Neto  (En RD$/Tarea)]]/Tabla2[[#This Row],[Costos (En RD$/Tarea)]])</f>
        <v>-0.063211145698214</v>
      </c>
      <c r="P2225" s="7" t="n">
        <f aca="false">Tabla2[[#This Row],[Rentabilidad (%)]]/12</f>
        <v>-0.00526759547485117</v>
      </c>
    </row>
    <row r="2226" customFormat="false" ht="14.25" hidden="false" customHeight="false" outlineLevel="0" collapsed="false">
      <c r="A2226" s="1" t="n">
        <v>42156</v>
      </c>
      <c r="B2226" s="2" t="s">
        <v>23</v>
      </c>
      <c r="C2226" s="3" t="n">
        <v>2704</v>
      </c>
      <c r="D2226" s="8" t="s">
        <v>17</v>
      </c>
      <c r="E2226" s="3" t="n">
        <f aca="false">IF(Tabla2[[#This Row],[Frecuencia]]="Annual", Tabla2[[#This Row],[Cosecha/Tarea]]/12,Tabla2[[#This Row],[Cosecha/Tarea]])</f>
        <v>2704</v>
      </c>
      <c r="F2226" s="3" t="n">
        <v>101635</v>
      </c>
      <c r="G2226" s="2" t="s">
        <v>18</v>
      </c>
      <c r="H2226" s="2" t="n">
        <f aca="false">F2226/Tabla2[[#This Row],[Cosecha Mensual]]</f>
        <v>37.5869082840237</v>
      </c>
      <c r="I2226" s="2" t="n">
        <f aca="false">H2226*_xlfn.XLOOKUP(Tabla2[[#This Row],[Unidad de producción]],Tabla3[Medida],Tabla3[Equivalencia en Kg],"ELVIS",0)</f>
        <v>1704.94215976331</v>
      </c>
      <c r="J2226" s="2" t="n">
        <v>1095.835</v>
      </c>
      <c r="K2226" s="2" t="s">
        <v>18</v>
      </c>
      <c r="L2226" s="2" t="n">
        <f aca="false">J2226/_xlfn.XLOOKUP(Tabla2[[#This Row],[Unidad de precio]],Tabla3[Medida],Tabla3[Equivalencia en Kg],"ELVIS",0)</f>
        <v>24.1586199294533</v>
      </c>
      <c r="M2226" s="2" t="n">
        <v>25505.1939374778</v>
      </c>
      <c r="N2226" s="3" t="n">
        <f aca="false">(Tabla2[[#This Row],[Productividad (kg/TAS)]]*Tabla2[[#This Row],[Precio por kg]]-Tabla2[[#This Row],[Costos (En RD$/Tarea)]])</f>
        <v>15683.8557019453</v>
      </c>
      <c r="O2226" s="9" t="n">
        <f aca="false">IF(Tabla2[[#This Row],[Costos (En RD$/Tarea)]]=0,0,Tabla2[[#This Row],[Beneficio Neto  (En RD$/Tarea)]]/Tabla2[[#This Row],[Costos (En RD$/Tarea)]])</f>
        <v>0.614927913914002</v>
      </c>
      <c r="P2226" s="7" t="n">
        <f aca="false">Tabla2[[#This Row],[Rentabilidad (%)]]/12</f>
        <v>0.0512439928261668</v>
      </c>
    </row>
    <row r="2227" customFormat="false" ht="14.25" hidden="false" customHeight="false" outlineLevel="0" collapsed="false">
      <c r="A2227" s="1" t="n">
        <v>42156</v>
      </c>
      <c r="B2227" s="2" t="s">
        <v>24</v>
      </c>
      <c r="C2227" s="3" t="n">
        <v>4923</v>
      </c>
      <c r="D2227" s="8" t="s">
        <v>17</v>
      </c>
      <c r="E2227" s="3" t="n">
        <f aca="false">IF(Tabla2[[#This Row],[Frecuencia]]="Annual", Tabla2[[#This Row],[Cosecha/Tarea]]/12,Tabla2[[#This Row],[Cosecha/Tarea]])</f>
        <v>4923</v>
      </c>
      <c r="F2227" s="3" t="n">
        <v>47240</v>
      </c>
      <c r="G2227" s="2" t="s">
        <v>18</v>
      </c>
      <c r="H2227" s="2" t="n">
        <f aca="false">F2227/Tabla2[[#This Row],[Cosecha Mensual]]</f>
        <v>9.59577493398334</v>
      </c>
      <c r="I2227" s="2" t="n">
        <f aca="false">H2227*_xlfn.XLOOKUP(Tabla2[[#This Row],[Unidad de producción]],Tabla3[Medida],Tabla3[Equivalencia en Kg],"ELVIS",0)</f>
        <v>435.264351005484</v>
      </c>
      <c r="J2227" s="2" t="n">
        <v>1516.41666666667</v>
      </c>
      <c r="K2227" s="2" t="s">
        <v>18</v>
      </c>
      <c r="L2227" s="2" t="n">
        <f aca="false">J2227/_xlfn.XLOOKUP(Tabla2[[#This Row],[Unidad de precio]],Tabla3[Medida],Tabla3[Equivalencia en Kg],"ELVIS",0)</f>
        <v>33.4307025279248</v>
      </c>
      <c r="M2227" s="2" t="n">
        <v>9240.56556420077</v>
      </c>
      <c r="N2227" s="3" t="n">
        <f aca="false">(Tabla2[[#This Row],[Productividad (kg/TAS)]]*Tabla2[[#This Row],[Precio por kg]]-Tabla2[[#This Row],[Costos (En RD$/Tarea)]])</f>
        <v>5310.62747527384</v>
      </c>
      <c r="O2227" s="9" t="n">
        <f aca="false">IF(Tabla2[[#This Row],[Costos (En RD$/Tarea)]]=0,0,Tabla2[[#This Row],[Beneficio Neto  (En RD$/Tarea)]]/Tabla2[[#This Row],[Costos (En RD$/Tarea)]])</f>
        <v>0.57470805638217</v>
      </c>
      <c r="P2227" s="7" t="n">
        <f aca="false">Tabla2[[#This Row],[Rentabilidad (%)]]/12</f>
        <v>0.0478923380318475</v>
      </c>
    </row>
    <row r="2228" customFormat="false" ht="14.25" hidden="false" customHeight="false" outlineLevel="0" collapsed="false">
      <c r="A2228" s="1" t="n">
        <v>42156</v>
      </c>
      <c r="B2228" s="2" t="s">
        <v>25</v>
      </c>
      <c r="C2228" s="3" t="n">
        <v>27447</v>
      </c>
      <c r="D2228" s="8" t="s">
        <v>17</v>
      </c>
      <c r="E2228" s="3" t="n">
        <f aca="false">IF(Tabla2[[#This Row],[Frecuencia]]="Annual", Tabla2[[#This Row],[Cosecha/Tarea]]/12,Tabla2[[#This Row],[Cosecha/Tarea]])</f>
        <v>27447</v>
      </c>
      <c r="F2228" s="3" t="n">
        <v>259844</v>
      </c>
      <c r="G2228" s="2" t="s">
        <v>18</v>
      </c>
      <c r="H2228" s="2" t="n">
        <f aca="false">F2228/Tabla2[[#This Row],[Cosecha Mensual]]</f>
        <v>9.46711844646045</v>
      </c>
      <c r="I2228" s="2" t="n">
        <f aca="false">H2228*_xlfn.XLOOKUP(Tabla2[[#This Row],[Unidad de producción]],Tabla3[Medida],Tabla3[Equivalencia en Kg],"ELVIS",0)</f>
        <v>429.428492731446</v>
      </c>
      <c r="J2228" s="2" t="n">
        <v>863.28125</v>
      </c>
      <c r="K2228" s="2" t="s">
        <v>18</v>
      </c>
      <c r="L2228" s="2" t="n">
        <f aca="false">J2228/_xlfn.XLOOKUP(Tabla2[[#This Row],[Unidad de precio]],Tabla3[Medida],Tabla3[Equivalencia en Kg],"ELVIS",0)</f>
        <v>19.0317735890653</v>
      </c>
      <c r="M2228" s="2" t="n">
        <v>5033.45303788251</v>
      </c>
      <c r="N2228" s="3" t="n">
        <f aca="false">(Tabla2[[#This Row],[Productividad (kg/TAS)]]*Tabla2[[#This Row],[Precio por kg]]-Tabla2[[#This Row],[Costos (En RD$/Tarea)]])</f>
        <v>3139.33280847593</v>
      </c>
      <c r="O2228" s="9" t="n">
        <f aca="false">IF(Tabla2[[#This Row],[Costos (En RD$/Tarea)]]=0,0,Tabla2[[#This Row],[Beneficio Neto  (En RD$/Tarea)]]/Tabla2[[#This Row],[Costos (En RD$/Tarea)]])</f>
        <v>0.623693672087302</v>
      </c>
      <c r="P2228" s="7" t="n">
        <f aca="false">Tabla2[[#This Row],[Rentabilidad (%)]]/12</f>
        <v>0.0519744726739418</v>
      </c>
    </row>
    <row r="2229" customFormat="false" ht="14.25" hidden="false" customHeight="false" outlineLevel="0" collapsed="false">
      <c r="A2229" s="1" t="n">
        <v>42156</v>
      </c>
      <c r="B2229" s="2" t="s">
        <v>26</v>
      </c>
      <c r="C2229" s="3" t="n">
        <v>16524</v>
      </c>
      <c r="D2229" s="8" t="s">
        <v>17</v>
      </c>
      <c r="E2229" s="3" t="n">
        <f aca="false">IF(Tabla2[[#This Row],[Frecuencia]]="Annual", Tabla2[[#This Row],[Cosecha/Tarea]]/12,Tabla2[[#This Row],[Cosecha/Tarea]])</f>
        <v>16524</v>
      </c>
      <c r="F2229" s="3" t="n">
        <v>84044</v>
      </c>
      <c r="G2229" s="2" t="s">
        <v>18</v>
      </c>
      <c r="H2229" s="2" t="n">
        <f aca="false">F2229/Tabla2[[#This Row],[Cosecha Mensual]]</f>
        <v>5.08617768094892</v>
      </c>
      <c r="I2229" s="2" t="n">
        <f aca="false">H2229*_xlfn.XLOOKUP(Tabla2[[#This Row],[Unidad de producción]],Tabla3[Medida],Tabla3[Equivalencia en Kg],"ELVIS",0)</f>
        <v>230.709019607843</v>
      </c>
      <c r="J2229" s="2" t="n">
        <v>782.360833333333</v>
      </c>
      <c r="K2229" s="2" t="s">
        <v>18</v>
      </c>
      <c r="L2229" s="2" t="n">
        <f aca="false">J2229/_xlfn.XLOOKUP(Tabla2[[#This Row],[Unidad de precio]],Tabla3[Medida],Tabla3[Equivalencia en Kg],"ELVIS",0)</f>
        <v>17.2478137860082</v>
      </c>
      <c r="M2229" s="2" t="n">
        <v>2123.36088960426</v>
      </c>
      <c r="N2229" s="3" t="n">
        <f aca="false">(Tabla2[[#This Row],[Productividad (kg/TAS)]]*Tabla2[[#This Row],[Precio por kg]]-Tabla2[[#This Row],[Costos (En RD$/Tarea)]])</f>
        <v>1855.86531934434</v>
      </c>
      <c r="O2229" s="9" t="n">
        <f aca="false">IF(Tabla2[[#This Row],[Costos (En RD$/Tarea)]]=0,0,Tabla2[[#This Row],[Beneficio Neto  (En RD$/Tarea)]]/Tabla2[[#This Row],[Costos (En RD$/Tarea)]])</f>
        <v>0.874022559438883</v>
      </c>
      <c r="P2229" s="7" t="n">
        <f aca="false">Tabla2[[#This Row],[Rentabilidad (%)]]/12</f>
        <v>0.0728352132865736</v>
      </c>
    </row>
    <row r="2230" customFormat="false" ht="14.25" hidden="false" customHeight="false" outlineLevel="0" collapsed="false">
      <c r="A2230" s="1" t="n">
        <v>42156</v>
      </c>
      <c r="B2230" s="2" t="s">
        <v>27</v>
      </c>
      <c r="C2230" s="3" t="n">
        <v>6789</v>
      </c>
      <c r="D2230" s="8" t="s">
        <v>17</v>
      </c>
      <c r="E2230" s="3" t="n">
        <f aca="false">IF(Tabla2[[#This Row],[Frecuencia]]="Annual", Tabla2[[#This Row],[Cosecha/Tarea]]/12,Tabla2[[#This Row],[Cosecha/Tarea]])</f>
        <v>6789</v>
      </c>
      <c r="F2230" s="3" t="n">
        <v>38922</v>
      </c>
      <c r="G2230" s="2" t="s">
        <v>18</v>
      </c>
      <c r="H2230" s="2" t="n">
        <f aca="false">F2230/Tabla2[[#This Row],[Cosecha Mensual]]</f>
        <v>5.73309765797614</v>
      </c>
      <c r="I2230" s="2" t="n">
        <f aca="false">H2230*_xlfn.XLOOKUP(Tabla2[[#This Row],[Unidad de producción]],Tabla3[Medida],Tabla3[Equivalencia en Kg],"ELVIS",0)</f>
        <v>260.053309765798</v>
      </c>
      <c r="J2230" s="2" t="n">
        <v>704.75625</v>
      </c>
      <c r="K2230" s="2" t="s">
        <v>18</v>
      </c>
      <c r="L2230" s="2" t="n">
        <f aca="false">J2230/_xlfn.XLOOKUP(Tabla2[[#This Row],[Unidad de precio]],Tabla3[Medida],Tabla3[Equivalencia en Kg],"ELVIS",0)</f>
        <v>15.5369543650794</v>
      </c>
      <c r="M2230" s="2" t="n">
        <v>8682.692545606</v>
      </c>
      <c r="N2230" s="3" t="n">
        <f aca="false">(Tabla2[[#This Row],[Productividad (kg/TAS)]]*Tabla2[[#This Row],[Precio por kg]]-Tabla2[[#This Row],[Costos (En RD$/Tarea)]])</f>
        <v>-4642.25613928696</v>
      </c>
      <c r="O2230" s="9" t="n">
        <f aca="false">IF(Tabla2[[#This Row],[Costos (En RD$/Tarea)]]=0,0,Tabla2[[#This Row],[Beneficio Neto  (En RD$/Tarea)]]/Tabla2[[#This Row],[Costos (En RD$/Tarea)]])</f>
        <v>-0.534656284891285</v>
      </c>
      <c r="P2230" s="7" t="n">
        <f aca="false">Tabla2[[#This Row],[Rentabilidad (%)]]/12</f>
        <v>-0.044554690407607</v>
      </c>
    </row>
    <row r="2231" customFormat="false" ht="14.25" hidden="false" customHeight="false" outlineLevel="0" collapsed="false">
      <c r="A2231" s="1" t="n">
        <v>42156</v>
      </c>
      <c r="B2231" s="2" t="s">
        <v>28</v>
      </c>
      <c r="C2231" s="3" t="n">
        <v>4298</v>
      </c>
      <c r="D2231" s="8" t="s">
        <v>17</v>
      </c>
      <c r="E2231" s="3" t="n">
        <f aca="false">IF(Tabla2[[#This Row],[Frecuencia]]="Annual", Tabla2[[#This Row],[Cosecha/Tarea]]/12,Tabla2[[#This Row],[Cosecha/Tarea]])</f>
        <v>4298</v>
      </c>
      <c r="F2231" s="3" t="n">
        <v>98196</v>
      </c>
      <c r="G2231" s="2" t="s">
        <v>18</v>
      </c>
      <c r="H2231" s="2" t="n">
        <f aca="false">F2231/Tabla2[[#This Row],[Cosecha Mensual]]</f>
        <v>22.8469055374593</v>
      </c>
      <c r="I2231" s="2" t="n">
        <f aca="false">H2231*_xlfn.XLOOKUP(Tabla2[[#This Row],[Unidad de producción]],Tabla3[Medida],Tabla3[Equivalencia en Kg],"ELVIS",0)</f>
        <v>1036.33563517915</v>
      </c>
      <c r="J2231" s="2" t="n">
        <v>9043.2</v>
      </c>
      <c r="K2231" s="2" t="s">
        <v>29</v>
      </c>
      <c r="L2231" s="2" t="n">
        <f aca="false">J2231/_xlfn.XLOOKUP(Tabla2[[#This Row],[Unidad de precio]],Tabla3[Medida],Tabla3[Equivalencia en Kg],"ELVIS",0)</f>
        <v>16.0813742575666</v>
      </c>
      <c r="M2231" s="2" t="n">
        <v>7427.37867438309</v>
      </c>
      <c r="N2231" s="3" t="n">
        <f aca="false">(Tabla2[[#This Row],[Productividad (kg/TAS)]]*Tabla2[[#This Row],[Precio por kg]]-Tabla2[[#This Row],[Costos (En RD$/Tarea)]])</f>
        <v>9238.32253138587</v>
      </c>
      <c r="O2231" s="9" t="n">
        <f aca="false">IF(Tabla2[[#This Row],[Costos (En RD$/Tarea)]]=0,0,Tabla2[[#This Row],[Beneficio Neto  (En RD$/Tarea)]]/Tabla2[[#This Row],[Costos (En RD$/Tarea)]])</f>
        <v>1.24382005232192</v>
      </c>
      <c r="P2231" s="7" t="n">
        <f aca="false">Tabla2[[#This Row],[Rentabilidad (%)]]/12</f>
        <v>0.103651671026826</v>
      </c>
    </row>
    <row r="2232" customFormat="false" ht="14.25" hidden="false" customHeight="false" outlineLevel="0" collapsed="false">
      <c r="A2232" s="1" t="n">
        <v>42156</v>
      </c>
      <c r="B2232" s="2" t="s">
        <v>30</v>
      </c>
      <c r="C2232" s="3" t="n">
        <v>403054</v>
      </c>
      <c r="D2232" s="3" t="s">
        <v>31</v>
      </c>
      <c r="E2232" s="3" t="n">
        <f aca="false">IF(Tabla2[[#This Row],[Frecuencia]]="Annual", Tabla2[[#This Row],[Cosecha/Tarea]]/12,Tabla2[[#This Row],[Cosecha/Tarea]])</f>
        <v>33587.8333333333</v>
      </c>
      <c r="F2232" s="3" t="n">
        <v>2279103</v>
      </c>
      <c r="G2232" s="2" t="s">
        <v>18</v>
      </c>
      <c r="H2232" s="2" t="n">
        <f aca="false">F2232/Tabla2[[#This Row],[Cosecha Mensual]]</f>
        <v>67.8550169456202</v>
      </c>
      <c r="I2232" s="2" t="n">
        <f aca="false">H2232*_xlfn.XLOOKUP(Tabla2[[#This Row],[Unidad de producción]],Tabla3[Medida],Tabla3[Equivalencia en Kg],"ELVIS",0)</f>
        <v>3077.90356865333</v>
      </c>
      <c r="J2232" s="2" t="n">
        <v>165.914285714286</v>
      </c>
      <c r="K2232" s="2" t="s">
        <v>32</v>
      </c>
      <c r="L2232" s="2" t="n">
        <f aca="false">J2232/_xlfn.XLOOKUP(Tabla2[[#This Row],[Unidad de precio]],Tabla3[Medida],Tabla3[Equivalencia en Kg],"ELVIS",0)</f>
        <v>6.09754817031555</v>
      </c>
      <c r="M2232" s="3" t="n">
        <v>22429.7248632058</v>
      </c>
      <c r="N2232" s="3" t="n">
        <f aca="false">(Tabla2[[#This Row],[Productividad (kg/TAS)]]*Tabla2[[#This Row],[Precio por kg]]-Tabla2[[#This Row],[Costos (En RD$/Tarea)]])</f>
        <v>-3662.05958975599</v>
      </c>
      <c r="O2232" s="9" t="n">
        <f aca="false">IF(Tabla2[[#This Row],[Costos (En RD$/Tarea)]]=0,0,Tabla2[[#This Row],[Beneficio Neto  (En RD$/Tarea)]]/Tabla2[[#This Row],[Costos (En RD$/Tarea)]])</f>
        <v>-0.163268145823907</v>
      </c>
      <c r="P2232" s="7" t="n">
        <f aca="false">Tabla2[[#This Row],[Rentabilidad (%)]]/12</f>
        <v>-0.0136056788186589</v>
      </c>
    </row>
    <row r="2233" customFormat="false" ht="14.25" hidden="false" customHeight="false" outlineLevel="0" collapsed="false">
      <c r="A2233" s="1" t="n">
        <v>42156</v>
      </c>
      <c r="B2233" s="2" t="s">
        <v>33</v>
      </c>
      <c r="C2233" s="3" t="n">
        <v>726521</v>
      </c>
      <c r="D2233" s="3" t="s">
        <v>31</v>
      </c>
      <c r="E2233" s="11" t="n">
        <f aca="false">IF(Tabla2[[#This Row],[Frecuencia]]="Annual", Tabla2[[#This Row],[Cosecha/Tarea]]/12,Tabla2[[#This Row],[Cosecha/Tarea]])</f>
        <v>60543.4166666667</v>
      </c>
      <c r="F2233" s="3" t="n">
        <v>1754469</v>
      </c>
      <c r="G2233" s="2" t="s">
        <v>18</v>
      </c>
      <c r="H2233" s="2" t="n">
        <f aca="false">F2233/Tabla2[[#This Row],[Cosecha Mensual]]</f>
        <v>28.9786916001052</v>
      </c>
      <c r="I2233" s="2" t="n">
        <f aca="false">H2233*_xlfn.XLOOKUP(Tabla2[[#This Row],[Unidad de producción]],Tabla3[Medida],Tabla3[Equivalencia en Kg],"ELVIS",0)</f>
        <v>1314.47345098077</v>
      </c>
      <c r="J2233" s="2" t="n">
        <v>6450.965625</v>
      </c>
      <c r="K2233" s="2" t="s">
        <v>34</v>
      </c>
      <c r="L2233" s="2" t="n">
        <f aca="false">J2233/_xlfn.XLOOKUP(Tabla2[[#This Row],[Unidad de precio]],Tabla3[Medida],Tabla3[Equivalencia en Kg],"ELVIS",0)</f>
        <v>15.8053794560823</v>
      </c>
      <c r="M2233" s="3" t="n">
        <v>16317.7474581161</v>
      </c>
      <c r="N2233" s="3" t="n">
        <f aca="false">(Tabla2[[#This Row],[Productividad (kg/TAS)]]*Tabla2[[#This Row],[Precio por kg]]-Tabla2[[#This Row],[Costos (En RD$/Tarea)]])</f>
        <v>4458.004219581</v>
      </c>
      <c r="O2233" s="9" t="n">
        <f aca="false">IF(Tabla2[[#This Row],[Costos (En RD$/Tarea)]]=0,0,Tabla2[[#This Row],[Beneficio Neto  (En RD$/Tarea)]]/Tabla2[[#This Row],[Costos (En RD$/Tarea)]])</f>
        <v>0.273199731214352</v>
      </c>
      <c r="P2233" s="7" t="n">
        <f aca="false">Tabla2[[#This Row],[Rentabilidad (%)]]/12</f>
        <v>0.0227666442678627</v>
      </c>
    </row>
    <row r="2234" customFormat="false" ht="14.25" hidden="false" customHeight="false" outlineLevel="0" collapsed="false">
      <c r="A2234" s="1" t="n">
        <v>42186</v>
      </c>
      <c r="B2234" s="2" t="s">
        <v>16</v>
      </c>
      <c r="C2234" s="3" t="n">
        <v>30731</v>
      </c>
      <c r="D2234" s="8" t="s">
        <v>17</v>
      </c>
      <c r="E2234" s="3" t="n">
        <f aca="false">IF(Tabla2[[#This Row],[Frecuencia]]="Annual", Tabla2[[#This Row],[Cosecha/Tarea]]/12,Tabla2[[#This Row],[Cosecha/Tarea]])</f>
        <v>30731</v>
      </c>
      <c r="F2234" s="3" t="n">
        <v>137134</v>
      </c>
      <c r="G2234" s="2" t="s">
        <v>18</v>
      </c>
      <c r="H2234" s="2" t="n">
        <f aca="false">F2234/Tabla2[[#This Row],[Cosecha Mensual]]</f>
        <v>4.46239953141779</v>
      </c>
      <c r="I2234" s="2" t="n">
        <f aca="false">H2234*_xlfn.XLOOKUP(Tabla2[[#This Row],[Unidad de producción]],Tabla3[Medida],Tabla3[Equivalencia en Kg],"ELVIS",0)</f>
        <v>202.414442745111</v>
      </c>
      <c r="J2234" s="2" t="n">
        <v>1940.19888888889</v>
      </c>
      <c r="K2234" s="2" t="s">
        <v>19</v>
      </c>
      <c r="L2234" s="2" t="n">
        <f aca="false">J2234/_xlfn.XLOOKUP(Tabla2[[#This Row],[Unidad de precio]],Tabla3[Medida],Tabla3[Equivalencia en Kg],"ELVIS",0)</f>
        <v>17.6381717171717</v>
      </c>
      <c r="M2234" s="2" t="n">
        <v>7019.06666466125</v>
      </c>
      <c r="N2234" s="3" t="n">
        <f aca="false">(Tabla2[[#This Row],[Productividad (kg/TAS)]]*Tabla2[[#This Row],[Precio por kg]]-Tabla2[[#This Row],[Costos (En RD$/Tarea)]])</f>
        <v>-3448.84596548736</v>
      </c>
      <c r="O2234" s="9" t="n">
        <f aca="false">IF(Tabla2[[#This Row],[Costos (En RD$/Tarea)]]=0,0,Tabla2[[#This Row],[Beneficio Neto  (En RD$/Tarea)]]/Tabla2[[#This Row],[Costos (En RD$/Tarea)]])</f>
        <v>-0.491353926420331</v>
      </c>
      <c r="P2234" s="7" t="n">
        <f aca="false">Tabla2[[#This Row],[Rentabilidad (%)]]/12</f>
        <v>-0.0409461605350276</v>
      </c>
    </row>
    <row r="2235" customFormat="false" ht="14.25" hidden="false" customHeight="false" outlineLevel="0" collapsed="false">
      <c r="A2235" s="1" t="n">
        <v>42186</v>
      </c>
      <c r="B2235" s="2" t="s">
        <v>20</v>
      </c>
      <c r="C2235" s="3" t="n">
        <v>18274</v>
      </c>
      <c r="D2235" s="8" t="s">
        <v>17</v>
      </c>
      <c r="E2235" s="3" t="n">
        <f aca="false">IF(Tabla2[[#This Row],[Frecuencia]]="Annual", Tabla2[[#This Row],[Cosecha/Tarea]]/12,Tabla2[[#This Row],[Cosecha/Tarea]])</f>
        <v>18274</v>
      </c>
      <c r="F2235" s="3" t="n">
        <v>45158</v>
      </c>
      <c r="G2235" s="2" t="s">
        <v>18</v>
      </c>
      <c r="H2235" s="2" t="n">
        <f aca="false">F2235/Tabla2[[#This Row],[Cosecha Mensual]]</f>
        <v>2.47116121265186</v>
      </c>
      <c r="I2235" s="2" t="n">
        <f aca="false">H2235*_xlfn.XLOOKUP(Tabla2[[#This Row],[Unidad de producción]],Tabla3[Medida],Tabla3[Equivalencia en Kg],"ELVIS",0)</f>
        <v>112.091872605888</v>
      </c>
      <c r="J2235" s="2" t="n">
        <v>923.011785714286</v>
      </c>
      <c r="K2235" s="2" t="s">
        <v>18</v>
      </c>
      <c r="L2235" s="2" t="n">
        <f aca="false">J2235/_xlfn.XLOOKUP(Tabla2[[#This Row],[Unidad de precio]],Tabla3[Medida],Tabla3[Equivalencia en Kg],"ELVIS",0)</f>
        <v>20.3485843411439</v>
      </c>
      <c r="M2235" s="2" t="n">
        <v>2574.584905776</v>
      </c>
      <c r="N2235" s="3" t="n">
        <f aca="false">(Tabla2[[#This Row],[Productividad (kg/TAS)]]*Tabla2[[#This Row],[Precio por kg]]-Tabla2[[#This Row],[Costos (En RD$/Tarea)]])</f>
        <v>-293.673982098331</v>
      </c>
      <c r="O2235" s="9" t="n">
        <f aca="false">IF(Tabla2[[#This Row],[Costos (En RD$/Tarea)]]=0,0,Tabla2[[#This Row],[Beneficio Neto  (En RD$/Tarea)]]/Tabla2[[#This Row],[Costos (En RD$/Tarea)]])</f>
        <v>-0.114066536100434</v>
      </c>
      <c r="P2235" s="7" t="n">
        <f aca="false">Tabla2[[#This Row],[Rentabilidad (%)]]/12</f>
        <v>-0.00950554467503617</v>
      </c>
    </row>
    <row r="2236" customFormat="false" ht="14.25" hidden="false" customHeight="false" outlineLevel="0" collapsed="false">
      <c r="A2236" s="1" t="n">
        <v>42186</v>
      </c>
      <c r="B2236" s="2" t="s">
        <v>21</v>
      </c>
      <c r="C2236" s="3" t="n">
        <v>6078</v>
      </c>
      <c r="D2236" s="8" t="s">
        <v>17</v>
      </c>
      <c r="E2236" s="3" t="n">
        <f aca="false">IF(Tabla2[[#This Row],[Frecuencia]]="Annual", Tabla2[[#This Row],[Cosecha/Tarea]]/12,Tabla2[[#This Row],[Cosecha/Tarea]])</f>
        <v>6078</v>
      </c>
      <c r="F2236" s="3" t="n">
        <v>73132</v>
      </c>
      <c r="G2236" s="2" t="s">
        <v>18</v>
      </c>
      <c r="H2236" s="2" t="n">
        <f aca="false">F2236/Tabla2[[#This Row],[Cosecha Mensual]]</f>
        <v>12.032247449819</v>
      </c>
      <c r="I2236" s="2" t="n">
        <f aca="false">H2236*_xlfn.XLOOKUP(Tabla2[[#This Row],[Unidad de producción]],Tabla3[Medida],Tabla3[Equivalencia en Kg],"ELVIS",0)</f>
        <v>545.782744323791</v>
      </c>
      <c r="J2236" s="2" t="n">
        <v>297.839</v>
      </c>
      <c r="K2236" s="2" t="s">
        <v>18</v>
      </c>
      <c r="L2236" s="2" t="n">
        <f aca="false">J2236/_xlfn.XLOOKUP(Tabla2[[#This Row],[Unidad de precio]],Tabla3[Medida],Tabla3[Equivalencia en Kg],"ELVIS",0)</f>
        <v>6.56611552028219</v>
      </c>
      <c r="M2236" s="2" t="n">
        <v>5153.88882833038</v>
      </c>
      <c r="N2236" s="3" t="n">
        <f aca="false">(Tabla2[[#This Row],[Productividad (kg/TAS)]]*Tabla2[[#This Row],[Precio por kg]]-Tabla2[[#This Row],[Costos (En RD$/Tarea)]])</f>
        <v>-1570.21628012373</v>
      </c>
      <c r="O2236" s="9" t="n">
        <f aca="false">IF(Tabla2[[#This Row],[Costos (En RD$/Tarea)]]=0,0,Tabla2[[#This Row],[Beneficio Neto  (En RD$/Tarea)]]/Tabla2[[#This Row],[Costos (En RD$/Tarea)]])</f>
        <v>-0.304666307797021</v>
      </c>
      <c r="P2236" s="7" t="n">
        <f aca="false">Tabla2[[#This Row],[Rentabilidad (%)]]/12</f>
        <v>-0.0253888589830851</v>
      </c>
    </row>
    <row r="2237" customFormat="false" ht="14.25" hidden="false" customHeight="false" outlineLevel="0" collapsed="false">
      <c r="A2237" s="1" t="n">
        <v>42186</v>
      </c>
      <c r="B2237" s="2" t="s">
        <v>22</v>
      </c>
      <c r="C2237" s="3" t="n">
        <v>2670</v>
      </c>
      <c r="D2237" s="8" t="s">
        <v>17</v>
      </c>
      <c r="E2237" s="3" t="n">
        <f aca="false">IF(Tabla2[[#This Row],[Frecuencia]]="Annual", Tabla2[[#This Row],[Cosecha/Tarea]]/12,Tabla2[[#This Row],[Cosecha/Tarea]])</f>
        <v>2670</v>
      </c>
      <c r="F2237" s="3" t="n">
        <v>26586</v>
      </c>
      <c r="G2237" s="2" t="s">
        <v>18</v>
      </c>
      <c r="H2237" s="2" t="n">
        <f aca="false">F2237/Tabla2[[#This Row],[Cosecha Mensual]]</f>
        <v>9.95730337078652</v>
      </c>
      <c r="I2237" s="2" t="n">
        <f aca="false">H2237*_xlfn.XLOOKUP(Tabla2[[#This Row],[Unidad de producción]],Tabla3[Medida],Tabla3[Equivalencia en Kg],"ELVIS",0)</f>
        <v>451.663280898876</v>
      </c>
      <c r="J2237" s="2" t="n">
        <v>1219.9</v>
      </c>
      <c r="K2237" s="2" t="s">
        <v>18</v>
      </c>
      <c r="L2237" s="2" t="n">
        <f aca="false">J2237/_xlfn.XLOOKUP(Tabla2[[#This Row],[Unidad de precio]],Tabla3[Medida],Tabla3[Equivalencia en Kg],"ELVIS",0)</f>
        <v>26.8937389770723</v>
      </c>
      <c r="M2237" s="2" t="n">
        <v>9360.09200898452</v>
      </c>
      <c r="N2237" s="3" t="n">
        <f aca="false">(Tabla2[[#This Row],[Productividad (kg/TAS)]]*Tabla2[[#This Row],[Precio por kg]]-Tabla2[[#This Row],[Costos (En RD$/Tarea)]])</f>
        <v>2786.82237303795</v>
      </c>
      <c r="O2237" s="9" t="n">
        <f aca="false">IF(Tabla2[[#This Row],[Costos (En RD$/Tarea)]]=0,0,Tabla2[[#This Row],[Beneficio Neto  (En RD$/Tarea)]]/Tabla2[[#This Row],[Costos (En RD$/Tarea)]])</f>
        <v>0.297734506280809</v>
      </c>
      <c r="P2237" s="7" t="n">
        <f aca="false">Tabla2[[#This Row],[Rentabilidad (%)]]/12</f>
        <v>0.0248112088567341</v>
      </c>
    </row>
    <row r="2238" customFormat="false" ht="14.25" hidden="false" customHeight="false" outlineLevel="0" collapsed="false">
      <c r="A2238" s="1" t="n">
        <v>42186</v>
      </c>
      <c r="B2238" s="2" t="s">
        <v>23</v>
      </c>
      <c r="C2238" s="3" t="n">
        <v>2735</v>
      </c>
      <c r="D2238" s="8" t="s">
        <v>17</v>
      </c>
      <c r="E2238" s="3" t="n">
        <f aca="false">IF(Tabla2[[#This Row],[Frecuencia]]="Annual", Tabla2[[#This Row],[Cosecha/Tarea]]/12,Tabla2[[#This Row],[Cosecha/Tarea]])</f>
        <v>2735</v>
      </c>
      <c r="F2238" s="3" t="n">
        <v>103365</v>
      </c>
      <c r="G2238" s="2" t="s">
        <v>18</v>
      </c>
      <c r="H2238" s="2" t="n">
        <f aca="false">F2238/Tabla2[[#This Row],[Cosecha Mensual]]</f>
        <v>37.7934186471664</v>
      </c>
      <c r="I2238" s="2" t="n">
        <f aca="false">H2238*_xlfn.XLOOKUP(Tabla2[[#This Row],[Unidad de producción]],Tabla3[Medida],Tabla3[Equivalencia en Kg],"ELVIS",0)</f>
        <v>1714.30946983547</v>
      </c>
      <c r="J2238" s="2" t="n">
        <v>1016.03333333333</v>
      </c>
      <c r="K2238" s="2" t="s">
        <v>18</v>
      </c>
      <c r="L2238" s="2" t="n">
        <f aca="false">J2238/_xlfn.XLOOKUP(Tabla2[[#This Row],[Unidad de precio]],Tabla3[Medida],Tabla3[Equivalencia en Kg],"ELVIS",0)</f>
        <v>22.3993239271016</v>
      </c>
      <c r="M2238" s="2" t="n">
        <v>25505.1939374778</v>
      </c>
      <c r="N2238" s="3" t="n">
        <f aca="false">(Tabla2[[#This Row],[Productividad (kg/TAS)]]*Tabla2[[#This Row],[Precio por kg]]-Tabla2[[#This Row],[Costos (En RD$/Tarea)]])</f>
        <v>12894.1791886647</v>
      </c>
      <c r="O2238" s="9" t="n">
        <f aca="false">IF(Tabla2[[#This Row],[Costos (En RD$/Tarea)]]=0,0,Tabla2[[#This Row],[Beneficio Neto  (En RD$/Tarea)]]/Tabla2[[#This Row],[Costos (En RD$/Tarea)]])</f>
        <v>0.505551113246692</v>
      </c>
      <c r="P2238" s="7" t="n">
        <f aca="false">Tabla2[[#This Row],[Rentabilidad (%)]]/12</f>
        <v>0.0421292594372243</v>
      </c>
    </row>
    <row r="2239" customFormat="false" ht="14.25" hidden="false" customHeight="false" outlineLevel="0" collapsed="false">
      <c r="A2239" s="1" t="n">
        <v>42186</v>
      </c>
      <c r="B2239" s="2" t="s">
        <v>24</v>
      </c>
      <c r="C2239" s="3" t="n">
        <v>6144</v>
      </c>
      <c r="D2239" s="8" t="s">
        <v>17</v>
      </c>
      <c r="E2239" s="3" t="n">
        <f aca="false">IF(Tabla2[[#This Row],[Frecuencia]]="Annual", Tabla2[[#This Row],[Cosecha/Tarea]]/12,Tabla2[[#This Row],[Cosecha/Tarea]])</f>
        <v>6144</v>
      </c>
      <c r="F2239" s="3" t="n">
        <v>53570</v>
      </c>
      <c r="G2239" s="2" t="s">
        <v>18</v>
      </c>
      <c r="H2239" s="2" t="n">
        <f aca="false">F2239/Tabla2[[#This Row],[Cosecha Mensual]]</f>
        <v>8.71907552083333</v>
      </c>
      <c r="I2239" s="2" t="n">
        <f aca="false">H2239*_xlfn.XLOOKUP(Tabla2[[#This Row],[Unidad de producción]],Tabla3[Medida],Tabla3[Equivalencia en Kg],"ELVIS",0)</f>
        <v>395.497265625</v>
      </c>
      <c r="J2239" s="2" t="n">
        <v>1562.05729166667</v>
      </c>
      <c r="K2239" s="2" t="s">
        <v>18</v>
      </c>
      <c r="L2239" s="2" t="n">
        <f aca="false">J2239/_xlfn.XLOOKUP(Tabla2[[#This Row],[Unidad de precio]],Tabla3[Medida],Tabla3[Equivalencia en Kg],"ELVIS",0)</f>
        <v>34.4368891460906</v>
      </c>
      <c r="M2239" s="2" t="n">
        <v>9240.56556420077</v>
      </c>
      <c r="N2239" s="3" t="n">
        <f aca="false">(Tabla2[[#This Row],[Productividad (kg/TAS)]]*Tabla2[[#This Row],[Precio por kg]]-Tabla2[[#This Row],[Costos (En RD$/Tarea)]])</f>
        <v>4379.12992970931</v>
      </c>
      <c r="O2239" s="9" t="n">
        <f aca="false">IF(Tabla2[[#This Row],[Costos (En RD$/Tarea)]]=0,0,Tabla2[[#This Row],[Beneficio Neto  (En RD$/Tarea)]]/Tabla2[[#This Row],[Costos (En RD$/Tarea)]])</f>
        <v>0.473902803814808</v>
      </c>
      <c r="P2239" s="7" t="n">
        <f aca="false">Tabla2[[#This Row],[Rentabilidad (%)]]/12</f>
        <v>0.0394919003179007</v>
      </c>
    </row>
    <row r="2240" customFormat="false" ht="14.25" hidden="false" customHeight="false" outlineLevel="0" collapsed="false">
      <c r="A2240" s="1" t="n">
        <v>42186</v>
      </c>
      <c r="B2240" s="2" t="s">
        <v>25</v>
      </c>
      <c r="C2240" s="3" t="n">
        <v>21744</v>
      </c>
      <c r="D2240" s="8" t="s">
        <v>17</v>
      </c>
      <c r="E2240" s="3" t="n">
        <f aca="false">IF(Tabla2[[#This Row],[Frecuencia]]="Annual", Tabla2[[#This Row],[Cosecha/Tarea]]/12,Tabla2[[#This Row],[Cosecha/Tarea]])</f>
        <v>21744</v>
      </c>
      <c r="F2240" s="3" t="n">
        <v>211753</v>
      </c>
      <c r="G2240" s="2" t="s">
        <v>18</v>
      </c>
      <c r="H2240" s="2" t="n">
        <f aca="false">F2240/Tabla2[[#This Row],[Cosecha Mensual]]</f>
        <v>9.7384565857248</v>
      </c>
      <c r="I2240" s="2" t="n">
        <f aca="false">H2240*_xlfn.XLOOKUP(Tabla2[[#This Row],[Unidad de producción]],Tabla3[Medida],Tabla3[Equivalencia en Kg],"ELVIS",0)</f>
        <v>441.736390728477</v>
      </c>
      <c r="J2240" s="2" t="n">
        <v>495.03918125</v>
      </c>
      <c r="K2240" s="2" t="s">
        <v>18</v>
      </c>
      <c r="L2240" s="2" t="n">
        <f aca="false">J2240/_xlfn.XLOOKUP(Tabla2[[#This Row],[Unidad de precio]],Tabla3[Medida],Tabla3[Equivalencia en Kg],"ELVIS",0)</f>
        <v>10.9135621968695</v>
      </c>
      <c r="M2240" s="2" t="n">
        <v>5033.45303788251</v>
      </c>
      <c r="N2240" s="3" t="n">
        <f aca="false">(Tabla2[[#This Row],[Productividad (kg/TAS)]]*Tabla2[[#This Row],[Precio por kg]]-Tabla2[[#This Row],[Costos (En RD$/Tarea)]])</f>
        <v>-212.535463046636</v>
      </c>
      <c r="O2240" s="9" t="n">
        <f aca="false">IF(Tabla2[[#This Row],[Costos (En RD$/Tarea)]]=0,0,Tabla2[[#This Row],[Beneficio Neto  (En RD$/Tarea)]]/Tabla2[[#This Row],[Costos (En RD$/Tarea)]])</f>
        <v>-0.0422245844844609</v>
      </c>
      <c r="P2240" s="7" t="n">
        <f aca="false">Tabla2[[#This Row],[Rentabilidad (%)]]/12</f>
        <v>-0.00351871537370507</v>
      </c>
    </row>
    <row r="2241" customFormat="false" ht="14.25" hidden="false" customHeight="false" outlineLevel="0" collapsed="false">
      <c r="A2241" s="1" t="n">
        <v>42186</v>
      </c>
      <c r="B2241" s="2" t="s">
        <v>26</v>
      </c>
      <c r="C2241" s="3" t="n">
        <v>8108</v>
      </c>
      <c r="D2241" s="8" t="s">
        <v>17</v>
      </c>
      <c r="E2241" s="3" t="n">
        <f aca="false">IF(Tabla2[[#This Row],[Frecuencia]]="Annual", Tabla2[[#This Row],[Cosecha/Tarea]]/12,Tabla2[[#This Row],[Cosecha/Tarea]])</f>
        <v>8108</v>
      </c>
      <c r="F2241" s="3" t="n">
        <v>45872</v>
      </c>
      <c r="G2241" s="2" t="s">
        <v>18</v>
      </c>
      <c r="H2241" s="2" t="n">
        <f aca="false">F2241/Tabla2[[#This Row],[Cosecha Mensual]]</f>
        <v>5.65762210162802</v>
      </c>
      <c r="I2241" s="2" t="n">
        <f aca="false">H2241*_xlfn.XLOOKUP(Tabla2[[#This Row],[Unidad de producción]],Tabla3[Medida],Tabla3[Equivalencia en Kg],"ELVIS",0)</f>
        <v>256.629738529847</v>
      </c>
      <c r="J2241" s="2" t="n">
        <v>875.3475</v>
      </c>
      <c r="K2241" s="2" t="s">
        <v>18</v>
      </c>
      <c r="L2241" s="2" t="n">
        <f aca="false">J2241/_xlfn.XLOOKUP(Tabla2[[#This Row],[Unidad de precio]],Tabla3[Medida],Tabla3[Equivalencia en Kg],"ELVIS",0)</f>
        <v>19.2977843915344</v>
      </c>
      <c r="M2241" s="2" t="n">
        <v>2123.36088960426</v>
      </c>
      <c r="N2241" s="3" t="n">
        <f aca="false">(Tabla2[[#This Row],[Productividad (kg/TAS)]]*Tabla2[[#This Row],[Precio por kg]]-Tabla2[[#This Row],[Costos (En RD$/Tarea)]])</f>
        <v>2829.02447300057</v>
      </c>
      <c r="O2241" s="9" t="n">
        <f aca="false">IF(Tabla2[[#This Row],[Costos (En RD$/Tarea)]]=0,0,Tabla2[[#This Row],[Beneficio Neto  (En RD$/Tarea)]]/Tabla2[[#This Row],[Costos (En RD$/Tarea)]])</f>
        <v>1.33233332442505</v>
      </c>
      <c r="P2241" s="7" t="n">
        <f aca="false">Tabla2[[#This Row],[Rentabilidad (%)]]/12</f>
        <v>0.111027777035421</v>
      </c>
    </row>
    <row r="2242" customFormat="false" ht="14.25" hidden="false" customHeight="false" outlineLevel="0" collapsed="false">
      <c r="A2242" s="1" t="n">
        <v>42186</v>
      </c>
      <c r="B2242" s="2" t="s">
        <v>27</v>
      </c>
      <c r="C2242" s="3" t="n">
        <v>4543</v>
      </c>
      <c r="D2242" s="8" t="s">
        <v>17</v>
      </c>
      <c r="E2242" s="3" t="n">
        <f aca="false">IF(Tabla2[[#This Row],[Frecuencia]]="Annual", Tabla2[[#This Row],[Cosecha/Tarea]]/12,Tabla2[[#This Row],[Cosecha/Tarea]])</f>
        <v>4543</v>
      </c>
      <c r="F2242" s="3" t="n">
        <v>41748</v>
      </c>
      <c r="G2242" s="2" t="s">
        <v>18</v>
      </c>
      <c r="H2242" s="2" t="n">
        <f aca="false">F2242/Tabla2[[#This Row],[Cosecha Mensual]]</f>
        <v>9.18952234206472</v>
      </c>
      <c r="I2242" s="2" t="n">
        <f aca="false">H2242*_xlfn.XLOOKUP(Tabla2[[#This Row],[Unidad de producción]],Tabla3[Medida],Tabla3[Equivalencia en Kg],"ELVIS",0)</f>
        <v>416.836733436055</v>
      </c>
      <c r="J2242" s="2" t="n">
        <v>747.29195</v>
      </c>
      <c r="K2242" s="2" t="s">
        <v>18</v>
      </c>
      <c r="L2242" s="2" t="n">
        <f aca="false">J2242/_xlfn.XLOOKUP(Tabla2[[#This Row],[Unidad de precio]],Tabla3[Medida],Tabla3[Equivalencia en Kg],"ELVIS",0)</f>
        <v>16.4746902557319</v>
      </c>
      <c r="M2242" s="2" t="n">
        <v>8682.692545606</v>
      </c>
      <c r="N2242" s="3" t="n">
        <f aca="false">(Tabla2[[#This Row],[Productividad (kg/TAS)]]*Tabla2[[#This Row],[Precio por kg]]-Tabla2[[#This Row],[Costos (En RD$/Tarea)]])</f>
        <v>-1815.43647503589</v>
      </c>
      <c r="O2242" s="9" t="n">
        <f aca="false">IF(Tabla2[[#This Row],[Costos (En RD$/Tarea)]]=0,0,Tabla2[[#This Row],[Beneficio Neto  (En RD$/Tarea)]]/Tabla2[[#This Row],[Costos (En RD$/Tarea)]])</f>
        <v>-0.209086808671421</v>
      </c>
      <c r="P2242" s="7" t="n">
        <f aca="false">Tabla2[[#This Row],[Rentabilidad (%)]]/12</f>
        <v>-0.0174239007226184</v>
      </c>
    </row>
    <row r="2243" customFormat="false" ht="14.25" hidden="false" customHeight="false" outlineLevel="0" collapsed="false">
      <c r="A2243" s="1" t="n">
        <v>42186</v>
      </c>
      <c r="B2243" s="2" t="s">
        <v>28</v>
      </c>
      <c r="C2243" s="3" t="n">
        <v>37377</v>
      </c>
      <c r="D2243" s="8" t="s">
        <v>17</v>
      </c>
      <c r="E2243" s="3" t="n">
        <f aca="false">IF(Tabla2[[#This Row],[Frecuencia]]="Annual", Tabla2[[#This Row],[Cosecha/Tarea]]/12,Tabla2[[#This Row],[Cosecha/Tarea]])</f>
        <v>37377</v>
      </c>
      <c r="F2243" s="3" t="n">
        <v>966036</v>
      </c>
      <c r="G2243" s="2" t="s">
        <v>18</v>
      </c>
      <c r="H2243" s="2" t="n">
        <f aca="false">F2243/Tabla2[[#This Row],[Cosecha Mensual]]</f>
        <v>25.8457340075447</v>
      </c>
      <c r="I2243" s="2" t="n">
        <f aca="false">H2243*_xlfn.XLOOKUP(Tabla2[[#This Row],[Unidad de producción]],Tabla3[Medida],Tabla3[Equivalencia en Kg],"ELVIS",0)</f>
        <v>1172.36249458223</v>
      </c>
      <c r="J2243" s="2" t="n">
        <v>10084.25</v>
      </c>
      <c r="K2243" s="2" t="s">
        <v>29</v>
      </c>
      <c r="L2243" s="2" t="n">
        <f aca="false">J2243/_xlfn.XLOOKUP(Tabla2[[#This Row],[Unidad de precio]],Tabla3[Medida],Tabla3[Equivalencia en Kg],"ELVIS",0)</f>
        <v>17.9326564000427</v>
      </c>
      <c r="M2243" s="2" t="n">
        <v>7427.37867438309</v>
      </c>
      <c r="N2243" s="3" t="n">
        <f aca="false">(Tabla2[[#This Row],[Productividad (kg/TAS)]]*Tabla2[[#This Row],[Precio por kg]]-Tabla2[[#This Row],[Costos (En RD$/Tarea)]])</f>
        <v>13596.1951172569</v>
      </c>
      <c r="O2243" s="9" t="n">
        <f aca="false">IF(Tabla2[[#This Row],[Costos (En RD$/Tarea)]]=0,0,Tabla2[[#This Row],[Beneficio Neto  (En RD$/Tarea)]]/Tabla2[[#This Row],[Costos (En RD$/Tarea)]])</f>
        <v>1.83055095388498</v>
      </c>
      <c r="P2243" s="7" t="n">
        <f aca="false">Tabla2[[#This Row],[Rentabilidad (%)]]/12</f>
        <v>0.152545912823748</v>
      </c>
    </row>
    <row r="2244" customFormat="false" ht="14.25" hidden="false" customHeight="false" outlineLevel="0" collapsed="false">
      <c r="A2244" s="1" t="n">
        <v>42186</v>
      </c>
      <c r="B2244" s="2" t="s">
        <v>30</v>
      </c>
      <c r="C2244" s="3" t="n">
        <v>406275</v>
      </c>
      <c r="D2244" s="3" t="s">
        <v>31</v>
      </c>
      <c r="E2244" s="3" t="n">
        <f aca="false">IF(Tabla2[[#This Row],[Frecuencia]]="Annual", Tabla2[[#This Row],[Cosecha/Tarea]]/12,Tabla2[[#This Row],[Cosecha/Tarea]])</f>
        <v>33856.25</v>
      </c>
      <c r="F2244" s="3" t="n">
        <v>2102224.8</v>
      </c>
      <c r="G2244" s="2" t="s">
        <v>18</v>
      </c>
      <c r="H2244" s="2" t="n">
        <f aca="false">F2244/Tabla2[[#This Row],[Cosecha Mensual]]</f>
        <v>62.0926653129038</v>
      </c>
      <c r="I2244" s="2" t="n">
        <f aca="false">H2244*_xlfn.XLOOKUP(Tabla2[[#This Row],[Unidad de producción]],Tabla3[Medida],Tabla3[Equivalencia en Kg],"ELVIS",0)</f>
        <v>2816.52329859332</v>
      </c>
      <c r="J2244" s="2" t="n">
        <v>169.35</v>
      </c>
      <c r="K2244" s="2" t="s">
        <v>32</v>
      </c>
      <c r="L2244" s="2" t="n">
        <f aca="false">J2244/_xlfn.XLOOKUP(Tabla2[[#This Row],[Unidad de precio]],Tabla3[Medida],Tabla3[Equivalencia en Kg],"ELVIS",0)</f>
        <v>6.22381477398015</v>
      </c>
      <c r="M2244" s="3" t="n">
        <v>22429.7248632058</v>
      </c>
      <c r="N2244" s="3" t="n">
        <f aca="false">(Tabla2[[#This Row],[Productividad (kg/TAS)]]*Tabla2[[#This Row],[Precio por kg]]-Tabla2[[#This Row],[Costos (En RD$/Tarea)]])</f>
        <v>-4900.2055461614</v>
      </c>
      <c r="O2244" s="9" t="n">
        <f aca="false">IF(Tabla2[[#This Row],[Costos (En RD$/Tarea)]]=0,0,Tabla2[[#This Row],[Beneficio Neto  (En RD$/Tarea)]]/Tabla2[[#This Row],[Costos (En RD$/Tarea)]])</f>
        <v>-0.218469266834378</v>
      </c>
      <c r="P2244" s="7" t="n">
        <f aca="false">Tabla2[[#This Row],[Rentabilidad (%)]]/12</f>
        <v>-0.0182057722361982</v>
      </c>
    </row>
    <row r="2245" customFormat="false" ht="14.25" hidden="false" customHeight="false" outlineLevel="0" collapsed="false">
      <c r="A2245" s="1" t="n">
        <v>42186</v>
      </c>
      <c r="B2245" s="2" t="s">
        <v>33</v>
      </c>
      <c r="C2245" s="3" t="n">
        <v>762021</v>
      </c>
      <c r="D2245" s="3" t="s">
        <v>31</v>
      </c>
      <c r="E2245" s="11" t="n">
        <f aca="false">IF(Tabla2[[#This Row],[Frecuencia]]="Annual", Tabla2[[#This Row],[Cosecha/Tarea]]/12,Tabla2[[#This Row],[Cosecha/Tarea]])</f>
        <v>63501.75</v>
      </c>
      <c r="F2245" s="3" t="n">
        <v>1768734</v>
      </c>
      <c r="G2245" s="2" t="s">
        <v>18</v>
      </c>
      <c r="H2245" s="2" t="n">
        <f aca="false">F2245/Tabla2[[#This Row],[Cosecha Mensual]]</f>
        <v>27.8533111292209</v>
      </c>
      <c r="I2245" s="2" t="n">
        <f aca="false">H2245*_xlfn.XLOOKUP(Tabla2[[#This Row],[Unidad de producción]],Tabla3[Medida],Tabla3[Equivalencia en Kg],"ELVIS",0)</f>
        <v>1263.42619282146</v>
      </c>
      <c r="J2245" s="2" t="n">
        <v>7165.66666666667</v>
      </c>
      <c r="K2245" s="2" t="s">
        <v>34</v>
      </c>
      <c r="L2245" s="2" t="n">
        <f aca="false">J2245/_xlfn.XLOOKUP(Tabla2[[#This Row],[Unidad de precio]],Tabla3[Medida],Tabla3[Equivalencia en Kg],"ELVIS",0)</f>
        <v>17.5564539180857</v>
      </c>
      <c r="M2245" s="3" t="n">
        <v>16317.7474581161</v>
      </c>
      <c r="N2245" s="3" t="n">
        <f aca="false">(Tabla2[[#This Row],[Productividad (kg/TAS)]]*Tabla2[[#This Row],[Precio por kg]]-Tabla2[[#This Row],[Costos (En RD$/Tarea)]])</f>
        <v>5863.53627505626</v>
      </c>
      <c r="O2245" s="9" t="n">
        <f aca="false">IF(Tabla2[[#This Row],[Costos (En RD$/Tarea)]]=0,0,Tabla2[[#This Row],[Beneficio Neto  (En RD$/Tarea)]]/Tabla2[[#This Row],[Costos (En RD$/Tarea)]])</f>
        <v>0.359334907597179</v>
      </c>
      <c r="P2245" s="7" t="n">
        <f aca="false">Tabla2[[#This Row],[Rentabilidad (%)]]/12</f>
        <v>0.0299445756330983</v>
      </c>
    </row>
    <row r="2246" customFormat="false" ht="14.25" hidden="false" customHeight="false" outlineLevel="0" collapsed="false">
      <c r="A2246" s="1" t="n">
        <v>42217</v>
      </c>
      <c r="B2246" s="2" t="s">
        <v>16</v>
      </c>
      <c r="C2246" s="3" t="n">
        <v>135879</v>
      </c>
      <c r="D2246" s="8" t="s">
        <v>17</v>
      </c>
      <c r="E2246" s="3" t="n">
        <f aca="false">IF(Tabla2[[#This Row],[Frecuencia]]="Annual", Tabla2[[#This Row],[Cosecha/Tarea]]/12,Tabla2[[#This Row],[Cosecha/Tarea]])</f>
        <v>135879</v>
      </c>
      <c r="F2246" s="3" t="n">
        <v>560703</v>
      </c>
      <c r="G2246" s="2" t="s">
        <v>18</v>
      </c>
      <c r="H2246" s="2" t="n">
        <f aca="false">F2246/Tabla2[[#This Row],[Cosecha Mensual]]</f>
        <v>4.12648753670545</v>
      </c>
      <c r="I2246" s="2" t="n">
        <f aca="false">H2246*_xlfn.XLOOKUP(Tabla2[[#This Row],[Unidad de producción]],Tabla3[Medida],Tabla3[Equivalencia en Kg],"ELVIS",0)</f>
        <v>187.177474664959</v>
      </c>
      <c r="J2246" s="2" t="n">
        <v>1872.02433333333</v>
      </c>
      <c r="K2246" s="2" t="s">
        <v>19</v>
      </c>
      <c r="L2246" s="2" t="n">
        <f aca="false">J2246/_xlfn.XLOOKUP(Tabla2[[#This Row],[Unidad de precio]],Tabla3[Medida],Tabla3[Equivalencia en Kg],"ELVIS",0)</f>
        <v>17.018403030303</v>
      </c>
      <c r="M2246" s="2" t="n">
        <v>7019.06666466125</v>
      </c>
      <c r="N2246" s="3" t="n">
        <f aca="false">(Tabla2[[#This Row],[Productividad (kg/TAS)]]*Tabla2[[#This Row],[Precio por kg]]-Tabla2[[#This Row],[Costos (En RD$/Tarea)]])</f>
        <v>-3833.60496261864</v>
      </c>
      <c r="O2246" s="9" t="n">
        <f aca="false">IF(Tabla2[[#This Row],[Costos (En RD$/Tarea)]]=0,0,Tabla2[[#This Row],[Beneficio Neto  (En RD$/Tarea)]]/Tabla2[[#This Row],[Costos (En RD$/Tarea)]])</f>
        <v>-0.546170188398354</v>
      </c>
      <c r="P2246" s="7" t="n">
        <f aca="false">Tabla2[[#This Row],[Rentabilidad (%)]]/12</f>
        <v>-0.0455141823665295</v>
      </c>
    </row>
    <row r="2247" customFormat="false" ht="14.25" hidden="false" customHeight="false" outlineLevel="0" collapsed="false">
      <c r="A2247" s="1" t="n">
        <v>42217</v>
      </c>
      <c r="B2247" s="2" t="s">
        <v>20</v>
      </c>
      <c r="C2247" s="3" t="n">
        <v>35202</v>
      </c>
      <c r="D2247" s="8" t="s">
        <v>17</v>
      </c>
      <c r="E2247" s="3" t="n">
        <f aca="false">IF(Tabla2[[#This Row],[Frecuencia]]="Annual", Tabla2[[#This Row],[Cosecha/Tarea]]/12,Tabla2[[#This Row],[Cosecha/Tarea]])</f>
        <v>35202</v>
      </c>
      <c r="F2247" s="3" t="n">
        <v>56850</v>
      </c>
      <c r="G2247" s="2" t="s">
        <v>18</v>
      </c>
      <c r="H2247" s="2" t="n">
        <f aca="false">F2247/Tabla2[[#This Row],[Cosecha Mensual]]</f>
        <v>1.61496505880348</v>
      </c>
      <c r="I2247" s="2" t="n">
        <f aca="false">H2247*_xlfn.XLOOKUP(Tabla2[[#This Row],[Unidad de producción]],Tabla3[Medida],Tabla3[Equivalencia en Kg],"ELVIS",0)</f>
        <v>73.2548150673257</v>
      </c>
      <c r="J2247" s="2" t="n">
        <v>989.244285714286</v>
      </c>
      <c r="K2247" s="2" t="s">
        <v>18</v>
      </c>
      <c r="L2247" s="2" t="n">
        <f aca="false">J2247/_xlfn.XLOOKUP(Tabla2[[#This Row],[Unidad de precio]],Tabla3[Medida],Tabla3[Equivalencia en Kg],"ELVIS",0)</f>
        <v>21.808736457546</v>
      </c>
      <c r="M2247" s="2" t="n">
        <v>2574.584905776</v>
      </c>
      <c r="N2247" s="3" t="n">
        <f aca="false">(Tabla2[[#This Row],[Productividad (kg/TAS)]]*Tabla2[[#This Row],[Precio por kg]]-Tabla2[[#This Row],[Costos (En RD$/Tarea)]])</f>
        <v>-976.989949726425</v>
      </c>
      <c r="O2247" s="9" t="n">
        <f aca="false">IF(Tabla2[[#This Row],[Costos (En RD$/Tarea)]]=0,0,Tabla2[[#This Row],[Beneficio Neto  (En RD$/Tarea)]]/Tabla2[[#This Row],[Costos (En RD$/Tarea)]])</f>
        <v>-0.379474744660616</v>
      </c>
      <c r="P2247" s="7" t="n">
        <f aca="false">Tabla2[[#This Row],[Rentabilidad (%)]]/12</f>
        <v>-0.0316228953883847</v>
      </c>
    </row>
    <row r="2248" customFormat="false" ht="14.25" hidden="false" customHeight="false" outlineLevel="0" collapsed="false">
      <c r="A2248" s="1" t="n">
        <v>42217</v>
      </c>
      <c r="B2248" s="2" t="s">
        <v>21</v>
      </c>
      <c r="C2248" s="3" t="n">
        <v>4557</v>
      </c>
      <c r="D2248" s="8" t="s">
        <v>17</v>
      </c>
      <c r="E2248" s="3" t="n">
        <f aca="false">IF(Tabla2[[#This Row],[Frecuencia]]="Annual", Tabla2[[#This Row],[Cosecha/Tarea]]/12,Tabla2[[#This Row],[Cosecha/Tarea]])</f>
        <v>4557</v>
      </c>
      <c r="F2248" s="3" t="n">
        <v>53857</v>
      </c>
      <c r="G2248" s="2" t="s">
        <v>18</v>
      </c>
      <c r="H2248" s="2" t="n">
        <f aca="false">F2248/Tabla2[[#This Row],[Cosecha Mensual]]</f>
        <v>11.8185209567698</v>
      </c>
      <c r="I2248" s="2" t="n">
        <f aca="false">H2248*_xlfn.XLOOKUP(Tabla2[[#This Row],[Unidad de producción]],Tabla3[Medida],Tabla3[Equivalencia en Kg],"ELVIS",0)</f>
        <v>536.088110599078</v>
      </c>
      <c r="J2248" s="2" t="n">
        <v>407.42208</v>
      </c>
      <c r="K2248" s="2" t="s">
        <v>18</v>
      </c>
      <c r="L2248" s="2" t="n">
        <f aca="false">J2248/_xlfn.XLOOKUP(Tabla2[[#This Row],[Unidad de precio]],Tabla3[Medida],Tabla3[Equivalencia en Kg],"ELVIS",0)</f>
        <v>8.98196825396826</v>
      </c>
      <c r="M2248" s="2" t="n">
        <v>5153.88882833038</v>
      </c>
      <c r="N2248" s="3" t="n">
        <f aca="false">(Tabla2[[#This Row],[Productividad (kg/TAS)]]*Tabla2[[#This Row],[Precio por kg]]-Tabla2[[#This Row],[Costos (En RD$/Tarea)]])</f>
        <v>-338.762437599637</v>
      </c>
      <c r="O2248" s="9" t="n">
        <f aca="false">IF(Tabla2[[#This Row],[Costos (En RD$/Tarea)]]=0,0,Tabla2[[#This Row],[Beneficio Neto  (En RD$/Tarea)]]/Tabla2[[#This Row],[Costos (En RD$/Tarea)]])</f>
        <v>-0.0657294809576597</v>
      </c>
      <c r="P2248" s="7" t="n">
        <f aca="false">Tabla2[[#This Row],[Rentabilidad (%)]]/12</f>
        <v>-0.00547745674647164</v>
      </c>
    </row>
    <row r="2249" customFormat="false" ht="14.25" hidden="false" customHeight="false" outlineLevel="0" collapsed="false">
      <c r="A2249" s="1" t="n">
        <v>42217</v>
      </c>
      <c r="B2249" s="2" t="s">
        <v>22</v>
      </c>
      <c r="C2249" s="3" t="n">
        <v>4201</v>
      </c>
      <c r="D2249" s="8" t="s">
        <v>17</v>
      </c>
      <c r="E2249" s="3" t="n">
        <f aca="false">IF(Tabla2[[#This Row],[Frecuencia]]="Annual", Tabla2[[#This Row],[Cosecha/Tarea]]/12,Tabla2[[#This Row],[Cosecha/Tarea]])</f>
        <v>4201</v>
      </c>
      <c r="F2249" s="3" t="n">
        <v>32154</v>
      </c>
      <c r="G2249" s="2" t="s">
        <v>18</v>
      </c>
      <c r="H2249" s="2" t="n">
        <f aca="false">F2249/Tabla2[[#This Row],[Cosecha Mensual]]</f>
        <v>7.65389193049274</v>
      </c>
      <c r="I2249" s="2" t="n">
        <f aca="false">H2249*_xlfn.XLOOKUP(Tabla2[[#This Row],[Unidad de producción]],Tabla3[Medida],Tabla3[Equivalencia en Kg],"ELVIS",0)</f>
        <v>347.180537967151</v>
      </c>
      <c r="J2249" s="2" t="n">
        <v>1746.26388888889</v>
      </c>
      <c r="K2249" s="2" t="s">
        <v>18</v>
      </c>
      <c r="L2249" s="2" t="n">
        <f aca="false">J2249/_xlfn.XLOOKUP(Tabla2[[#This Row],[Unidad de precio]],Tabla3[Medida],Tabla3[Equivalencia en Kg],"ELVIS",0)</f>
        <v>38.4978811483441</v>
      </c>
      <c r="M2249" s="2" t="n">
        <v>9360.09200898452</v>
      </c>
      <c r="N2249" s="3" t="n">
        <f aca="false">(Tabla2[[#This Row],[Productividad (kg/TAS)]]*Tabla2[[#This Row],[Precio por kg]]-Tabla2[[#This Row],[Costos (En RD$/Tarea)]])</f>
        <v>4005.62307869302</v>
      </c>
      <c r="O2249" s="9" t="n">
        <f aca="false">IF(Tabla2[[#This Row],[Costos (En RD$/Tarea)]]=0,0,Tabla2[[#This Row],[Beneficio Neto  (En RD$/Tarea)]]/Tabla2[[#This Row],[Costos (En RD$/Tarea)]])</f>
        <v>0.42794697689383</v>
      </c>
      <c r="P2249" s="7" t="n">
        <f aca="false">Tabla2[[#This Row],[Rentabilidad (%)]]/12</f>
        <v>0.0356622480744859</v>
      </c>
    </row>
    <row r="2250" customFormat="false" ht="14.25" hidden="false" customHeight="false" outlineLevel="0" collapsed="false">
      <c r="A2250" s="1" t="n">
        <v>42217</v>
      </c>
      <c r="B2250" s="2" t="s">
        <v>23</v>
      </c>
      <c r="C2250" s="3" t="n">
        <v>2659</v>
      </c>
      <c r="D2250" s="8" t="s">
        <v>17</v>
      </c>
      <c r="E2250" s="3" t="n">
        <f aca="false">IF(Tabla2[[#This Row],[Frecuencia]]="Annual", Tabla2[[#This Row],[Cosecha/Tarea]]/12,Tabla2[[#This Row],[Cosecha/Tarea]])</f>
        <v>2659</v>
      </c>
      <c r="F2250" s="3" t="n">
        <v>102200</v>
      </c>
      <c r="G2250" s="2" t="s">
        <v>18</v>
      </c>
      <c r="H2250" s="2" t="n">
        <f aca="false">F2250/Tabla2[[#This Row],[Cosecha Mensual]]</f>
        <v>38.4355020684468</v>
      </c>
      <c r="I2250" s="2" t="n">
        <f aca="false">H2250*_xlfn.XLOOKUP(Tabla2[[#This Row],[Unidad de producción]],Tabla3[Medida],Tabla3[Equivalencia en Kg],"ELVIS",0)</f>
        <v>1743.43437382475</v>
      </c>
      <c r="J2250" s="2" t="n">
        <v>1041.75</v>
      </c>
      <c r="K2250" s="2" t="s">
        <v>18</v>
      </c>
      <c r="L2250" s="2" t="n">
        <f aca="false">J2250/_xlfn.XLOOKUP(Tabla2[[#This Row],[Unidad de precio]],Tabla3[Medida],Tabla3[Equivalencia en Kg],"ELVIS",0)</f>
        <v>22.9662698412698</v>
      </c>
      <c r="M2250" s="2" t="n">
        <v>25505.1939374778</v>
      </c>
      <c r="N2250" s="3" t="n">
        <f aca="false">(Tabla2[[#This Row],[Productividad (kg/TAS)]]*Tabla2[[#This Row],[Precio por kg]]-Tabla2[[#This Row],[Costos (En RD$/Tarea)]])</f>
        <v>14534.9903423266</v>
      </c>
      <c r="O2250" s="9" t="n">
        <f aca="false">IF(Tabla2[[#This Row],[Costos (En RD$/Tarea)]]=0,0,Tabla2[[#This Row],[Beneficio Neto  (En RD$/Tarea)]]/Tabla2[[#This Row],[Costos (En RD$/Tarea)]])</f>
        <v>0.569883545208753</v>
      </c>
      <c r="P2250" s="7" t="n">
        <f aca="false">Tabla2[[#This Row],[Rentabilidad (%)]]/12</f>
        <v>0.0474902954340627</v>
      </c>
    </row>
    <row r="2251" customFormat="false" ht="14.25" hidden="false" customHeight="false" outlineLevel="0" collapsed="false">
      <c r="A2251" s="1" t="n">
        <v>42217</v>
      </c>
      <c r="B2251" s="2" t="s">
        <v>24</v>
      </c>
      <c r="C2251" s="3" t="n">
        <v>4324</v>
      </c>
      <c r="D2251" s="8" t="s">
        <v>17</v>
      </c>
      <c r="E2251" s="3" t="n">
        <f aca="false">IF(Tabla2[[#This Row],[Frecuencia]]="Annual", Tabla2[[#This Row],[Cosecha/Tarea]]/12,Tabla2[[#This Row],[Cosecha/Tarea]])</f>
        <v>4324</v>
      </c>
      <c r="F2251" s="3" t="n">
        <v>47243</v>
      </c>
      <c r="G2251" s="2" t="s">
        <v>18</v>
      </c>
      <c r="H2251" s="2" t="n">
        <f aca="false">F2251/Tabla2[[#This Row],[Cosecha Mensual]]</f>
        <v>10.9257631822387</v>
      </c>
      <c r="I2251" s="2" t="n">
        <f aca="false">H2251*_xlfn.XLOOKUP(Tabla2[[#This Row],[Unidad de producción]],Tabla3[Medida],Tabla3[Equivalencia en Kg],"ELVIS",0)</f>
        <v>495.592617946346</v>
      </c>
      <c r="J2251" s="2" t="n">
        <v>1597.10714285714</v>
      </c>
      <c r="K2251" s="2" t="s">
        <v>18</v>
      </c>
      <c r="L2251" s="2" t="n">
        <f aca="false">J2251/_xlfn.XLOOKUP(Tabla2[[#This Row],[Unidad de precio]],Tabla3[Medida],Tabla3[Equivalencia en Kg],"ELVIS",0)</f>
        <v>35.2095930964978</v>
      </c>
      <c r="M2251" s="2" t="n">
        <v>9240.56556420077</v>
      </c>
      <c r="N2251" s="3" t="n">
        <f aca="false">(Tabla2[[#This Row],[Productividad (kg/TAS)]]*Tabla2[[#This Row],[Precio por kg]]-Tabla2[[#This Row],[Costos (En RD$/Tarea)]])</f>
        <v>8209.04885531816</v>
      </c>
      <c r="O2251" s="9" t="n">
        <f aca="false">IF(Tabla2[[#This Row],[Costos (En RD$/Tarea)]]=0,0,Tabla2[[#This Row],[Beneficio Neto  (En RD$/Tarea)]]/Tabla2[[#This Row],[Costos (En RD$/Tarea)]])</f>
        <v>0.88837082517126</v>
      </c>
      <c r="P2251" s="7" t="n">
        <f aca="false">Tabla2[[#This Row],[Rentabilidad (%)]]/12</f>
        <v>0.074030902097605</v>
      </c>
    </row>
    <row r="2252" customFormat="false" ht="14.25" hidden="false" customHeight="false" outlineLevel="0" collapsed="false">
      <c r="A2252" s="1" t="n">
        <v>42217</v>
      </c>
      <c r="B2252" s="2" t="s">
        <v>25</v>
      </c>
      <c r="C2252" s="3" t="n">
        <v>21371</v>
      </c>
      <c r="D2252" s="8" t="s">
        <v>17</v>
      </c>
      <c r="E2252" s="3" t="n">
        <f aca="false">IF(Tabla2[[#This Row],[Frecuencia]]="Annual", Tabla2[[#This Row],[Cosecha/Tarea]]/12,Tabla2[[#This Row],[Cosecha/Tarea]])</f>
        <v>21371</v>
      </c>
      <c r="F2252" s="3" t="n">
        <v>205752</v>
      </c>
      <c r="G2252" s="2" t="s">
        <v>18</v>
      </c>
      <c r="H2252" s="2" t="n">
        <f aca="false">F2252/Tabla2[[#This Row],[Cosecha Mensual]]</f>
        <v>9.62762622245099</v>
      </c>
      <c r="I2252" s="2" t="n">
        <f aca="false">H2252*_xlfn.XLOOKUP(Tabla2[[#This Row],[Unidad de producción]],Tabla3[Medida],Tabla3[Equivalencia en Kg],"ELVIS",0)</f>
        <v>436.709125450377</v>
      </c>
      <c r="J2252" s="2" t="n">
        <v>969.714285714286</v>
      </c>
      <c r="K2252" s="2" t="s">
        <v>18</v>
      </c>
      <c r="L2252" s="2" t="n">
        <f aca="false">J2252/_xlfn.XLOOKUP(Tabla2[[#This Row],[Unidad de precio]],Tabla3[Medida],Tabla3[Equivalencia en Kg],"ELVIS",0)</f>
        <v>21.3781809019904</v>
      </c>
      <c r="M2252" s="2" t="n">
        <v>5033.45303788251</v>
      </c>
      <c r="N2252" s="3" t="n">
        <f aca="false">(Tabla2[[#This Row],[Productividad (kg/TAS)]]*Tabla2[[#This Row],[Precio por kg]]-Tabla2[[#This Row],[Costos (En RD$/Tarea)]])</f>
        <v>4302.59364754568</v>
      </c>
      <c r="O2252" s="9" t="n">
        <f aca="false">IF(Tabla2[[#This Row],[Costos (En RD$/Tarea)]]=0,0,Tabla2[[#This Row],[Beneficio Neto  (En RD$/Tarea)]]/Tabla2[[#This Row],[Costos (En RD$/Tarea)]])</f>
        <v>0.854799600823475</v>
      </c>
      <c r="P2252" s="7" t="n">
        <f aca="false">Tabla2[[#This Row],[Rentabilidad (%)]]/12</f>
        <v>0.0712333000686229</v>
      </c>
    </row>
    <row r="2253" customFormat="false" ht="14.25" hidden="false" customHeight="false" outlineLevel="0" collapsed="false">
      <c r="A2253" s="1" t="n">
        <v>42217</v>
      </c>
      <c r="B2253" s="2" t="s">
        <v>26</v>
      </c>
      <c r="C2253" s="3" t="n">
        <v>7572</v>
      </c>
      <c r="D2253" s="8" t="s">
        <v>17</v>
      </c>
      <c r="E2253" s="3" t="n">
        <f aca="false">IF(Tabla2[[#This Row],[Frecuencia]]="Annual", Tabla2[[#This Row],[Cosecha/Tarea]]/12,Tabla2[[#This Row],[Cosecha/Tarea]])</f>
        <v>7572</v>
      </c>
      <c r="F2253" s="3" t="n">
        <v>49326</v>
      </c>
      <c r="G2253" s="2" t="s">
        <v>18</v>
      </c>
      <c r="H2253" s="2" t="n">
        <f aca="false">F2253/Tabla2[[#This Row],[Cosecha Mensual]]</f>
        <v>6.51426307448494</v>
      </c>
      <c r="I2253" s="2" t="n">
        <f aca="false">H2253*_xlfn.XLOOKUP(Tabla2[[#This Row],[Unidad de producción]],Tabla3[Medida],Tabla3[Equivalencia en Kg],"ELVIS",0)</f>
        <v>295.486973058637</v>
      </c>
      <c r="J2253" s="2" t="n">
        <v>928.9553</v>
      </c>
      <c r="K2253" s="2" t="s">
        <v>18</v>
      </c>
      <c r="L2253" s="2" t="n">
        <f aca="false">J2253/_xlfn.XLOOKUP(Tabla2[[#This Row],[Unidad de precio]],Tabla3[Medida],Tabla3[Equivalencia en Kg],"ELVIS",0)</f>
        <v>20.4796141975309</v>
      </c>
      <c r="M2253" s="2" t="n">
        <v>2123.36088960426</v>
      </c>
      <c r="N2253" s="3" t="n">
        <f aca="false">(Tabla2[[#This Row],[Productividad (kg/TAS)]]*Tabla2[[#This Row],[Precio por kg]]-Tabla2[[#This Row],[Costos (En RD$/Tarea)]])</f>
        <v>3928.09831903282</v>
      </c>
      <c r="O2253" s="9" t="n">
        <f aca="false">IF(Tabla2[[#This Row],[Costos (En RD$/Tarea)]]=0,0,Tabla2[[#This Row],[Beneficio Neto  (En RD$/Tarea)]]/Tabla2[[#This Row],[Costos (En RD$/Tarea)]])</f>
        <v>1.84994380289491</v>
      </c>
      <c r="P2253" s="7" t="n">
        <f aca="false">Tabla2[[#This Row],[Rentabilidad (%)]]/12</f>
        <v>0.154161983574576</v>
      </c>
    </row>
    <row r="2254" customFormat="false" ht="14.25" hidden="false" customHeight="false" outlineLevel="0" collapsed="false">
      <c r="A2254" s="1" t="n">
        <v>42217</v>
      </c>
      <c r="B2254" s="2" t="s">
        <v>27</v>
      </c>
      <c r="C2254" s="3" t="n">
        <v>3983</v>
      </c>
      <c r="D2254" s="8" t="s">
        <v>17</v>
      </c>
      <c r="E2254" s="3" t="n">
        <f aca="false">IF(Tabla2[[#This Row],[Frecuencia]]="Annual", Tabla2[[#This Row],[Cosecha/Tarea]]/12,Tabla2[[#This Row],[Cosecha/Tarea]])</f>
        <v>3983</v>
      </c>
      <c r="F2254" s="3" t="n">
        <v>39458</v>
      </c>
      <c r="G2254" s="2" t="s">
        <v>18</v>
      </c>
      <c r="H2254" s="2" t="n">
        <f aca="false">F2254/Tabla2[[#This Row],[Cosecha Mensual]]</f>
        <v>9.90660306301783</v>
      </c>
      <c r="I2254" s="2" t="n">
        <f aca="false">H2254*_xlfn.XLOOKUP(Tabla2[[#This Row],[Unidad de producción]],Tabla3[Medida],Tabla3[Equivalencia en Kg],"ELVIS",0)</f>
        <v>449.363514938489</v>
      </c>
      <c r="J2254" s="2" t="n">
        <v>815.341857142857</v>
      </c>
      <c r="K2254" s="2" t="s">
        <v>18</v>
      </c>
      <c r="L2254" s="2" t="n">
        <f aca="false">J2254/_xlfn.XLOOKUP(Tabla2[[#This Row],[Unidad de precio]],Tabla3[Medida],Tabla3[Equivalencia en Kg],"ELVIS",0)</f>
        <v>17.9749086671706</v>
      </c>
      <c r="M2254" s="2" t="n">
        <v>8682.692545606</v>
      </c>
      <c r="N2254" s="3" t="n">
        <f aca="false">(Tabla2[[#This Row],[Productividad (kg/TAS)]]*Tabla2[[#This Row],[Precio por kg]]-Tabla2[[#This Row],[Costos (En RD$/Tarea)]])</f>
        <v>-605.42440622793</v>
      </c>
      <c r="O2254" s="9" t="n">
        <f aca="false">IF(Tabla2[[#This Row],[Costos (En RD$/Tarea)]]=0,0,Tabla2[[#This Row],[Beneficio Neto  (En RD$/Tarea)]]/Tabla2[[#This Row],[Costos (En RD$/Tarea)]])</f>
        <v>-0.0697277259384607</v>
      </c>
      <c r="P2254" s="7" t="n">
        <f aca="false">Tabla2[[#This Row],[Rentabilidad (%)]]/12</f>
        <v>-0.00581064382820505</v>
      </c>
    </row>
    <row r="2255" customFormat="false" ht="14.25" hidden="false" customHeight="false" outlineLevel="0" collapsed="false">
      <c r="A2255" s="1" t="n">
        <v>42217</v>
      </c>
      <c r="B2255" s="2" t="s">
        <v>28</v>
      </c>
      <c r="C2255" s="3" t="n">
        <v>64687</v>
      </c>
      <c r="D2255" s="8" t="s">
        <v>17</v>
      </c>
      <c r="E2255" s="3" t="n">
        <f aca="false">IF(Tabla2[[#This Row],[Frecuencia]]="Annual", Tabla2[[#This Row],[Cosecha/Tarea]]/12,Tabla2[[#This Row],[Cosecha/Tarea]])</f>
        <v>64687</v>
      </c>
      <c r="F2255" s="3" t="n">
        <v>1582800</v>
      </c>
      <c r="G2255" s="2" t="s">
        <v>18</v>
      </c>
      <c r="H2255" s="2" t="n">
        <f aca="false">F2255/Tabla2[[#This Row],[Cosecha Mensual]]</f>
        <v>24.4685949263376</v>
      </c>
      <c r="I2255" s="2" t="n">
        <f aca="false">H2255*_xlfn.XLOOKUP(Tabla2[[#This Row],[Unidad de producción]],Tabla3[Medida],Tabla3[Equivalencia en Kg],"ELVIS",0)</f>
        <v>1109.89546585867</v>
      </c>
      <c r="J2255" s="2" t="n">
        <v>7137.045</v>
      </c>
      <c r="K2255" s="2" t="s">
        <v>29</v>
      </c>
      <c r="L2255" s="2" t="n">
        <f aca="false">J2255/_xlfn.XLOOKUP(Tabla2[[#This Row],[Unidad de precio]],Tabla3[Medida],Tabla3[Equivalencia en Kg],"ELVIS",0)</f>
        <v>12.6916900807341</v>
      </c>
      <c r="M2255" s="2" t="n">
        <v>7427.37867438309</v>
      </c>
      <c r="N2255" s="3" t="n">
        <f aca="false">(Tabla2[[#This Row],[Productividad (kg/TAS)]]*Tabla2[[#This Row],[Precio por kg]]-Tabla2[[#This Row],[Costos (En RD$/Tarea)]])</f>
        <v>6659.07060030716</v>
      </c>
      <c r="O2255" s="9" t="n">
        <f aca="false">IF(Tabla2[[#This Row],[Costos (En RD$/Tarea)]]=0,0,Tabla2[[#This Row],[Beneficio Neto  (En RD$/Tarea)]]/Tabla2[[#This Row],[Costos (En RD$/Tarea)]])</f>
        <v>0.896557304028969</v>
      </c>
      <c r="P2255" s="7" t="n">
        <f aca="false">Tabla2[[#This Row],[Rentabilidad (%)]]/12</f>
        <v>0.0747131086690807</v>
      </c>
    </row>
    <row r="2256" customFormat="false" ht="14.25" hidden="false" customHeight="false" outlineLevel="0" collapsed="false">
      <c r="A2256" s="1" t="n">
        <v>42217</v>
      </c>
      <c r="B2256" s="2" t="s">
        <v>30</v>
      </c>
      <c r="C2256" s="3" t="n">
        <v>400214</v>
      </c>
      <c r="D2256" s="3" t="s">
        <v>31</v>
      </c>
      <c r="E2256" s="3" t="n">
        <f aca="false">IF(Tabla2[[#This Row],[Frecuencia]]="Annual", Tabla2[[#This Row],[Cosecha/Tarea]]/12,Tabla2[[#This Row],[Cosecha/Tarea]])</f>
        <v>33351.1666666667</v>
      </c>
      <c r="F2256" s="3" t="n">
        <v>2003383.2</v>
      </c>
      <c r="G2256" s="2" t="s">
        <v>18</v>
      </c>
      <c r="H2256" s="2" t="n">
        <f aca="false">F2256/Tabla2[[#This Row],[Cosecha Mensual]]</f>
        <v>60.0693588929923</v>
      </c>
      <c r="I2256" s="2" t="n">
        <f aca="false">H2256*_xlfn.XLOOKUP(Tabla2[[#This Row],[Unidad de producción]],Tabla3[Medida],Tabla3[Equivalencia en Kg],"ELVIS",0)</f>
        <v>2724.74611938613</v>
      </c>
      <c r="J2256" s="2" t="n">
        <v>190.78</v>
      </c>
      <c r="K2256" s="2" t="s">
        <v>32</v>
      </c>
      <c r="L2256" s="2" t="n">
        <f aca="false">J2256/_xlfn.XLOOKUP(Tabla2[[#This Row],[Unidad de precio]],Tabla3[Medida],Tabla3[Equivalencia en Kg],"ELVIS",0)</f>
        <v>7.01139287026828</v>
      </c>
      <c r="M2256" s="3" t="n">
        <v>22429.7248632058</v>
      </c>
      <c r="N2256" s="3" t="n">
        <f aca="false">(Tabla2[[#This Row],[Productividad (kg/TAS)]]*Tabla2[[#This Row],[Precio por kg]]-Tabla2[[#This Row],[Costos (En RD$/Tarea)]])</f>
        <v>-3325.45934845072</v>
      </c>
      <c r="O2256" s="9" t="n">
        <f aca="false">IF(Tabla2[[#This Row],[Costos (En RD$/Tarea)]]=0,0,Tabla2[[#This Row],[Beneficio Neto  (En RD$/Tarea)]]/Tabla2[[#This Row],[Costos (En RD$/Tarea)]])</f>
        <v>-0.148261263512237</v>
      </c>
      <c r="P2256" s="7" t="n">
        <f aca="false">Tabla2[[#This Row],[Rentabilidad (%)]]/12</f>
        <v>-0.0123551052926864</v>
      </c>
    </row>
    <row r="2257" customFormat="false" ht="14.25" hidden="false" customHeight="false" outlineLevel="0" collapsed="false">
      <c r="A2257" s="1" t="n">
        <v>42217</v>
      </c>
      <c r="B2257" s="2" t="s">
        <v>33</v>
      </c>
      <c r="C2257" s="3" t="n">
        <v>762767</v>
      </c>
      <c r="D2257" s="3" t="s">
        <v>31</v>
      </c>
      <c r="E2257" s="11" t="n">
        <f aca="false">IF(Tabla2[[#This Row],[Frecuencia]]="Annual", Tabla2[[#This Row],[Cosecha/Tarea]]/12,Tabla2[[#This Row],[Cosecha/Tarea]])</f>
        <v>63563.9166666667</v>
      </c>
      <c r="F2257" s="3" t="n">
        <v>1839699</v>
      </c>
      <c r="G2257" s="2" t="s">
        <v>18</v>
      </c>
      <c r="H2257" s="2" t="n">
        <f aca="false">F2257/Tabla2[[#This Row],[Cosecha Mensual]]</f>
        <v>28.9425053784445</v>
      </c>
      <c r="I2257" s="2" t="n">
        <f aca="false">H2257*_xlfn.XLOOKUP(Tabla2[[#This Row],[Unidad de producción]],Tabla3[Medida],Tabla3[Equivalencia en Kg],"ELVIS",0)</f>
        <v>1312.83204396624</v>
      </c>
      <c r="J2257" s="2" t="n">
        <v>7607.83357142857</v>
      </c>
      <c r="K2257" s="2" t="s">
        <v>34</v>
      </c>
      <c r="L2257" s="2" t="n">
        <f aca="false">J2257/_xlfn.XLOOKUP(Tabla2[[#This Row],[Unidad de precio]],Tabla3[Medida],Tabla3[Equivalencia en Kg],"ELVIS",0)</f>
        <v>18.6397980434364</v>
      </c>
      <c r="M2257" s="3" t="n">
        <v>16317.7474581161</v>
      </c>
      <c r="N2257" s="3" t="n">
        <f aca="false">(Tabla2[[#This Row],[Productividad (kg/TAS)]]*Tabla2[[#This Row],[Precio por kg]]-Tabla2[[#This Row],[Costos (En RD$/Tarea)]])</f>
        <v>8153.17670636652</v>
      </c>
      <c r="O2257" s="9" t="n">
        <f aca="false">IF(Tabla2[[#This Row],[Costos (En RD$/Tarea)]]=0,0,Tabla2[[#This Row],[Beneficio Neto  (En RD$/Tarea)]]/Tabla2[[#This Row],[Costos (En RD$/Tarea)]])</f>
        <v>0.499650869539062</v>
      </c>
      <c r="P2257" s="7" t="n">
        <f aca="false">Tabla2[[#This Row],[Rentabilidad (%)]]/12</f>
        <v>0.0416375724615885</v>
      </c>
    </row>
    <row r="2258" customFormat="false" ht="14.25" hidden="false" customHeight="false" outlineLevel="0" collapsed="false">
      <c r="A2258" s="1" t="n">
        <v>42248</v>
      </c>
      <c r="B2258" s="2" t="s">
        <v>16</v>
      </c>
      <c r="C2258" s="3" t="n">
        <v>236773</v>
      </c>
      <c r="D2258" s="8" t="s">
        <v>17</v>
      </c>
      <c r="E2258" s="3" t="n">
        <f aca="false">IF(Tabla2[[#This Row],[Frecuencia]]="Annual", Tabla2[[#This Row],[Cosecha/Tarea]]/12,Tabla2[[#This Row],[Cosecha/Tarea]])</f>
        <v>236773</v>
      </c>
      <c r="F2258" s="3" t="n">
        <v>990503</v>
      </c>
      <c r="G2258" s="2" t="s">
        <v>18</v>
      </c>
      <c r="H2258" s="2" t="n">
        <f aca="false">F2258/Tabla2[[#This Row],[Cosecha Mensual]]</f>
        <v>4.18334438470603</v>
      </c>
      <c r="I2258" s="2" t="n">
        <f aca="false">H2258*_xlfn.XLOOKUP(Tabla2[[#This Row],[Unidad de producción]],Tabla3[Medida],Tabla3[Equivalencia en Kg],"ELVIS",0)</f>
        <v>189.756501290265</v>
      </c>
      <c r="J2258" s="2" t="n">
        <v>1859.52433333333</v>
      </c>
      <c r="K2258" s="2" t="s">
        <v>19</v>
      </c>
      <c r="L2258" s="2" t="n">
        <f aca="false">J2258/_xlfn.XLOOKUP(Tabla2[[#This Row],[Unidad de precio]],Tabla3[Medida],Tabla3[Equivalencia en Kg],"ELVIS",0)</f>
        <v>16.9047666666666</v>
      </c>
      <c r="M2258" s="2" t="n">
        <v>7019.06666466125</v>
      </c>
      <c r="N2258" s="3" t="n">
        <f aca="false">(Tabla2[[#This Row],[Productividad (kg/TAS)]]*Tabla2[[#This Row],[Precio por kg]]-Tabla2[[#This Row],[Costos (En RD$/Tarea)]])</f>
        <v>-3811.27728686629</v>
      </c>
      <c r="O2258" s="9" t="n">
        <f aca="false">IF(Tabla2[[#This Row],[Costos (En RD$/Tarea)]]=0,0,Tabla2[[#This Row],[Beneficio Neto  (En RD$/Tarea)]]/Tabla2[[#This Row],[Costos (En RD$/Tarea)]])</f>
        <v>-0.542989184880498</v>
      </c>
      <c r="P2258" s="7" t="n">
        <f aca="false">Tabla2[[#This Row],[Rentabilidad (%)]]/12</f>
        <v>-0.0452490987400415</v>
      </c>
    </row>
    <row r="2259" customFormat="false" ht="14.25" hidden="false" customHeight="false" outlineLevel="0" collapsed="false">
      <c r="A2259" s="1" t="n">
        <v>42248</v>
      </c>
      <c r="B2259" s="2" t="s">
        <v>20</v>
      </c>
      <c r="C2259" s="3" t="n">
        <v>42517</v>
      </c>
      <c r="D2259" s="8" t="s">
        <v>17</v>
      </c>
      <c r="E2259" s="3" t="n">
        <f aca="false">IF(Tabla2[[#This Row],[Frecuencia]]="Annual", Tabla2[[#This Row],[Cosecha/Tarea]]/12,Tabla2[[#This Row],[Cosecha/Tarea]])</f>
        <v>42517</v>
      </c>
      <c r="F2259" s="3" t="n">
        <v>65477</v>
      </c>
      <c r="G2259" s="2" t="s">
        <v>18</v>
      </c>
      <c r="H2259" s="2" t="n">
        <f aca="false">F2259/Tabla2[[#This Row],[Cosecha Mensual]]</f>
        <v>1.54001928640309</v>
      </c>
      <c r="I2259" s="2" t="n">
        <f aca="false">H2259*_xlfn.XLOOKUP(Tabla2[[#This Row],[Unidad de producción]],Tabla3[Medida],Tabla3[Equivalencia en Kg],"ELVIS",0)</f>
        <v>69.855274831244</v>
      </c>
      <c r="J2259" s="2" t="n">
        <v>1042.39857142857</v>
      </c>
      <c r="K2259" s="2" t="s">
        <v>18</v>
      </c>
      <c r="L2259" s="2" t="n">
        <f aca="false">J2259/_xlfn.XLOOKUP(Tabla2[[#This Row],[Unidad de precio]],Tabla3[Medida],Tabla3[Equivalencia en Kg],"ELVIS",0)</f>
        <v>22.9805681531872</v>
      </c>
      <c r="M2259" s="2" t="n">
        <v>2574.584905776</v>
      </c>
      <c r="N2259" s="3" t="n">
        <f aca="false">(Tabla2[[#This Row],[Productividad (kg/TAS)]]*Tabla2[[#This Row],[Precio por kg]]-Tabla2[[#This Row],[Costos (En RD$/Tarea)]])</f>
        <v>-969.271001656978</v>
      </c>
      <c r="O2259" s="9" t="n">
        <f aca="false">IF(Tabla2[[#This Row],[Costos (En RD$/Tarea)]]=0,0,Tabla2[[#This Row],[Beneficio Neto  (En RD$/Tarea)]]/Tabla2[[#This Row],[Costos (En RD$/Tarea)]])</f>
        <v>-0.376476611620945</v>
      </c>
      <c r="P2259" s="7" t="n">
        <f aca="false">Tabla2[[#This Row],[Rentabilidad (%)]]/12</f>
        <v>-0.0313730509684121</v>
      </c>
    </row>
    <row r="2260" customFormat="false" ht="14.25" hidden="false" customHeight="false" outlineLevel="0" collapsed="false">
      <c r="A2260" s="1" t="n">
        <v>42248</v>
      </c>
      <c r="B2260" s="2" t="s">
        <v>21</v>
      </c>
      <c r="C2260" s="3" t="n">
        <v>4760</v>
      </c>
      <c r="D2260" s="8" t="s">
        <v>17</v>
      </c>
      <c r="E2260" s="3" t="n">
        <f aca="false">IF(Tabla2[[#This Row],[Frecuencia]]="Annual", Tabla2[[#This Row],[Cosecha/Tarea]]/12,Tabla2[[#This Row],[Cosecha/Tarea]])</f>
        <v>4760</v>
      </c>
      <c r="F2260" s="3" t="n">
        <v>45235</v>
      </c>
      <c r="G2260" s="2" t="s">
        <v>18</v>
      </c>
      <c r="H2260" s="2" t="n">
        <f aca="false">F2260/Tabla2[[#This Row],[Cosecha Mensual]]</f>
        <v>9.5031512605042</v>
      </c>
      <c r="I2260" s="2" t="n">
        <f aca="false">H2260*_xlfn.XLOOKUP(Tabla2[[#This Row],[Unidad de producción]],Tabla3[Medida],Tabla3[Equivalencia en Kg],"ELVIS",0)</f>
        <v>431.062941176471</v>
      </c>
      <c r="J2260" s="2" t="n">
        <v>632.568888888889</v>
      </c>
      <c r="K2260" s="2" t="s">
        <v>18</v>
      </c>
      <c r="L2260" s="2" t="n">
        <f aca="false">J2260/_xlfn.XLOOKUP(Tabla2[[#This Row],[Unidad de precio]],Tabla3[Medida],Tabla3[Equivalencia en Kg],"ELVIS",0)</f>
        <v>13.9455222418185</v>
      </c>
      <c r="M2260" s="2" t="n">
        <v>5153.88882833038</v>
      </c>
      <c r="N2260" s="3" t="n">
        <f aca="false">(Tabla2[[#This Row],[Productividad (kg/TAS)]]*Tabla2[[#This Row],[Precio por kg]]-Tabla2[[#This Row],[Costos (En RD$/Tarea)]])</f>
        <v>857.509005469808</v>
      </c>
      <c r="O2260" s="9" t="n">
        <f aca="false">IF(Tabla2[[#This Row],[Costos (En RD$/Tarea)]]=0,0,Tabla2[[#This Row],[Beneficio Neto  (En RD$/Tarea)]]/Tabla2[[#This Row],[Costos (En RD$/Tarea)]])</f>
        <v>0.166380966689885</v>
      </c>
      <c r="P2260" s="7" t="n">
        <f aca="false">Tabla2[[#This Row],[Rentabilidad (%)]]/12</f>
        <v>0.0138650805574904</v>
      </c>
    </row>
    <row r="2261" customFormat="false" ht="14.25" hidden="false" customHeight="false" outlineLevel="0" collapsed="false">
      <c r="A2261" s="1" t="n">
        <v>42248</v>
      </c>
      <c r="B2261" s="2" t="s">
        <v>22</v>
      </c>
      <c r="C2261" s="3" t="n">
        <v>2704</v>
      </c>
      <c r="D2261" s="8" t="s">
        <v>17</v>
      </c>
      <c r="E2261" s="3" t="n">
        <f aca="false">IF(Tabla2[[#This Row],[Frecuencia]]="Annual", Tabla2[[#This Row],[Cosecha/Tarea]]/12,Tabla2[[#This Row],[Cosecha/Tarea]])</f>
        <v>2704</v>
      </c>
      <c r="F2261" s="3" t="n">
        <v>29214</v>
      </c>
      <c r="G2261" s="2" t="s">
        <v>18</v>
      </c>
      <c r="H2261" s="2" t="n">
        <f aca="false">F2261/Tabla2[[#This Row],[Cosecha Mensual]]</f>
        <v>10.8039940828402</v>
      </c>
      <c r="I2261" s="2" t="n">
        <f aca="false">H2261*_xlfn.XLOOKUP(Tabla2[[#This Row],[Unidad de producción]],Tabla3[Medida],Tabla3[Equivalencia en Kg],"ELVIS",0)</f>
        <v>490.069171597633</v>
      </c>
      <c r="J2261" s="2" t="n">
        <v>1435.72</v>
      </c>
      <c r="K2261" s="2" t="s">
        <v>18</v>
      </c>
      <c r="L2261" s="2" t="n">
        <f aca="false">J2261/_xlfn.XLOOKUP(Tabla2[[#This Row],[Unidad de precio]],Tabla3[Medida],Tabla3[Equivalencia en Kg],"ELVIS",0)</f>
        <v>31.6516754850088</v>
      </c>
      <c r="M2261" s="2" t="n">
        <v>9360.09200898452</v>
      </c>
      <c r="N2261" s="3" t="n">
        <f aca="false">(Tabla2[[#This Row],[Productividad (kg/TAS)]]*Tabla2[[#This Row],[Precio por kg]]-Tabla2[[#This Row],[Costos (En RD$/Tarea)]])</f>
        <v>6151.41837563087</v>
      </c>
      <c r="O2261" s="9" t="n">
        <f aca="false">IF(Tabla2[[#This Row],[Costos (En RD$/Tarea)]]=0,0,Tabla2[[#This Row],[Beneficio Neto  (En RD$/Tarea)]]/Tabla2[[#This Row],[Costos (En RD$/Tarea)]])</f>
        <v>0.657196357656129</v>
      </c>
      <c r="P2261" s="7" t="n">
        <f aca="false">Tabla2[[#This Row],[Rentabilidad (%)]]/12</f>
        <v>0.0547663631380108</v>
      </c>
    </row>
    <row r="2262" customFormat="false" ht="14.25" hidden="false" customHeight="false" outlineLevel="0" collapsed="false">
      <c r="A2262" s="1" t="n">
        <v>42248</v>
      </c>
      <c r="B2262" s="2" t="s">
        <v>23</v>
      </c>
      <c r="C2262" s="3" t="n">
        <v>4865</v>
      </c>
      <c r="D2262" s="8" t="s">
        <v>17</v>
      </c>
      <c r="E2262" s="3" t="n">
        <f aca="false">IF(Tabla2[[#This Row],[Frecuencia]]="Annual", Tabla2[[#This Row],[Cosecha/Tarea]]/12,Tabla2[[#This Row],[Cosecha/Tarea]])</f>
        <v>4865</v>
      </c>
      <c r="F2262" s="3" t="n">
        <v>191375</v>
      </c>
      <c r="G2262" s="2" t="s">
        <v>18</v>
      </c>
      <c r="H2262" s="2" t="n">
        <f aca="false">F2262/Tabla2[[#This Row],[Cosecha Mensual]]</f>
        <v>39.3371017471737</v>
      </c>
      <c r="I2262" s="2" t="n">
        <f aca="false">H2262*_xlfn.XLOOKUP(Tabla2[[#This Row],[Unidad de producción]],Tabla3[Medida],Tabla3[Equivalencia en Kg],"ELVIS",0)</f>
        <v>1784.3309352518</v>
      </c>
      <c r="J2262" s="2" t="n">
        <v>989.583333333333</v>
      </c>
      <c r="K2262" s="2" t="s">
        <v>18</v>
      </c>
      <c r="L2262" s="2" t="n">
        <f aca="false">J2262/_xlfn.XLOOKUP(Tabla2[[#This Row],[Unidad de precio]],Tabla3[Medida],Tabla3[Equivalencia en Kg],"ELVIS",0)</f>
        <v>21.8162110523222</v>
      </c>
      <c r="M2262" s="2" t="n">
        <v>25505.1939374778</v>
      </c>
      <c r="N2262" s="3" t="n">
        <f aca="false">(Tabla2[[#This Row],[Productividad (kg/TAS)]]*Tabla2[[#This Row],[Precio por kg]]-Tabla2[[#This Row],[Costos (En RD$/Tarea)]])</f>
        <v>13422.1463331628</v>
      </c>
      <c r="O2262" s="9" t="n">
        <f aca="false">IF(Tabla2[[#This Row],[Costos (En RD$/Tarea)]]=0,0,Tabla2[[#This Row],[Beneficio Neto  (En RD$/Tarea)]]/Tabla2[[#This Row],[Costos (En RD$/Tarea)]])</f>
        <v>0.526251490816546</v>
      </c>
      <c r="P2262" s="7" t="n">
        <f aca="false">Tabla2[[#This Row],[Rentabilidad (%)]]/12</f>
        <v>0.0438542909013788</v>
      </c>
    </row>
    <row r="2263" customFormat="false" ht="14.25" hidden="false" customHeight="false" outlineLevel="0" collapsed="false">
      <c r="A2263" s="1" t="n">
        <v>42248</v>
      </c>
      <c r="B2263" s="2" t="s">
        <v>24</v>
      </c>
      <c r="C2263" s="3" t="n">
        <v>4190</v>
      </c>
      <c r="D2263" s="8" t="s">
        <v>17</v>
      </c>
      <c r="E2263" s="3" t="n">
        <f aca="false">IF(Tabla2[[#This Row],[Frecuencia]]="Annual", Tabla2[[#This Row],[Cosecha/Tarea]]/12,Tabla2[[#This Row],[Cosecha/Tarea]])</f>
        <v>4190</v>
      </c>
      <c r="F2263" s="3" t="n">
        <v>32463</v>
      </c>
      <c r="G2263" s="2" t="s">
        <v>18</v>
      </c>
      <c r="H2263" s="2" t="n">
        <f aca="false">F2263/Tabla2[[#This Row],[Cosecha Mensual]]</f>
        <v>7.74773269689737</v>
      </c>
      <c r="I2263" s="2" t="n">
        <f aca="false">H2263*_xlfn.XLOOKUP(Tabla2[[#This Row],[Unidad de producción]],Tabla3[Medida],Tabla3[Equivalencia en Kg],"ELVIS",0)</f>
        <v>351.437155131265</v>
      </c>
      <c r="J2263" s="2" t="n">
        <v>1750.89285714286</v>
      </c>
      <c r="K2263" s="2" t="s">
        <v>18</v>
      </c>
      <c r="L2263" s="2" t="n">
        <f aca="false">J2263/_xlfn.XLOOKUP(Tabla2[[#This Row],[Unidad de precio]],Tabla3[Medida],Tabla3[Equivalencia en Kg],"ELVIS",0)</f>
        <v>38.599930713026</v>
      </c>
      <c r="M2263" s="2" t="n">
        <v>9240.56556420077</v>
      </c>
      <c r="N2263" s="3" t="n">
        <f aca="false">(Tabla2[[#This Row],[Productividad (kg/TAS)]]*Tabla2[[#This Row],[Precio por kg]]-Tabla2[[#This Row],[Costos (En RD$/Tarea)]])</f>
        <v>4324.88427384903</v>
      </c>
      <c r="O2263" s="9" t="n">
        <f aca="false">IF(Tabla2[[#This Row],[Costos (En RD$/Tarea)]]=0,0,Tabla2[[#This Row],[Beneficio Neto  (En RD$/Tarea)]]/Tabla2[[#This Row],[Costos (En RD$/Tarea)]])</f>
        <v>0.468032421154418</v>
      </c>
      <c r="P2263" s="7" t="n">
        <f aca="false">Tabla2[[#This Row],[Rentabilidad (%)]]/12</f>
        <v>0.0390027017628682</v>
      </c>
    </row>
    <row r="2264" customFormat="false" ht="14.25" hidden="false" customHeight="false" outlineLevel="0" collapsed="false">
      <c r="A2264" s="1" t="n">
        <v>42248</v>
      </c>
      <c r="B2264" s="2" t="s">
        <v>25</v>
      </c>
      <c r="C2264" s="3" t="n">
        <v>26144</v>
      </c>
      <c r="D2264" s="8" t="s">
        <v>17</v>
      </c>
      <c r="E2264" s="3" t="n">
        <f aca="false">IF(Tabla2[[#This Row],[Frecuencia]]="Annual", Tabla2[[#This Row],[Cosecha/Tarea]]/12,Tabla2[[#This Row],[Cosecha/Tarea]])</f>
        <v>26144</v>
      </c>
      <c r="F2264" s="3" t="n">
        <v>258474</v>
      </c>
      <c r="G2264" s="2" t="s">
        <v>18</v>
      </c>
      <c r="H2264" s="2" t="n">
        <f aca="false">F2264/Tabla2[[#This Row],[Cosecha Mensual]]</f>
        <v>9.88655140758874</v>
      </c>
      <c r="I2264" s="2" t="n">
        <f aca="false">H2264*_xlfn.XLOOKUP(Tabla2[[#This Row],[Unidad de producción]],Tabla3[Medida],Tabla3[Equivalencia en Kg],"ELVIS",0)</f>
        <v>448.453971848225</v>
      </c>
      <c r="J2264" s="2" t="n">
        <v>1060.12761904762</v>
      </c>
      <c r="K2264" s="2" t="s">
        <v>18</v>
      </c>
      <c r="L2264" s="2" t="n">
        <f aca="false">J2264/_xlfn.XLOOKUP(Tabla2[[#This Row],[Unidad de precio]],Tabla3[Medida],Tabla3[Equivalencia en Kg],"ELVIS",0)</f>
        <v>23.3714201730075</v>
      </c>
      <c r="M2264" s="2" t="n">
        <v>5033.45303788251</v>
      </c>
      <c r="N2264" s="3" t="n">
        <f aca="false">(Tabla2[[#This Row],[Productividad (kg/TAS)]]*Tabla2[[#This Row],[Precio por kg]]-Tabla2[[#This Row],[Costos (En RD$/Tarea)]])</f>
        <v>5447.55316643644</v>
      </c>
      <c r="O2264" s="9" t="n">
        <f aca="false">IF(Tabla2[[#This Row],[Costos (En RD$/Tarea)]]=0,0,Tabla2[[#This Row],[Beneficio Neto  (En RD$/Tarea)]]/Tabla2[[#This Row],[Costos (En RD$/Tarea)]])</f>
        <v>1.0822695921542</v>
      </c>
      <c r="P2264" s="7" t="n">
        <f aca="false">Tabla2[[#This Row],[Rentabilidad (%)]]/12</f>
        <v>0.0901891326795169</v>
      </c>
    </row>
    <row r="2265" customFormat="false" ht="14.25" hidden="false" customHeight="false" outlineLevel="0" collapsed="false">
      <c r="A2265" s="1" t="n">
        <v>42248</v>
      </c>
      <c r="B2265" s="2" t="s">
        <v>26</v>
      </c>
      <c r="C2265" s="3" t="n">
        <v>9955</v>
      </c>
      <c r="D2265" s="8" t="s">
        <v>17</v>
      </c>
      <c r="E2265" s="3" t="n">
        <f aca="false">IF(Tabla2[[#This Row],[Frecuencia]]="Annual", Tabla2[[#This Row],[Cosecha/Tarea]]/12,Tabla2[[#This Row],[Cosecha/Tarea]])</f>
        <v>9955</v>
      </c>
      <c r="F2265" s="3" t="n">
        <v>59895</v>
      </c>
      <c r="G2265" s="2" t="s">
        <v>18</v>
      </c>
      <c r="H2265" s="2" t="n">
        <f aca="false">F2265/Tabla2[[#This Row],[Cosecha Mensual]]</f>
        <v>6.01657458563536</v>
      </c>
      <c r="I2265" s="2" t="n">
        <f aca="false">H2265*_xlfn.XLOOKUP(Tabla2[[#This Row],[Unidad de producción]],Tabla3[Medida],Tabla3[Equivalencia en Kg],"ELVIS",0)</f>
        <v>272.91182320442</v>
      </c>
      <c r="J2265" s="2" t="n">
        <v>1043.69444444444</v>
      </c>
      <c r="K2265" s="2" t="s">
        <v>18</v>
      </c>
      <c r="L2265" s="2" t="n">
        <f aca="false">J2265/_xlfn.XLOOKUP(Tabla2[[#This Row],[Unidad de precio]],Tabla3[Medida],Tabla3[Equivalencia en Kg],"ELVIS",0)</f>
        <v>23.0091367822848</v>
      </c>
      <c r="M2265" s="2" t="n">
        <v>2123.36088960426</v>
      </c>
      <c r="N2265" s="3" t="n">
        <f aca="false">(Tabla2[[#This Row],[Productividad (kg/TAS)]]*Tabla2[[#This Row],[Precio por kg]]-Tabla2[[#This Row],[Costos (En RD$/Tarea)]])</f>
        <v>4156.10458000897</v>
      </c>
      <c r="O2265" s="9" t="n">
        <f aca="false">IF(Tabla2[[#This Row],[Costos (En RD$/Tarea)]]=0,0,Tabla2[[#This Row],[Beneficio Neto  (En RD$/Tarea)]]/Tabla2[[#This Row],[Costos (En RD$/Tarea)]])</f>
        <v>1.95732369394049</v>
      </c>
      <c r="P2265" s="7" t="n">
        <f aca="false">Tabla2[[#This Row],[Rentabilidad (%)]]/12</f>
        <v>0.163110307828374</v>
      </c>
    </row>
    <row r="2266" customFormat="false" ht="14.25" hidden="false" customHeight="false" outlineLevel="0" collapsed="false">
      <c r="A2266" s="1" t="n">
        <v>42248</v>
      </c>
      <c r="B2266" s="2" t="s">
        <v>27</v>
      </c>
      <c r="C2266" s="3" t="n">
        <v>3754</v>
      </c>
      <c r="D2266" s="8" t="s">
        <v>17</v>
      </c>
      <c r="E2266" s="3" t="n">
        <f aca="false">IF(Tabla2[[#This Row],[Frecuencia]]="Annual", Tabla2[[#This Row],[Cosecha/Tarea]]/12,Tabla2[[#This Row],[Cosecha/Tarea]])</f>
        <v>3754</v>
      </c>
      <c r="F2266" s="3" t="n">
        <v>34121</v>
      </c>
      <c r="G2266" s="2" t="s">
        <v>18</v>
      </c>
      <c r="H2266" s="2" t="n">
        <f aca="false">F2266/Tabla2[[#This Row],[Cosecha Mensual]]</f>
        <v>9.08923814597763</v>
      </c>
      <c r="I2266" s="2" t="n">
        <f aca="false">H2266*_xlfn.XLOOKUP(Tabla2[[#This Row],[Unidad de producción]],Tabla3[Medida],Tabla3[Equivalencia en Kg],"ELVIS",0)</f>
        <v>412.287842301545</v>
      </c>
      <c r="J2266" s="2" t="n">
        <v>844.130952380953</v>
      </c>
      <c r="K2266" s="2" t="s">
        <v>18</v>
      </c>
      <c r="L2266" s="2" t="n">
        <f aca="false">J2266/_xlfn.XLOOKUP(Tabla2[[#This Row],[Unidad de precio]],Tabla3[Medida],Tabla3[Equivalencia en Kg],"ELVIS",0)</f>
        <v>18.6095888972873</v>
      </c>
      <c r="M2266" s="2" t="n">
        <v>8682.692545606</v>
      </c>
      <c r="N2266" s="3" t="n">
        <f aca="false">(Tabla2[[#This Row],[Productividad (kg/TAS)]]*Tabla2[[#This Row],[Precio por kg]]-Tabla2[[#This Row],[Costos (En RD$/Tarea)]])</f>
        <v>-1010.18529302462</v>
      </c>
      <c r="O2266" s="9" t="n">
        <f aca="false">IF(Tabla2[[#This Row],[Costos (En RD$/Tarea)]]=0,0,Tabla2[[#This Row],[Beneficio Neto  (En RD$/Tarea)]]/Tabla2[[#This Row],[Costos (En RD$/Tarea)]])</f>
        <v>-0.116344703871363</v>
      </c>
      <c r="P2266" s="7" t="n">
        <f aca="false">Tabla2[[#This Row],[Rentabilidad (%)]]/12</f>
        <v>-0.00969539198928024</v>
      </c>
    </row>
    <row r="2267" customFormat="false" ht="14.25" hidden="false" customHeight="false" outlineLevel="0" collapsed="false">
      <c r="A2267" s="1" t="n">
        <v>42248</v>
      </c>
      <c r="B2267" s="2" t="s">
        <v>28</v>
      </c>
      <c r="C2267" s="3" t="n">
        <v>80147</v>
      </c>
      <c r="D2267" s="8" t="s">
        <v>17</v>
      </c>
      <c r="E2267" s="3" t="n">
        <f aca="false">IF(Tabla2[[#This Row],[Frecuencia]]="Annual", Tabla2[[#This Row],[Cosecha/Tarea]]/12,Tabla2[[#This Row],[Cosecha/Tarea]])</f>
        <v>80147</v>
      </c>
      <c r="F2267" s="3" t="n">
        <v>1824168</v>
      </c>
      <c r="G2267" s="2" t="s">
        <v>18</v>
      </c>
      <c r="H2267" s="2" t="n">
        <f aca="false">F2267/Tabla2[[#This Row],[Cosecha Mensual]]</f>
        <v>22.7602779891949</v>
      </c>
      <c r="I2267" s="2" t="n">
        <f aca="false">H2267*_xlfn.XLOOKUP(Tabla2[[#This Row],[Unidad de producción]],Tabla3[Medida],Tabla3[Equivalencia en Kg],"ELVIS",0)</f>
        <v>1032.40620958988</v>
      </c>
      <c r="J2267" s="2" t="n">
        <v>4466.28071428572</v>
      </c>
      <c r="K2267" s="2" t="s">
        <v>29</v>
      </c>
      <c r="L2267" s="2" t="n">
        <f aca="false">J2267/_xlfn.XLOOKUP(Tabla2[[#This Row],[Unidad de precio]],Tabla3[Medida],Tabla3[Equivalencia en Kg],"ELVIS",0)</f>
        <v>7.94231375019689</v>
      </c>
      <c r="M2267" s="2" t="n">
        <v>7427.37867438309</v>
      </c>
      <c r="N2267" s="3" t="n">
        <f aca="false">(Tabla2[[#This Row],[Productividad (kg/TAS)]]*Tabla2[[#This Row],[Precio por kg]]-Tabla2[[#This Row],[Costos (En RD$/Tarea)]])</f>
        <v>772.315359831255</v>
      </c>
      <c r="O2267" s="9" t="n">
        <f aca="false">IF(Tabla2[[#This Row],[Costos (En RD$/Tarea)]]=0,0,Tabla2[[#This Row],[Beneficio Neto  (En RD$/Tarea)]]/Tabla2[[#This Row],[Costos (En RD$/Tarea)]])</f>
        <v>0.103982224912668</v>
      </c>
      <c r="P2267" s="7" t="n">
        <f aca="false">Tabla2[[#This Row],[Rentabilidad (%)]]/12</f>
        <v>0.00866518540938898</v>
      </c>
    </row>
    <row r="2268" customFormat="false" ht="14.25" hidden="false" customHeight="false" outlineLevel="0" collapsed="false">
      <c r="A2268" s="1" t="n">
        <v>42248</v>
      </c>
      <c r="B2268" s="2" t="s">
        <v>30</v>
      </c>
      <c r="C2268" s="3" t="n">
        <v>401252</v>
      </c>
      <c r="D2268" s="3" t="s">
        <v>31</v>
      </c>
      <c r="E2268" s="3" t="n">
        <f aca="false">IF(Tabla2[[#This Row],[Frecuencia]]="Annual", Tabla2[[#This Row],[Cosecha/Tarea]]/12,Tabla2[[#This Row],[Cosecha/Tarea]])</f>
        <v>33437.6666666667</v>
      </c>
      <c r="F2268" s="3" t="n">
        <v>1949934.6</v>
      </c>
      <c r="G2268" s="2" t="s">
        <v>18</v>
      </c>
      <c r="H2268" s="2" t="n">
        <f aca="false">F2268/Tabla2[[#This Row],[Cosecha Mensual]]</f>
        <v>58.3155104522844</v>
      </c>
      <c r="I2268" s="2" t="n">
        <f aca="false">H2268*_xlfn.XLOOKUP(Tabla2[[#This Row],[Unidad de producción]],Tabla3[Medida],Tabla3[Equivalencia en Kg],"ELVIS",0)</f>
        <v>2645.19155411562</v>
      </c>
      <c r="J2268" s="2" t="n">
        <v>173.581904761905</v>
      </c>
      <c r="K2268" s="2" t="s">
        <v>32</v>
      </c>
      <c r="L2268" s="2" t="n">
        <f aca="false">J2268/_xlfn.XLOOKUP(Tabla2[[#This Row],[Unidad de precio]],Tabla3[Medida],Tabla3[Equivalencia en Kg],"ELVIS",0)</f>
        <v>6.37934232862569</v>
      </c>
      <c r="M2268" s="3" t="n">
        <v>22429.7248632058</v>
      </c>
      <c r="N2268" s="3" t="n">
        <f aca="false">(Tabla2[[#This Row],[Productividad (kg/TAS)]]*Tabla2[[#This Row],[Precio por kg]]-Tabla2[[#This Row],[Costos (En RD$/Tarea)]])</f>
        <v>-5555.14241471286</v>
      </c>
      <c r="O2268" s="9" t="n">
        <f aca="false">IF(Tabla2[[#This Row],[Costos (En RD$/Tarea)]]=0,0,Tabla2[[#This Row],[Beneficio Neto  (En RD$/Tarea)]]/Tabla2[[#This Row],[Costos (En RD$/Tarea)]])</f>
        <v>-0.247668772068874</v>
      </c>
      <c r="P2268" s="7" t="n">
        <f aca="false">Tabla2[[#This Row],[Rentabilidad (%)]]/12</f>
        <v>-0.0206390643390728</v>
      </c>
    </row>
    <row r="2269" customFormat="false" ht="14.25" hidden="false" customHeight="false" outlineLevel="0" collapsed="false">
      <c r="A2269" s="1" t="n">
        <v>42248</v>
      </c>
      <c r="B2269" s="2" t="s">
        <v>33</v>
      </c>
      <c r="C2269" s="3" t="n">
        <v>687987</v>
      </c>
      <c r="D2269" s="3" t="s">
        <v>31</v>
      </c>
      <c r="E2269" s="11" t="n">
        <f aca="false">IF(Tabla2[[#This Row],[Frecuencia]]="Annual", Tabla2[[#This Row],[Cosecha/Tarea]]/12,Tabla2[[#This Row],[Cosecha/Tarea]])</f>
        <v>57332.25</v>
      </c>
      <c r="F2269" s="3" t="n">
        <v>1282923</v>
      </c>
      <c r="G2269" s="2" t="s">
        <v>18</v>
      </c>
      <c r="H2269" s="2" t="n">
        <f aca="false">F2269/Tabla2[[#This Row],[Cosecha Mensual]]</f>
        <v>22.3769867744594</v>
      </c>
      <c r="I2269" s="2" t="n">
        <f aca="false">H2269*_xlfn.XLOOKUP(Tabla2[[#This Row],[Unidad de producción]],Tabla3[Medida],Tabla3[Equivalencia en Kg],"ELVIS",0)</f>
        <v>1015.02012008948</v>
      </c>
      <c r="J2269" s="2" t="n">
        <v>7389.74285714286</v>
      </c>
      <c r="K2269" s="2" t="s">
        <v>34</v>
      </c>
      <c r="L2269" s="2" t="n">
        <f aca="false">J2269/_xlfn.XLOOKUP(Tabla2[[#This Row],[Unidad de precio]],Tabla3[Medida],Tabla3[Equivalencia en Kg],"ELVIS",0)</f>
        <v>18.1054584273989</v>
      </c>
      <c r="M2269" s="3" t="n">
        <v>16317.7474581161</v>
      </c>
      <c r="N2269" s="3" t="n">
        <f aca="false">(Tabla2[[#This Row],[Productividad (kg/TAS)]]*Tabla2[[#This Row],[Precio por kg]]-Tabla2[[#This Row],[Costos (En RD$/Tarea)]])</f>
        <v>2059.65712913739</v>
      </c>
      <c r="O2269" s="9" t="n">
        <f aca="false">IF(Tabla2[[#This Row],[Costos (En RD$/Tarea)]]=0,0,Tabla2[[#This Row],[Beneficio Neto  (En RD$/Tarea)]]/Tabla2[[#This Row],[Costos (En RD$/Tarea)]])</f>
        <v>0.126221902528156</v>
      </c>
      <c r="P2269" s="7" t="n">
        <f aca="false">Tabla2[[#This Row],[Rentabilidad (%)]]/12</f>
        <v>0.0105184918773463</v>
      </c>
    </row>
    <row r="2270" customFormat="false" ht="14.25" hidden="false" customHeight="false" outlineLevel="0" collapsed="false">
      <c r="A2270" s="1" t="n">
        <v>42278</v>
      </c>
      <c r="B2270" s="2" t="s">
        <v>16</v>
      </c>
      <c r="C2270" s="3" t="n">
        <v>385441</v>
      </c>
      <c r="D2270" s="8" t="s">
        <v>17</v>
      </c>
      <c r="E2270" s="3" t="n">
        <f aca="false">IF(Tabla2[[#This Row],[Frecuencia]]="Annual", Tabla2[[#This Row],[Cosecha/Tarea]]/12,Tabla2[[#This Row],[Cosecha/Tarea]])</f>
        <v>385441</v>
      </c>
      <c r="F2270" s="3" t="n">
        <v>1827549</v>
      </c>
      <c r="G2270" s="2" t="s">
        <v>18</v>
      </c>
      <c r="H2270" s="2" t="n">
        <f aca="false">F2270/Tabla2[[#This Row],[Cosecha Mensual]]</f>
        <v>4.74144940470785</v>
      </c>
      <c r="I2270" s="2" t="n">
        <f aca="false">H2270*_xlfn.XLOOKUP(Tabla2[[#This Row],[Unidad de producción]],Tabla3[Medida],Tabla3[Equivalencia en Kg],"ELVIS",0)</f>
        <v>215.072144997548</v>
      </c>
      <c r="J2270" s="2" t="n">
        <v>1926.08612318841</v>
      </c>
      <c r="K2270" s="2" t="s">
        <v>19</v>
      </c>
      <c r="L2270" s="2" t="n">
        <f aca="false">J2270/_xlfn.XLOOKUP(Tabla2[[#This Row],[Unidad de precio]],Tabla3[Medida],Tabla3[Equivalencia en Kg],"ELVIS",0)</f>
        <v>17.5098738471674</v>
      </c>
      <c r="M2270" s="2" t="n">
        <v>7019.06666466125</v>
      </c>
      <c r="N2270" s="3" t="n">
        <f aca="false">(Tabla2[[#This Row],[Productividad (kg/TAS)]]*Tabla2[[#This Row],[Precio por kg]]-Tabla2[[#This Row],[Costos (En RD$/Tarea)]])</f>
        <v>-3253.18053771449</v>
      </c>
      <c r="O2270" s="9" t="n">
        <f aca="false">IF(Tabla2[[#This Row],[Costos (En RD$/Tarea)]]=0,0,Tabla2[[#This Row],[Beneficio Neto  (En RD$/Tarea)]]/Tabla2[[#This Row],[Costos (En RD$/Tarea)]])</f>
        <v>-0.463477652106257</v>
      </c>
      <c r="P2270" s="7" t="n">
        <f aca="false">Tabla2[[#This Row],[Rentabilidad (%)]]/12</f>
        <v>-0.0386231376755214</v>
      </c>
    </row>
    <row r="2271" customFormat="false" ht="14.25" hidden="false" customHeight="false" outlineLevel="0" collapsed="false">
      <c r="A2271" s="1" t="n">
        <v>42278</v>
      </c>
      <c r="B2271" s="2" t="s">
        <v>20</v>
      </c>
      <c r="C2271" s="3" t="n">
        <v>30144</v>
      </c>
      <c r="D2271" s="8" t="s">
        <v>17</v>
      </c>
      <c r="E2271" s="3" t="n">
        <f aca="false">IF(Tabla2[[#This Row],[Frecuencia]]="Annual", Tabla2[[#This Row],[Cosecha/Tarea]]/12,Tabla2[[#This Row],[Cosecha/Tarea]])</f>
        <v>30144</v>
      </c>
      <c r="F2271" s="3" t="n">
        <v>78541</v>
      </c>
      <c r="G2271" s="2" t="s">
        <v>18</v>
      </c>
      <c r="H2271" s="2" t="n">
        <f aca="false">F2271/Tabla2[[#This Row],[Cosecha Mensual]]</f>
        <v>2.60552680467091</v>
      </c>
      <c r="I2271" s="2" t="n">
        <f aca="false">H2271*_xlfn.XLOOKUP(Tabla2[[#This Row],[Unidad de producción]],Tabla3[Medida],Tabla3[Equivalencia en Kg],"ELVIS",0)</f>
        <v>118.186695859873</v>
      </c>
      <c r="J2271" s="2" t="n">
        <v>776.22714</v>
      </c>
      <c r="K2271" s="2" t="s">
        <v>18</v>
      </c>
      <c r="L2271" s="2" t="n">
        <f aca="false">J2271/_xlfn.XLOOKUP(Tabla2[[#This Row],[Unidad de precio]],Tabla3[Medida],Tabla3[Equivalencia en Kg],"ELVIS",0)</f>
        <v>17.1125912698413</v>
      </c>
      <c r="M2271" s="2" t="n">
        <v>2574.584905776</v>
      </c>
      <c r="N2271" s="3" t="n">
        <f aca="false">(Tabla2[[#This Row],[Productividad (kg/TAS)]]*Tabla2[[#This Row],[Precio por kg]]-Tabla2[[#This Row],[Costos (En RD$/Tarea)]])</f>
        <v>-552.104285992959</v>
      </c>
      <c r="O2271" s="9" t="n">
        <f aca="false">IF(Tabla2[[#This Row],[Costos (En RD$/Tarea)]]=0,0,Tabla2[[#This Row],[Beneficio Neto  (En RD$/Tarea)]]/Tabla2[[#This Row],[Costos (En RD$/Tarea)]])</f>
        <v>-0.214444000178177</v>
      </c>
      <c r="P2271" s="7" t="n">
        <f aca="false">Tabla2[[#This Row],[Rentabilidad (%)]]/12</f>
        <v>-0.0178703333481814</v>
      </c>
    </row>
    <row r="2272" customFormat="false" ht="14.25" hidden="false" customHeight="false" outlineLevel="0" collapsed="false">
      <c r="A2272" s="1" t="n">
        <v>42278</v>
      </c>
      <c r="B2272" s="2" t="s">
        <v>21</v>
      </c>
      <c r="C2272" s="3" t="n">
        <v>5914</v>
      </c>
      <c r="D2272" s="8" t="s">
        <v>17</v>
      </c>
      <c r="E2272" s="3" t="n">
        <f aca="false">IF(Tabla2[[#This Row],[Frecuencia]]="Annual", Tabla2[[#This Row],[Cosecha/Tarea]]/12,Tabla2[[#This Row],[Cosecha/Tarea]])</f>
        <v>5914</v>
      </c>
      <c r="F2272" s="3" t="n">
        <v>72544</v>
      </c>
      <c r="G2272" s="2" t="s">
        <v>18</v>
      </c>
      <c r="H2272" s="2" t="n">
        <f aca="false">F2272/Tabla2[[#This Row],[Cosecha Mensual]]</f>
        <v>12.2664863036862</v>
      </c>
      <c r="I2272" s="2" t="n">
        <f aca="false">H2272*_xlfn.XLOOKUP(Tabla2[[#This Row],[Unidad de producción]],Tabla3[Medida],Tabla3[Equivalencia en Kg],"ELVIS",0)</f>
        <v>556.407818735205</v>
      </c>
      <c r="J2272" s="2" t="n">
        <v>728.055666666667</v>
      </c>
      <c r="K2272" s="2" t="s">
        <v>18</v>
      </c>
      <c r="L2272" s="2" t="n">
        <f aca="false">J2272/_xlfn.XLOOKUP(Tabla2[[#This Row],[Unidad de precio]],Tabla3[Medida],Tabla3[Equivalencia en Kg],"ELVIS",0)</f>
        <v>16.0506099353322</v>
      </c>
      <c r="M2272" s="2" t="n">
        <v>5153.88882833038</v>
      </c>
      <c r="N2272" s="3" t="n">
        <f aca="false">(Tabla2[[#This Row],[Productividad (kg/TAS)]]*Tabla2[[#This Row],[Precio por kg]]-Tabla2[[#This Row],[Costos (En RD$/Tarea)]])</f>
        <v>3776.79603515739</v>
      </c>
      <c r="O2272" s="9" t="n">
        <f aca="false">IF(Tabla2[[#This Row],[Costos (En RD$/Tarea)]]=0,0,Tabla2[[#This Row],[Beneficio Neto  (En RD$/Tarea)]]/Tabla2[[#This Row],[Costos (En RD$/Tarea)]])</f>
        <v>0.732805103283708</v>
      </c>
      <c r="P2272" s="7" t="n">
        <f aca="false">Tabla2[[#This Row],[Rentabilidad (%)]]/12</f>
        <v>0.061067091940309</v>
      </c>
    </row>
    <row r="2273" customFormat="false" ht="14.25" hidden="false" customHeight="false" outlineLevel="0" collapsed="false">
      <c r="A2273" s="1" t="n">
        <v>42278</v>
      </c>
      <c r="B2273" s="2" t="s">
        <v>22</v>
      </c>
      <c r="C2273" s="3" t="n">
        <v>4083</v>
      </c>
      <c r="D2273" s="8" t="s">
        <v>17</v>
      </c>
      <c r="E2273" s="3" t="n">
        <f aca="false">IF(Tabla2[[#This Row],[Frecuencia]]="Annual", Tabla2[[#This Row],[Cosecha/Tarea]]/12,Tabla2[[#This Row],[Cosecha/Tarea]])</f>
        <v>4083</v>
      </c>
      <c r="F2273" s="3" t="n">
        <v>42592</v>
      </c>
      <c r="G2273" s="2" t="s">
        <v>18</v>
      </c>
      <c r="H2273" s="2" t="n">
        <f aca="false">F2273/Tabla2[[#This Row],[Cosecha Mensual]]</f>
        <v>10.4315454322802</v>
      </c>
      <c r="I2273" s="2" t="n">
        <f aca="false">H2273*_xlfn.XLOOKUP(Tabla2[[#This Row],[Unidad de producción]],Tabla3[Medida],Tabla3[Equivalencia en Kg],"ELVIS",0)</f>
        <v>473.174900808229</v>
      </c>
      <c r="J2273" s="2" t="n">
        <v>1803.88944444444</v>
      </c>
      <c r="K2273" s="2" t="s">
        <v>18</v>
      </c>
      <c r="L2273" s="2" t="n">
        <f aca="false">J2273/_xlfn.XLOOKUP(Tabla2[[#This Row],[Unidad de precio]],Tabla3[Medida],Tabla3[Equivalencia en Kg],"ELVIS",0)</f>
        <v>39.7682858122672</v>
      </c>
      <c r="M2273" s="2" t="n">
        <v>9360.09200898452</v>
      </c>
      <c r="N2273" s="3" t="n">
        <f aca="false">(Tabla2[[#This Row],[Productividad (kg/TAS)]]*Tabla2[[#This Row],[Precio por kg]]-Tabla2[[#This Row],[Costos (En RD$/Tarea)]])</f>
        <v>9457.26268554832</v>
      </c>
      <c r="O2273" s="9" t="n">
        <f aca="false">IF(Tabla2[[#This Row],[Costos (En RD$/Tarea)]]=0,0,Tabla2[[#This Row],[Beneficio Neto  (En RD$/Tarea)]]/Tabla2[[#This Row],[Costos (En RD$/Tarea)]])</f>
        <v>1.01038138048969</v>
      </c>
      <c r="P2273" s="7" t="n">
        <f aca="false">Tabla2[[#This Row],[Rentabilidad (%)]]/12</f>
        <v>0.0841984483741411</v>
      </c>
    </row>
    <row r="2274" customFormat="false" ht="14.25" hidden="false" customHeight="false" outlineLevel="0" collapsed="false">
      <c r="A2274" s="1" t="n">
        <v>42278</v>
      </c>
      <c r="B2274" s="2" t="s">
        <v>23</v>
      </c>
      <c r="C2274" s="3" t="n">
        <v>3759</v>
      </c>
      <c r="D2274" s="8" t="s">
        <v>17</v>
      </c>
      <c r="E2274" s="3" t="n">
        <f aca="false">IF(Tabla2[[#This Row],[Frecuencia]]="Annual", Tabla2[[#This Row],[Cosecha/Tarea]]/12,Tabla2[[#This Row],[Cosecha/Tarea]])</f>
        <v>3759</v>
      </c>
      <c r="F2274" s="3" t="n">
        <v>143545</v>
      </c>
      <c r="G2274" s="2" t="s">
        <v>18</v>
      </c>
      <c r="H2274" s="2" t="n">
        <f aca="false">F2274/Tabla2[[#This Row],[Cosecha Mensual]]</f>
        <v>38.1870178238893</v>
      </c>
      <c r="I2274" s="2" t="n">
        <f aca="false">H2274*_xlfn.XLOOKUP(Tabla2[[#This Row],[Unidad de producción]],Tabla3[Medida],Tabla3[Equivalencia en Kg],"ELVIS",0)</f>
        <v>1732.16312849162</v>
      </c>
      <c r="J2274" s="2" t="n">
        <v>981.25</v>
      </c>
      <c r="K2274" s="2" t="s">
        <v>18</v>
      </c>
      <c r="L2274" s="2" t="n">
        <f aca="false">J2274/_xlfn.XLOOKUP(Tabla2[[#This Row],[Unidad de precio]],Tabla3[Medida],Tabla3[Equivalencia en Kg],"ELVIS",0)</f>
        <v>21.6324955908289</v>
      </c>
      <c r="M2274" s="2" t="n">
        <v>25505.1939374778</v>
      </c>
      <c r="N2274" s="3" t="n">
        <f aca="false">(Tabla2[[#This Row],[Productividad (kg/TAS)]]*Tabla2[[#This Row],[Precio por kg]]-Tabla2[[#This Row],[Costos (En RD$/Tarea)]])</f>
        <v>11965.8173022136</v>
      </c>
      <c r="O2274" s="9" t="n">
        <f aca="false">IF(Tabla2[[#This Row],[Costos (En RD$/Tarea)]]=0,0,Tabla2[[#This Row],[Beneficio Neto  (En RD$/Tarea)]]/Tabla2[[#This Row],[Costos (En RD$/Tarea)]])</f>
        <v>0.469152178632558</v>
      </c>
      <c r="P2274" s="7" t="n">
        <f aca="false">Tabla2[[#This Row],[Rentabilidad (%)]]/12</f>
        <v>0.0390960148860465</v>
      </c>
    </row>
    <row r="2275" customFormat="false" ht="14.25" hidden="false" customHeight="false" outlineLevel="0" collapsed="false">
      <c r="A2275" s="1" t="n">
        <v>42278</v>
      </c>
      <c r="B2275" s="2" t="s">
        <v>24</v>
      </c>
      <c r="C2275" s="3" t="n">
        <v>5452</v>
      </c>
      <c r="D2275" s="8" t="s">
        <v>17</v>
      </c>
      <c r="E2275" s="3" t="n">
        <f aca="false">IF(Tabla2[[#This Row],[Frecuencia]]="Annual", Tabla2[[#This Row],[Cosecha/Tarea]]/12,Tabla2[[#This Row],[Cosecha/Tarea]])</f>
        <v>5452</v>
      </c>
      <c r="F2275" s="3" t="n">
        <v>55900</v>
      </c>
      <c r="G2275" s="2" t="s">
        <v>18</v>
      </c>
      <c r="H2275" s="2" t="n">
        <f aca="false">F2275/Tabla2[[#This Row],[Cosecha Mensual]]</f>
        <v>10.2531181217902</v>
      </c>
      <c r="I2275" s="2" t="n">
        <f aca="false">H2275*_xlfn.XLOOKUP(Tabla2[[#This Row],[Unidad de producción]],Tabla3[Medida],Tabla3[Equivalencia en Kg],"ELVIS",0)</f>
        <v>465.081438004402</v>
      </c>
      <c r="J2275" s="2" t="n">
        <v>2106.48857142857</v>
      </c>
      <c r="K2275" s="2" t="s">
        <v>18</v>
      </c>
      <c r="L2275" s="2" t="n">
        <f aca="false">J2275/_xlfn.XLOOKUP(Tabla2[[#This Row],[Unidad de precio]],Tabla3[Medida],Tabla3[Equivalencia en Kg],"ELVIS",0)</f>
        <v>46.4393424036281</v>
      </c>
      <c r="M2275" s="2" t="n">
        <v>9240.56556420077</v>
      </c>
      <c r="N2275" s="3" t="n">
        <f aca="false">(Tabla2[[#This Row],[Productividad (kg/TAS)]]*Tabla2[[#This Row],[Precio por kg]]-Tabla2[[#This Row],[Costos (En RD$/Tarea)]])</f>
        <v>12357.5105808574</v>
      </c>
      <c r="O2275" s="9" t="n">
        <f aca="false">IF(Tabla2[[#This Row],[Costos (En RD$/Tarea)]]=0,0,Tabla2[[#This Row],[Beneficio Neto  (En RD$/Tarea)]]/Tabla2[[#This Row],[Costos (En RD$/Tarea)]])</f>
        <v>1.33731106554041</v>
      </c>
      <c r="P2275" s="7" t="n">
        <f aca="false">Tabla2[[#This Row],[Rentabilidad (%)]]/12</f>
        <v>0.111442588795034</v>
      </c>
    </row>
    <row r="2276" customFormat="false" ht="14.25" hidden="false" customHeight="false" outlineLevel="0" collapsed="false">
      <c r="A2276" s="1" t="n">
        <v>42278</v>
      </c>
      <c r="B2276" s="2" t="s">
        <v>25</v>
      </c>
      <c r="C2276" s="3" t="n">
        <v>30145</v>
      </c>
      <c r="D2276" s="8" t="s">
        <v>17</v>
      </c>
      <c r="E2276" s="3" t="n">
        <f aca="false">IF(Tabla2[[#This Row],[Frecuencia]]="Annual", Tabla2[[#This Row],[Cosecha/Tarea]]/12,Tabla2[[#This Row],[Cosecha/Tarea]])</f>
        <v>30145</v>
      </c>
      <c r="F2276" s="3" t="n">
        <v>275484</v>
      </c>
      <c r="G2276" s="2" t="s">
        <v>18</v>
      </c>
      <c r="H2276" s="2" t="n">
        <f aca="false">F2276/Tabla2[[#This Row],[Cosecha Mensual]]</f>
        <v>9.13862995521645</v>
      </c>
      <c r="I2276" s="2" t="n">
        <f aca="false">H2276*_xlfn.XLOOKUP(Tabla2[[#This Row],[Unidad de producción]],Tabla3[Medida],Tabla3[Equivalencia en Kg],"ELVIS",0)</f>
        <v>414.528254768618</v>
      </c>
      <c r="J2276" s="2" t="n">
        <v>1096.21428571429</v>
      </c>
      <c r="K2276" s="2" t="s">
        <v>18</v>
      </c>
      <c r="L2276" s="2" t="n">
        <f aca="false">J2276/_xlfn.XLOOKUP(Tabla2[[#This Row],[Unidad de precio]],Tabla3[Medida],Tabla3[Equivalencia en Kg],"ELVIS",0)</f>
        <v>24.1669816074579</v>
      </c>
      <c r="M2276" s="2" t="n">
        <v>5033.45303788251</v>
      </c>
      <c r="N2276" s="3" t="n">
        <f aca="false">(Tabla2[[#This Row],[Productividad (kg/TAS)]]*Tabla2[[#This Row],[Precio por kg]]-Tabla2[[#This Row],[Costos (En RD$/Tarea)]])</f>
        <v>4984.44367088231</v>
      </c>
      <c r="O2276" s="9" t="n">
        <f aca="false">IF(Tabla2[[#This Row],[Costos (En RD$/Tarea)]]=0,0,Tabla2[[#This Row],[Beneficio Neto  (En RD$/Tarea)]]/Tabla2[[#This Row],[Costos (En RD$/Tarea)]])</f>
        <v>0.990263271231231</v>
      </c>
      <c r="P2276" s="7" t="n">
        <f aca="false">Tabla2[[#This Row],[Rentabilidad (%)]]/12</f>
        <v>0.0825219392692692</v>
      </c>
    </row>
    <row r="2277" customFormat="false" ht="14.25" hidden="false" customHeight="false" outlineLevel="0" collapsed="false">
      <c r="A2277" s="1" t="n">
        <v>42278</v>
      </c>
      <c r="B2277" s="2" t="s">
        <v>26</v>
      </c>
      <c r="C2277" s="3" t="n">
        <v>10012</v>
      </c>
      <c r="D2277" s="8" t="s">
        <v>17</v>
      </c>
      <c r="E2277" s="3" t="n">
        <f aca="false">IF(Tabla2[[#This Row],[Frecuencia]]="Annual", Tabla2[[#This Row],[Cosecha/Tarea]]/12,Tabla2[[#This Row],[Cosecha/Tarea]])</f>
        <v>10012</v>
      </c>
      <c r="F2277" s="3" t="n">
        <v>60157</v>
      </c>
      <c r="G2277" s="2" t="s">
        <v>18</v>
      </c>
      <c r="H2277" s="2" t="n">
        <f aca="false">F2277/Tabla2[[#This Row],[Cosecha Mensual]]</f>
        <v>6.00848981222533</v>
      </c>
      <c r="I2277" s="2" t="n">
        <f aca="false">H2277*_xlfn.XLOOKUP(Tabla2[[#This Row],[Unidad de producción]],Tabla3[Medida],Tabla3[Equivalencia en Kg],"ELVIS",0)</f>
        <v>272.545097882541</v>
      </c>
      <c r="J2277" s="2" t="n">
        <v>1105.20833333333</v>
      </c>
      <c r="K2277" s="2" t="s">
        <v>18</v>
      </c>
      <c r="L2277" s="2" t="n">
        <f aca="false">J2277/_xlfn.XLOOKUP(Tabla2[[#This Row],[Unidad de precio]],Tabla3[Medida],Tabla3[Equivalencia en Kg],"ELVIS",0)</f>
        <v>24.3652630805408</v>
      </c>
      <c r="M2277" s="2" t="n">
        <v>2123.36088960426</v>
      </c>
      <c r="N2277" s="3" t="n">
        <f aca="false">(Tabla2[[#This Row],[Productividad (kg/TAS)]]*Tabla2[[#This Row],[Precio por kg]]-Tabla2[[#This Row],[Costos (En RD$/Tarea)]])</f>
        <v>4517.27212161559</v>
      </c>
      <c r="O2277" s="9" t="n">
        <f aca="false">IF(Tabla2[[#This Row],[Costos (En RD$/Tarea)]]=0,0,Tabla2[[#This Row],[Beneficio Neto  (En RD$/Tarea)]]/Tabla2[[#This Row],[Costos (En RD$/Tarea)]])</f>
        <v>2.12741609009173</v>
      </c>
      <c r="P2277" s="7" t="n">
        <f aca="false">Tabla2[[#This Row],[Rentabilidad (%)]]/12</f>
        <v>0.177284674174311</v>
      </c>
    </row>
    <row r="2278" customFormat="false" ht="14.25" hidden="false" customHeight="false" outlineLevel="0" collapsed="false">
      <c r="A2278" s="1" t="n">
        <v>42278</v>
      </c>
      <c r="B2278" s="2" t="s">
        <v>27</v>
      </c>
      <c r="C2278" s="3" t="n">
        <v>3274</v>
      </c>
      <c r="D2278" s="8" t="s">
        <v>17</v>
      </c>
      <c r="E2278" s="3" t="n">
        <f aca="false">IF(Tabla2[[#This Row],[Frecuencia]]="Annual", Tabla2[[#This Row],[Cosecha/Tarea]]/12,Tabla2[[#This Row],[Cosecha/Tarea]])</f>
        <v>3274</v>
      </c>
      <c r="F2278" s="3" t="n">
        <v>27275</v>
      </c>
      <c r="G2278" s="2" t="s">
        <v>18</v>
      </c>
      <c r="H2278" s="2" t="n">
        <f aca="false">F2278/Tabla2[[#This Row],[Cosecha Mensual]]</f>
        <v>8.33078802687844</v>
      </c>
      <c r="I2278" s="2" t="n">
        <f aca="false">H2278*_xlfn.XLOOKUP(Tabla2[[#This Row],[Unidad de producción]],Tabla3[Medida],Tabla3[Equivalencia en Kg],"ELVIS",0)</f>
        <v>377.884544899206</v>
      </c>
      <c r="J2278" s="2" t="n">
        <v>778.199154166667</v>
      </c>
      <c r="K2278" s="2" t="s">
        <v>18</v>
      </c>
      <c r="L2278" s="2" t="n">
        <f aca="false">J2278/_xlfn.XLOOKUP(Tabla2[[#This Row],[Unidad de precio]],Tabla3[Medida],Tabla3[Equivalencia en Kg],"ELVIS",0)</f>
        <v>17.1560660089653</v>
      </c>
      <c r="M2278" s="2" t="n">
        <v>8682.692545606</v>
      </c>
      <c r="N2278" s="3" t="n">
        <f aca="false">(Tabla2[[#This Row],[Productividad (kg/TAS)]]*Tabla2[[#This Row],[Precio por kg]]-Tabla2[[#This Row],[Costos (En RD$/Tarea)]])</f>
        <v>-2199.68034954741</v>
      </c>
      <c r="O2278" s="9" t="n">
        <f aca="false">IF(Tabla2[[#This Row],[Costos (En RD$/Tarea)]]=0,0,Tabla2[[#This Row],[Beneficio Neto  (En RD$/Tarea)]]/Tabla2[[#This Row],[Costos (En RD$/Tarea)]])</f>
        <v>-0.253340808509981</v>
      </c>
      <c r="P2278" s="7" t="n">
        <f aca="false">Tabla2[[#This Row],[Rentabilidad (%)]]/12</f>
        <v>-0.0211117340424984</v>
      </c>
    </row>
    <row r="2279" customFormat="false" ht="14.25" hidden="false" customHeight="false" outlineLevel="0" collapsed="false">
      <c r="A2279" s="1" t="n">
        <v>42278</v>
      </c>
      <c r="B2279" s="2" t="s">
        <v>28</v>
      </c>
      <c r="C2279" s="3" t="n">
        <v>54225</v>
      </c>
      <c r="D2279" s="8" t="s">
        <v>17</v>
      </c>
      <c r="E2279" s="3" t="n">
        <f aca="false">IF(Tabla2[[#This Row],[Frecuencia]]="Annual", Tabla2[[#This Row],[Cosecha/Tarea]]/12,Tabla2[[#This Row],[Cosecha/Tarea]])</f>
        <v>54225</v>
      </c>
      <c r="F2279" s="3" t="n">
        <v>930780</v>
      </c>
      <c r="G2279" s="2" t="s">
        <v>18</v>
      </c>
      <c r="H2279" s="2" t="n">
        <f aca="false">F2279/Tabla2[[#This Row],[Cosecha Mensual]]</f>
        <v>17.1651452282158</v>
      </c>
      <c r="I2279" s="2" t="n">
        <f aca="false">H2279*_xlfn.XLOOKUP(Tabla2[[#This Row],[Unidad de producción]],Tabla3[Medida],Tabla3[Equivalencia en Kg],"ELVIS",0)</f>
        <v>778.610987551867</v>
      </c>
      <c r="J2279" s="2" t="n">
        <v>4799.22208333333</v>
      </c>
      <c r="K2279" s="2" t="s">
        <v>29</v>
      </c>
      <c r="L2279" s="2" t="n">
        <f aca="false">J2279/_xlfn.XLOOKUP(Tabla2[[#This Row],[Unidad de precio]],Tabla3[Medida],Tabla3[Equivalencia en Kg],"ELVIS",0)</f>
        <v>8.53437792675842</v>
      </c>
      <c r="M2279" s="2" t="n">
        <v>7427.37867438309</v>
      </c>
      <c r="N2279" s="3" t="n">
        <f aca="false">(Tabla2[[#This Row],[Productividad (kg/TAS)]]*Tabla2[[#This Row],[Precio por kg]]-Tabla2[[#This Row],[Costos (En RD$/Tarea)]])</f>
        <v>-782.418248688859</v>
      </c>
      <c r="O2279" s="9" t="n">
        <f aca="false">IF(Tabla2[[#This Row],[Costos (En RD$/Tarea)]]=0,0,Tabla2[[#This Row],[Beneficio Neto  (En RD$/Tarea)]]/Tabla2[[#This Row],[Costos (En RD$/Tarea)]])</f>
        <v>-0.10534244758348</v>
      </c>
      <c r="P2279" s="7" t="n">
        <f aca="false">Tabla2[[#This Row],[Rentabilidad (%)]]/12</f>
        <v>-0.00877853729862335</v>
      </c>
    </row>
    <row r="2280" customFormat="false" ht="14.25" hidden="false" customHeight="false" outlineLevel="0" collapsed="false">
      <c r="A2280" s="1" t="n">
        <v>42278</v>
      </c>
      <c r="B2280" s="2" t="s">
        <v>30</v>
      </c>
      <c r="C2280" s="3" t="n">
        <v>413014</v>
      </c>
      <c r="D2280" s="3" t="s">
        <v>31</v>
      </c>
      <c r="E2280" s="3" t="n">
        <f aca="false">IF(Tabla2[[#This Row],[Frecuencia]]="Annual", Tabla2[[#This Row],[Cosecha/Tarea]]/12,Tabla2[[#This Row],[Cosecha/Tarea]])</f>
        <v>34417.8333333333</v>
      </c>
      <c r="F2280" s="3" t="n">
        <v>2314799.4</v>
      </c>
      <c r="G2280" s="2" t="s">
        <v>18</v>
      </c>
      <c r="H2280" s="2" t="n">
        <f aca="false">F2280/Tabla2[[#This Row],[Cosecha Mensual]]</f>
        <v>67.2558140886265</v>
      </c>
      <c r="I2280" s="2" t="n">
        <f aca="false">H2280*_xlfn.XLOOKUP(Tabla2[[#This Row],[Unidad de producción]],Tabla3[Medida],Tabla3[Equivalencia en Kg],"ELVIS",0)</f>
        <v>3050.7237270601</v>
      </c>
      <c r="J2280" s="2" t="n">
        <v>215.889285714286</v>
      </c>
      <c r="K2280" s="2" t="s">
        <v>32</v>
      </c>
      <c r="L2280" s="2" t="n">
        <f aca="false">J2280/_xlfn.XLOOKUP(Tabla2[[#This Row],[Unidad de precio]],Tabla3[Medida],Tabla3[Equivalencia en Kg],"ELVIS",0)</f>
        <v>7.93418911114612</v>
      </c>
      <c r="M2280" s="3" t="n">
        <v>22429.7248632058</v>
      </c>
      <c r="N2280" s="3" t="n">
        <f aca="false">(Tabla2[[#This Row],[Productividad (kg/TAS)]]*Tabla2[[#This Row],[Precio por kg]]-Tabla2[[#This Row],[Costos (En RD$/Tarea)]])</f>
        <v>1775.29411314955</v>
      </c>
      <c r="O2280" s="9" t="n">
        <f aca="false">IF(Tabla2[[#This Row],[Costos (En RD$/Tarea)]]=0,0,Tabla2[[#This Row],[Beneficio Neto  (En RD$/Tarea)]]/Tabla2[[#This Row],[Costos (En RD$/Tarea)]])</f>
        <v>0.0791491703075584</v>
      </c>
      <c r="P2280" s="7" t="n">
        <f aca="false">Tabla2[[#This Row],[Rentabilidad (%)]]/12</f>
        <v>0.00659576419229654</v>
      </c>
    </row>
    <row r="2281" customFormat="false" ht="14.25" hidden="false" customHeight="false" outlineLevel="0" collapsed="false">
      <c r="A2281" s="1" t="n">
        <v>42278</v>
      </c>
      <c r="B2281" s="2" t="s">
        <v>33</v>
      </c>
      <c r="C2281" s="3" t="n">
        <v>709985</v>
      </c>
      <c r="D2281" s="3" t="s">
        <v>31</v>
      </c>
      <c r="E2281" s="11" t="n">
        <f aca="false">IF(Tabla2[[#This Row],[Frecuencia]]="Annual", Tabla2[[#This Row],[Cosecha/Tarea]]/12,Tabla2[[#This Row],[Cosecha/Tarea]])</f>
        <v>59165.4166666667</v>
      </c>
      <c r="F2281" s="3" t="n">
        <v>1188126</v>
      </c>
      <c r="G2281" s="2" t="s">
        <v>18</v>
      </c>
      <c r="H2281" s="2" t="n">
        <f aca="false">F2281/Tabla2[[#This Row],[Cosecha Mensual]]</f>
        <v>20.0814270724029</v>
      </c>
      <c r="I2281" s="2" t="n">
        <f aca="false">H2281*_xlfn.XLOOKUP(Tabla2[[#This Row],[Unidad de producción]],Tabla3[Medida],Tabla3[Equivalencia en Kg],"ELVIS",0)</f>
        <v>910.893532004197</v>
      </c>
      <c r="J2281" s="2" t="n">
        <v>9828.65464285714</v>
      </c>
      <c r="K2281" s="2" t="s">
        <v>34</v>
      </c>
      <c r="L2281" s="2" t="n">
        <f aca="false">J2281/_xlfn.XLOOKUP(Tabla2[[#This Row],[Unidad de precio]],Tabla3[Medida],Tabla3[Equivalencia en Kg],"ELVIS",0)</f>
        <v>24.0809865070615</v>
      </c>
      <c r="M2281" s="3" t="n">
        <v>16317.7474581161</v>
      </c>
      <c r="N2281" s="3" t="n">
        <f aca="false">(Tabla2[[#This Row],[Productividad (kg/TAS)]]*Tabla2[[#This Row],[Precio por kg]]-Tabla2[[#This Row],[Costos (En RD$/Tarea)]])</f>
        <v>5617.46739544654</v>
      </c>
      <c r="O2281" s="9" t="n">
        <f aca="false">IF(Tabla2[[#This Row],[Costos (En RD$/Tarea)]]=0,0,Tabla2[[#This Row],[Beneficio Neto  (En RD$/Tarea)]]/Tabla2[[#This Row],[Costos (En RD$/Tarea)]])</f>
        <v>0.344255076251504</v>
      </c>
      <c r="P2281" s="7" t="n">
        <f aca="false">Tabla2[[#This Row],[Rentabilidad (%)]]/12</f>
        <v>0.0286879230209587</v>
      </c>
    </row>
    <row r="2282" customFormat="false" ht="14.25" hidden="false" customHeight="false" outlineLevel="0" collapsed="false">
      <c r="A2282" s="1" t="n">
        <v>42309</v>
      </c>
      <c r="B2282" s="2" t="s">
        <v>16</v>
      </c>
      <c r="C2282" s="3" t="n">
        <v>296868</v>
      </c>
      <c r="D2282" s="8" t="s">
        <v>17</v>
      </c>
      <c r="E2282" s="3" t="n">
        <f aca="false">IF(Tabla2[[#This Row],[Frecuencia]]="Annual", Tabla2[[#This Row],[Cosecha/Tarea]]/12,Tabla2[[#This Row],[Cosecha/Tarea]])</f>
        <v>296868</v>
      </c>
      <c r="F2282" s="3" t="n">
        <v>1185362</v>
      </c>
      <c r="G2282" s="2" t="s">
        <v>18</v>
      </c>
      <c r="H2282" s="2" t="n">
        <f aca="false">F2282/Tabla2[[#This Row],[Cosecha Mensual]]</f>
        <v>3.99289246399073</v>
      </c>
      <c r="I2282" s="2" t="n">
        <f aca="false">H2282*_xlfn.XLOOKUP(Tabla2[[#This Row],[Unidad de producción]],Tabla3[Medida],Tabla3[Equivalencia en Kg],"ELVIS",0)</f>
        <v>181.11760216662</v>
      </c>
      <c r="J2282" s="2" t="n">
        <v>1726.72658333333</v>
      </c>
      <c r="K2282" s="2" t="s">
        <v>19</v>
      </c>
      <c r="L2282" s="2" t="n">
        <f aca="false">J2282/_xlfn.XLOOKUP(Tabla2[[#This Row],[Unidad de precio]],Tabla3[Medida],Tabla3[Equivalencia en Kg],"ELVIS",0)</f>
        <v>15.6975143939394</v>
      </c>
      <c r="M2282" s="2" t="n">
        <v>7019.06666466125</v>
      </c>
      <c r="N2282" s="3" t="n">
        <f aca="false">(Tabla2[[#This Row],[Productividad (kg/TAS)]]*Tabla2[[#This Row],[Precio por kg]]-Tabla2[[#This Row],[Costos (En RD$/Tarea)]])</f>
        <v>-4175.97049765496</v>
      </c>
      <c r="O2282" s="9" t="n">
        <f aca="false">IF(Tabla2[[#This Row],[Costos (En RD$/Tarea)]]=0,0,Tabla2[[#This Row],[Beneficio Neto  (En RD$/Tarea)]]/Tabla2[[#This Row],[Costos (En RD$/Tarea)]])</f>
        <v>-0.594946692653545</v>
      </c>
      <c r="P2282" s="7" t="n">
        <f aca="false">Tabla2[[#This Row],[Rentabilidad (%)]]/12</f>
        <v>-0.0495788910544621</v>
      </c>
    </row>
    <row r="2283" customFormat="false" ht="14.25" hidden="false" customHeight="false" outlineLevel="0" collapsed="false">
      <c r="A2283" s="1" t="n">
        <v>42309</v>
      </c>
      <c r="B2283" s="2" t="s">
        <v>20</v>
      </c>
      <c r="C2283" s="3" t="n">
        <v>36201</v>
      </c>
      <c r="D2283" s="8" t="s">
        <v>17</v>
      </c>
      <c r="E2283" s="3" t="n">
        <f aca="false">IF(Tabla2[[#This Row],[Frecuencia]]="Annual", Tabla2[[#This Row],[Cosecha/Tarea]]/12,Tabla2[[#This Row],[Cosecha/Tarea]])</f>
        <v>36201</v>
      </c>
      <c r="F2283" s="3" t="n">
        <v>57895</v>
      </c>
      <c r="G2283" s="2" t="s">
        <v>18</v>
      </c>
      <c r="H2283" s="2" t="n">
        <f aca="false">F2283/Tabla2[[#This Row],[Cosecha Mensual]]</f>
        <v>1.59926521366813</v>
      </c>
      <c r="I2283" s="2" t="n">
        <f aca="false">H2283*_xlfn.XLOOKUP(Tabla2[[#This Row],[Unidad de producción]],Tabla3[Medida],Tabla3[Equivalencia en Kg],"ELVIS",0)</f>
        <v>72.5426700919864</v>
      </c>
      <c r="J2283" s="2" t="n">
        <v>850.66866</v>
      </c>
      <c r="K2283" s="2" t="s">
        <v>18</v>
      </c>
      <c r="L2283" s="2" t="n">
        <f aca="false">J2283/_xlfn.XLOOKUP(Tabla2[[#This Row],[Unidad de precio]],Tabla3[Medida],Tabla3[Equivalencia en Kg],"ELVIS",0)</f>
        <v>18.7537182539683</v>
      </c>
      <c r="M2283" s="2" t="n">
        <v>2574.584905776</v>
      </c>
      <c r="N2283" s="3" t="n">
        <f aca="false">(Tabla2[[#This Row],[Productividad (kg/TAS)]]*Tabla2[[#This Row],[Precio por kg]]-Tabla2[[#This Row],[Costos (En RD$/Tarea)]])</f>
        <v>-1214.14010948032</v>
      </c>
      <c r="O2283" s="9" t="n">
        <f aca="false">IF(Tabla2[[#This Row],[Costos (En RD$/Tarea)]]=0,0,Tabla2[[#This Row],[Beneficio Neto  (En RD$/Tarea)]]/Tabla2[[#This Row],[Costos (En RD$/Tarea)]])</f>
        <v>-0.471586742684785</v>
      </c>
      <c r="P2283" s="7" t="n">
        <f aca="false">Tabla2[[#This Row],[Rentabilidad (%)]]/12</f>
        <v>-0.0392988952237321</v>
      </c>
    </row>
    <row r="2284" customFormat="false" ht="14.25" hidden="false" customHeight="false" outlineLevel="0" collapsed="false">
      <c r="A2284" s="1" t="n">
        <v>42309</v>
      </c>
      <c r="B2284" s="2" t="s">
        <v>21</v>
      </c>
      <c r="C2284" s="3" t="n">
        <v>11795</v>
      </c>
      <c r="D2284" s="8" t="s">
        <v>17</v>
      </c>
      <c r="E2284" s="3" t="n">
        <f aca="false">IF(Tabla2[[#This Row],[Frecuencia]]="Annual", Tabla2[[#This Row],[Cosecha/Tarea]]/12,Tabla2[[#This Row],[Cosecha/Tarea]])</f>
        <v>11795</v>
      </c>
      <c r="F2284" s="3" t="n">
        <v>85906</v>
      </c>
      <c r="G2284" s="2" t="s">
        <v>18</v>
      </c>
      <c r="H2284" s="2" t="n">
        <f aca="false">F2284/Tabla2[[#This Row],[Cosecha Mensual]]</f>
        <v>7.28325561678677</v>
      </c>
      <c r="I2284" s="2" t="n">
        <f aca="false">H2284*_xlfn.XLOOKUP(Tabla2[[#This Row],[Unidad de producción]],Tabla3[Medida],Tabla3[Equivalencia en Kg],"ELVIS",0)</f>
        <v>330.368474777448</v>
      </c>
      <c r="J2284" s="2" t="n">
        <v>830.972222222222</v>
      </c>
      <c r="K2284" s="2" t="s">
        <v>18</v>
      </c>
      <c r="L2284" s="2" t="n">
        <f aca="false">J2284/_xlfn.XLOOKUP(Tabla2[[#This Row],[Unidad de precio]],Tabla3[Medida],Tabla3[Equivalencia en Kg],"ELVIS",0)</f>
        <v>18.3194934352342</v>
      </c>
      <c r="M2284" s="2" t="n">
        <v>5153.88882833038</v>
      </c>
      <c r="N2284" s="3" t="n">
        <f aca="false">(Tabla2[[#This Row],[Productividad (kg/TAS)]]*Tabla2[[#This Row],[Precio por kg]]-Tabla2[[#This Row],[Costos (En RD$/Tarea)]])</f>
        <v>898.294276563405</v>
      </c>
      <c r="O2284" s="9" t="n">
        <f aca="false">IF(Tabla2[[#This Row],[Costos (En RD$/Tarea)]]=0,0,Tabla2[[#This Row],[Beneficio Neto  (En RD$/Tarea)]]/Tabla2[[#This Row],[Costos (En RD$/Tarea)]])</f>
        <v>0.174294461228107</v>
      </c>
      <c r="P2284" s="7" t="n">
        <f aca="false">Tabla2[[#This Row],[Rentabilidad (%)]]/12</f>
        <v>0.0145245384356756</v>
      </c>
    </row>
    <row r="2285" customFormat="false" ht="14.25" hidden="false" customHeight="false" outlineLevel="0" collapsed="false">
      <c r="A2285" s="1" t="n">
        <v>42309</v>
      </c>
      <c r="B2285" s="2" t="s">
        <v>22</v>
      </c>
      <c r="C2285" s="3" t="n">
        <v>6987</v>
      </c>
      <c r="D2285" s="8" t="s">
        <v>17</v>
      </c>
      <c r="E2285" s="3" t="n">
        <f aca="false">IF(Tabla2[[#This Row],[Frecuencia]]="Annual", Tabla2[[#This Row],[Cosecha/Tarea]]/12,Tabla2[[#This Row],[Cosecha/Tarea]])</f>
        <v>6987</v>
      </c>
      <c r="F2285" s="3" t="n">
        <v>54628</v>
      </c>
      <c r="G2285" s="2" t="s">
        <v>18</v>
      </c>
      <c r="H2285" s="2" t="n">
        <f aca="false">F2285/Tabla2[[#This Row],[Cosecha Mensual]]</f>
        <v>7.81852010877344</v>
      </c>
      <c r="I2285" s="2" t="n">
        <f aca="false">H2285*_xlfn.XLOOKUP(Tabla2[[#This Row],[Unidad de producción]],Tabla3[Medida],Tabla3[Equivalencia en Kg],"ELVIS",0)</f>
        <v>354.648072133963</v>
      </c>
      <c r="J2285" s="2" t="n">
        <v>1524.42857142857</v>
      </c>
      <c r="K2285" s="2" t="s">
        <v>18</v>
      </c>
      <c r="L2285" s="2" t="n">
        <f aca="false">J2285/_xlfn.XLOOKUP(Tabla2[[#This Row],[Unidad de precio]],Tabla3[Medida],Tabla3[Equivalencia en Kg],"ELVIS",0)</f>
        <v>33.6073318216175</v>
      </c>
      <c r="M2285" s="2" t="n">
        <v>9360.09200898452</v>
      </c>
      <c r="N2285" s="3" t="n">
        <f aca="false">(Tabla2[[#This Row],[Productividad (kg/TAS)]]*Tabla2[[#This Row],[Precio por kg]]-Tabla2[[#This Row],[Costos (En RD$/Tarea)]])</f>
        <v>2558.68343111852</v>
      </c>
      <c r="O2285" s="9" t="n">
        <f aca="false">IF(Tabla2[[#This Row],[Costos (En RD$/Tarea)]]=0,0,Tabla2[[#This Row],[Beneficio Neto  (En RD$/Tarea)]]/Tabla2[[#This Row],[Costos (En RD$/Tarea)]])</f>
        <v>0.273360927292435</v>
      </c>
      <c r="P2285" s="7" t="n">
        <f aca="false">Tabla2[[#This Row],[Rentabilidad (%)]]/12</f>
        <v>0.0227800772743696</v>
      </c>
    </row>
    <row r="2286" customFormat="false" ht="14.25" hidden="false" customHeight="false" outlineLevel="0" collapsed="false">
      <c r="A2286" s="1" t="n">
        <v>42309</v>
      </c>
      <c r="B2286" s="2" t="s">
        <v>23</v>
      </c>
      <c r="C2286" s="3" t="n">
        <v>3662</v>
      </c>
      <c r="D2286" s="8" t="s">
        <v>17</v>
      </c>
      <c r="E2286" s="3" t="n">
        <f aca="false">IF(Tabla2[[#This Row],[Frecuencia]]="Annual", Tabla2[[#This Row],[Cosecha/Tarea]]/12,Tabla2[[#This Row],[Cosecha/Tarea]])</f>
        <v>3662</v>
      </c>
      <c r="F2286" s="3" t="n">
        <v>102147</v>
      </c>
      <c r="G2286" s="2" t="s">
        <v>18</v>
      </c>
      <c r="H2286" s="2" t="n">
        <f aca="false">F2286/Tabla2[[#This Row],[Cosecha Mensual]]</f>
        <v>27.893773894047</v>
      </c>
      <c r="I2286" s="2" t="n">
        <f aca="false">H2286*_xlfn.XLOOKUP(Tabla2[[#This Row],[Unidad de producción]],Tabla3[Medida],Tabla3[Equivalencia en Kg],"ELVIS",0)</f>
        <v>1265.26158383397</v>
      </c>
      <c r="J2286" s="2" t="n">
        <v>1000</v>
      </c>
      <c r="K2286" s="2" t="s">
        <v>18</v>
      </c>
      <c r="L2286" s="2" t="n">
        <f aca="false">J2286/_xlfn.XLOOKUP(Tabla2[[#This Row],[Unidad de precio]],Tabla3[Medida],Tabla3[Equivalencia en Kg],"ELVIS",0)</f>
        <v>22.0458553791887</v>
      </c>
      <c r="M2286" s="2" t="n">
        <v>25505.1939374778</v>
      </c>
      <c r="N2286" s="3" t="n">
        <f aca="false">(Tabla2[[#This Row],[Productividad (kg/TAS)]]*Tabla2[[#This Row],[Precio por kg]]-Tabla2[[#This Row],[Costos (En RD$/Tarea)]])</f>
        <v>2388.57995656917</v>
      </c>
      <c r="O2286" s="9" t="n">
        <f aca="false">IF(Tabla2[[#This Row],[Costos (En RD$/Tarea)]]=0,0,Tabla2[[#This Row],[Beneficio Neto  (En RD$/Tarea)]]/Tabla2[[#This Row],[Costos (En RD$/Tarea)]])</f>
        <v>0.0936507270803122</v>
      </c>
      <c r="P2286" s="7" t="n">
        <f aca="false">Tabla2[[#This Row],[Rentabilidad (%)]]/12</f>
        <v>0.00780422725669268</v>
      </c>
    </row>
    <row r="2287" customFormat="false" ht="14.25" hidden="false" customHeight="false" outlineLevel="0" collapsed="false">
      <c r="A2287" s="1" t="n">
        <v>42309</v>
      </c>
      <c r="B2287" s="2" t="s">
        <v>24</v>
      </c>
      <c r="C2287" s="3" t="n">
        <v>6624</v>
      </c>
      <c r="D2287" s="8" t="s">
        <v>17</v>
      </c>
      <c r="E2287" s="3" t="n">
        <f aca="false">IF(Tabla2[[#This Row],[Frecuencia]]="Annual", Tabla2[[#This Row],[Cosecha/Tarea]]/12,Tabla2[[#This Row],[Cosecha/Tarea]])</f>
        <v>6624</v>
      </c>
      <c r="F2287" s="3" t="n">
        <v>49130</v>
      </c>
      <c r="G2287" s="2" t="s">
        <v>18</v>
      </c>
      <c r="H2287" s="2" t="n">
        <f aca="false">F2287/Tabla2[[#This Row],[Cosecha Mensual]]</f>
        <v>7.41696859903382</v>
      </c>
      <c r="I2287" s="2" t="n">
        <f aca="false">H2287*_xlfn.XLOOKUP(Tabla2[[#This Row],[Unidad de producción]],Tabla3[Medida],Tabla3[Equivalencia en Kg],"ELVIS",0)</f>
        <v>336.433695652174</v>
      </c>
      <c r="J2287" s="2" t="n">
        <v>1946.21476190476</v>
      </c>
      <c r="K2287" s="2" t="s">
        <v>18</v>
      </c>
      <c r="L2287" s="2" t="n">
        <f aca="false">J2287/_xlfn.XLOOKUP(Tabla2[[#This Row],[Unidad de precio]],Tabla3[Medida],Tabla3[Equivalencia en Kg],"ELVIS",0)</f>
        <v>42.9059691777945</v>
      </c>
      <c r="M2287" s="2" t="n">
        <v>9240.56556420077</v>
      </c>
      <c r="N2287" s="3" t="n">
        <f aca="false">(Tabla2[[#This Row],[Productividad (kg/TAS)]]*Tabla2[[#This Row],[Precio por kg]]-Tabla2[[#This Row],[Costos (En RD$/Tarea)]])</f>
        <v>5194.44821182291</v>
      </c>
      <c r="O2287" s="9" t="n">
        <f aca="false">IF(Tabla2[[#This Row],[Costos (En RD$/Tarea)]]=0,0,Tabla2[[#This Row],[Beneficio Neto  (En RD$/Tarea)]]/Tabla2[[#This Row],[Costos (En RD$/Tarea)]])</f>
        <v>0.562135312577286</v>
      </c>
      <c r="P2287" s="7" t="n">
        <f aca="false">Tabla2[[#This Row],[Rentabilidad (%)]]/12</f>
        <v>0.0468446093814405</v>
      </c>
    </row>
    <row r="2288" customFormat="false" ht="14.25" hidden="false" customHeight="false" outlineLevel="0" collapsed="false">
      <c r="A2288" s="1" t="n">
        <v>42309</v>
      </c>
      <c r="B2288" s="2" t="s">
        <v>25</v>
      </c>
      <c r="C2288" s="3" t="n">
        <v>45744</v>
      </c>
      <c r="D2288" s="8" t="s">
        <v>17</v>
      </c>
      <c r="E2288" s="3" t="n">
        <f aca="false">IF(Tabla2[[#This Row],[Frecuencia]]="Annual", Tabla2[[#This Row],[Cosecha/Tarea]]/12,Tabla2[[#This Row],[Cosecha/Tarea]])</f>
        <v>45744</v>
      </c>
      <c r="F2288" s="3" t="n">
        <v>415067</v>
      </c>
      <c r="G2288" s="2" t="s">
        <v>18</v>
      </c>
      <c r="H2288" s="2" t="n">
        <f aca="false">F2288/Tabla2[[#This Row],[Cosecha Mensual]]</f>
        <v>9.07369272472893</v>
      </c>
      <c r="I2288" s="2" t="n">
        <f aca="false">H2288*_xlfn.XLOOKUP(Tabla2[[#This Row],[Unidad de producción]],Tabla3[Medida],Tabla3[Equivalencia en Kg],"ELVIS",0)</f>
        <v>411.582701993704</v>
      </c>
      <c r="J2288" s="2" t="n">
        <v>981.107142857143</v>
      </c>
      <c r="K2288" s="2" t="s">
        <v>18</v>
      </c>
      <c r="L2288" s="2" t="n">
        <f aca="false">J2288/_xlfn.XLOOKUP(Tabla2[[#This Row],[Unidad de precio]],Tabla3[Medida],Tabla3[Equivalencia en Kg],"ELVIS",0)</f>
        <v>21.6293461829176</v>
      </c>
      <c r="M2288" s="2" t="n">
        <v>5033.45303788251</v>
      </c>
      <c r="N2288" s="3" t="n">
        <f aca="false">(Tabla2[[#This Row],[Productividad (kg/TAS)]]*Tabla2[[#This Row],[Precio por kg]]-Tabla2[[#This Row],[Costos (En RD$/Tarea)]])</f>
        <v>3868.81170643993</v>
      </c>
      <c r="O2288" s="9" t="n">
        <f aca="false">IF(Tabla2[[#This Row],[Costos (En RD$/Tarea)]]=0,0,Tabla2[[#This Row],[Beneficio Neto  (En RD$/Tarea)]]/Tabla2[[#This Row],[Costos (En RD$/Tarea)]])</f>
        <v>0.768619807778614</v>
      </c>
      <c r="P2288" s="7" t="n">
        <f aca="false">Tabla2[[#This Row],[Rentabilidad (%)]]/12</f>
        <v>0.0640516506482178</v>
      </c>
    </row>
    <row r="2289" customFormat="false" ht="14.25" hidden="false" customHeight="false" outlineLevel="0" collapsed="false">
      <c r="A2289" s="1" t="n">
        <v>42309</v>
      </c>
      <c r="B2289" s="2" t="s">
        <v>26</v>
      </c>
      <c r="C2289" s="3" t="n">
        <v>11940</v>
      </c>
      <c r="D2289" s="8" t="s">
        <v>17</v>
      </c>
      <c r="E2289" s="3" t="n">
        <f aca="false">IF(Tabla2[[#This Row],[Frecuencia]]="Annual", Tabla2[[#This Row],[Cosecha/Tarea]]/12,Tabla2[[#This Row],[Cosecha/Tarea]])</f>
        <v>11940</v>
      </c>
      <c r="F2289" s="3" t="n">
        <v>76072</v>
      </c>
      <c r="G2289" s="2" t="s">
        <v>18</v>
      </c>
      <c r="H2289" s="2" t="n">
        <f aca="false">F2289/Tabla2[[#This Row],[Cosecha Mensual]]</f>
        <v>6.37118927973199</v>
      </c>
      <c r="I2289" s="2" t="n">
        <f aca="false">H2289*_xlfn.XLOOKUP(Tabla2[[#This Row],[Unidad de producción]],Tabla3[Medida],Tabla3[Equivalencia en Kg],"ELVIS",0)</f>
        <v>288.997145728643</v>
      </c>
      <c r="J2289" s="2" t="n">
        <v>1059.33333333333</v>
      </c>
      <c r="K2289" s="2" t="s">
        <v>18</v>
      </c>
      <c r="L2289" s="2" t="n">
        <f aca="false">J2289/_xlfn.XLOOKUP(Tabla2[[#This Row],[Unidad de precio]],Tabla3[Medida],Tabla3[Equivalencia en Kg],"ELVIS",0)</f>
        <v>23.3539094650205</v>
      </c>
      <c r="M2289" s="2" t="n">
        <v>2123.36088960426</v>
      </c>
      <c r="N2289" s="3" t="n">
        <f aca="false">(Tabla2[[#This Row],[Productividad (kg/TAS)]]*Tabla2[[#This Row],[Precio por kg]]-Tabla2[[#This Row],[Costos (En RD$/Tarea)]])</f>
        <v>4625.85228739181</v>
      </c>
      <c r="O2289" s="9" t="n">
        <f aca="false">IF(Tabla2[[#This Row],[Costos (En RD$/Tarea)]]=0,0,Tabla2[[#This Row],[Beneficio Neto  (En RD$/Tarea)]]/Tabla2[[#This Row],[Costos (En RD$/Tarea)]])</f>
        <v>2.17855208223881</v>
      </c>
      <c r="P2289" s="7" t="n">
        <f aca="false">Tabla2[[#This Row],[Rentabilidad (%)]]/12</f>
        <v>0.181546006853234</v>
      </c>
    </row>
    <row r="2290" customFormat="false" ht="14.25" hidden="false" customHeight="false" outlineLevel="0" collapsed="false">
      <c r="A2290" s="1" t="n">
        <v>42309</v>
      </c>
      <c r="B2290" s="2" t="s">
        <v>27</v>
      </c>
      <c r="C2290" s="3" t="n">
        <v>5225</v>
      </c>
      <c r="D2290" s="8" t="s">
        <v>17</v>
      </c>
      <c r="E2290" s="3" t="n">
        <f aca="false">IF(Tabla2[[#This Row],[Frecuencia]]="Annual", Tabla2[[#This Row],[Cosecha/Tarea]]/12,Tabla2[[#This Row],[Cosecha/Tarea]])</f>
        <v>5225</v>
      </c>
      <c r="F2290" s="3" t="n">
        <v>27764</v>
      </c>
      <c r="G2290" s="2" t="s">
        <v>18</v>
      </c>
      <c r="H2290" s="2" t="n">
        <f aca="false">F2290/Tabla2[[#This Row],[Cosecha Mensual]]</f>
        <v>5.31368421052632</v>
      </c>
      <c r="I2290" s="2" t="n">
        <f aca="false">H2290*_xlfn.XLOOKUP(Tabla2[[#This Row],[Unidad de producción]],Tabla3[Medida],Tabla3[Equivalencia en Kg],"ELVIS",0)</f>
        <v>241.028715789474</v>
      </c>
      <c r="J2290" s="2" t="n">
        <v>815.58</v>
      </c>
      <c r="K2290" s="2" t="s">
        <v>18</v>
      </c>
      <c r="L2290" s="2" t="n">
        <f aca="false">J2290/_xlfn.XLOOKUP(Tabla2[[#This Row],[Unidad de precio]],Tabla3[Medida],Tabla3[Equivalencia en Kg],"ELVIS",0)</f>
        <v>17.9801587301587</v>
      </c>
      <c r="M2290" s="2" t="n">
        <v>8682.692545606</v>
      </c>
      <c r="N2290" s="3" t="n">
        <f aca="false">(Tabla2[[#This Row],[Productividad (kg/TAS)]]*Tabla2[[#This Row],[Precio por kg]]-Tabla2[[#This Row],[Costos (En RD$/Tarea)]])</f>
        <v>-4348.95797718495</v>
      </c>
      <c r="O2290" s="9" t="n">
        <f aca="false">IF(Tabla2[[#This Row],[Costos (En RD$/Tarea)]]=0,0,Tabla2[[#This Row],[Beneficio Neto  (En RD$/Tarea)]]/Tabla2[[#This Row],[Costos (En RD$/Tarea)]])</f>
        <v>-0.500876652529381</v>
      </c>
      <c r="P2290" s="7" t="n">
        <f aca="false">Tabla2[[#This Row],[Rentabilidad (%)]]/12</f>
        <v>-0.0417397210441151</v>
      </c>
    </row>
    <row r="2291" customFormat="false" ht="14.25" hidden="false" customHeight="false" outlineLevel="0" collapsed="false">
      <c r="A2291" s="1" t="n">
        <v>42309</v>
      </c>
      <c r="B2291" s="2" t="s">
        <v>28</v>
      </c>
      <c r="C2291" s="3" t="n">
        <v>58547</v>
      </c>
      <c r="D2291" s="8" t="s">
        <v>17</v>
      </c>
      <c r="E2291" s="3" t="n">
        <f aca="false">IF(Tabla2[[#This Row],[Frecuencia]]="Annual", Tabla2[[#This Row],[Cosecha/Tarea]]/12,Tabla2[[#This Row],[Cosecha/Tarea]])</f>
        <v>58547</v>
      </c>
      <c r="F2291" s="3" t="n">
        <v>858072</v>
      </c>
      <c r="G2291" s="2" t="s">
        <v>18</v>
      </c>
      <c r="H2291" s="2" t="n">
        <f aca="false">F2291/Tabla2[[#This Row],[Cosecha Mensual]]</f>
        <v>14.6561224315507</v>
      </c>
      <c r="I2291" s="2" t="n">
        <f aca="false">H2291*_xlfn.XLOOKUP(Tabla2[[#This Row],[Unidad de producción]],Tabla3[Medida],Tabla3[Equivalencia en Kg],"ELVIS",0)</f>
        <v>664.801713495141</v>
      </c>
      <c r="J2291" s="2" t="n">
        <v>5653.88888888889</v>
      </c>
      <c r="K2291" s="2" t="s">
        <v>29</v>
      </c>
      <c r="L2291" s="2" t="n">
        <f aca="false">J2291/_xlfn.XLOOKUP(Tabla2[[#This Row],[Unidad de precio]],Tabla3[Medida],Tabla3[Equivalencia en Kg],"ELVIS",0)</f>
        <v>10.0542178911137</v>
      </c>
      <c r="M2291" s="2" t="n">
        <v>7427.37867438309</v>
      </c>
      <c r="N2291" s="3" t="n">
        <f aca="false">(Tabla2[[#This Row],[Productividad (kg/TAS)]]*Tabla2[[#This Row],[Precio por kg]]-Tabla2[[#This Row],[Costos (En RD$/Tarea)]])</f>
        <v>-743.31739251719</v>
      </c>
      <c r="O2291" s="9" t="n">
        <f aca="false">IF(Tabla2[[#This Row],[Costos (En RD$/Tarea)]]=0,0,Tabla2[[#This Row],[Beneficio Neto  (En RD$/Tarea)]]/Tabla2[[#This Row],[Costos (En RD$/Tarea)]])</f>
        <v>-0.100078025519404</v>
      </c>
      <c r="P2291" s="7" t="n">
        <f aca="false">Tabla2[[#This Row],[Rentabilidad (%)]]/12</f>
        <v>-0.00833983545995035</v>
      </c>
    </row>
    <row r="2292" customFormat="false" ht="14.25" hidden="false" customHeight="false" outlineLevel="0" collapsed="false">
      <c r="A2292" s="1" t="n">
        <v>42309</v>
      </c>
      <c r="B2292" s="2" t="s">
        <v>30</v>
      </c>
      <c r="C2292" s="3" t="n">
        <v>424547</v>
      </c>
      <c r="D2292" s="3" t="s">
        <v>31</v>
      </c>
      <c r="E2292" s="3" t="n">
        <f aca="false">IF(Tabla2[[#This Row],[Frecuencia]]="Annual", Tabla2[[#This Row],[Cosecha/Tarea]]/12,Tabla2[[#This Row],[Cosecha/Tarea]])</f>
        <v>35378.9166666667</v>
      </c>
      <c r="F2292" s="3" t="n">
        <v>1959286.2</v>
      </c>
      <c r="G2292" s="2" t="s">
        <v>18</v>
      </c>
      <c r="H2292" s="2" t="n">
        <f aca="false">F2292/Tabla2[[#This Row],[Cosecha Mensual]]</f>
        <v>55.380050736432</v>
      </c>
      <c r="I2292" s="2" t="n">
        <f aca="false">H2292*_xlfn.XLOOKUP(Tabla2[[#This Row],[Unidad de producción]],Tabla3[Medida],Tabla3[Equivalencia en Kg],"ELVIS",0)</f>
        <v>2512.03910140456</v>
      </c>
      <c r="J2292" s="2" t="n">
        <v>230.392380952381</v>
      </c>
      <c r="K2292" s="2" t="s">
        <v>32</v>
      </c>
      <c r="L2292" s="2" t="n">
        <f aca="false">J2292/_xlfn.XLOOKUP(Tabla2[[#This Row],[Unidad de precio]],Tabla3[Medida],Tabla3[Equivalencia en Kg],"ELVIS",0)</f>
        <v>8.46719518384348</v>
      </c>
      <c r="M2292" s="3" t="n">
        <v>22429.7248632058</v>
      </c>
      <c r="N2292" s="3" t="n">
        <f aca="false">(Tabla2[[#This Row],[Productividad (kg/TAS)]]*Tabla2[[#This Row],[Precio por kg]]-Tabla2[[#This Row],[Costos (En RD$/Tarea)]])</f>
        <v>-1159.79948216665</v>
      </c>
      <c r="O2292" s="9" t="n">
        <f aca="false">IF(Tabla2[[#This Row],[Costos (En RD$/Tarea)]]=0,0,Tabla2[[#This Row],[Beneficio Neto  (En RD$/Tarea)]]/Tabla2[[#This Row],[Costos (En RD$/Tarea)]])</f>
        <v>-0.0517081457414224</v>
      </c>
      <c r="P2292" s="7" t="n">
        <f aca="false">Tabla2[[#This Row],[Rentabilidad (%)]]/12</f>
        <v>-0.00430901214511853</v>
      </c>
    </row>
    <row r="2293" customFormat="false" ht="14.25" hidden="false" customHeight="false" outlineLevel="0" collapsed="false">
      <c r="A2293" s="1" t="n">
        <v>42309</v>
      </c>
      <c r="B2293" s="2" t="s">
        <v>33</v>
      </c>
      <c r="C2293" s="3" t="n">
        <v>733457</v>
      </c>
      <c r="D2293" s="3" t="s">
        <v>31</v>
      </c>
      <c r="E2293" s="11" t="n">
        <f aca="false">IF(Tabla2[[#This Row],[Frecuencia]]="Annual", Tabla2[[#This Row],[Cosecha/Tarea]]/12,Tabla2[[#This Row],[Cosecha/Tarea]])</f>
        <v>61121.4166666667</v>
      </c>
      <c r="F2293" s="3" t="n">
        <v>1126926</v>
      </c>
      <c r="G2293" s="2" t="s">
        <v>18</v>
      </c>
      <c r="H2293" s="2" t="n">
        <f aca="false">F2293/Tabla2[[#This Row],[Cosecha Mensual]]</f>
        <v>18.4374980401032</v>
      </c>
      <c r="I2293" s="2" t="n">
        <f aca="false">H2293*_xlfn.XLOOKUP(Tabla2[[#This Row],[Unidad de producción]],Tabla3[Medida],Tabla3[Equivalencia en Kg],"ELVIS",0)</f>
        <v>836.324911099083</v>
      </c>
      <c r="J2293" s="2" t="n">
        <v>9084.80952380953</v>
      </c>
      <c r="K2293" s="2" t="s">
        <v>34</v>
      </c>
      <c r="L2293" s="2" t="n">
        <f aca="false">J2293/_xlfn.XLOOKUP(Tabla2[[#This Row],[Unidad de precio]],Tabla3[Medida],Tabla3[Equivalencia en Kg],"ELVIS",0)</f>
        <v>22.2585067348022</v>
      </c>
      <c r="M2293" s="3" t="n">
        <v>16317.7474581161</v>
      </c>
      <c r="N2293" s="3" t="n">
        <f aca="false">(Tabla2[[#This Row],[Productividad (kg/TAS)]]*Tabla2[[#This Row],[Precio por kg]]-Tabla2[[#This Row],[Costos (En RD$/Tarea)]])</f>
        <v>2297.59620806572</v>
      </c>
      <c r="O2293" s="9" t="n">
        <f aca="false">IF(Tabla2[[#This Row],[Costos (En RD$/Tarea)]]=0,0,Tabla2[[#This Row],[Beneficio Neto  (En RD$/Tarea)]]/Tabla2[[#This Row],[Costos (En RD$/Tarea)]])</f>
        <v>0.140803515556489</v>
      </c>
      <c r="P2293" s="7" t="n">
        <f aca="false">Tabla2[[#This Row],[Rentabilidad (%)]]/12</f>
        <v>0.0117336262963741</v>
      </c>
    </row>
    <row r="2294" customFormat="false" ht="14.25" hidden="false" customHeight="false" outlineLevel="0" collapsed="false">
      <c r="A2294" s="1" t="n">
        <v>42339</v>
      </c>
      <c r="B2294" s="2" t="s">
        <v>16</v>
      </c>
      <c r="C2294" s="3" t="n">
        <v>105381</v>
      </c>
      <c r="D2294" s="8" t="s">
        <v>17</v>
      </c>
      <c r="E2294" s="3" t="n">
        <f aca="false">IF(Tabla2[[#This Row],[Frecuencia]]="Annual", Tabla2[[#This Row],[Cosecha/Tarea]]/12,Tabla2[[#This Row],[Cosecha/Tarea]])</f>
        <v>105381</v>
      </c>
      <c r="F2294" s="3" t="n">
        <v>328406</v>
      </c>
      <c r="G2294" s="2" t="s">
        <v>18</v>
      </c>
      <c r="H2294" s="2" t="n">
        <f aca="false">F2294/Tabla2[[#This Row],[Cosecha Mensual]]</f>
        <v>3.11636822577125</v>
      </c>
      <c r="I2294" s="2" t="n">
        <f aca="false">H2294*_xlfn.XLOOKUP(Tabla2[[#This Row],[Unidad de producción]],Tabla3[Medida],Tabla3[Equivalencia en Kg],"ELVIS",0)</f>
        <v>141.358462720984</v>
      </c>
      <c r="J2294" s="2" t="n">
        <v>1769.8280326087</v>
      </c>
      <c r="K2294" s="2" t="s">
        <v>19</v>
      </c>
      <c r="L2294" s="2" t="n">
        <f aca="false">J2294/_xlfn.XLOOKUP(Tabla2[[#This Row],[Unidad de precio]],Tabla3[Medida],Tabla3[Equivalencia en Kg],"ELVIS",0)</f>
        <v>16.0893457509882</v>
      </c>
      <c r="M2294" s="2" t="n">
        <v>7019.06666466125</v>
      </c>
      <c r="N2294" s="3" t="n">
        <f aca="false">(Tabla2[[#This Row],[Productividad (kg/TAS)]]*Tabla2[[#This Row],[Precio por kg]]-Tabla2[[#This Row],[Costos (En RD$/Tarea)]])</f>
        <v>-4744.70148311517</v>
      </c>
      <c r="O2294" s="9" t="n">
        <f aca="false">IF(Tabla2[[#This Row],[Costos (En RD$/Tarea)]]=0,0,Tabla2[[#This Row],[Beneficio Neto  (En RD$/Tarea)]]/Tabla2[[#This Row],[Costos (En RD$/Tarea)]])</f>
        <v>-0.675973275336338</v>
      </c>
      <c r="P2294" s="7" t="n">
        <f aca="false">Tabla2[[#This Row],[Rentabilidad (%)]]/12</f>
        <v>-0.0563311062780281</v>
      </c>
    </row>
    <row r="2295" customFormat="false" ht="14.25" hidden="false" customHeight="false" outlineLevel="0" collapsed="false">
      <c r="A2295" s="1" t="n">
        <v>42339</v>
      </c>
      <c r="B2295" s="2" t="s">
        <v>20</v>
      </c>
      <c r="C2295" s="3" t="n">
        <v>54201</v>
      </c>
      <c r="D2295" s="8" t="s">
        <v>17</v>
      </c>
      <c r="E2295" s="3" t="n">
        <f aca="false">IF(Tabla2[[#This Row],[Frecuencia]]="Annual", Tabla2[[#This Row],[Cosecha/Tarea]]/12,Tabla2[[#This Row],[Cosecha/Tarea]])</f>
        <v>54201</v>
      </c>
      <c r="F2295" s="3" t="n">
        <v>99898</v>
      </c>
      <c r="G2295" s="2" t="s">
        <v>18</v>
      </c>
      <c r="H2295" s="2" t="n">
        <f aca="false">F2295/Tabla2[[#This Row],[Cosecha Mensual]]</f>
        <v>1.84310252578366</v>
      </c>
      <c r="I2295" s="2" t="n">
        <f aca="false">H2295*_xlfn.XLOOKUP(Tabla2[[#This Row],[Unidad de producción]],Tabla3[Medida],Tabla3[Equivalencia en Kg],"ELVIS",0)</f>
        <v>83.6031305695467</v>
      </c>
      <c r="J2295" s="2" t="n">
        <v>847.098219333333</v>
      </c>
      <c r="K2295" s="2" t="s">
        <v>18</v>
      </c>
      <c r="L2295" s="2" t="n">
        <f aca="false">J2295/_xlfn.XLOOKUP(Tabla2[[#This Row],[Unidad de precio]],Tabla3[Medida],Tabla3[Equivalencia en Kg],"ELVIS",0)</f>
        <v>18.6750048353909</v>
      </c>
      <c r="M2295" s="2" t="n">
        <v>2574.584905776</v>
      </c>
      <c r="N2295" s="3" t="n">
        <f aca="false">(Tabla2[[#This Row],[Productividad (kg/TAS)]]*Tabla2[[#This Row],[Precio por kg]]-Tabla2[[#This Row],[Costos (En RD$/Tarea)]])</f>
        <v>-1013.2960381359</v>
      </c>
      <c r="O2295" s="9" t="n">
        <f aca="false">IF(Tabla2[[#This Row],[Costos (En RD$/Tarea)]]=0,0,Tabla2[[#This Row],[Beneficio Neto  (En RD$/Tarea)]]/Tabla2[[#This Row],[Costos (En RD$/Tarea)]])</f>
        <v>-0.393576469691327</v>
      </c>
      <c r="P2295" s="7" t="n">
        <f aca="false">Tabla2[[#This Row],[Rentabilidad (%)]]/12</f>
        <v>-0.0327980391409439</v>
      </c>
    </row>
    <row r="2296" customFormat="false" ht="14.25" hidden="false" customHeight="false" outlineLevel="0" collapsed="false">
      <c r="A2296" s="1" t="n">
        <v>42339</v>
      </c>
      <c r="B2296" s="2" t="s">
        <v>21</v>
      </c>
      <c r="C2296" s="3" t="n">
        <v>7958</v>
      </c>
      <c r="D2296" s="8" t="s">
        <v>17</v>
      </c>
      <c r="E2296" s="3" t="n">
        <f aca="false">IF(Tabla2[[#This Row],[Frecuencia]]="Annual", Tabla2[[#This Row],[Cosecha/Tarea]]/12,Tabla2[[#This Row],[Cosecha/Tarea]])</f>
        <v>7958</v>
      </c>
      <c r="F2296" s="3" t="n">
        <v>82014</v>
      </c>
      <c r="G2296" s="2" t="s">
        <v>18</v>
      </c>
      <c r="H2296" s="2" t="n">
        <f aca="false">F2296/Tabla2[[#This Row],[Cosecha Mensual]]</f>
        <v>10.3058557426489</v>
      </c>
      <c r="I2296" s="2" t="n">
        <f aca="false">H2296*_xlfn.XLOOKUP(Tabla2[[#This Row],[Unidad de producción]],Tabla3[Medida],Tabla3[Equivalencia en Kg],"ELVIS",0)</f>
        <v>467.473616486554</v>
      </c>
      <c r="J2296" s="2" t="n">
        <v>831.611111111111</v>
      </c>
      <c r="K2296" s="2" t="s">
        <v>18</v>
      </c>
      <c r="L2296" s="2" t="n">
        <f aca="false">J2296/_xlfn.XLOOKUP(Tabla2[[#This Row],[Unidad de precio]],Tabla3[Medida],Tabla3[Equivalencia en Kg],"ELVIS",0)</f>
        <v>18.333578287282</v>
      </c>
      <c r="M2296" s="2" t="n">
        <v>5153.88882833038</v>
      </c>
      <c r="N2296" s="3" t="n">
        <f aca="false">(Tabla2[[#This Row],[Productividad (kg/TAS)]]*Tabla2[[#This Row],[Precio por kg]]-Tabla2[[#This Row],[Costos (En RD$/Tarea)]])</f>
        <v>3416.5753167647</v>
      </c>
      <c r="O2296" s="9" t="n">
        <f aca="false">IF(Tabla2[[#This Row],[Costos (En RD$/Tarea)]]=0,0,Tabla2[[#This Row],[Beneficio Neto  (En RD$/Tarea)]]/Tabla2[[#This Row],[Costos (En RD$/Tarea)]])</f>
        <v>0.662912109780899</v>
      </c>
      <c r="P2296" s="7" t="n">
        <f aca="false">Tabla2[[#This Row],[Rentabilidad (%)]]/12</f>
        <v>0.0552426758150749</v>
      </c>
    </row>
    <row r="2297" customFormat="false" ht="14.25" hidden="false" customHeight="false" outlineLevel="0" collapsed="false">
      <c r="A2297" s="1" t="n">
        <v>42339</v>
      </c>
      <c r="B2297" s="2" t="s">
        <v>22</v>
      </c>
      <c r="C2297" s="3" t="n">
        <v>7411</v>
      </c>
      <c r="D2297" s="8" t="s">
        <v>17</v>
      </c>
      <c r="E2297" s="3" t="n">
        <f aca="false">IF(Tabla2[[#This Row],[Frecuencia]]="Annual", Tabla2[[#This Row],[Cosecha/Tarea]]/12,Tabla2[[#This Row],[Cosecha/Tarea]])</f>
        <v>7411</v>
      </c>
      <c r="F2297" s="3" t="n">
        <v>62147</v>
      </c>
      <c r="G2297" s="2" t="s">
        <v>18</v>
      </c>
      <c r="H2297" s="2" t="n">
        <f aca="false">F2297/Tabla2[[#This Row],[Cosecha Mensual]]</f>
        <v>8.38577789771961</v>
      </c>
      <c r="I2297" s="2" t="n">
        <f aca="false">H2297*_xlfn.XLOOKUP(Tabla2[[#This Row],[Unidad de producción]],Tabla3[Medida],Tabla3[Equivalencia en Kg],"ELVIS",0)</f>
        <v>380.378885440561</v>
      </c>
      <c r="J2297" s="2" t="n">
        <v>1750.89285714286</v>
      </c>
      <c r="K2297" s="2" t="s">
        <v>18</v>
      </c>
      <c r="L2297" s="2" t="n">
        <f aca="false">J2297/_xlfn.XLOOKUP(Tabla2[[#This Row],[Unidad de precio]],Tabla3[Medida],Tabla3[Equivalencia en Kg],"ELVIS",0)</f>
        <v>38.599930713026</v>
      </c>
      <c r="M2297" s="2" t="n">
        <v>9360.09200898452</v>
      </c>
      <c r="N2297" s="3" t="n">
        <f aca="false">(Tabla2[[#This Row],[Productividad (kg/TAS)]]*Tabla2[[#This Row],[Precio por kg]]-Tabla2[[#This Row],[Costos (En RD$/Tarea)]])</f>
        <v>5322.50661371921</v>
      </c>
      <c r="O2297" s="9" t="n">
        <f aca="false">IF(Tabla2[[#This Row],[Costos (En RD$/Tarea)]]=0,0,Tabla2[[#This Row],[Beneficio Neto  (En RD$/Tarea)]]/Tabla2[[#This Row],[Costos (En RD$/Tarea)]])</f>
        <v>0.5686382792616</v>
      </c>
      <c r="P2297" s="7" t="n">
        <f aca="false">Tabla2[[#This Row],[Rentabilidad (%)]]/12</f>
        <v>0.0473865232718</v>
      </c>
    </row>
    <row r="2298" customFormat="false" ht="14.25" hidden="false" customHeight="false" outlineLevel="0" collapsed="false">
      <c r="A2298" s="1" t="n">
        <v>42339</v>
      </c>
      <c r="B2298" s="2" t="s">
        <v>23</v>
      </c>
      <c r="C2298" s="3" t="n">
        <v>2785</v>
      </c>
      <c r="D2298" s="8" t="s">
        <v>17</v>
      </c>
      <c r="E2298" s="3" t="n">
        <f aca="false">IF(Tabla2[[#This Row],[Frecuencia]]="Annual", Tabla2[[#This Row],[Cosecha/Tarea]]/12,Tabla2[[#This Row],[Cosecha/Tarea]])</f>
        <v>2785</v>
      </c>
      <c r="F2298" s="3" t="n">
        <v>98958</v>
      </c>
      <c r="G2298" s="2" t="s">
        <v>18</v>
      </c>
      <c r="H2298" s="2" t="n">
        <f aca="false">F2298/Tabla2[[#This Row],[Cosecha Mensual]]</f>
        <v>35.5324955116697</v>
      </c>
      <c r="I2298" s="2" t="n">
        <f aca="false">H2298*_xlfn.XLOOKUP(Tabla2[[#This Row],[Unidad de producción]],Tabla3[Medida],Tabla3[Equivalencia en Kg],"ELVIS",0)</f>
        <v>1611.75399640934</v>
      </c>
      <c r="J2298" s="2" t="n">
        <v>1100</v>
      </c>
      <c r="K2298" s="2" t="s">
        <v>18</v>
      </c>
      <c r="L2298" s="2" t="n">
        <f aca="false">J2298/_xlfn.XLOOKUP(Tabla2[[#This Row],[Unidad de precio]],Tabla3[Medida],Tabla3[Equivalencia en Kg],"ELVIS",0)</f>
        <v>24.2504409171076</v>
      </c>
      <c r="M2298" s="2" t="n">
        <v>25505.1939374778</v>
      </c>
      <c r="N2298" s="3" t="n">
        <f aca="false">(Tabla2[[#This Row],[Productividad (kg/TAS)]]*Tabla2[[#This Row],[Precio por kg]]-Tabla2[[#This Row],[Costos (En RD$/Tarea)]])</f>
        <v>13580.5511253588</v>
      </c>
      <c r="O2298" s="9" t="n">
        <f aca="false">IF(Tabla2[[#This Row],[Costos (En RD$/Tarea)]]=0,0,Tabla2[[#This Row],[Beneficio Neto  (En RD$/Tarea)]]/Tabla2[[#This Row],[Costos (En RD$/Tarea)]])</f>
        <v>0.532462178435088</v>
      </c>
      <c r="P2298" s="7" t="n">
        <f aca="false">Tabla2[[#This Row],[Rentabilidad (%)]]/12</f>
        <v>0.044371848202924</v>
      </c>
    </row>
    <row r="2299" customFormat="false" ht="14.25" hidden="false" customHeight="false" outlineLevel="0" collapsed="false">
      <c r="A2299" s="1" t="n">
        <v>42339</v>
      </c>
      <c r="B2299" s="2" t="s">
        <v>24</v>
      </c>
      <c r="C2299" s="3" t="n">
        <v>9895</v>
      </c>
      <c r="D2299" s="8" t="s">
        <v>17</v>
      </c>
      <c r="E2299" s="3" t="n">
        <f aca="false">IF(Tabla2[[#This Row],[Frecuencia]]="Annual", Tabla2[[#This Row],[Cosecha/Tarea]]/12,Tabla2[[#This Row],[Cosecha/Tarea]])</f>
        <v>9895</v>
      </c>
      <c r="F2299" s="3" t="n">
        <v>94311</v>
      </c>
      <c r="G2299" s="2" t="s">
        <v>18</v>
      </c>
      <c r="H2299" s="2" t="n">
        <f aca="false">F2299/Tabla2[[#This Row],[Cosecha Mensual]]</f>
        <v>9.53117736230419</v>
      </c>
      <c r="I2299" s="2" t="n">
        <f aca="false">H2299*_xlfn.XLOOKUP(Tabla2[[#This Row],[Unidad de producción]],Tabla3[Medida],Tabla3[Equivalencia en Kg],"ELVIS",0)</f>
        <v>432.334205154118</v>
      </c>
      <c r="J2299" s="2" t="n">
        <v>2422.26142857143</v>
      </c>
      <c r="K2299" s="2" t="s">
        <v>18</v>
      </c>
      <c r="L2299" s="2" t="n">
        <f aca="false">J2299/_xlfn.XLOOKUP(Tabla2[[#This Row],[Unidad de precio]],Tabla3[Medida],Tabla3[Equivalencia en Kg],"ELVIS",0)</f>
        <v>53.4008251448728</v>
      </c>
      <c r="M2299" s="2" t="n">
        <v>9240.56556420077</v>
      </c>
      <c r="N2299" s="3" t="n">
        <f aca="false">(Tabla2[[#This Row],[Productividad (kg/TAS)]]*Tabla2[[#This Row],[Precio por kg]]-Tabla2[[#This Row],[Costos (En RD$/Tarea)]])</f>
        <v>13846.4377293819</v>
      </c>
      <c r="O2299" s="9" t="n">
        <f aca="false">IF(Tabla2[[#This Row],[Costos (En RD$/Tarea)]]=0,0,Tabla2[[#This Row],[Beneficio Neto  (En RD$/Tarea)]]/Tabla2[[#This Row],[Costos (En RD$/Tarea)]])</f>
        <v>1.49844050487828</v>
      </c>
      <c r="P2299" s="7" t="n">
        <f aca="false">Tabla2[[#This Row],[Rentabilidad (%)]]/12</f>
        <v>0.12487004207319</v>
      </c>
    </row>
    <row r="2300" customFormat="false" ht="14.25" hidden="false" customHeight="false" outlineLevel="0" collapsed="false">
      <c r="A2300" s="1" t="n">
        <v>42339</v>
      </c>
      <c r="B2300" s="2" t="s">
        <v>25</v>
      </c>
      <c r="C2300" s="3" t="n">
        <v>28541</v>
      </c>
      <c r="D2300" s="8" t="s">
        <v>17</v>
      </c>
      <c r="E2300" s="3" t="n">
        <f aca="false">IF(Tabla2[[#This Row],[Frecuencia]]="Annual", Tabla2[[#This Row],[Cosecha/Tarea]]/12,Tabla2[[#This Row],[Cosecha/Tarea]])</f>
        <v>28541</v>
      </c>
      <c r="F2300" s="3" t="n">
        <v>342145</v>
      </c>
      <c r="G2300" s="2" t="s">
        <v>18</v>
      </c>
      <c r="H2300" s="2" t="n">
        <f aca="false">F2300/Tabla2[[#This Row],[Cosecha Mensual]]</f>
        <v>11.9878420517852</v>
      </c>
      <c r="I2300" s="2" t="n">
        <f aca="false">H2300*_xlfn.XLOOKUP(Tabla2[[#This Row],[Unidad de producción]],Tabla3[Medida],Tabla3[Equivalencia en Kg],"ELVIS",0)</f>
        <v>543.768515468974</v>
      </c>
      <c r="J2300" s="2" t="n">
        <v>998.990476190476</v>
      </c>
      <c r="K2300" s="2" t="s">
        <v>18</v>
      </c>
      <c r="L2300" s="2" t="n">
        <f aca="false">J2300/_xlfn.XLOOKUP(Tabla2[[#This Row],[Unidad de precio]],Tabla3[Medida],Tabla3[Equivalencia en Kg],"ELVIS",0)</f>
        <v>22.0235995632821</v>
      </c>
      <c r="M2300" s="2" t="n">
        <v>5033.45303788251</v>
      </c>
      <c r="N2300" s="3" t="n">
        <f aca="false">(Tabla2[[#This Row],[Productividad (kg/TAS)]]*Tabla2[[#This Row],[Precio por kg]]-Tabla2[[#This Row],[Costos (En RD$/Tarea)]])</f>
        <v>6942.28700192655</v>
      </c>
      <c r="O2300" s="9" t="n">
        <f aca="false">IF(Tabla2[[#This Row],[Costos (En RD$/Tarea)]]=0,0,Tabla2[[#This Row],[Beneficio Neto  (En RD$/Tarea)]]/Tabla2[[#This Row],[Costos (En RD$/Tarea)]])</f>
        <v>1.37922951692961</v>
      </c>
      <c r="P2300" s="7" t="n">
        <f aca="false">Tabla2[[#This Row],[Rentabilidad (%)]]/12</f>
        <v>0.114935793077467</v>
      </c>
    </row>
    <row r="2301" customFormat="false" ht="14.25" hidden="false" customHeight="false" outlineLevel="0" collapsed="false">
      <c r="A2301" s="1" t="n">
        <v>42339</v>
      </c>
      <c r="B2301" s="2" t="s">
        <v>26</v>
      </c>
      <c r="C2301" s="3" t="n">
        <v>13845</v>
      </c>
      <c r="D2301" s="8" t="s">
        <v>17</v>
      </c>
      <c r="E2301" s="3" t="n">
        <f aca="false">IF(Tabla2[[#This Row],[Frecuencia]]="Annual", Tabla2[[#This Row],[Cosecha/Tarea]]/12,Tabla2[[#This Row],[Cosecha/Tarea]])</f>
        <v>13845</v>
      </c>
      <c r="F2301" s="3" t="n">
        <v>92541</v>
      </c>
      <c r="G2301" s="2" t="s">
        <v>18</v>
      </c>
      <c r="H2301" s="2" t="n">
        <f aca="false">F2301/Tabla2[[#This Row],[Cosecha Mensual]]</f>
        <v>6.68407367280607</v>
      </c>
      <c r="I2301" s="2" t="n">
        <f aca="false">H2301*_xlfn.XLOOKUP(Tabla2[[#This Row],[Unidad de producción]],Tabla3[Medida],Tabla3[Equivalencia en Kg],"ELVIS",0)</f>
        <v>303.189581798483</v>
      </c>
      <c r="J2301" s="2" t="n">
        <v>900.944444444444</v>
      </c>
      <c r="K2301" s="2" t="s">
        <v>18</v>
      </c>
      <c r="L2301" s="2" t="n">
        <f aca="false">J2301/_xlfn.XLOOKUP(Tabla2[[#This Row],[Unidad de precio]],Tabla3[Medida],Tabla3[Equivalencia en Kg],"ELVIS",0)</f>
        <v>19.8620909269057</v>
      </c>
      <c r="M2301" s="2" t="n">
        <v>2123.36088960426</v>
      </c>
      <c r="N2301" s="3" t="n">
        <f aca="false">(Tabla2[[#This Row],[Productividad (kg/TAS)]]*Tabla2[[#This Row],[Precio por kg]]-Tabla2[[#This Row],[Costos (En RD$/Tarea)]])</f>
        <v>3898.61815216774</v>
      </c>
      <c r="O2301" s="9" t="n">
        <f aca="false">IF(Tabla2[[#This Row],[Costos (En RD$/Tarea)]]=0,0,Tabla2[[#This Row],[Beneficio Neto  (En RD$/Tarea)]]/Tabla2[[#This Row],[Costos (En RD$/Tarea)]])</f>
        <v>1.83606007403402</v>
      </c>
      <c r="P2301" s="7" t="n">
        <f aca="false">Tabla2[[#This Row],[Rentabilidad (%)]]/12</f>
        <v>0.153005006169502</v>
      </c>
    </row>
    <row r="2302" customFormat="false" ht="14.25" hidden="false" customHeight="false" outlineLevel="0" collapsed="false">
      <c r="A2302" s="1" t="n">
        <v>42339</v>
      </c>
      <c r="B2302" s="2" t="s">
        <v>27</v>
      </c>
      <c r="C2302" s="3" t="n">
        <v>7102</v>
      </c>
      <c r="D2302" s="8" t="s">
        <v>17</v>
      </c>
      <c r="E2302" s="3" t="n">
        <f aca="false">IF(Tabla2[[#This Row],[Frecuencia]]="Annual", Tabla2[[#This Row],[Cosecha/Tarea]]/12,Tabla2[[#This Row],[Cosecha/Tarea]])</f>
        <v>7102</v>
      </c>
      <c r="F2302" s="3" t="n">
        <v>44521</v>
      </c>
      <c r="G2302" s="2" t="s">
        <v>18</v>
      </c>
      <c r="H2302" s="2" t="n">
        <f aca="false">F2302/Tabla2[[#This Row],[Cosecha Mensual]]</f>
        <v>6.26879752182484</v>
      </c>
      <c r="I2302" s="2" t="n">
        <f aca="false">H2302*_xlfn.XLOOKUP(Tabla2[[#This Row],[Unidad de producción]],Tabla3[Medida],Tabla3[Equivalencia en Kg],"ELVIS",0)</f>
        <v>284.352655589975</v>
      </c>
      <c r="J2302" s="2" t="n">
        <v>651.95085</v>
      </c>
      <c r="K2302" s="2" t="s">
        <v>18</v>
      </c>
      <c r="L2302" s="2" t="n">
        <f aca="false">J2302/_xlfn.XLOOKUP(Tabla2[[#This Row],[Unidad de precio]],Tabla3[Medida],Tabla3[Equivalencia en Kg],"ELVIS",0)</f>
        <v>14.3728141534392</v>
      </c>
      <c r="M2302" s="2" t="n">
        <v>8682.692545606</v>
      </c>
      <c r="N2302" s="3" t="n">
        <f aca="false">(Tabla2[[#This Row],[Productividad (kg/TAS)]]*Tabla2[[#This Row],[Precio por kg]]-Tabla2[[#This Row],[Costos (En RD$/Tarea)]])</f>
        <v>-4595.7446727744</v>
      </c>
      <c r="O2302" s="9" t="n">
        <f aca="false">IF(Tabla2[[#This Row],[Costos (En RD$/Tarea)]]=0,0,Tabla2[[#This Row],[Beneficio Neto  (En RD$/Tarea)]]/Tabla2[[#This Row],[Costos (En RD$/Tarea)]])</f>
        <v>-0.52929948269332</v>
      </c>
      <c r="P2302" s="7" t="n">
        <f aca="false">Tabla2[[#This Row],[Rentabilidad (%)]]/12</f>
        <v>-0.0441082902244434</v>
      </c>
    </row>
    <row r="2303" customFormat="false" ht="14.25" hidden="false" customHeight="false" outlineLevel="0" collapsed="false">
      <c r="A2303" s="1" t="n">
        <v>42339</v>
      </c>
      <c r="B2303" s="2" t="s">
        <v>28</v>
      </c>
      <c r="C2303" s="3" t="n">
        <v>58958</v>
      </c>
      <c r="D2303" s="8" t="s">
        <v>17</v>
      </c>
      <c r="E2303" s="3" t="n">
        <f aca="false">IF(Tabla2[[#This Row],[Frecuencia]]="Annual", Tabla2[[#This Row],[Cosecha/Tarea]]/12,Tabla2[[#This Row],[Cosecha/Tarea]])</f>
        <v>58958</v>
      </c>
      <c r="F2303" s="3" t="n">
        <v>1193460</v>
      </c>
      <c r="G2303" s="2" t="s">
        <v>18</v>
      </c>
      <c r="H2303" s="2" t="n">
        <f aca="false">F2303/Tabla2[[#This Row],[Cosecha Mensual]]</f>
        <v>20.2425455408935</v>
      </c>
      <c r="I2303" s="2" t="n">
        <f aca="false">H2303*_xlfn.XLOOKUP(Tabla2[[#This Row],[Unidad de producción]],Tabla3[Medida],Tabla3[Equivalencia en Kg],"ELVIS",0)</f>
        <v>918.20186573493</v>
      </c>
      <c r="J2303" s="2" t="n">
        <v>5609.96380952381</v>
      </c>
      <c r="K2303" s="2" t="s">
        <v>29</v>
      </c>
      <c r="L2303" s="2" t="n">
        <f aca="false">J2303/_xlfn.XLOOKUP(Tabla2[[#This Row],[Unidad de precio]],Tabla3[Medida],Tabla3[Equivalencia en Kg],"ELVIS",0)</f>
        <v>9.97610664282073</v>
      </c>
      <c r="M2303" s="2" t="n">
        <v>7427.37867438309</v>
      </c>
      <c r="N2303" s="3" t="n">
        <f aca="false">(Tabla2[[#This Row],[Productividad (kg/TAS)]]*Tabla2[[#This Row],[Precio por kg]]-Tabla2[[#This Row],[Costos (En RD$/Tarea)]])</f>
        <v>1732.70105782553</v>
      </c>
      <c r="O2303" s="9" t="n">
        <f aca="false">IF(Tabla2[[#This Row],[Costos (En RD$/Tarea)]]=0,0,Tabla2[[#This Row],[Beneficio Neto  (En RD$/Tarea)]]/Tabla2[[#This Row],[Costos (En RD$/Tarea)]])</f>
        <v>0.233285676385612</v>
      </c>
      <c r="P2303" s="7" t="n">
        <f aca="false">Tabla2[[#This Row],[Rentabilidad (%)]]/12</f>
        <v>0.0194404730321344</v>
      </c>
    </row>
    <row r="2304" customFormat="false" ht="14.25" hidden="false" customHeight="false" outlineLevel="0" collapsed="false">
      <c r="A2304" s="1" t="n">
        <v>42339</v>
      </c>
      <c r="B2304" s="2" t="s">
        <v>30</v>
      </c>
      <c r="C2304" s="3" t="n">
        <v>376214</v>
      </c>
      <c r="D2304" s="3" t="s">
        <v>31</v>
      </c>
      <c r="E2304" s="3" t="n">
        <f aca="false">IF(Tabla2[[#This Row],[Frecuencia]]="Annual", Tabla2[[#This Row],[Cosecha/Tarea]]/12,Tabla2[[#This Row],[Cosecha/Tarea]])</f>
        <v>31351.1666666667</v>
      </c>
      <c r="F2304" s="3" t="n">
        <v>2192937</v>
      </c>
      <c r="G2304" s="2" t="s">
        <v>18</v>
      </c>
      <c r="H2304" s="2" t="n">
        <f aca="false">F2304/Tabla2[[#This Row],[Cosecha Mensual]]</f>
        <v>69.947540495569</v>
      </c>
      <c r="I2304" s="2" t="n">
        <f aca="false">H2304*_xlfn.XLOOKUP(Tabla2[[#This Row],[Unidad de producción]],Tabla3[Medida],Tabla3[Equivalencia en Kg],"ELVIS",0)</f>
        <v>3172.82043687901</v>
      </c>
      <c r="J2304" s="2" t="n">
        <v>235.107142857143</v>
      </c>
      <c r="K2304" s="2" t="s">
        <v>32</v>
      </c>
      <c r="L2304" s="2" t="n">
        <f aca="false">J2304/_xlfn.XLOOKUP(Tabla2[[#This Row],[Unidad de precio]],Tabla3[Medida],Tabla3[Equivalencia en Kg],"ELVIS",0)</f>
        <v>8.64046831522025</v>
      </c>
      <c r="M2304" s="3" t="n">
        <v>22429.7248632058</v>
      </c>
      <c r="N2304" s="3" t="n">
        <f aca="false">(Tabla2[[#This Row],[Productividad (kg/TAS)]]*Tabla2[[#This Row],[Precio por kg]]-Tabla2[[#This Row],[Costos (En RD$/Tarea)]])</f>
        <v>4984.92959153056</v>
      </c>
      <c r="O2304" s="9" t="n">
        <f aca="false">IF(Tabla2[[#This Row],[Costos (En RD$/Tarea)]]=0,0,Tabla2[[#This Row],[Beneficio Neto  (En RD$/Tarea)]]/Tabla2[[#This Row],[Costos (En RD$/Tarea)]])</f>
        <v>0.222246577786068</v>
      </c>
      <c r="P2304" s="7" t="n">
        <f aca="false">Tabla2[[#This Row],[Rentabilidad (%)]]/12</f>
        <v>0.018520548148839</v>
      </c>
    </row>
    <row r="2305" customFormat="false" ht="14.25" hidden="false" customHeight="false" outlineLevel="0" collapsed="false">
      <c r="A2305" s="1" t="n">
        <v>42339</v>
      </c>
      <c r="B2305" s="2" t="s">
        <v>33</v>
      </c>
      <c r="C2305" s="3" t="n">
        <v>734021</v>
      </c>
      <c r="D2305" s="3" t="s">
        <v>31</v>
      </c>
      <c r="E2305" s="11" t="n">
        <f aca="false">IF(Tabla2[[#This Row],[Frecuencia]]="Annual", Tabla2[[#This Row],[Cosecha/Tarea]]/12,Tabla2[[#This Row],[Cosecha/Tarea]])</f>
        <v>61168.4166666667</v>
      </c>
      <c r="F2305" s="3" t="n">
        <v>1178070.83041695</v>
      </c>
      <c r="G2305" s="2" t="s">
        <v>18</v>
      </c>
      <c r="H2305" s="2" t="n">
        <f aca="false">F2305/Tabla2[[#This Row],[Cosecha Mensual]]</f>
        <v>19.259462556253</v>
      </c>
      <c r="I2305" s="2" t="n">
        <f aca="false">H2305*_xlfn.XLOOKUP(Tabla2[[#This Row],[Unidad de producción]],Tabla3[Medida],Tabla3[Equivalencia en Kg],"ELVIS",0)</f>
        <v>873.609221551637</v>
      </c>
      <c r="J2305" s="2" t="n">
        <v>8988.33428571429</v>
      </c>
      <c r="K2305" s="2" t="s">
        <v>34</v>
      </c>
      <c r="L2305" s="2" t="n">
        <f aca="false">J2305/_xlfn.XLOOKUP(Tabla2[[#This Row],[Unidad de precio]],Tabla3[Medida],Tabla3[Equivalencia en Kg],"ELVIS",0)</f>
        <v>22.0221347193784</v>
      </c>
      <c r="M2305" s="3" t="n">
        <v>16317.7474581161</v>
      </c>
      <c r="N2305" s="3" t="n">
        <f aca="false">(Tabla2[[#This Row],[Productividad (kg/TAS)]]*Tabla2[[#This Row],[Precio por kg]]-Tabla2[[#This Row],[Costos (En RD$/Tarea)]])</f>
        <v>2920.99251098534</v>
      </c>
      <c r="O2305" s="9" t="n">
        <f aca="false">IF(Tabla2[[#This Row],[Costos (En RD$/Tarea)]]=0,0,Tabla2[[#This Row],[Beneficio Neto  (En RD$/Tarea)]]/Tabla2[[#This Row],[Costos (En RD$/Tarea)]])</f>
        <v>0.179007091418889</v>
      </c>
      <c r="P2305" s="7" t="n">
        <f aca="false">Tabla2[[#This Row],[Rentabilidad (%)]]/12</f>
        <v>0.0149172576182408</v>
      </c>
    </row>
    <row r="2306" customFormat="false" ht="14.25" hidden="false" customHeight="false" outlineLevel="0" collapsed="false">
      <c r="A2306" s="1" t="n">
        <v>42370</v>
      </c>
      <c r="B2306" s="2" t="s">
        <v>16</v>
      </c>
      <c r="C2306" s="3" t="n">
        <v>12682</v>
      </c>
      <c r="D2306" s="8" t="s">
        <v>17</v>
      </c>
      <c r="E2306" s="3" t="n">
        <f aca="false">IF(Tabla2[[#This Row],[Frecuencia]]="Annual", Tabla2[[#This Row],[Cosecha/Tarea]]/12,Tabla2[[#This Row],[Cosecha/Tarea]])</f>
        <v>12682</v>
      </c>
      <c r="F2306" s="3" t="n">
        <v>38358</v>
      </c>
      <c r="G2306" s="2" t="s">
        <v>18</v>
      </c>
      <c r="H2306" s="2" t="n">
        <f aca="false">F2306/Tabla2[[#This Row],[Cosecha Mensual]]</f>
        <v>3.02460179782369</v>
      </c>
      <c r="I2306" s="2" t="n">
        <f aca="false">H2306*_xlfn.XLOOKUP(Tabla2[[#This Row],[Unidad de producción]],Tabla3[Medida],Tabla3[Equivalencia en Kg],"ELVIS",0)</f>
        <v>137.195937549282</v>
      </c>
      <c r="J2306" s="2" t="n">
        <v>1976.06856435644</v>
      </c>
      <c r="K2306" s="2" t="s">
        <v>19</v>
      </c>
      <c r="L2306" s="2" t="n">
        <f aca="false">J2306/_xlfn.XLOOKUP(Tabla2[[#This Row],[Unidad de precio]],Tabla3[Medida],Tabla3[Equivalencia en Kg],"ELVIS",0)</f>
        <v>17.9642596759676</v>
      </c>
      <c r="M2306" s="2" t="n">
        <v>5924.25478252843</v>
      </c>
      <c r="N2306" s="3" t="n">
        <f aca="false">(Tabla2[[#This Row],[Productividad (kg/TAS)]]*Tabla2[[#This Row],[Precio por kg]]-Tabla2[[#This Row],[Costos (En RD$/Tarea)]])</f>
        <v>-3459.63133390528</v>
      </c>
      <c r="O2306" s="9" t="n">
        <f aca="false">IF(Tabla2[[#This Row],[Costos (En RD$/Tarea)]]=0,0,Tabla2[[#This Row],[Beneficio Neto  (En RD$/Tarea)]]/Tabla2[[#This Row],[Costos (En RD$/Tarea)]])</f>
        <v>-0.583977472425441</v>
      </c>
      <c r="P2306" s="7" t="n">
        <f aca="false">Tabla2[[#This Row],[Rentabilidad (%)]]/12</f>
        <v>-0.0486647893687867</v>
      </c>
    </row>
    <row r="2307" customFormat="false" ht="14.25" hidden="false" customHeight="false" outlineLevel="0" collapsed="false">
      <c r="A2307" s="1" t="n">
        <v>42370</v>
      </c>
      <c r="B2307" s="2" t="s">
        <v>20</v>
      </c>
      <c r="C2307" s="3" t="n">
        <v>29471</v>
      </c>
      <c r="D2307" s="8" t="s">
        <v>17</v>
      </c>
      <c r="E2307" s="3" t="n">
        <f aca="false">IF(Tabla2[[#This Row],[Frecuencia]]="Annual", Tabla2[[#This Row],[Cosecha/Tarea]]/12,Tabla2[[#This Row],[Cosecha/Tarea]])</f>
        <v>29471</v>
      </c>
      <c r="F2307" s="3" t="n">
        <v>53654</v>
      </c>
      <c r="G2307" s="2" t="s">
        <v>18</v>
      </c>
      <c r="H2307" s="2" t="n">
        <f aca="false">F2307/Tabla2[[#This Row],[Cosecha Mensual]]</f>
        <v>1.82056937328221</v>
      </c>
      <c r="I2307" s="2" t="n">
        <f aca="false">H2307*_xlfn.XLOOKUP(Tabla2[[#This Row],[Unidad de producción]],Tabla3[Medida],Tabla3[Equivalencia en Kg],"ELVIS",0)</f>
        <v>82.581026772081</v>
      </c>
      <c r="J2307" s="2" t="n">
        <v>827.135781</v>
      </c>
      <c r="K2307" s="2" t="s">
        <v>18</v>
      </c>
      <c r="L2307" s="2" t="n">
        <f aca="false">J2307/_xlfn.XLOOKUP(Tabla2[[#This Row],[Unidad de precio]],Tabla3[Medida],Tabla3[Equivalencia en Kg],"ELVIS",0)</f>
        <v>18.2349158068783</v>
      </c>
      <c r="M2307" s="2" t="n">
        <v>2463.292898352</v>
      </c>
      <c r="N2307" s="3" t="n">
        <f aca="false">(Tabla2[[#This Row],[Productividad (kg/TAS)]]*Tabla2[[#This Row],[Precio por kg]]-Tabla2[[#This Row],[Costos (En RD$/Tarea)]])</f>
        <v>-957.434827917539</v>
      </c>
      <c r="O2307" s="9" t="n">
        <f aca="false">IF(Tabla2[[#This Row],[Costos (En RD$/Tarea)]]=0,0,Tabla2[[#This Row],[Beneficio Neto  (En RD$/Tarea)]]/Tabla2[[#This Row],[Costos (En RD$/Tarea)]])</f>
        <v>-0.388680870455188</v>
      </c>
      <c r="P2307" s="7" t="n">
        <f aca="false">Tabla2[[#This Row],[Rentabilidad (%)]]/12</f>
        <v>-0.0323900725379324</v>
      </c>
    </row>
    <row r="2308" customFormat="false" ht="14.25" hidden="false" customHeight="false" outlineLevel="0" collapsed="false">
      <c r="A2308" s="1" t="n">
        <v>42370</v>
      </c>
      <c r="B2308" s="2" t="s">
        <v>21</v>
      </c>
      <c r="C2308" s="3" t="n">
        <v>4921</v>
      </c>
      <c r="D2308" s="8" t="s">
        <v>17</v>
      </c>
      <c r="E2308" s="3" t="n">
        <f aca="false">IF(Tabla2[[#This Row],[Frecuencia]]="Annual", Tabla2[[#This Row],[Cosecha/Tarea]]/12,Tabla2[[#This Row],[Cosecha/Tarea]])</f>
        <v>4921</v>
      </c>
      <c r="F2308" s="3" t="n">
        <v>65487</v>
      </c>
      <c r="G2308" s="2" t="s">
        <v>18</v>
      </c>
      <c r="H2308" s="2" t="n">
        <f aca="false">F2308/Tabla2[[#This Row],[Cosecha Mensual]]</f>
        <v>13.3076610445032</v>
      </c>
      <c r="I2308" s="2" t="n">
        <f aca="false">H2308*_xlfn.XLOOKUP(Tabla2[[#This Row],[Unidad de producción]],Tabla3[Medida],Tabla3[Equivalencia en Kg],"ELVIS",0)</f>
        <v>603.635504978663</v>
      </c>
      <c r="J2308" s="2" t="n">
        <v>464.346458333333</v>
      </c>
      <c r="K2308" s="2" t="s">
        <v>18</v>
      </c>
      <c r="L2308" s="2" t="n">
        <f aca="false">J2308/_xlfn.XLOOKUP(Tabla2[[#This Row],[Unidad de precio]],Tabla3[Medida],Tabla3[Equivalencia en Kg],"ELVIS",0)</f>
        <v>10.2369148662551</v>
      </c>
      <c r="M2308" s="2" t="n">
        <v>4713.68743816075</v>
      </c>
      <c r="N2308" s="3" t="n">
        <f aca="false">(Tabla2[[#This Row],[Productividad (kg/TAS)]]*Tabla2[[#This Row],[Precio por kg]]-Tabla2[[#This Row],[Costos (En RD$/Tarea)]])</f>
        <v>1465.67783655475</v>
      </c>
      <c r="O2308" s="9" t="n">
        <f aca="false">IF(Tabla2[[#This Row],[Costos (En RD$/Tarea)]]=0,0,Tabla2[[#This Row],[Beneficio Neto  (En RD$/Tarea)]]/Tabla2[[#This Row],[Costos (En RD$/Tarea)]])</f>
        <v>0.310940819853479</v>
      </c>
      <c r="P2308" s="7" t="n">
        <f aca="false">Tabla2[[#This Row],[Rentabilidad (%)]]/12</f>
        <v>0.0259117349877899</v>
      </c>
    </row>
    <row r="2309" customFormat="false" ht="14.25" hidden="false" customHeight="false" outlineLevel="0" collapsed="false">
      <c r="A2309" s="1" t="n">
        <v>42370</v>
      </c>
      <c r="B2309" s="2" t="s">
        <v>22</v>
      </c>
      <c r="C2309" s="3" t="n">
        <v>7184</v>
      </c>
      <c r="D2309" s="8" t="s">
        <v>17</v>
      </c>
      <c r="E2309" s="3" t="n">
        <f aca="false">IF(Tabla2[[#This Row],[Frecuencia]]="Annual", Tabla2[[#This Row],[Cosecha/Tarea]]/12,Tabla2[[#This Row],[Cosecha/Tarea]])</f>
        <v>7184</v>
      </c>
      <c r="F2309" s="3" t="n">
        <v>68524</v>
      </c>
      <c r="G2309" s="2" t="s">
        <v>18</v>
      </c>
      <c r="H2309" s="2" t="n">
        <f aca="false">F2309/Tabla2[[#This Row],[Cosecha Mensual]]</f>
        <v>9.53841870824054</v>
      </c>
      <c r="I2309" s="2" t="n">
        <f aca="false">H2309*_xlfn.XLOOKUP(Tabla2[[#This Row],[Unidad de producción]],Tabla3[Medida],Tabla3[Equivalencia en Kg],"ELVIS",0)</f>
        <v>432.662672605791</v>
      </c>
      <c r="J2309" s="2" t="n">
        <v>1542.27951388889</v>
      </c>
      <c r="K2309" s="2" t="s">
        <v>18</v>
      </c>
      <c r="L2309" s="2" t="n">
        <f aca="false">J2309/_xlfn.XLOOKUP(Tabla2[[#This Row],[Unidad de precio]],Tabla3[Medida],Tabla3[Equivalencia en Kg],"ELVIS",0)</f>
        <v>34.0008711174799</v>
      </c>
      <c r="M2309" s="2" t="n">
        <v>8550.15765636903</v>
      </c>
      <c r="N2309" s="3" t="n">
        <f aca="false">(Tabla2[[#This Row],[Productividad (kg/TAS)]]*Tabla2[[#This Row],[Precio por kg]]-Tabla2[[#This Row],[Costos (En RD$/Tarea)]])</f>
        <v>6160.75011224488</v>
      </c>
      <c r="O2309" s="9" t="n">
        <f aca="false">IF(Tabla2[[#This Row],[Costos (En RD$/Tarea)]]=0,0,Tabla2[[#This Row],[Beneficio Neto  (En RD$/Tarea)]]/Tabla2[[#This Row],[Costos (En RD$/Tarea)]])</f>
        <v>0.720542282358469</v>
      </c>
      <c r="P2309" s="7" t="n">
        <f aca="false">Tabla2[[#This Row],[Rentabilidad (%)]]/12</f>
        <v>0.060045190196539</v>
      </c>
    </row>
    <row r="2310" customFormat="false" ht="14.25" hidden="false" customHeight="false" outlineLevel="0" collapsed="false">
      <c r="A2310" s="1" t="n">
        <v>42370</v>
      </c>
      <c r="B2310" s="2" t="s">
        <v>23</v>
      </c>
      <c r="C2310" s="3" t="n">
        <v>4171</v>
      </c>
      <c r="D2310" s="8" t="s">
        <v>17</v>
      </c>
      <c r="E2310" s="3" t="n">
        <f aca="false">IF(Tabla2[[#This Row],[Frecuencia]]="Annual", Tabla2[[#This Row],[Cosecha/Tarea]]/12,Tabla2[[#This Row],[Cosecha/Tarea]])</f>
        <v>4171</v>
      </c>
      <c r="F2310" s="3" t="n">
        <v>133214</v>
      </c>
      <c r="G2310" s="2" t="s">
        <v>18</v>
      </c>
      <c r="H2310" s="2" t="n">
        <f aca="false">F2310/Tabla2[[#This Row],[Cosecha Mensual]]</f>
        <v>31.9381443298969</v>
      </c>
      <c r="I2310" s="2" t="n">
        <f aca="false">H2310*_xlfn.XLOOKUP(Tabla2[[#This Row],[Unidad de producción]],Tabla3[Medida],Tabla3[Equivalencia en Kg],"ELVIS",0)</f>
        <v>1448.71422680412</v>
      </c>
      <c r="J2310" s="2" t="n">
        <v>1062.5</v>
      </c>
      <c r="K2310" s="2" t="s">
        <v>18</v>
      </c>
      <c r="L2310" s="2" t="n">
        <f aca="false">J2310/_xlfn.XLOOKUP(Tabla2[[#This Row],[Unidad de precio]],Tabla3[Medida],Tabla3[Equivalencia en Kg],"ELVIS",0)</f>
        <v>23.423721340388</v>
      </c>
      <c r="M2310" s="2" t="n">
        <v>23192.17</v>
      </c>
      <c r="N2310" s="3" t="n">
        <f aca="false">(Tabla2[[#This Row],[Productividad (kg/TAS)]]*Tabla2[[#This Row],[Precio por kg]]-Tabla2[[#This Row],[Costos (En RD$/Tarea)]])</f>
        <v>10742.1083505155</v>
      </c>
      <c r="O2310" s="9" t="n">
        <f aca="false">IF(Tabla2[[#This Row],[Costos (En RD$/Tarea)]]=0,0,Tabla2[[#This Row],[Beneficio Neto  (En RD$/Tarea)]]/Tabla2[[#This Row],[Costos (En RD$/Tarea)]])</f>
        <v>0.46317823431423</v>
      </c>
      <c r="P2310" s="7" t="n">
        <f aca="false">Tabla2[[#This Row],[Rentabilidad (%)]]/12</f>
        <v>0.0385981861928525</v>
      </c>
    </row>
    <row r="2311" customFormat="false" ht="14.25" hidden="false" customHeight="false" outlineLevel="0" collapsed="false">
      <c r="A2311" s="1" t="n">
        <v>42370</v>
      </c>
      <c r="B2311" s="2" t="s">
        <v>24</v>
      </c>
      <c r="C2311" s="3" t="n">
        <v>4987</v>
      </c>
      <c r="D2311" s="8" t="s">
        <v>17</v>
      </c>
      <c r="E2311" s="3" t="n">
        <f aca="false">IF(Tabla2[[#This Row],[Frecuencia]]="Annual", Tabla2[[#This Row],[Cosecha/Tarea]]/12,Tabla2[[#This Row],[Cosecha/Tarea]])</f>
        <v>4987</v>
      </c>
      <c r="F2311" s="3" t="n">
        <v>71214</v>
      </c>
      <c r="G2311" s="2" t="s">
        <v>18</v>
      </c>
      <c r="H2311" s="2" t="n">
        <f aca="false">F2311/Tabla2[[#This Row],[Cosecha Mensual]]</f>
        <v>14.279927812312</v>
      </c>
      <c r="I2311" s="2" t="n">
        <f aca="false">H2311*_xlfn.XLOOKUP(Tabla2[[#This Row],[Unidad de producción]],Tabla3[Medida],Tabla3[Equivalencia en Kg],"ELVIS",0)</f>
        <v>647.737525566473</v>
      </c>
      <c r="J2311" s="2" t="n">
        <v>2589.734375</v>
      </c>
      <c r="K2311" s="2" t="s">
        <v>18</v>
      </c>
      <c r="L2311" s="2" t="n">
        <f aca="false">J2311/_xlfn.XLOOKUP(Tabla2[[#This Row],[Unidad de precio]],Tabla3[Medida],Tabla3[Equivalencia en Kg],"ELVIS",0)</f>
        <v>57.0929095017637</v>
      </c>
      <c r="M2311" s="2" t="n">
        <v>8705.156224128</v>
      </c>
      <c r="N2311" s="3" t="n">
        <f aca="false">(Tabla2[[#This Row],[Productividad (kg/TAS)]]*Tabla2[[#This Row],[Precio por kg]]-Tabla2[[#This Row],[Costos (En RD$/Tarea)]])</f>
        <v>28276.063703935</v>
      </c>
      <c r="O2311" s="9" t="n">
        <f aca="false">IF(Tabla2[[#This Row],[Costos (En RD$/Tarea)]]=0,0,Tabla2[[#This Row],[Beneficio Neto  (En RD$/Tarea)]]/Tabla2[[#This Row],[Costos (En RD$/Tarea)]])</f>
        <v>3.24819715762969</v>
      </c>
      <c r="P2311" s="7" t="n">
        <f aca="false">Tabla2[[#This Row],[Rentabilidad (%)]]/12</f>
        <v>0.270683096469141</v>
      </c>
    </row>
    <row r="2312" customFormat="false" ht="14.25" hidden="false" customHeight="false" outlineLevel="0" collapsed="false">
      <c r="A2312" s="1" t="n">
        <v>42370</v>
      </c>
      <c r="B2312" s="2" t="s">
        <v>25</v>
      </c>
      <c r="C2312" s="3" t="n">
        <v>26547</v>
      </c>
      <c r="D2312" s="8" t="s">
        <v>17</v>
      </c>
      <c r="E2312" s="3" t="n">
        <f aca="false">IF(Tabla2[[#This Row],[Frecuencia]]="Annual", Tabla2[[#This Row],[Cosecha/Tarea]]/12,Tabla2[[#This Row],[Cosecha/Tarea]])</f>
        <v>26547</v>
      </c>
      <c r="F2312" s="3" t="n">
        <v>279877</v>
      </c>
      <c r="G2312" s="2" t="s">
        <v>18</v>
      </c>
      <c r="H2312" s="2" t="n">
        <f aca="false">F2312/Tabla2[[#This Row],[Cosecha Mensual]]</f>
        <v>10.5426978566316</v>
      </c>
      <c r="I2312" s="2" t="n">
        <f aca="false">H2312*_xlfn.XLOOKUP(Tabla2[[#This Row],[Unidad de producción]],Tabla3[Medida],Tabla3[Equivalencia en Kg],"ELVIS",0)</f>
        <v>478.216774776811</v>
      </c>
      <c r="J2312" s="2" t="n">
        <v>921.130208333333</v>
      </c>
      <c r="K2312" s="2" t="s">
        <v>18</v>
      </c>
      <c r="L2312" s="2" t="n">
        <f aca="false">J2312/_xlfn.XLOOKUP(Tabla2[[#This Row],[Unidad de precio]],Tabla3[Medida],Tabla3[Equivalencia en Kg],"ELVIS",0)</f>
        <v>20.3071033583186</v>
      </c>
      <c r="M2312" s="2" t="n">
        <v>4784.76271988092</v>
      </c>
      <c r="N2312" s="3" t="n">
        <f aca="false">(Tabla2[[#This Row],[Productividad (kg/TAS)]]*Tabla2[[#This Row],[Precio por kg]]-Tabla2[[#This Row],[Costos (En RD$/Tarea)]])</f>
        <v>4926.43475319356</v>
      </c>
      <c r="O2312" s="9" t="n">
        <f aca="false">IF(Tabla2[[#This Row],[Costos (En RD$/Tarea)]]=0,0,Tabla2[[#This Row],[Beneficio Neto  (En RD$/Tarea)]]/Tabla2[[#This Row],[Costos (En RD$/Tarea)]])</f>
        <v>1.02960899873341</v>
      </c>
      <c r="P2312" s="7" t="n">
        <f aca="false">Tabla2[[#This Row],[Rentabilidad (%)]]/12</f>
        <v>0.0858007498944512</v>
      </c>
    </row>
    <row r="2313" customFormat="false" ht="14.25" hidden="false" customHeight="false" outlineLevel="0" collapsed="false">
      <c r="A2313" s="1" t="n">
        <v>42370</v>
      </c>
      <c r="B2313" s="2" t="s">
        <v>26</v>
      </c>
      <c r="C2313" s="3" t="n">
        <v>12807</v>
      </c>
      <c r="D2313" s="8" t="s">
        <v>17</v>
      </c>
      <c r="E2313" s="3" t="n">
        <f aca="false">IF(Tabla2[[#This Row],[Frecuencia]]="Annual", Tabla2[[#This Row],[Cosecha/Tarea]]/12,Tabla2[[#This Row],[Cosecha/Tarea]])</f>
        <v>12807</v>
      </c>
      <c r="F2313" s="3" t="n">
        <v>79322</v>
      </c>
      <c r="G2313" s="2" t="s">
        <v>18</v>
      </c>
      <c r="H2313" s="2" t="n">
        <f aca="false">F2313/Tabla2[[#This Row],[Cosecha Mensual]]</f>
        <v>6.19364410088233</v>
      </c>
      <c r="I2313" s="2" t="n">
        <f aca="false">H2313*_xlfn.XLOOKUP(Tabla2[[#This Row],[Unidad de producción]],Tabla3[Medida],Tabla3[Equivalencia en Kg],"ELVIS",0)</f>
        <v>280.943696416023</v>
      </c>
      <c r="J2313" s="2" t="n">
        <v>819.642857142857</v>
      </c>
      <c r="K2313" s="2" t="s">
        <v>18</v>
      </c>
      <c r="L2313" s="2" t="n">
        <f aca="false">J2313/_xlfn.XLOOKUP(Tabla2[[#This Row],[Unidad de precio]],Tabla3[Medida],Tabla3[Equivalencia en Kg],"ELVIS",0)</f>
        <v>18.0697278911565</v>
      </c>
      <c r="M2313" s="2" t="n">
        <v>1888.43011620852</v>
      </c>
      <c r="N2313" s="3" t="n">
        <f aca="false">(Tabla2[[#This Row],[Productividad (kg/TAS)]]*Tabla2[[#This Row],[Precio por kg]]-Tabla2[[#This Row],[Costos (En RD$/Tarea)]])</f>
        <v>3188.14603076468</v>
      </c>
      <c r="O2313" s="9" t="n">
        <f aca="false">IF(Tabla2[[#This Row],[Costos (En RD$/Tarea)]]=0,0,Tabla2[[#This Row],[Beneficio Neto  (En RD$/Tarea)]]/Tabla2[[#This Row],[Costos (En RD$/Tarea)]])</f>
        <v>1.68825205836351</v>
      </c>
      <c r="P2313" s="7" t="n">
        <f aca="false">Tabla2[[#This Row],[Rentabilidad (%)]]/12</f>
        <v>0.140687671530292</v>
      </c>
    </row>
    <row r="2314" customFormat="false" ht="14.25" hidden="false" customHeight="false" outlineLevel="0" collapsed="false">
      <c r="A2314" s="1" t="n">
        <v>42370</v>
      </c>
      <c r="B2314" s="2" t="s">
        <v>27</v>
      </c>
      <c r="C2314" s="3" t="n">
        <v>7331</v>
      </c>
      <c r="D2314" s="8" t="s">
        <v>17</v>
      </c>
      <c r="E2314" s="3" t="n">
        <f aca="false">IF(Tabla2[[#This Row],[Frecuencia]]="Annual", Tabla2[[#This Row],[Cosecha/Tarea]]/12,Tabla2[[#This Row],[Cosecha/Tarea]])</f>
        <v>7331</v>
      </c>
      <c r="F2314" s="3" t="n">
        <v>62594</v>
      </c>
      <c r="G2314" s="2" t="s">
        <v>18</v>
      </c>
      <c r="H2314" s="2" t="n">
        <f aca="false">F2314/Tabla2[[#This Row],[Cosecha Mensual]]</f>
        <v>8.5382621743282</v>
      </c>
      <c r="I2314" s="2" t="n">
        <f aca="false">H2314*_xlfn.XLOOKUP(Tabla2[[#This Row],[Unidad de producción]],Tabla3[Medida],Tabla3[Equivalencia en Kg],"ELVIS",0)</f>
        <v>387.295572227527</v>
      </c>
      <c r="J2314" s="2" t="n">
        <v>594.598790476191</v>
      </c>
      <c r="K2314" s="2" t="s">
        <v>18</v>
      </c>
      <c r="L2314" s="2" t="n">
        <f aca="false">J2314/_xlfn.XLOOKUP(Tabla2[[#This Row],[Unidad de precio]],Tabla3[Medida],Tabla3[Equivalencia en Kg],"ELVIS",0)</f>
        <v>13.1084389434786</v>
      </c>
      <c r="M2314" s="2" t="n">
        <v>8287.288275158</v>
      </c>
      <c r="N2314" s="3" t="n">
        <f aca="false">(Tabla2[[#This Row],[Productividad (kg/TAS)]]*Tabla2[[#This Row],[Precio por kg]]-Tabla2[[#This Row],[Costos (En RD$/Tarea)]])</f>
        <v>-3210.44791353384</v>
      </c>
      <c r="O2314" s="9" t="n">
        <f aca="false">IF(Tabla2[[#This Row],[Costos (En RD$/Tarea)]]=0,0,Tabla2[[#This Row],[Beneficio Neto  (En RD$/Tarea)]]/Tabla2[[#This Row],[Costos (En RD$/Tarea)]])</f>
        <v>-0.387394260575862</v>
      </c>
      <c r="P2314" s="7" t="n">
        <f aca="false">Tabla2[[#This Row],[Rentabilidad (%)]]/12</f>
        <v>-0.0322828550479885</v>
      </c>
    </row>
    <row r="2315" customFormat="false" ht="14.25" hidden="false" customHeight="false" outlineLevel="0" collapsed="false">
      <c r="A2315" s="1" t="n">
        <v>42370</v>
      </c>
      <c r="B2315" s="2" t="s">
        <v>28</v>
      </c>
      <c r="C2315" s="3" t="n">
        <v>67844</v>
      </c>
      <c r="D2315" s="8" t="s">
        <v>17</v>
      </c>
      <c r="E2315" s="3" t="n">
        <f aca="false">IF(Tabla2[[#This Row],[Frecuencia]]="Annual", Tabla2[[#This Row],[Cosecha/Tarea]]/12,Tabla2[[#This Row],[Cosecha/Tarea]])</f>
        <v>67844</v>
      </c>
      <c r="F2315" s="3" t="n">
        <v>1182492</v>
      </c>
      <c r="G2315" s="2" t="s">
        <v>18</v>
      </c>
      <c r="H2315" s="2" t="n">
        <f aca="false">F2315/Tabla2[[#This Row],[Cosecha Mensual]]</f>
        <v>17.4295737279642</v>
      </c>
      <c r="I2315" s="2" t="n">
        <f aca="false">H2315*_xlfn.XLOOKUP(Tabla2[[#This Row],[Unidad de producción]],Tabla3[Medida],Tabla3[Equivalencia en Kg],"ELVIS",0)</f>
        <v>790.605464300454</v>
      </c>
      <c r="J2315" s="2" t="n">
        <v>8433.08928571429</v>
      </c>
      <c r="K2315" s="2" t="s">
        <v>29</v>
      </c>
      <c r="L2315" s="2" t="n">
        <f aca="false">J2315/_xlfn.XLOOKUP(Tabla2[[#This Row],[Unidad de precio]],Tabla3[Medida],Tabla3[Equivalencia en Kg],"ELVIS",0)</f>
        <v>14.9964243797601</v>
      </c>
      <c r="M2315" s="2" t="n">
        <v>7046.24991079678</v>
      </c>
      <c r="N2315" s="3" t="n">
        <f aca="false">(Tabla2[[#This Row],[Productividad (kg/TAS)]]*Tabla2[[#This Row],[Precio por kg]]-Tabla2[[#This Row],[Costos (En RD$/Tarea)]])</f>
        <v>4810.0051488101</v>
      </c>
      <c r="O2315" s="9" t="n">
        <f aca="false">IF(Tabla2[[#This Row],[Costos (En RD$/Tarea)]]=0,0,Tabla2[[#This Row],[Beneficio Neto  (En RD$/Tarea)]]/Tabla2[[#This Row],[Costos (En RD$/Tarea)]])</f>
        <v>0.682633345354364</v>
      </c>
      <c r="P2315" s="7" t="n">
        <f aca="false">Tabla2[[#This Row],[Rentabilidad (%)]]/12</f>
        <v>0.0568861121128637</v>
      </c>
    </row>
    <row r="2316" customFormat="false" ht="14.25" hidden="false" customHeight="false" outlineLevel="0" collapsed="false">
      <c r="A2316" s="1" t="n">
        <v>42370</v>
      </c>
      <c r="B2316" s="2" t="s">
        <v>30</v>
      </c>
      <c r="C2316" s="3" t="n">
        <v>415244</v>
      </c>
      <c r="D2316" s="3" t="s">
        <v>31</v>
      </c>
      <c r="E2316" s="3" t="n">
        <f aca="false">IF(Tabla2[[#This Row],[Frecuencia]]="Annual", Tabla2[[#This Row],[Cosecha/Tarea]]/12,Tabla2[[#This Row],[Cosecha/Tarea]])</f>
        <v>34603.6666666667</v>
      </c>
      <c r="F2316" s="3" t="n">
        <v>1959286.8</v>
      </c>
      <c r="G2316" s="2" t="s">
        <v>18</v>
      </c>
      <c r="H2316" s="2" t="n">
        <f aca="false">F2316/Tabla2[[#This Row],[Cosecha Mensual]]</f>
        <v>56.6207858512104</v>
      </c>
      <c r="I2316" s="2" t="n">
        <f aca="false">H2316*_xlfn.XLOOKUP(Tabla2[[#This Row],[Unidad de producción]],Tabla3[Medida],Tabla3[Equivalencia en Kg],"ELVIS",0)</f>
        <v>2568.3188462109</v>
      </c>
      <c r="J2316" s="2" t="n">
        <v>214.28125</v>
      </c>
      <c r="K2316" s="2" t="s">
        <v>32</v>
      </c>
      <c r="L2316" s="2" t="n">
        <f aca="false">J2316/_xlfn.XLOOKUP(Tabla2[[#This Row],[Unidad de precio]],Tabla3[Medida],Tabla3[Equivalencia en Kg],"ELVIS",0)</f>
        <v>7.87509187798603</v>
      </c>
      <c r="M2316" s="3" t="n">
        <v>31633.940308743</v>
      </c>
      <c r="N2316" s="3" t="n">
        <f aca="false">(Tabla2[[#This Row],[Productividad (kg/TAS)]]*Tabla2[[#This Row],[Precio por kg]]-Tabla2[[#This Row],[Costos (En RD$/Tarea)]])</f>
        <v>-11408.1934228691</v>
      </c>
      <c r="O2316" s="9" t="n">
        <f aca="false">IF(Tabla2[[#This Row],[Costos (En RD$/Tarea)]]=0,0,Tabla2[[#This Row],[Beneficio Neto  (En RD$/Tarea)]]/Tabla2[[#This Row],[Costos (En RD$/Tarea)]])</f>
        <v>-0.360631439255642</v>
      </c>
      <c r="P2316" s="7" t="n">
        <f aca="false">Tabla2[[#This Row],[Rentabilidad (%)]]/12</f>
        <v>-0.0300526199379702</v>
      </c>
    </row>
    <row r="2317" customFormat="false" ht="14.25" hidden="false" customHeight="false" outlineLevel="0" collapsed="false">
      <c r="A2317" s="1" t="n">
        <v>42370</v>
      </c>
      <c r="B2317" s="2" t="s">
        <v>33</v>
      </c>
      <c r="C2317" s="3" t="n">
        <v>701444</v>
      </c>
      <c r="D2317" s="3" t="s">
        <v>31</v>
      </c>
      <c r="E2317" s="11" t="n">
        <f aca="false">IF(Tabla2[[#This Row],[Frecuencia]]="Annual", Tabla2[[#This Row],[Cosecha/Tarea]]/12,Tabla2[[#This Row],[Cosecha/Tarea]])</f>
        <v>58453.6666666667</v>
      </c>
      <c r="F2317" s="3" t="n">
        <v>1278126</v>
      </c>
      <c r="G2317" s="2" t="s">
        <v>18</v>
      </c>
      <c r="H2317" s="2" t="n">
        <f aca="false">F2317/Tabla2[[#This Row],[Cosecha Mensual]]</f>
        <v>21.8656257662764</v>
      </c>
      <c r="I2317" s="2" t="n">
        <f aca="false">H2317*_xlfn.XLOOKUP(Tabla2[[#This Row],[Unidad de producción]],Tabla3[Medida],Tabla3[Equivalencia en Kg],"ELVIS",0)</f>
        <v>991.824784758299</v>
      </c>
      <c r="J2317" s="2" t="n">
        <v>8355.09375</v>
      </c>
      <c r="K2317" s="2" t="s">
        <v>34</v>
      </c>
      <c r="L2317" s="2" t="n">
        <f aca="false">J2317/_xlfn.XLOOKUP(Tabla2[[#This Row],[Unidad de precio]],Tabla3[Medida],Tabla3[Equivalencia en Kg],"ELVIS",0)</f>
        <v>20.470644983462</v>
      </c>
      <c r="M2317" s="3" t="n">
        <v>19988.8214440479</v>
      </c>
      <c r="N2317" s="3" t="n">
        <f aca="false">(Tabla2[[#This Row],[Productividad (kg/TAS)]]*Tabla2[[#This Row],[Precio por kg]]-Tabla2[[#This Row],[Costos (En RD$/Tarea)]])</f>
        <v>314.471610537807</v>
      </c>
      <c r="O2317" s="9" t="n">
        <f aca="false">IF(Tabla2[[#This Row],[Costos (En RD$/Tarea)]]=0,0,Tabla2[[#This Row],[Beneficio Neto  (En RD$/Tarea)]]/Tabla2[[#This Row],[Costos (En RD$/Tarea)]])</f>
        <v>0.0157323737879227</v>
      </c>
      <c r="P2317" s="7" t="n">
        <f aca="false">Tabla2[[#This Row],[Rentabilidad (%)]]/12</f>
        <v>0.00131103114899356</v>
      </c>
    </row>
    <row r="2318" customFormat="false" ht="14.25" hidden="false" customHeight="false" outlineLevel="0" collapsed="false">
      <c r="A2318" s="1" t="n">
        <v>42401</v>
      </c>
      <c r="B2318" s="2" t="s">
        <v>16</v>
      </c>
      <c r="C2318" s="3" t="n">
        <v>1441</v>
      </c>
      <c r="D2318" s="8" t="s">
        <v>17</v>
      </c>
      <c r="E2318" s="3" t="n">
        <f aca="false">IF(Tabla2[[#This Row],[Frecuencia]]="Annual", Tabla2[[#This Row],[Cosecha/Tarea]]/12,Tabla2[[#This Row],[Cosecha/Tarea]])</f>
        <v>1441</v>
      </c>
      <c r="F2318" s="3" t="n">
        <v>5109</v>
      </c>
      <c r="G2318" s="2" t="s">
        <v>18</v>
      </c>
      <c r="H2318" s="2" t="n">
        <f aca="false">F2318/Tabla2[[#This Row],[Cosecha Mensual]]</f>
        <v>3.54545454545455</v>
      </c>
      <c r="I2318" s="2" t="n">
        <f aca="false">H2318*_xlfn.XLOOKUP(Tabla2[[#This Row],[Unidad de producción]],Tabla3[Medida],Tabla3[Equivalencia en Kg],"ELVIS",0)</f>
        <v>160.821818181818</v>
      </c>
      <c r="J2318" s="2" t="n">
        <v>1806.09003712871</v>
      </c>
      <c r="K2318" s="2" t="s">
        <v>19</v>
      </c>
      <c r="L2318" s="2" t="n">
        <f aca="false">J2318/_xlfn.XLOOKUP(Tabla2[[#This Row],[Unidad de precio]],Tabla3[Medida],Tabla3[Equivalencia en Kg],"ELVIS",0)</f>
        <v>16.4190003375337</v>
      </c>
      <c r="M2318" s="2" t="n">
        <v>5924.25478252843</v>
      </c>
      <c r="N2318" s="3" t="n">
        <f aca="false">(Tabla2[[#This Row],[Productividad (kg/TAS)]]*Tabla2[[#This Row],[Precio por kg]]-Tabla2[[#This Row],[Costos (En RD$/Tarea)]])</f>
        <v>-3283.72129551837</v>
      </c>
      <c r="O2318" s="9" t="n">
        <f aca="false">IF(Tabla2[[#This Row],[Costos (En RD$/Tarea)]]=0,0,Tabla2[[#This Row],[Beneficio Neto  (En RD$/Tarea)]]/Tabla2[[#This Row],[Costos (En RD$/Tarea)]])</f>
        <v>-0.554284279805552</v>
      </c>
      <c r="P2318" s="7" t="n">
        <f aca="false">Tabla2[[#This Row],[Rentabilidad (%)]]/12</f>
        <v>-0.0461903566504627</v>
      </c>
    </row>
    <row r="2319" customFormat="false" ht="14.25" hidden="false" customHeight="false" outlineLevel="0" collapsed="false">
      <c r="A2319" s="1" t="n">
        <v>42401</v>
      </c>
      <c r="B2319" s="2" t="s">
        <v>20</v>
      </c>
      <c r="C2319" s="3" t="n">
        <v>30170</v>
      </c>
      <c r="D2319" s="8" t="s">
        <v>17</v>
      </c>
      <c r="E2319" s="3" t="n">
        <f aca="false">IF(Tabla2[[#This Row],[Frecuencia]]="Annual", Tabla2[[#This Row],[Cosecha/Tarea]]/12,Tabla2[[#This Row],[Cosecha/Tarea]])</f>
        <v>30170</v>
      </c>
      <c r="F2319" s="3" t="n">
        <v>72991</v>
      </c>
      <c r="G2319" s="2" t="s">
        <v>18</v>
      </c>
      <c r="H2319" s="2" t="n">
        <f aca="false">F2319/Tabla2[[#This Row],[Cosecha Mensual]]</f>
        <v>2.41932383162082</v>
      </c>
      <c r="I2319" s="2" t="n">
        <f aca="false">H2319*_xlfn.XLOOKUP(Tabla2[[#This Row],[Unidad de producción]],Tabla3[Medida],Tabla3[Equivalencia en Kg],"ELVIS",0)</f>
        <v>109.74052900232</v>
      </c>
      <c r="J2319" s="2" t="n">
        <v>824.703144270833</v>
      </c>
      <c r="K2319" s="2" t="s">
        <v>18</v>
      </c>
      <c r="L2319" s="2" t="n">
        <f aca="false">J2319/_xlfn.XLOOKUP(Tabla2[[#This Row],[Unidad de precio]],Tabla3[Medida],Tabla3[Equivalencia en Kg],"ELVIS",0)</f>
        <v>18.181286249357</v>
      </c>
      <c r="M2319" s="2" t="n">
        <v>2463.292898352</v>
      </c>
      <c r="N2319" s="3" t="n">
        <f aca="false">(Tabla2[[#This Row],[Productividad (kg/TAS)]]*Tabla2[[#This Row],[Precio por kg]]-Tabla2[[#This Row],[Costos (En RD$/Tarea)]])</f>
        <v>-468.068927404954</v>
      </c>
      <c r="O2319" s="9" t="n">
        <f aca="false">IF(Tabla2[[#This Row],[Costos (En RD$/Tarea)]]=0,0,Tabla2[[#This Row],[Beneficio Neto  (En RD$/Tarea)]]/Tabla2[[#This Row],[Costos (En RD$/Tarea)]])</f>
        <v>-0.190017568644843</v>
      </c>
      <c r="P2319" s="7" t="n">
        <f aca="false">Tabla2[[#This Row],[Rentabilidad (%)]]/12</f>
        <v>-0.0158347973870702</v>
      </c>
    </row>
    <row r="2320" customFormat="false" ht="14.25" hidden="false" customHeight="false" outlineLevel="0" collapsed="false">
      <c r="A2320" s="1" t="n">
        <v>42401</v>
      </c>
      <c r="B2320" s="2" t="s">
        <v>21</v>
      </c>
      <c r="C2320" s="3" t="n">
        <v>9014</v>
      </c>
      <c r="D2320" s="8" t="s">
        <v>17</v>
      </c>
      <c r="E2320" s="3" t="n">
        <f aca="false">IF(Tabla2[[#This Row],[Frecuencia]]="Annual", Tabla2[[#This Row],[Cosecha/Tarea]]/12,Tabla2[[#This Row],[Cosecha/Tarea]])</f>
        <v>9014</v>
      </c>
      <c r="F2320" s="3" t="n">
        <v>87101</v>
      </c>
      <c r="G2320" s="2" t="s">
        <v>18</v>
      </c>
      <c r="H2320" s="2" t="n">
        <f aca="false">F2320/Tabla2[[#This Row],[Cosecha Mensual]]</f>
        <v>9.66285777679166</v>
      </c>
      <c r="I2320" s="2" t="n">
        <f aca="false">H2320*_xlfn.XLOOKUP(Tabla2[[#This Row],[Unidad de producción]],Tabla3[Medida],Tabla3[Equivalencia en Kg],"ELVIS",0)</f>
        <v>438.30722875527</v>
      </c>
      <c r="J2320" s="2" t="n">
        <v>403.345833333333</v>
      </c>
      <c r="K2320" s="2" t="s">
        <v>18</v>
      </c>
      <c r="L2320" s="2" t="n">
        <f aca="false">J2320/_xlfn.XLOOKUP(Tabla2[[#This Row],[Unidad de precio]],Tabla3[Medida],Tabla3[Equivalencia en Kg],"ELVIS",0)</f>
        <v>8.89210390946501</v>
      </c>
      <c r="M2320" s="2" t="n">
        <v>4713.68743816075</v>
      </c>
      <c r="N2320" s="3" t="n">
        <f aca="false">(Tabla2[[#This Row],[Productividad (kg/TAS)]]*Tabla2[[#This Row],[Precio por kg]]-Tabla2[[#This Row],[Costos (En RD$/Tarea)]])</f>
        <v>-816.214015799241</v>
      </c>
      <c r="O2320" s="9" t="n">
        <f aca="false">IF(Tabla2[[#This Row],[Costos (En RD$/Tarea)]]=0,0,Tabla2[[#This Row],[Beneficio Neto  (En RD$/Tarea)]]/Tabla2[[#This Row],[Costos (En RD$/Tarea)]])</f>
        <v>-0.173158281389511</v>
      </c>
      <c r="P2320" s="7" t="n">
        <f aca="false">Tabla2[[#This Row],[Rentabilidad (%)]]/12</f>
        <v>-0.0144298567824592</v>
      </c>
    </row>
    <row r="2321" customFormat="false" ht="14.25" hidden="false" customHeight="false" outlineLevel="0" collapsed="false">
      <c r="A2321" s="1" t="n">
        <v>42401</v>
      </c>
      <c r="B2321" s="2" t="s">
        <v>22</v>
      </c>
      <c r="C2321" s="3" t="n">
        <v>9514</v>
      </c>
      <c r="D2321" s="8" t="s">
        <v>17</v>
      </c>
      <c r="E2321" s="3" t="n">
        <f aca="false">IF(Tabla2[[#This Row],[Frecuencia]]="Annual", Tabla2[[#This Row],[Cosecha/Tarea]]/12,Tabla2[[#This Row],[Cosecha/Tarea]])</f>
        <v>9514</v>
      </c>
      <c r="F2321" s="3" t="n">
        <v>84587</v>
      </c>
      <c r="G2321" s="2" t="s">
        <v>18</v>
      </c>
      <c r="H2321" s="2" t="n">
        <f aca="false">F2321/Tabla2[[#This Row],[Cosecha Mensual]]</f>
        <v>8.89079251629178</v>
      </c>
      <c r="I2321" s="2" t="n">
        <f aca="false">H2321*_xlfn.XLOOKUP(Tabla2[[#This Row],[Unidad de producción]],Tabla3[Medida],Tabla3[Equivalencia en Kg],"ELVIS",0)</f>
        <v>403.286348538995</v>
      </c>
      <c r="J2321" s="2" t="n">
        <v>1492.40104166667</v>
      </c>
      <c r="K2321" s="2" t="s">
        <v>18</v>
      </c>
      <c r="L2321" s="2" t="n">
        <f aca="false">J2321/_xlfn.XLOOKUP(Tabla2[[#This Row],[Unidad de precio]],Tabla3[Medida],Tabla3[Equivalencia en Kg],"ELVIS",0)</f>
        <v>32.901257532334</v>
      </c>
      <c r="M2321" s="2" t="n">
        <v>8550.15765636903</v>
      </c>
      <c r="N2321" s="3" t="n">
        <f aca="false">(Tabla2[[#This Row],[Productividad (kg/TAS)]]*Tabla2[[#This Row],[Precio por kg]]-Tabla2[[#This Row],[Costos (En RD$/Tarea)]])</f>
        <v>4718.47035618706</v>
      </c>
      <c r="O2321" s="9" t="n">
        <f aca="false">IF(Tabla2[[#This Row],[Costos (En RD$/Tarea)]]=0,0,Tabla2[[#This Row],[Beneficio Neto  (En RD$/Tarea)]]/Tabla2[[#This Row],[Costos (En RD$/Tarea)]])</f>
        <v>0.551857702024039</v>
      </c>
      <c r="P2321" s="7" t="n">
        <f aca="false">Tabla2[[#This Row],[Rentabilidad (%)]]/12</f>
        <v>0.0459881418353366</v>
      </c>
    </row>
    <row r="2322" customFormat="false" ht="14.25" hidden="false" customHeight="false" outlineLevel="0" collapsed="false">
      <c r="A2322" s="1" t="n">
        <v>42401</v>
      </c>
      <c r="B2322" s="2" t="s">
        <v>23</v>
      </c>
      <c r="C2322" s="3" t="n">
        <v>6214</v>
      </c>
      <c r="D2322" s="8" t="s">
        <v>17</v>
      </c>
      <c r="E2322" s="3" t="n">
        <f aca="false">IF(Tabla2[[#This Row],[Frecuencia]]="Annual", Tabla2[[#This Row],[Cosecha/Tarea]]/12,Tabla2[[#This Row],[Cosecha/Tarea]])</f>
        <v>6214</v>
      </c>
      <c r="F2322" s="3" t="n">
        <v>220211</v>
      </c>
      <c r="G2322" s="2" t="s">
        <v>18</v>
      </c>
      <c r="H2322" s="2" t="n">
        <f aca="false">F2322/Tabla2[[#This Row],[Cosecha Mensual]]</f>
        <v>35.4378822014805</v>
      </c>
      <c r="I2322" s="2" t="n">
        <f aca="false">H2322*_xlfn.XLOOKUP(Tabla2[[#This Row],[Unidad de producción]],Tabla3[Medida],Tabla3[Equivalencia en Kg],"ELVIS",0)</f>
        <v>1607.46233665916</v>
      </c>
      <c r="J2322" s="2" t="n">
        <v>1041.75</v>
      </c>
      <c r="K2322" s="2" t="s">
        <v>18</v>
      </c>
      <c r="L2322" s="2" t="n">
        <f aca="false">J2322/_xlfn.XLOOKUP(Tabla2[[#This Row],[Unidad de precio]],Tabla3[Medida],Tabla3[Equivalencia en Kg],"ELVIS",0)</f>
        <v>22.9662698412698</v>
      </c>
      <c r="M2322" s="2" t="n">
        <v>23192.17</v>
      </c>
      <c r="N2322" s="3" t="n">
        <f aca="false">(Tabla2[[#This Row],[Productividad (kg/TAS)]]*Tabla2[[#This Row],[Precio por kg]]-Tabla2[[#This Row],[Costos (En RD$/Tarea)]])</f>
        <v>13725.2437833923</v>
      </c>
      <c r="O2322" s="9" t="n">
        <f aca="false">IF(Tabla2[[#This Row],[Costos (En RD$/Tarea)]]=0,0,Tabla2[[#This Row],[Beneficio Neto  (En RD$/Tarea)]]/Tabla2[[#This Row],[Costos (En RD$/Tarea)]])</f>
        <v>0.591805069702074</v>
      </c>
      <c r="P2322" s="7" t="n">
        <f aca="false">Tabla2[[#This Row],[Rentabilidad (%)]]/12</f>
        <v>0.0493170891418395</v>
      </c>
    </row>
    <row r="2323" customFormat="false" ht="14.25" hidden="false" customHeight="false" outlineLevel="0" collapsed="false">
      <c r="A2323" s="1" t="n">
        <v>42401</v>
      </c>
      <c r="B2323" s="2" t="s">
        <v>24</v>
      </c>
      <c r="C2323" s="3" t="n">
        <v>7547</v>
      </c>
      <c r="D2323" s="8" t="s">
        <v>17</v>
      </c>
      <c r="E2323" s="3" t="n">
        <f aca="false">IF(Tabla2[[#This Row],[Frecuencia]]="Annual", Tabla2[[#This Row],[Cosecha/Tarea]]/12,Tabla2[[#This Row],[Cosecha/Tarea]])</f>
        <v>7547</v>
      </c>
      <c r="F2323" s="3" t="n">
        <v>69879</v>
      </c>
      <c r="G2323" s="2" t="s">
        <v>18</v>
      </c>
      <c r="H2323" s="2" t="n">
        <f aca="false">F2323/Tabla2[[#This Row],[Cosecha Mensual]]</f>
        <v>9.25917583145621</v>
      </c>
      <c r="I2323" s="2" t="n">
        <f aca="false">H2323*_xlfn.XLOOKUP(Tabla2[[#This Row],[Unidad de producción]],Tabla3[Medida],Tabla3[Equivalencia en Kg],"ELVIS",0)</f>
        <v>419.996215714854</v>
      </c>
      <c r="J2323" s="2" t="n">
        <v>2629.10416666667</v>
      </c>
      <c r="K2323" s="2" t="s">
        <v>18</v>
      </c>
      <c r="L2323" s="2" t="n">
        <f aca="false">J2323/_xlfn.XLOOKUP(Tabla2[[#This Row],[Unidad de precio]],Tabla3[Medida],Tabla3[Equivalencia en Kg],"ELVIS",0)</f>
        <v>57.9608502351559</v>
      </c>
      <c r="M2323" s="2" t="n">
        <v>8705.156224128</v>
      </c>
      <c r="N2323" s="3" t="n">
        <f aca="false">(Tabla2[[#This Row],[Productividad (kg/TAS)]]*Tabla2[[#This Row],[Precio por kg]]-Tabla2[[#This Row],[Costos (En RD$/Tarea)]])</f>
        <v>15638.1815342528</v>
      </c>
      <c r="O2323" s="9" t="n">
        <f aca="false">IF(Tabla2[[#This Row],[Costos (En RD$/Tarea)]]=0,0,Tabla2[[#This Row],[Beneficio Neto  (En RD$/Tarea)]]/Tabla2[[#This Row],[Costos (En RD$/Tarea)]])</f>
        <v>1.79642744272741</v>
      </c>
      <c r="P2323" s="7" t="n">
        <f aca="false">Tabla2[[#This Row],[Rentabilidad (%)]]/12</f>
        <v>0.149702286893951</v>
      </c>
    </row>
    <row r="2324" customFormat="false" ht="14.25" hidden="false" customHeight="false" outlineLevel="0" collapsed="false">
      <c r="A2324" s="1" t="n">
        <v>42401</v>
      </c>
      <c r="B2324" s="2" t="s">
        <v>25</v>
      </c>
      <c r="C2324" s="3" t="n">
        <v>41014</v>
      </c>
      <c r="D2324" s="8" t="s">
        <v>17</v>
      </c>
      <c r="E2324" s="3" t="n">
        <f aca="false">IF(Tabla2[[#This Row],[Frecuencia]]="Annual", Tabla2[[#This Row],[Cosecha/Tarea]]/12,Tabla2[[#This Row],[Cosecha/Tarea]])</f>
        <v>41014</v>
      </c>
      <c r="F2324" s="3" t="n">
        <v>445897</v>
      </c>
      <c r="G2324" s="2" t="s">
        <v>18</v>
      </c>
      <c r="H2324" s="2" t="n">
        <f aca="false">F2324/Tabla2[[#This Row],[Cosecha Mensual]]</f>
        <v>10.8718242551324</v>
      </c>
      <c r="I2324" s="2" t="n">
        <f aca="false">H2324*_xlfn.XLOOKUP(Tabla2[[#This Row],[Unidad de producción]],Tabla3[Medida],Tabla3[Equivalencia en Kg],"ELVIS",0)</f>
        <v>493.145948212805</v>
      </c>
      <c r="J2324" s="2" t="n">
        <v>936.112708333333</v>
      </c>
      <c r="K2324" s="2" t="s">
        <v>18</v>
      </c>
      <c r="L2324" s="2" t="n">
        <f aca="false">J2324/_xlfn.XLOOKUP(Tabla2[[#This Row],[Unidad de precio]],Tabla3[Medida],Tabla3[Equivalencia en Kg],"ELVIS",0)</f>
        <v>20.6374053865373</v>
      </c>
      <c r="M2324" s="2" t="n">
        <v>4784.76271988092</v>
      </c>
      <c r="N2324" s="3" t="n">
        <f aca="false">(Tabla2[[#This Row],[Productividad (kg/TAS)]]*Tabla2[[#This Row],[Precio por kg]]-Tabla2[[#This Row],[Costos (En RD$/Tarea)]])</f>
        <v>5392.49012811509</v>
      </c>
      <c r="O2324" s="9" t="n">
        <f aca="false">IF(Tabla2[[#This Row],[Costos (En RD$/Tarea)]]=0,0,Tabla2[[#This Row],[Beneficio Neto  (En RD$/Tarea)]]/Tabla2[[#This Row],[Costos (En RD$/Tarea)]])</f>
        <v>1.12701307124573</v>
      </c>
      <c r="P2324" s="7" t="n">
        <f aca="false">Tabla2[[#This Row],[Rentabilidad (%)]]/12</f>
        <v>0.0939177559371445</v>
      </c>
    </row>
    <row r="2325" customFormat="false" ht="14.25" hidden="false" customHeight="false" outlineLevel="0" collapsed="false">
      <c r="A2325" s="1" t="n">
        <v>42401</v>
      </c>
      <c r="B2325" s="2" t="s">
        <v>26</v>
      </c>
      <c r="C2325" s="3" t="n">
        <v>8987</v>
      </c>
      <c r="D2325" s="8" t="s">
        <v>17</v>
      </c>
      <c r="E2325" s="3" t="n">
        <f aca="false">IF(Tabla2[[#This Row],[Frecuencia]]="Annual", Tabla2[[#This Row],[Cosecha/Tarea]]/12,Tabla2[[#This Row],[Cosecha/Tarea]])</f>
        <v>8987</v>
      </c>
      <c r="F2325" s="3" t="n">
        <v>54899</v>
      </c>
      <c r="G2325" s="2" t="s">
        <v>18</v>
      </c>
      <c r="H2325" s="2" t="n">
        <f aca="false">F2325/Tabla2[[#This Row],[Cosecha Mensual]]</f>
        <v>6.10871258484478</v>
      </c>
      <c r="I2325" s="2" t="n">
        <f aca="false">H2325*_xlfn.XLOOKUP(Tabla2[[#This Row],[Unidad de producción]],Tabla3[Medida],Tabla3[Equivalencia en Kg],"ELVIS",0)</f>
        <v>277.091202848559</v>
      </c>
      <c r="J2325" s="2" t="n">
        <v>678.3365625</v>
      </c>
      <c r="K2325" s="2" t="s">
        <v>18</v>
      </c>
      <c r="L2325" s="2" t="n">
        <f aca="false">J2325/_xlfn.XLOOKUP(Tabla2[[#This Row],[Unidad de precio]],Tabla3[Medida],Tabla3[Equivalencia en Kg],"ELVIS",0)</f>
        <v>14.954509755291</v>
      </c>
      <c r="M2325" s="2" t="n">
        <v>1888.43011620852</v>
      </c>
      <c r="N2325" s="3" t="n">
        <f aca="false">(Tabla2[[#This Row],[Productividad (kg/TAS)]]*Tabla2[[#This Row],[Precio por kg]]-Tabla2[[#This Row],[Costos (En RD$/Tarea)]])</f>
        <v>2255.33297989557</v>
      </c>
      <c r="O2325" s="9" t="n">
        <f aca="false">IF(Tabla2[[#This Row],[Costos (En RD$/Tarea)]]=0,0,Tabla2[[#This Row],[Beneficio Neto  (En RD$/Tarea)]]/Tabla2[[#This Row],[Costos (En RD$/Tarea)]])</f>
        <v>1.19428988159948</v>
      </c>
      <c r="P2325" s="7" t="n">
        <f aca="false">Tabla2[[#This Row],[Rentabilidad (%)]]/12</f>
        <v>0.0995241567999571</v>
      </c>
    </row>
    <row r="2326" customFormat="false" ht="14.25" hidden="false" customHeight="false" outlineLevel="0" collapsed="false">
      <c r="A2326" s="1" t="n">
        <v>42401</v>
      </c>
      <c r="B2326" s="2" t="s">
        <v>27</v>
      </c>
      <c r="C2326" s="3" t="n">
        <v>5300</v>
      </c>
      <c r="D2326" s="8" t="s">
        <v>17</v>
      </c>
      <c r="E2326" s="3" t="n">
        <f aca="false">IF(Tabla2[[#This Row],[Frecuencia]]="Annual", Tabla2[[#This Row],[Cosecha/Tarea]]/12,Tabla2[[#This Row],[Cosecha/Tarea]])</f>
        <v>5300</v>
      </c>
      <c r="F2326" s="3" t="n">
        <v>46566</v>
      </c>
      <c r="G2326" s="2" t="s">
        <v>18</v>
      </c>
      <c r="H2326" s="2" t="n">
        <f aca="false">F2326/Tabla2[[#This Row],[Cosecha Mensual]]</f>
        <v>8.78603773584906</v>
      </c>
      <c r="I2326" s="2" t="n">
        <f aca="false">H2326*_xlfn.XLOOKUP(Tabla2[[#This Row],[Unidad de producción]],Tabla3[Medida],Tabla3[Equivalencia en Kg],"ELVIS",0)</f>
        <v>398.534671698113</v>
      </c>
      <c r="J2326" s="2" t="n">
        <v>485.178857142857</v>
      </c>
      <c r="K2326" s="2" t="s">
        <v>18</v>
      </c>
      <c r="L2326" s="2" t="n">
        <f aca="false">J2326/_xlfn.XLOOKUP(Tabla2[[#This Row],[Unidad de precio]],Tabla3[Medida],Tabla3[Equivalencia en Kg],"ELVIS",0)</f>
        <v>10.6961829176115</v>
      </c>
      <c r="M2326" s="2" t="n">
        <v>8287.288275158</v>
      </c>
      <c r="N2326" s="3" t="n">
        <f aca="false">(Tabla2[[#This Row],[Productividad (kg/TAS)]]*Tabla2[[#This Row],[Precio por kg]]-Tabla2[[#This Row],[Costos (En RD$/Tarea)]])</f>
        <v>-4024.48852766474</v>
      </c>
      <c r="O2326" s="9" t="n">
        <f aca="false">IF(Tabla2[[#This Row],[Costos (En RD$/Tarea)]]=0,0,Tabla2[[#This Row],[Beneficio Neto  (En RD$/Tarea)]]/Tabla2[[#This Row],[Costos (En RD$/Tarea)]])</f>
        <v>-0.485621881855921</v>
      </c>
      <c r="P2326" s="7" t="n">
        <f aca="false">Tabla2[[#This Row],[Rentabilidad (%)]]/12</f>
        <v>-0.0404684901546601</v>
      </c>
    </row>
    <row r="2327" customFormat="false" ht="14.25" hidden="false" customHeight="false" outlineLevel="0" collapsed="false">
      <c r="A2327" s="1" t="n">
        <v>42401</v>
      </c>
      <c r="B2327" s="2" t="s">
        <v>28</v>
      </c>
      <c r="C2327" s="3" t="n">
        <v>95474</v>
      </c>
      <c r="D2327" s="8" t="s">
        <v>17</v>
      </c>
      <c r="E2327" s="3" t="n">
        <f aca="false">IF(Tabla2[[#This Row],[Frecuencia]]="Annual", Tabla2[[#This Row],[Cosecha/Tarea]]/12,Tabla2[[#This Row],[Cosecha/Tarea]])</f>
        <v>95474</v>
      </c>
      <c r="F2327" s="3" t="n">
        <v>1964928</v>
      </c>
      <c r="G2327" s="2" t="s">
        <v>18</v>
      </c>
      <c r="H2327" s="2" t="n">
        <f aca="false">F2327/Tabla2[[#This Row],[Cosecha Mensual]]</f>
        <v>20.5807654439952</v>
      </c>
      <c r="I2327" s="2" t="n">
        <f aca="false">H2327*_xlfn.XLOOKUP(Tabla2[[#This Row],[Unidad de producción]],Tabla3[Medida],Tabla3[Equivalencia en Kg],"ELVIS",0)</f>
        <v>933.543520539623</v>
      </c>
      <c r="J2327" s="2" t="n">
        <v>9325.75</v>
      </c>
      <c r="K2327" s="2" t="s">
        <v>29</v>
      </c>
      <c r="L2327" s="2" t="n">
        <f aca="false">J2327/_xlfn.XLOOKUP(Tabla2[[#This Row],[Unidad de precio]],Tabla3[Medida],Tabla3[Equivalencia en Kg],"ELVIS",0)</f>
        <v>16.5838282889355</v>
      </c>
      <c r="M2327" s="2" t="n">
        <v>7046.24991079678</v>
      </c>
      <c r="N2327" s="3" t="n">
        <f aca="false">(Tabla2[[#This Row],[Productividad (kg/TAS)]]*Tabla2[[#This Row],[Precio por kg]]-Tabla2[[#This Row],[Costos (En RD$/Tarea)]])</f>
        <v>8435.47553408068</v>
      </c>
      <c r="O2327" s="9" t="n">
        <f aca="false">IF(Tabla2[[#This Row],[Costos (En RD$/Tarea)]]=0,0,Tabla2[[#This Row],[Beneficio Neto  (En RD$/Tarea)]]/Tabla2[[#This Row],[Costos (En RD$/Tarea)]])</f>
        <v>1.19715815375143</v>
      </c>
      <c r="P2327" s="7" t="n">
        <f aca="false">Tabla2[[#This Row],[Rentabilidad (%)]]/12</f>
        <v>0.0997631794792862</v>
      </c>
    </row>
    <row r="2328" customFormat="false" ht="14.25" hidden="false" customHeight="false" outlineLevel="0" collapsed="false">
      <c r="A2328" s="1" t="n">
        <v>42401</v>
      </c>
      <c r="B2328" s="2" t="s">
        <v>30</v>
      </c>
      <c r="C2328" s="3" t="n">
        <v>438547</v>
      </c>
      <c r="D2328" s="3" t="s">
        <v>31</v>
      </c>
      <c r="E2328" s="3" t="n">
        <f aca="false">IF(Tabla2[[#This Row],[Frecuencia]]="Annual", Tabla2[[#This Row],[Cosecha/Tarea]]/12,Tabla2[[#This Row],[Cosecha/Tarea]])</f>
        <v>36545.5833333333</v>
      </c>
      <c r="F2328" s="3" t="n">
        <v>2023860</v>
      </c>
      <c r="G2328" s="2" t="s">
        <v>18</v>
      </c>
      <c r="H2328" s="2" t="n">
        <f aca="false">F2328/Tabla2[[#This Row],[Cosecha Mensual]]</f>
        <v>55.3790585729694</v>
      </c>
      <c r="I2328" s="2" t="n">
        <f aca="false">H2328*_xlfn.XLOOKUP(Tabla2[[#This Row],[Unidad de producción]],Tabla3[Medida],Tabla3[Equivalencia en Kg],"ELVIS",0)</f>
        <v>2511.99409686989</v>
      </c>
      <c r="J2328" s="2" t="n">
        <v>208.409375</v>
      </c>
      <c r="K2328" s="2" t="s">
        <v>32</v>
      </c>
      <c r="L2328" s="2" t="n">
        <f aca="false">J2328/_xlfn.XLOOKUP(Tabla2[[#This Row],[Unidad de precio]],Tabla3[Medida],Tabla3[Equivalencia en Kg],"ELVIS",0)</f>
        <v>7.6592934582874</v>
      </c>
      <c r="M2328" s="3" t="n">
        <v>31633.940308743</v>
      </c>
      <c r="N2328" s="3" t="n">
        <f aca="false">(Tabla2[[#This Row],[Productividad (kg/TAS)]]*Tabla2[[#This Row],[Precio por kg]]-Tabla2[[#This Row],[Costos (En RD$/Tarea)]])</f>
        <v>-12393.8403553309</v>
      </c>
      <c r="O2328" s="9" t="n">
        <f aca="false">IF(Tabla2[[#This Row],[Costos (En RD$/Tarea)]]=0,0,Tabla2[[#This Row],[Beneficio Neto  (En RD$/Tarea)]]/Tabla2[[#This Row],[Costos (En RD$/Tarea)]])</f>
        <v>-0.391789332418557</v>
      </c>
      <c r="P2328" s="7" t="n">
        <f aca="false">Tabla2[[#This Row],[Rentabilidad (%)]]/12</f>
        <v>-0.0326491110348797</v>
      </c>
    </row>
    <row r="2329" customFormat="false" ht="14.25" hidden="false" customHeight="false" outlineLevel="0" collapsed="false">
      <c r="A2329" s="1" t="n">
        <v>42401</v>
      </c>
      <c r="B2329" s="2" t="s">
        <v>33</v>
      </c>
      <c r="C2329" s="3" t="n">
        <v>741021</v>
      </c>
      <c r="D2329" s="3" t="s">
        <v>31</v>
      </c>
      <c r="E2329" s="3" t="n">
        <f aca="false">IF(Tabla2[[#This Row],[Frecuencia]]="Annual", Tabla2[[#This Row],[Cosecha/Tarea]]/12,Tabla2[[#This Row],[Cosecha/Tarea]])</f>
        <v>61751.75</v>
      </c>
      <c r="F2329" s="3" t="n">
        <v>1339668</v>
      </c>
      <c r="G2329" s="2" t="s">
        <v>18</v>
      </c>
      <c r="H2329" s="2" t="n">
        <f aca="false">F2329/Tabla2[[#This Row],[Cosecha Mensual]]</f>
        <v>21.6944135186452</v>
      </c>
      <c r="I2329" s="2" t="n">
        <f aca="false">H2329*_xlfn.XLOOKUP(Tabla2[[#This Row],[Unidad de producción]],Tabla3[Medida],Tabla3[Equivalencia en Kg],"ELVIS",0)</f>
        <v>984.058597205747</v>
      </c>
      <c r="J2329" s="2" t="n">
        <v>7422.88541666667</v>
      </c>
      <c r="K2329" s="2" t="s">
        <v>34</v>
      </c>
      <c r="L2329" s="2" t="n">
        <f aca="false">J2329/_xlfn.XLOOKUP(Tabla2[[#This Row],[Unidad de precio]],Tabla3[Medida],Tabla3[Equivalencia en Kg],"ELVIS",0)</f>
        <v>18.1866603372943</v>
      </c>
      <c r="M2329" s="3" t="n">
        <v>19988.8214440479</v>
      </c>
      <c r="N2329" s="3" t="n">
        <f aca="false">(Tabla2[[#This Row],[Productividad (kg/TAS)]]*Tabla2[[#This Row],[Precio por kg]]-Tabla2[[#This Row],[Costos (En RD$/Tarea)]])</f>
        <v>-2092.08198467267</v>
      </c>
      <c r="O2329" s="9" t="n">
        <f aca="false">IF(Tabla2[[#This Row],[Costos (En RD$/Tarea)]]=0,0,Tabla2[[#This Row],[Beneficio Neto  (En RD$/Tarea)]]/Tabla2[[#This Row],[Costos (En RD$/Tarea)]])</f>
        <v>-0.104662598069064</v>
      </c>
      <c r="P2329" s="7" t="n">
        <f aca="false">Tabla2[[#This Row],[Rentabilidad (%)]]/12</f>
        <v>-0.00872188317242197</v>
      </c>
    </row>
    <row r="2330" customFormat="false" ht="14.25" hidden="false" customHeight="false" outlineLevel="0" collapsed="false">
      <c r="A2330" s="1" t="n">
        <v>42430</v>
      </c>
      <c r="B2330" s="2" t="s">
        <v>16</v>
      </c>
      <c r="C2330" s="3" t="n">
        <v>79516</v>
      </c>
      <c r="D2330" s="8" t="s">
        <v>17</v>
      </c>
      <c r="E2330" s="3" t="n">
        <f aca="false">IF(Tabla2[[#This Row],[Frecuencia]]="Annual", Tabla2[[#This Row],[Cosecha/Tarea]]/12,Tabla2[[#This Row],[Cosecha/Tarea]])</f>
        <v>79516</v>
      </c>
      <c r="F2330" s="3" t="n">
        <v>418254</v>
      </c>
      <c r="G2330" s="2" t="s">
        <v>18</v>
      </c>
      <c r="H2330" s="2" t="n">
        <f aca="false">F2330/Tabla2[[#This Row],[Cosecha Mensual]]</f>
        <v>5.25999798782635</v>
      </c>
      <c r="I2330" s="2" t="n">
        <f aca="false">H2330*_xlfn.XLOOKUP(Tabla2[[#This Row],[Unidad de producción]],Tabla3[Medida],Tabla3[Equivalencia en Kg],"ELVIS",0)</f>
        <v>238.593508727803</v>
      </c>
      <c r="J2330" s="2" t="n">
        <v>1849.06039053905</v>
      </c>
      <c r="K2330" s="2" t="s">
        <v>19</v>
      </c>
      <c r="L2330" s="2" t="n">
        <f aca="false">J2330/_xlfn.XLOOKUP(Tabla2[[#This Row],[Unidad de precio]],Tabla3[Medida],Tabla3[Equivalencia en Kg],"ELVIS",0)</f>
        <v>16.8096399139914</v>
      </c>
      <c r="M2330" s="2" t="n">
        <v>5924.25478252843</v>
      </c>
      <c r="N2330" s="3" t="n">
        <f aca="false">(Tabla2[[#This Row],[Productividad (kg/TAS)]]*Tabla2[[#This Row],[Precio por kg]]-Tabla2[[#This Row],[Costos (En RD$/Tarea)]])</f>
        <v>-1913.5838149983</v>
      </c>
      <c r="O2330" s="9" t="n">
        <f aca="false">IF(Tabla2[[#This Row],[Costos (En RD$/Tarea)]]=0,0,Tabla2[[#This Row],[Beneficio Neto  (En RD$/Tarea)]]/Tabla2[[#This Row],[Costos (En RD$/Tarea)]])</f>
        <v>-0.323008358898028</v>
      </c>
      <c r="P2330" s="7" t="n">
        <f aca="false">Tabla2[[#This Row],[Rentabilidad (%)]]/12</f>
        <v>-0.0269173632415023</v>
      </c>
    </row>
    <row r="2331" customFormat="false" ht="14.25" hidden="false" customHeight="false" outlineLevel="0" collapsed="false">
      <c r="A2331" s="1" t="n">
        <v>42430</v>
      </c>
      <c r="B2331" s="2" t="s">
        <v>20</v>
      </c>
      <c r="C2331" s="3" t="n">
        <v>24512</v>
      </c>
      <c r="D2331" s="8" t="s">
        <v>17</v>
      </c>
      <c r="E2331" s="3" t="n">
        <f aca="false">IF(Tabla2[[#This Row],[Frecuencia]]="Annual", Tabla2[[#This Row],[Cosecha/Tarea]]/12,Tabla2[[#This Row],[Cosecha/Tarea]])</f>
        <v>24512</v>
      </c>
      <c r="F2331" s="3" t="n">
        <v>60144</v>
      </c>
      <c r="G2331" s="2" t="s">
        <v>18</v>
      </c>
      <c r="H2331" s="2" t="n">
        <f aca="false">F2331/Tabla2[[#This Row],[Cosecha Mensual]]</f>
        <v>2.45365535248042</v>
      </c>
      <c r="I2331" s="2" t="n">
        <f aca="false">H2331*_xlfn.XLOOKUP(Tabla2[[#This Row],[Unidad de producción]],Tabla3[Medida],Tabla3[Equivalencia en Kg],"ELVIS",0)</f>
        <v>111.297806788512</v>
      </c>
      <c r="J2331" s="2" t="n">
        <v>823.9765625</v>
      </c>
      <c r="K2331" s="2" t="s">
        <v>18</v>
      </c>
      <c r="L2331" s="2" t="n">
        <f aca="false">J2331/_xlfn.XLOOKUP(Tabla2[[#This Row],[Unidad de precio]],Tabla3[Medida],Tabla3[Equivalencia en Kg],"ELVIS",0)</f>
        <v>18.1652681327161</v>
      </c>
      <c r="M2331" s="2" t="n">
        <v>2463.292898352</v>
      </c>
      <c r="N2331" s="3" t="n">
        <f aca="false">(Tabla2[[#This Row],[Productividad (kg/TAS)]]*Tabla2[[#This Row],[Precio por kg]]-Tabla2[[#This Row],[Costos (En RD$/Tarea)]])</f>
        <v>-441.53839545546</v>
      </c>
      <c r="O2331" s="9" t="n">
        <f aca="false">IF(Tabla2[[#This Row],[Costos (En RD$/Tarea)]]=0,0,Tabla2[[#This Row],[Beneficio Neto  (En RD$/Tarea)]]/Tabla2[[#This Row],[Costos (En RD$/Tarea)]])</f>
        <v>-0.179247216500668</v>
      </c>
      <c r="P2331" s="7" t="n">
        <f aca="false">Tabla2[[#This Row],[Rentabilidad (%)]]/12</f>
        <v>-0.0149372680417224</v>
      </c>
    </row>
    <row r="2332" customFormat="false" ht="14.25" hidden="false" customHeight="false" outlineLevel="0" collapsed="false">
      <c r="A2332" s="1" t="n">
        <v>42430</v>
      </c>
      <c r="B2332" s="2" t="s">
        <v>21</v>
      </c>
      <c r="C2332" s="3" t="n">
        <v>9488</v>
      </c>
      <c r="D2332" s="8" t="s">
        <v>17</v>
      </c>
      <c r="E2332" s="3" t="n">
        <f aca="false">IF(Tabla2[[#This Row],[Frecuencia]]="Annual", Tabla2[[#This Row],[Cosecha/Tarea]]/12,Tabla2[[#This Row],[Cosecha/Tarea]])</f>
        <v>9488</v>
      </c>
      <c r="F2332" s="3" t="n">
        <v>113115</v>
      </c>
      <c r="G2332" s="2" t="s">
        <v>18</v>
      </c>
      <c r="H2332" s="2" t="n">
        <f aca="false">F2332/Tabla2[[#This Row],[Cosecha Mensual]]</f>
        <v>11.9219013490725</v>
      </c>
      <c r="I2332" s="2" t="n">
        <f aca="false">H2332*_xlfn.XLOOKUP(Tabla2[[#This Row],[Unidad de producción]],Tabla3[Medida],Tabla3[Equivalencia en Kg],"ELVIS",0)</f>
        <v>540.777445193929</v>
      </c>
      <c r="J2332" s="2" t="n">
        <v>337.842822916667</v>
      </c>
      <c r="K2332" s="2" t="s">
        <v>18</v>
      </c>
      <c r="L2332" s="2" t="n">
        <f aca="false">J2332/_xlfn.XLOOKUP(Tabla2[[#This Row],[Unidad de precio]],Tabla3[Medida],Tabla3[Equivalencia en Kg],"ELVIS",0)</f>
        <v>7.4480340149177</v>
      </c>
      <c r="M2332" s="2" t="n">
        <v>4713.68743816075</v>
      </c>
      <c r="N2332" s="3" t="n">
        <f aca="false">(Tabla2[[#This Row],[Productividad (kg/TAS)]]*Tabla2[[#This Row],[Precio por kg]]-Tabla2[[#This Row],[Costos (En RD$/Tarea)]])</f>
        <v>-685.958631856072</v>
      </c>
      <c r="O2332" s="9" t="n">
        <f aca="false">IF(Tabla2[[#This Row],[Costos (En RD$/Tarea)]]=0,0,Tabla2[[#This Row],[Beneficio Neto  (En RD$/Tarea)]]/Tabla2[[#This Row],[Costos (En RD$/Tarea)]])</f>
        <v>-0.145524844584037</v>
      </c>
      <c r="P2332" s="7" t="n">
        <f aca="false">Tabla2[[#This Row],[Rentabilidad (%)]]/12</f>
        <v>-0.0121270703820031</v>
      </c>
    </row>
    <row r="2333" customFormat="false" ht="14.25" hidden="false" customHeight="false" outlineLevel="0" collapsed="false">
      <c r="A2333" s="1" t="n">
        <v>42430</v>
      </c>
      <c r="B2333" s="2" t="s">
        <v>22</v>
      </c>
      <c r="C2333" s="3" t="n">
        <v>6884</v>
      </c>
      <c r="D2333" s="8" t="s">
        <v>17</v>
      </c>
      <c r="E2333" s="3" t="n">
        <f aca="false">IF(Tabla2[[#This Row],[Frecuencia]]="Annual", Tabla2[[#This Row],[Cosecha/Tarea]]/12,Tabla2[[#This Row],[Cosecha/Tarea]])</f>
        <v>6884</v>
      </c>
      <c r="F2333" s="3" t="n">
        <v>75243</v>
      </c>
      <c r="G2333" s="2" t="s">
        <v>18</v>
      </c>
      <c r="H2333" s="2" t="n">
        <f aca="false">F2333/Tabla2[[#This Row],[Cosecha Mensual]]</f>
        <v>10.9301278326554</v>
      </c>
      <c r="I2333" s="2" t="n">
        <f aca="false">H2333*_xlfn.XLOOKUP(Tabla2[[#This Row],[Unidad de producción]],Tabla3[Medida],Tabla3[Equivalencia en Kg],"ELVIS",0)</f>
        <v>495.79059848925</v>
      </c>
      <c r="J2333" s="2" t="n">
        <v>1363.953125</v>
      </c>
      <c r="K2333" s="2" t="s">
        <v>18</v>
      </c>
      <c r="L2333" s="2" t="n">
        <f aca="false">J2333/_xlfn.XLOOKUP(Tabla2[[#This Row],[Unidad de precio]],Tabla3[Medida],Tabla3[Equivalencia en Kg],"ELVIS",0)</f>
        <v>30.0695133377425</v>
      </c>
      <c r="M2333" s="2" t="n">
        <v>8550.15765636903</v>
      </c>
      <c r="N2333" s="3" t="n">
        <f aca="false">(Tabla2[[#This Row],[Productividad (kg/TAS)]]*Tabla2[[#This Row],[Precio por kg]]-Tabla2[[#This Row],[Costos (En RD$/Tarea)]])</f>
        <v>6358.02435763082</v>
      </c>
      <c r="O2333" s="9" t="n">
        <f aca="false">IF(Tabla2[[#This Row],[Costos (En RD$/Tarea)]]=0,0,Tabla2[[#This Row],[Beneficio Neto  (En RD$/Tarea)]]/Tabla2[[#This Row],[Costos (En RD$/Tarea)]])</f>
        <v>0.743614868071435</v>
      </c>
      <c r="P2333" s="7" t="n">
        <f aca="false">Tabla2[[#This Row],[Rentabilidad (%)]]/12</f>
        <v>0.0619679056726196</v>
      </c>
    </row>
    <row r="2334" customFormat="false" ht="14.25" hidden="false" customHeight="false" outlineLevel="0" collapsed="false">
      <c r="A2334" s="1" t="n">
        <v>42430</v>
      </c>
      <c r="B2334" s="2" t="s">
        <v>23</v>
      </c>
      <c r="C2334" s="3" t="n">
        <v>4381</v>
      </c>
      <c r="D2334" s="8" t="s">
        <v>17</v>
      </c>
      <c r="E2334" s="3" t="n">
        <f aca="false">IF(Tabla2[[#This Row],[Frecuencia]]="Annual", Tabla2[[#This Row],[Cosecha/Tarea]]/12,Tabla2[[#This Row],[Cosecha/Tarea]])</f>
        <v>4381</v>
      </c>
      <c r="F2334" s="3" t="n">
        <v>164815</v>
      </c>
      <c r="G2334" s="2" t="s">
        <v>18</v>
      </c>
      <c r="H2334" s="2" t="n">
        <f aca="false">F2334/Tabla2[[#This Row],[Cosecha Mensual]]</f>
        <v>37.6204062999315</v>
      </c>
      <c r="I2334" s="2" t="n">
        <f aca="false">H2334*_xlfn.XLOOKUP(Tabla2[[#This Row],[Unidad de producción]],Tabla3[Medida],Tabla3[Equivalencia en Kg],"ELVIS",0)</f>
        <v>1706.46162976489</v>
      </c>
      <c r="J2334" s="2" t="n">
        <v>917.575</v>
      </c>
      <c r="K2334" s="2" t="s">
        <v>18</v>
      </c>
      <c r="L2334" s="2" t="n">
        <f aca="false">J2334/_xlfn.XLOOKUP(Tabla2[[#This Row],[Unidad de precio]],Tabla3[Medida],Tabla3[Equivalencia en Kg],"ELVIS",0)</f>
        <v>20.2287257495591</v>
      </c>
      <c r="M2334" s="2" t="n">
        <v>23192.17</v>
      </c>
      <c r="N2334" s="3" t="n">
        <f aca="false">(Tabla2[[#This Row],[Productividad (kg/TAS)]]*Tabla2[[#This Row],[Precio por kg]]-Tabla2[[#This Row],[Costos (En RD$/Tarea)]])</f>
        <v>11327.3743106597</v>
      </c>
      <c r="O2334" s="9" t="n">
        <f aca="false">IF(Tabla2[[#This Row],[Costos (En RD$/Tarea)]]=0,0,Tabla2[[#This Row],[Beneficio Neto  (En RD$/Tarea)]]/Tabla2[[#This Row],[Costos (En RD$/Tarea)]])</f>
        <v>0.488413732335511</v>
      </c>
      <c r="P2334" s="7" t="n">
        <f aca="false">Tabla2[[#This Row],[Rentabilidad (%)]]/12</f>
        <v>0.0407011443612926</v>
      </c>
    </row>
    <row r="2335" customFormat="false" ht="14.25" hidden="false" customHeight="false" outlineLevel="0" collapsed="false">
      <c r="A2335" s="1" t="n">
        <v>42430</v>
      </c>
      <c r="B2335" s="2" t="s">
        <v>24</v>
      </c>
      <c r="C2335" s="3" t="n">
        <v>5985</v>
      </c>
      <c r="D2335" s="8" t="s">
        <v>17</v>
      </c>
      <c r="E2335" s="3" t="n">
        <f aca="false">IF(Tabla2[[#This Row],[Frecuencia]]="Annual", Tabla2[[#This Row],[Cosecha/Tarea]]/12,Tabla2[[#This Row],[Cosecha/Tarea]])</f>
        <v>5985</v>
      </c>
      <c r="F2335" s="3" t="n">
        <v>52144</v>
      </c>
      <c r="G2335" s="2" t="s">
        <v>18</v>
      </c>
      <c r="H2335" s="2" t="n">
        <f aca="false">F2335/Tabla2[[#This Row],[Cosecha Mensual]]</f>
        <v>8.712447786132</v>
      </c>
      <c r="I2335" s="2" t="n">
        <f aca="false">H2335*_xlfn.XLOOKUP(Tabla2[[#This Row],[Unidad de producción]],Tabla3[Medida],Tabla3[Equivalencia en Kg],"ELVIS",0)</f>
        <v>395.196631578947</v>
      </c>
      <c r="J2335" s="2" t="n">
        <v>2429.69270833333</v>
      </c>
      <c r="K2335" s="2" t="s">
        <v>18</v>
      </c>
      <c r="L2335" s="2" t="n">
        <f aca="false">J2335/_xlfn.XLOOKUP(Tabla2[[#This Row],[Unidad de precio]],Tabla3[Medida],Tabla3[Equivalencia en Kg],"ELVIS",0)</f>
        <v>53.5646540637859</v>
      </c>
      <c r="M2335" s="2" t="n">
        <v>8705.156224128</v>
      </c>
      <c r="N2335" s="3" t="n">
        <f aca="false">(Tabla2[[#This Row],[Productividad (kg/TAS)]]*Tabla2[[#This Row],[Precio por kg]]-Tabla2[[#This Row],[Costos (En RD$/Tarea)]])</f>
        <v>12463.4146335718</v>
      </c>
      <c r="O2335" s="9" t="n">
        <f aca="false">IF(Tabla2[[#This Row],[Costos (En RD$/Tarea)]]=0,0,Tabla2[[#This Row],[Beneficio Neto  (En RD$/Tarea)]]/Tabla2[[#This Row],[Costos (En RD$/Tarea)]])</f>
        <v>1.43172785331836</v>
      </c>
      <c r="P2335" s="7" t="n">
        <f aca="false">Tabla2[[#This Row],[Rentabilidad (%)]]/12</f>
        <v>0.119310654443197</v>
      </c>
    </row>
    <row r="2336" customFormat="false" ht="14.25" hidden="false" customHeight="false" outlineLevel="0" collapsed="false">
      <c r="A2336" s="1" t="n">
        <v>42430</v>
      </c>
      <c r="B2336" s="2" t="s">
        <v>25</v>
      </c>
      <c r="C2336" s="3" t="n">
        <v>27214</v>
      </c>
      <c r="D2336" s="8" t="s">
        <v>17</v>
      </c>
      <c r="E2336" s="3" t="n">
        <f aca="false">IF(Tabla2[[#This Row],[Frecuencia]]="Annual", Tabla2[[#This Row],[Cosecha/Tarea]]/12,Tabla2[[#This Row],[Cosecha/Tarea]])</f>
        <v>27214</v>
      </c>
      <c r="F2336" s="3" t="n">
        <v>259847</v>
      </c>
      <c r="G2336" s="2" t="s">
        <v>18</v>
      </c>
      <c r="H2336" s="2" t="n">
        <f aca="false">F2336/Tabla2[[#This Row],[Cosecha Mensual]]</f>
        <v>9.54828397148527</v>
      </c>
      <c r="I2336" s="2" t="n">
        <f aca="false">H2336*_xlfn.XLOOKUP(Tabla2[[#This Row],[Unidad de producción]],Tabla3[Medida],Tabla3[Equivalencia en Kg],"ELVIS",0)</f>
        <v>433.110160946572</v>
      </c>
      <c r="J2336" s="2" t="n">
        <v>1043.61458333333</v>
      </c>
      <c r="K2336" s="2" t="s">
        <v>18</v>
      </c>
      <c r="L2336" s="2" t="n">
        <f aca="false">J2336/_xlfn.XLOOKUP(Tabla2[[#This Row],[Unidad de precio]],Tabla3[Medida],Tabla3[Equivalencia en Kg],"ELVIS",0)</f>
        <v>23.0073761757789</v>
      </c>
      <c r="M2336" s="2" t="n">
        <v>4784.76271988092</v>
      </c>
      <c r="N2336" s="3" t="n">
        <f aca="false">(Tabla2[[#This Row],[Productividad (kg/TAS)]]*Tabla2[[#This Row],[Precio por kg]]-Tabla2[[#This Row],[Costos (En RD$/Tarea)]])</f>
        <v>5179.96567856899</v>
      </c>
      <c r="O2336" s="9" t="n">
        <f aca="false">IF(Tabla2[[#This Row],[Costos (En RD$/Tarea)]]=0,0,Tabla2[[#This Row],[Beneficio Neto  (En RD$/Tarea)]]/Tabla2[[#This Row],[Costos (En RD$/Tarea)]])</f>
        <v>1.0825961456868</v>
      </c>
      <c r="P2336" s="7" t="n">
        <f aca="false">Tabla2[[#This Row],[Rentabilidad (%)]]/12</f>
        <v>0.0902163454739003</v>
      </c>
    </row>
    <row r="2337" customFormat="false" ht="14.25" hidden="false" customHeight="false" outlineLevel="0" collapsed="false">
      <c r="A2337" s="1" t="n">
        <v>42430</v>
      </c>
      <c r="B2337" s="2" t="s">
        <v>26</v>
      </c>
      <c r="C2337" s="3" t="n">
        <v>14595</v>
      </c>
      <c r="D2337" s="8" t="s">
        <v>17</v>
      </c>
      <c r="E2337" s="3" t="n">
        <f aca="false">IF(Tabla2[[#This Row],[Frecuencia]]="Annual", Tabla2[[#This Row],[Cosecha/Tarea]]/12,Tabla2[[#This Row],[Cosecha/Tarea]])</f>
        <v>14595</v>
      </c>
      <c r="F2337" s="3" t="n">
        <v>81271</v>
      </c>
      <c r="G2337" s="2" t="s">
        <v>18</v>
      </c>
      <c r="H2337" s="2" t="n">
        <f aca="false">F2337/Tabla2[[#This Row],[Cosecha Mensual]]</f>
        <v>5.56841384035629</v>
      </c>
      <c r="I2337" s="2" t="n">
        <f aca="false">H2337*_xlfn.XLOOKUP(Tabla2[[#This Row],[Unidad de producción]],Tabla3[Medida],Tabla3[Equivalencia en Kg],"ELVIS",0)</f>
        <v>252.583251798561</v>
      </c>
      <c r="J2337" s="2" t="n">
        <v>698.657916666667</v>
      </c>
      <c r="K2337" s="2" t="s">
        <v>18</v>
      </c>
      <c r="L2337" s="2" t="n">
        <f aca="false">J2337/_xlfn.XLOOKUP(Tabla2[[#This Row],[Unidad de precio]],Tabla3[Medida],Tabla3[Equivalencia en Kg],"ELVIS",0)</f>
        <v>15.4025113903586</v>
      </c>
      <c r="M2337" s="2" t="n">
        <v>1888.43011620852</v>
      </c>
      <c r="N2337" s="3" t="n">
        <f aca="false">(Tabla2[[#This Row],[Productividad (kg/TAS)]]*Tabla2[[#This Row],[Precio por kg]]-Tabla2[[#This Row],[Costos (En RD$/Tarea)]])</f>
        <v>2001.98629663264</v>
      </c>
      <c r="O2337" s="9" t="n">
        <f aca="false">IF(Tabla2[[#This Row],[Costos (En RD$/Tarea)]]=0,0,Tabla2[[#This Row],[Beneficio Neto  (En RD$/Tarea)]]/Tabla2[[#This Row],[Costos (En RD$/Tarea)]])</f>
        <v>1.06013258285253</v>
      </c>
      <c r="P2337" s="7" t="n">
        <f aca="false">Tabla2[[#This Row],[Rentabilidad (%)]]/12</f>
        <v>0.0883443819043773</v>
      </c>
    </row>
    <row r="2338" customFormat="false" ht="14.25" hidden="false" customHeight="false" outlineLevel="0" collapsed="false">
      <c r="A2338" s="1" t="n">
        <v>42430</v>
      </c>
      <c r="B2338" s="2" t="s">
        <v>27</v>
      </c>
      <c r="C2338" s="3" t="n">
        <v>6014</v>
      </c>
      <c r="D2338" s="8" t="s">
        <v>17</v>
      </c>
      <c r="E2338" s="3" t="n">
        <f aca="false">IF(Tabla2[[#This Row],[Frecuencia]]="Annual", Tabla2[[#This Row],[Cosecha/Tarea]]/12,Tabla2[[#This Row],[Cosecha/Tarea]])</f>
        <v>6014</v>
      </c>
      <c r="F2338" s="3" t="n">
        <v>58010</v>
      </c>
      <c r="G2338" s="2" t="s">
        <v>18</v>
      </c>
      <c r="H2338" s="2" t="n">
        <f aca="false">F2338/Tabla2[[#This Row],[Cosecha Mensual]]</f>
        <v>9.64582640505487</v>
      </c>
      <c r="I2338" s="2" t="n">
        <f aca="false">H2338*_xlfn.XLOOKUP(Tabla2[[#This Row],[Unidad de producción]],Tabla3[Medida],Tabla3[Equivalencia en Kg],"ELVIS",0)</f>
        <v>437.534685733289</v>
      </c>
      <c r="J2338" s="2" t="n">
        <v>547.6384</v>
      </c>
      <c r="K2338" s="2" t="s">
        <v>18</v>
      </c>
      <c r="L2338" s="2" t="n">
        <f aca="false">J2338/_xlfn.XLOOKUP(Tabla2[[#This Row],[Unidad de precio]],Tabla3[Medida],Tabla3[Equivalencia en Kg],"ELVIS",0)</f>
        <v>12.0731569664903</v>
      </c>
      <c r="M2338" s="2" t="n">
        <v>8287.288275158</v>
      </c>
      <c r="N2338" s="3" t="n">
        <f aca="false">(Tabla2[[#This Row],[Productividad (kg/TAS)]]*Tabla2[[#This Row],[Precio por kg]]-Tabla2[[#This Row],[Costos (En RD$/Tarea)]])</f>
        <v>-3004.863336016</v>
      </c>
      <c r="O2338" s="9" t="n">
        <f aca="false">IF(Tabla2[[#This Row],[Costos (En RD$/Tarea)]]=0,0,Tabla2[[#This Row],[Beneficio Neto  (En RD$/Tarea)]]/Tabla2[[#This Row],[Costos (En RD$/Tarea)]])</f>
        <v>-0.362587041291104</v>
      </c>
      <c r="P2338" s="7" t="n">
        <f aca="false">Tabla2[[#This Row],[Rentabilidad (%)]]/12</f>
        <v>-0.0302155867742587</v>
      </c>
    </row>
    <row r="2339" customFormat="false" ht="14.25" hidden="false" customHeight="false" outlineLevel="0" collapsed="false">
      <c r="A2339" s="1" t="n">
        <v>42430</v>
      </c>
      <c r="B2339" s="2" t="s">
        <v>28</v>
      </c>
      <c r="C2339" s="3" t="n">
        <v>68547</v>
      </c>
      <c r="D2339" s="8" t="s">
        <v>17</v>
      </c>
      <c r="E2339" s="3" t="n">
        <f aca="false">IF(Tabla2[[#This Row],[Frecuencia]]="Annual", Tabla2[[#This Row],[Cosecha/Tarea]]/12,Tabla2[[#This Row],[Cosecha/Tarea]])</f>
        <v>68547</v>
      </c>
      <c r="F2339" s="3" t="n">
        <v>947448</v>
      </c>
      <c r="G2339" s="2" t="s">
        <v>18</v>
      </c>
      <c r="H2339" s="2" t="n">
        <f aca="false">F2339/Tabla2[[#This Row],[Cosecha Mensual]]</f>
        <v>13.8218740426277</v>
      </c>
      <c r="I2339" s="2" t="n">
        <f aca="false">H2339*_xlfn.XLOOKUP(Tabla2[[#This Row],[Unidad de producción]],Tabla3[Medida],Tabla3[Equivalencia en Kg],"ELVIS",0)</f>
        <v>626.960206573592</v>
      </c>
      <c r="J2339" s="2" t="n">
        <v>9802.19444444445</v>
      </c>
      <c r="K2339" s="2" t="s">
        <v>29</v>
      </c>
      <c r="L2339" s="2" t="n">
        <f aca="false">J2339/_xlfn.XLOOKUP(Tabla2[[#This Row],[Unidad de precio]],Tabla3[Medida],Tabla3[Equivalencia en Kg],"ELVIS",0)</f>
        <v>17.4310816311208</v>
      </c>
      <c r="M2339" s="2" t="n">
        <v>7046.24991079678</v>
      </c>
      <c r="N2339" s="3" t="n">
        <f aca="false">(Tabla2[[#This Row],[Productividad (kg/TAS)]]*Tabla2[[#This Row],[Precio por kg]]-Tabla2[[#This Row],[Costos (En RD$/Tarea)]])</f>
        <v>3882.34462945184</v>
      </c>
      <c r="O2339" s="9" t="n">
        <f aca="false">IF(Tabla2[[#This Row],[Costos (En RD$/Tarea)]]=0,0,Tabla2[[#This Row],[Beneficio Neto  (En RD$/Tarea)]]/Tabla2[[#This Row],[Costos (En RD$/Tarea)]])</f>
        <v>0.550980263062061</v>
      </c>
      <c r="P2339" s="7" t="n">
        <f aca="false">Tabla2[[#This Row],[Rentabilidad (%)]]/12</f>
        <v>0.0459150219218384</v>
      </c>
    </row>
    <row r="2340" customFormat="false" ht="14.25" hidden="false" customHeight="false" outlineLevel="0" collapsed="false">
      <c r="A2340" s="1" t="n">
        <v>42430</v>
      </c>
      <c r="B2340" s="2" t="s">
        <v>30</v>
      </c>
      <c r="C2340" s="3" t="n">
        <v>468959</v>
      </c>
      <c r="D2340" s="3" t="s">
        <v>31</v>
      </c>
      <c r="E2340" s="3" t="n">
        <f aca="false">IF(Tabla2[[#This Row],[Frecuencia]]="Annual", Tabla2[[#This Row],[Cosecha/Tarea]]/12,Tabla2[[#This Row],[Cosecha/Tarea]])</f>
        <v>39079.9166666667</v>
      </c>
      <c r="F2340" s="3" t="n">
        <v>2187128.4</v>
      </c>
      <c r="G2340" s="2" t="s">
        <v>18</v>
      </c>
      <c r="H2340" s="2" t="n">
        <f aca="false">F2340/Tabla2[[#This Row],[Cosecha Mensual]]</f>
        <v>55.9655338739634</v>
      </c>
      <c r="I2340" s="2" t="n">
        <f aca="false">H2340*_xlfn.XLOOKUP(Tabla2[[#This Row],[Unidad de producción]],Tabla3[Medida],Tabla3[Equivalencia en Kg],"ELVIS",0)</f>
        <v>2538.59661652298</v>
      </c>
      <c r="J2340" s="2" t="n">
        <v>226.036458333333</v>
      </c>
      <c r="K2340" s="2" t="s">
        <v>32</v>
      </c>
      <c r="L2340" s="2" t="n">
        <f aca="false">J2340/_xlfn.XLOOKUP(Tabla2[[#This Row],[Unidad de precio]],Tabla3[Medida],Tabla3[Equivalencia en Kg],"ELVIS",0)</f>
        <v>8.30710982481929</v>
      </c>
      <c r="M2340" s="3" t="n">
        <v>31633.940308743</v>
      </c>
      <c r="N2340" s="3" t="n">
        <f aca="false">(Tabla2[[#This Row],[Productividad (kg/TAS)]]*Tabla2[[#This Row],[Precio por kg]]-Tabla2[[#This Row],[Costos (En RD$/Tarea)]])</f>
        <v>-10545.5394143719</v>
      </c>
      <c r="O2340" s="9" t="n">
        <f aca="false">IF(Tabla2[[#This Row],[Costos (En RD$/Tarea)]]=0,0,Tabla2[[#This Row],[Beneficio Neto  (En RD$/Tarea)]]/Tabla2[[#This Row],[Costos (En RD$/Tarea)]])</f>
        <v>-0.333361551278434</v>
      </c>
      <c r="P2340" s="7" t="n">
        <f aca="false">Tabla2[[#This Row],[Rentabilidad (%)]]/12</f>
        <v>-0.0277801292732028</v>
      </c>
    </row>
    <row r="2341" customFormat="false" ht="14.25" hidden="false" customHeight="false" outlineLevel="0" collapsed="false">
      <c r="A2341" s="1" t="n">
        <v>42430</v>
      </c>
      <c r="B2341" s="2" t="s">
        <v>33</v>
      </c>
      <c r="C2341" s="3" t="n">
        <v>725625</v>
      </c>
      <c r="D2341" s="3" t="s">
        <v>31</v>
      </c>
      <c r="E2341" s="3" t="n">
        <f aca="false">IF(Tabla2[[#This Row],[Frecuencia]]="Annual", Tabla2[[#This Row],[Cosecha/Tarea]]/12,Tabla2[[#This Row],[Cosecha/Tarea]])</f>
        <v>60468.75</v>
      </c>
      <c r="F2341" s="3" t="n">
        <v>1528893</v>
      </c>
      <c r="G2341" s="2" t="s">
        <v>18</v>
      </c>
      <c r="H2341" s="2" t="n">
        <f aca="false">F2341/Tabla2[[#This Row],[Cosecha Mensual]]</f>
        <v>25.2840186046512</v>
      </c>
      <c r="I2341" s="2" t="n">
        <f aca="false">H2341*_xlfn.XLOOKUP(Tabla2[[#This Row],[Unidad de producción]],Tabla3[Medida],Tabla3[Equivalencia en Kg],"ELVIS",0)</f>
        <v>1146.88308390698</v>
      </c>
      <c r="J2341" s="2" t="n">
        <v>6985.05708333333</v>
      </c>
      <c r="K2341" s="2" t="s">
        <v>34</v>
      </c>
      <c r="L2341" s="2" t="n">
        <f aca="false">J2341/_xlfn.XLOOKUP(Tabla2[[#This Row],[Unidad de precio]],Tabla3[Medida],Tabla3[Equivalencia en Kg],"ELVIS",0)</f>
        <v>17.1139460574135</v>
      </c>
      <c r="M2341" s="3" t="n">
        <v>19988.8214440479</v>
      </c>
      <c r="N2341" s="3" t="n">
        <f aca="false">(Tabla2[[#This Row],[Productividad (kg/TAS)]]*Tabla2[[#This Row],[Precio por kg]]-Tabla2[[#This Row],[Costos (En RD$/Tarea)]])</f>
        <v>-361.126211903829</v>
      </c>
      <c r="O2341" s="9" t="n">
        <f aca="false">IF(Tabla2[[#This Row],[Costos (En RD$/Tarea)]]=0,0,Tabla2[[#This Row],[Beneficio Neto  (En RD$/Tarea)]]/Tabla2[[#This Row],[Costos (En RD$/Tarea)]])</f>
        <v>-0.0180664084130564</v>
      </c>
      <c r="P2341" s="7" t="n">
        <f aca="false">Tabla2[[#This Row],[Rentabilidad (%)]]/12</f>
        <v>-0.00150553403442137</v>
      </c>
    </row>
    <row r="2342" customFormat="false" ht="14.25" hidden="false" customHeight="false" outlineLevel="0" collapsed="false">
      <c r="A2342" s="1" t="n">
        <v>42461</v>
      </c>
      <c r="B2342" s="2" t="s">
        <v>16</v>
      </c>
      <c r="C2342" s="3" t="n">
        <v>477863</v>
      </c>
      <c r="D2342" s="8" t="s">
        <v>17</v>
      </c>
      <c r="E2342" s="3" t="n">
        <f aca="false">IF(Tabla2[[#This Row],[Frecuencia]]="Annual", Tabla2[[#This Row],[Cosecha/Tarea]]/12,Tabla2[[#This Row],[Cosecha/Tarea]])</f>
        <v>477863</v>
      </c>
      <c r="F2342" s="3" t="n">
        <v>2548568</v>
      </c>
      <c r="G2342" s="2" t="s">
        <v>18</v>
      </c>
      <c r="H2342" s="2" t="n">
        <f aca="false">F2342/Tabla2[[#This Row],[Cosecha Mensual]]</f>
        <v>5.33326078813384</v>
      </c>
      <c r="I2342" s="2" t="n">
        <f aca="false">H2342*_xlfn.XLOOKUP(Tabla2[[#This Row],[Unidad de producción]],Tabla3[Medida],Tabla3[Equivalencia en Kg],"ELVIS",0)</f>
        <v>241.916709349751</v>
      </c>
      <c r="J2342" s="2" t="n">
        <v>1896.86090484048</v>
      </c>
      <c r="K2342" s="2" t="s">
        <v>19</v>
      </c>
      <c r="L2342" s="2" t="n">
        <f aca="false">J2342/_xlfn.XLOOKUP(Tabla2[[#This Row],[Unidad de precio]],Tabla3[Medida],Tabla3[Equivalencia en Kg],"ELVIS",0)</f>
        <v>17.2441900440044</v>
      </c>
      <c r="M2342" s="2" t="n">
        <v>5924.25478252843</v>
      </c>
      <c r="N2342" s="3" t="n">
        <f aca="false">(Tabla2[[#This Row],[Productividad (kg/TAS)]]*Tabla2[[#This Row],[Precio por kg]]-Tabla2[[#This Row],[Costos (En RD$/Tarea)]])</f>
        <v>-1752.59707168116</v>
      </c>
      <c r="O2342" s="9" t="n">
        <f aca="false">IF(Tabla2[[#This Row],[Costos (En RD$/Tarea)]]=0,0,Tabla2[[#This Row],[Beneficio Neto  (En RD$/Tarea)]]/Tabla2[[#This Row],[Costos (En RD$/Tarea)]])</f>
        <v>-0.295834182697518</v>
      </c>
      <c r="P2342" s="7" t="n">
        <f aca="false">Tabla2[[#This Row],[Rentabilidad (%)]]/12</f>
        <v>-0.0246528485581265</v>
      </c>
    </row>
    <row r="2343" customFormat="false" ht="14.25" hidden="false" customHeight="false" outlineLevel="0" collapsed="false">
      <c r="A2343" s="1" t="n">
        <v>42461</v>
      </c>
      <c r="B2343" s="2" t="s">
        <v>20</v>
      </c>
      <c r="C2343" s="3" t="n">
        <v>26987</v>
      </c>
      <c r="D2343" s="8" t="s">
        <v>17</v>
      </c>
      <c r="E2343" s="3" t="n">
        <f aca="false">IF(Tabla2[[#This Row],[Frecuencia]]="Annual", Tabla2[[#This Row],[Cosecha/Tarea]]/12,Tabla2[[#This Row],[Cosecha/Tarea]])</f>
        <v>26987</v>
      </c>
      <c r="F2343" s="3" t="n">
        <v>65878</v>
      </c>
      <c r="G2343" s="2" t="s">
        <v>18</v>
      </c>
      <c r="H2343" s="2" t="n">
        <f aca="false">F2343/Tabla2[[#This Row],[Cosecha Mensual]]</f>
        <v>2.44110127098232</v>
      </c>
      <c r="I2343" s="2" t="n">
        <f aca="false">H2343*_xlfn.XLOOKUP(Tabla2[[#This Row],[Unidad de producción]],Tabla3[Medida],Tabla3[Equivalencia en Kg],"ELVIS",0)</f>
        <v>110.728353651758</v>
      </c>
      <c r="J2343" s="2" t="n">
        <v>844.6796875</v>
      </c>
      <c r="K2343" s="2" t="s">
        <v>18</v>
      </c>
      <c r="L2343" s="2" t="n">
        <f aca="false">J2343/_xlfn.XLOOKUP(Tabla2[[#This Row],[Unidad de precio]],Tabla3[Medida],Tabla3[Equivalencia en Kg],"ELVIS",0)</f>
        <v>18.6216862323633</v>
      </c>
      <c r="M2343" s="2" t="n">
        <v>2463.292898352</v>
      </c>
      <c r="N2343" s="3" t="n">
        <f aca="false">(Tabla2[[#This Row],[Productividad (kg/TAS)]]*Tabla2[[#This Row],[Precio por kg]]-Tabla2[[#This Row],[Costos (En RD$/Tarea)]])</f>
        <v>-401.344239622797</v>
      </c>
      <c r="O2343" s="9" t="n">
        <f aca="false">IF(Tabla2[[#This Row],[Costos (En RD$/Tarea)]]=0,0,Tabla2[[#This Row],[Beneficio Neto  (En RD$/Tarea)]]/Tabla2[[#This Row],[Costos (En RD$/Tarea)]])</f>
        <v>-0.162929970646733</v>
      </c>
      <c r="P2343" s="7" t="n">
        <f aca="false">Tabla2[[#This Row],[Rentabilidad (%)]]/12</f>
        <v>-0.0135774975538944</v>
      </c>
    </row>
    <row r="2344" customFormat="false" ht="14.25" hidden="false" customHeight="false" outlineLevel="0" collapsed="false">
      <c r="A2344" s="1" t="n">
        <v>42461</v>
      </c>
      <c r="B2344" s="2" t="s">
        <v>21</v>
      </c>
      <c r="C2344" s="3" t="n">
        <v>10864</v>
      </c>
      <c r="D2344" s="8" t="s">
        <v>17</v>
      </c>
      <c r="E2344" s="3" t="n">
        <f aca="false">IF(Tabla2[[#This Row],[Frecuencia]]="Annual", Tabla2[[#This Row],[Cosecha/Tarea]]/12,Tabla2[[#This Row],[Cosecha/Tarea]])</f>
        <v>10864</v>
      </c>
      <c r="F2344" s="3" t="n">
        <v>126578</v>
      </c>
      <c r="G2344" s="2" t="s">
        <v>18</v>
      </c>
      <c r="H2344" s="2" t="n">
        <f aca="false">F2344/Tabla2[[#This Row],[Cosecha Mensual]]</f>
        <v>11.6511413843888</v>
      </c>
      <c r="I2344" s="2" t="n">
        <f aca="false">H2344*_xlfn.XLOOKUP(Tabla2[[#This Row],[Unidad de producción]],Tabla3[Medida],Tabla3[Equivalencia en Kg],"ELVIS",0)</f>
        <v>528.495773195876</v>
      </c>
      <c r="J2344" s="2" t="n">
        <v>370.970833333333</v>
      </c>
      <c r="K2344" s="2" t="s">
        <v>18</v>
      </c>
      <c r="L2344" s="2" t="n">
        <f aca="false">J2344/_xlfn.XLOOKUP(Tabla2[[#This Row],[Unidad de precio]],Tabla3[Medida],Tabla3[Equivalencia en Kg],"ELVIS",0)</f>
        <v>8.17836934156378</v>
      </c>
      <c r="M2344" s="2" t="n">
        <v>4713.68743816075</v>
      </c>
      <c r="N2344" s="3" t="n">
        <f aca="false">(Tabla2[[#This Row],[Productividad (kg/TAS)]]*Tabla2[[#This Row],[Precio por kg]]-Tabla2[[#This Row],[Costos (En RD$/Tarea)]])</f>
        <v>-391.453809509551</v>
      </c>
      <c r="O2344" s="9" t="n">
        <f aca="false">IF(Tabla2[[#This Row],[Costos (En RD$/Tarea)]]=0,0,Tabla2[[#This Row],[Beneficio Neto  (En RD$/Tarea)]]/Tabla2[[#This Row],[Costos (En RD$/Tarea)]])</f>
        <v>-0.0830461957109091</v>
      </c>
      <c r="P2344" s="7" t="n">
        <f aca="false">Tabla2[[#This Row],[Rentabilidad (%)]]/12</f>
        <v>-0.00692051630924242</v>
      </c>
    </row>
    <row r="2345" customFormat="false" ht="14.25" hidden="false" customHeight="false" outlineLevel="0" collapsed="false">
      <c r="A2345" s="1" t="n">
        <v>42461</v>
      </c>
      <c r="B2345" s="2" t="s">
        <v>22</v>
      </c>
      <c r="C2345" s="3" t="n">
        <v>9214</v>
      </c>
      <c r="D2345" s="8" t="s">
        <v>17</v>
      </c>
      <c r="E2345" s="3" t="n">
        <f aca="false">IF(Tabla2[[#This Row],[Frecuencia]]="Annual", Tabla2[[#This Row],[Cosecha/Tarea]]/12,Tabla2[[#This Row],[Cosecha/Tarea]])</f>
        <v>9214</v>
      </c>
      <c r="F2345" s="3" t="n">
        <v>89201</v>
      </c>
      <c r="G2345" s="2" t="s">
        <v>18</v>
      </c>
      <c r="H2345" s="2" t="n">
        <f aca="false">F2345/Tabla2[[#This Row],[Cosecha Mensual]]</f>
        <v>9.68102886911222</v>
      </c>
      <c r="I2345" s="2" t="n">
        <f aca="false">H2345*_xlfn.XLOOKUP(Tabla2[[#This Row],[Unidad de producción]],Tabla3[Medida],Tabla3[Equivalencia en Kg],"ELVIS",0)</f>
        <v>439.13146950293</v>
      </c>
      <c r="J2345" s="2" t="n">
        <v>1411.84895833333</v>
      </c>
      <c r="K2345" s="2" t="s">
        <v>18</v>
      </c>
      <c r="L2345" s="2" t="n">
        <f aca="false">J2345/_xlfn.XLOOKUP(Tabla2[[#This Row],[Unidad de precio]],Tabla3[Medida],Tabla3[Equivalencia en Kg],"ELVIS",0)</f>
        <v>31.1254179526748</v>
      </c>
      <c r="M2345" s="2" t="n">
        <v>8550.15765636903</v>
      </c>
      <c r="N2345" s="3" t="n">
        <f aca="false">(Tabla2[[#This Row],[Productividad (kg/TAS)]]*Tabla2[[#This Row],[Precio por kg]]-Tabla2[[#This Row],[Costos (En RD$/Tarea)]])</f>
        <v>5117.99286808196</v>
      </c>
      <c r="O2345" s="9" t="n">
        <f aca="false">IF(Tabla2[[#This Row],[Costos (En RD$/Tarea)]]=0,0,Tabla2[[#This Row],[Beneficio Neto  (En RD$/Tarea)]]/Tabla2[[#This Row],[Costos (En RD$/Tarea)]])</f>
        <v>0.598584619579447</v>
      </c>
      <c r="P2345" s="7" t="n">
        <f aca="false">Tabla2[[#This Row],[Rentabilidad (%)]]/12</f>
        <v>0.0498820516316206</v>
      </c>
    </row>
    <row r="2346" customFormat="false" ht="14.25" hidden="false" customHeight="false" outlineLevel="0" collapsed="false">
      <c r="A2346" s="1" t="n">
        <v>42461</v>
      </c>
      <c r="B2346" s="2" t="s">
        <v>23</v>
      </c>
      <c r="C2346" s="3" t="n">
        <v>3201</v>
      </c>
      <c r="D2346" s="8" t="s">
        <v>17</v>
      </c>
      <c r="E2346" s="3" t="n">
        <f aca="false">IF(Tabla2[[#This Row],[Frecuencia]]="Annual", Tabla2[[#This Row],[Cosecha/Tarea]]/12,Tabla2[[#This Row],[Cosecha/Tarea]])</f>
        <v>3201</v>
      </c>
      <c r="F2346" s="3" t="n">
        <v>119452</v>
      </c>
      <c r="G2346" s="2" t="s">
        <v>18</v>
      </c>
      <c r="H2346" s="2" t="n">
        <f aca="false">F2346/Tabla2[[#This Row],[Cosecha Mensual]]</f>
        <v>37.3170884098719</v>
      </c>
      <c r="I2346" s="2" t="n">
        <f aca="false">H2346*_xlfn.XLOOKUP(Tabla2[[#This Row],[Unidad de producción]],Tabla3[Medida],Tabla3[Equivalencia en Kg],"ELVIS",0)</f>
        <v>1692.70313027179</v>
      </c>
      <c r="J2346" s="2" t="n">
        <v>790.594444444445</v>
      </c>
      <c r="K2346" s="2" t="s">
        <v>18</v>
      </c>
      <c r="L2346" s="2" t="n">
        <f aca="false">J2346/_xlfn.XLOOKUP(Tabla2[[#This Row],[Unidad de precio]],Tabla3[Medida],Tabla3[Equivalencia en Kg],"ELVIS",0)</f>
        <v>17.4293307858123</v>
      </c>
      <c r="M2346" s="2" t="n">
        <v>23192.17</v>
      </c>
      <c r="N2346" s="3" t="n">
        <f aca="false">(Tabla2[[#This Row],[Productividad (kg/TAS)]]*Tabla2[[#This Row],[Precio por kg]]-Tabla2[[#This Row],[Costos (En RD$/Tarea)]])</f>
        <v>6310.51277968693</v>
      </c>
      <c r="O2346" s="9" t="n">
        <f aca="false">IF(Tabla2[[#This Row],[Costos (En RD$/Tarea)]]=0,0,Tabla2[[#This Row],[Beneficio Neto  (En RD$/Tarea)]]/Tabla2[[#This Row],[Costos (En RD$/Tarea)]])</f>
        <v>0.272096693827569</v>
      </c>
      <c r="P2346" s="7" t="n">
        <f aca="false">Tabla2[[#This Row],[Rentabilidad (%)]]/12</f>
        <v>0.0226747244856307</v>
      </c>
    </row>
    <row r="2347" customFormat="false" ht="14.25" hidden="false" customHeight="false" outlineLevel="0" collapsed="false">
      <c r="A2347" s="1" t="n">
        <v>42461</v>
      </c>
      <c r="B2347" s="2" t="s">
        <v>24</v>
      </c>
      <c r="C2347" s="3" t="n">
        <v>6544</v>
      </c>
      <c r="D2347" s="8" t="s">
        <v>17</v>
      </c>
      <c r="E2347" s="3" t="n">
        <f aca="false">IF(Tabla2[[#This Row],[Frecuencia]]="Annual", Tabla2[[#This Row],[Cosecha/Tarea]]/12,Tabla2[[#This Row],[Cosecha/Tarea]])</f>
        <v>6544</v>
      </c>
      <c r="F2347" s="3" t="n">
        <v>62014</v>
      </c>
      <c r="G2347" s="2" t="s">
        <v>18</v>
      </c>
      <c r="H2347" s="2" t="n">
        <f aca="false">F2347/Tabla2[[#This Row],[Cosecha Mensual]]</f>
        <v>9.47646699266504</v>
      </c>
      <c r="I2347" s="2" t="n">
        <f aca="false">H2347*_xlfn.XLOOKUP(Tabla2[[#This Row],[Unidad de producción]],Tabla3[Medida],Tabla3[Equivalencia en Kg],"ELVIS",0)</f>
        <v>429.852542787286</v>
      </c>
      <c r="J2347" s="2" t="n">
        <v>2482.1875</v>
      </c>
      <c r="K2347" s="2" t="s">
        <v>18</v>
      </c>
      <c r="L2347" s="2" t="n">
        <f aca="false">J2347/_xlfn.XLOOKUP(Tabla2[[#This Row],[Unidad de precio]],Tabla3[Medida],Tabla3[Equivalencia en Kg],"ELVIS",0)</f>
        <v>54.72194664903</v>
      </c>
      <c r="M2347" s="2" t="n">
        <v>8705.156224128</v>
      </c>
      <c r="N2347" s="3" t="n">
        <f aca="false">(Tabla2[[#This Row],[Productividad (kg/TAS)]]*Tabla2[[#This Row],[Precio por kg]]-Tabla2[[#This Row],[Costos (En RD$/Tarea)]])</f>
        <v>14817.2116892277</v>
      </c>
      <c r="O2347" s="9" t="n">
        <f aca="false">IF(Tabla2[[#This Row],[Costos (En RD$/Tarea)]]=0,0,Tabla2[[#This Row],[Beneficio Neto  (En RD$/Tarea)]]/Tabla2[[#This Row],[Costos (En RD$/Tarea)]])</f>
        <v>1.70211898646448</v>
      </c>
      <c r="P2347" s="7" t="n">
        <f aca="false">Tabla2[[#This Row],[Rentabilidad (%)]]/12</f>
        <v>0.14184324887204</v>
      </c>
    </row>
    <row r="2348" customFormat="false" ht="14.25" hidden="false" customHeight="false" outlineLevel="0" collapsed="false">
      <c r="A2348" s="1" t="n">
        <v>42461</v>
      </c>
      <c r="B2348" s="2" t="s">
        <v>25</v>
      </c>
      <c r="C2348" s="3" t="n">
        <v>27012</v>
      </c>
      <c r="D2348" s="8" t="s">
        <v>17</v>
      </c>
      <c r="E2348" s="3" t="n">
        <f aca="false">IF(Tabla2[[#This Row],[Frecuencia]]="Annual", Tabla2[[#This Row],[Cosecha/Tarea]]/12,Tabla2[[#This Row],[Cosecha/Tarea]])</f>
        <v>27012</v>
      </c>
      <c r="F2348" s="3" t="n">
        <v>260989</v>
      </c>
      <c r="G2348" s="2" t="s">
        <v>18</v>
      </c>
      <c r="H2348" s="2" t="n">
        <f aca="false">F2348/Tabla2[[#This Row],[Cosecha Mensual]]</f>
        <v>9.66196505256923</v>
      </c>
      <c r="I2348" s="2" t="n">
        <f aca="false">H2348*_xlfn.XLOOKUP(Tabla2[[#This Row],[Unidad de producción]],Tabla3[Medida],Tabla3[Equivalencia en Kg],"ELVIS",0)</f>
        <v>438.26673478454</v>
      </c>
      <c r="J2348" s="2" t="n">
        <v>956.317708333333</v>
      </c>
      <c r="K2348" s="2" t="s">
        <v>18</v>
      </c>
      <c r="L2348" s="2" t="n">
        <f aca="false">J2348/_xlfn.XLOOKUP(Tabla2[[#This Row],[Unidad de precio]],Tabla3[Medida],Tabla3[Equivalencia en Kg],"ELVIS",0)</f>
        <v>21.0828418944738</v>
      </c>
      <c r="M2348" s="2" t="n">
        <v>4784.76271988092</v>
      </c>
      <c r="N2348" s="3" t="n">
        <f aca="false">(Tabla2[[#This Row],[Productividad (kg/TAS)]]*Tabla2[[#This Row],[Precio por kg]]-Tabla2[[#This Row],[Costos (En RD$/Tarea)]])</f>
        <v>4455.14555718884</v>
      </c>
      <c r="O2348" s="9" t="n">
        <f aca="false">IF(Tabla2[[#This Row],[Costos (En RD$/Tarea)]]=0,0,Tabla2[[#This Row],[Beneficio Neto  (En RD$/Tarea)]]/Tabla2[[#This Row],[Costos (En RD$/Tarea)]])</f>
        <v>0.931111074469272</v>
      </c>
      <c r="P2348" s="7" t="n">
        <f aca="false">Tabla2[[#This Row],[Rentabilidad (%)]]/12</f>
        <v>0.077592589539106</v>
      </c>
    </row>
    <row r="2349" customFormat="false" ht="14.25" hidden="false" customHeight="false" outlineLevel="0" collapsed="false">
      <c r="A2349" s="1" t="n">
        <v>42461</v>
      </c>
      <c r="B2349" s="2" t="s">
        <v>26</v>
      </c>
      <c r="C2349" s="3" t="n">
        <v>7541</v>
      </c>
      <c r="D2349" s="8" t="s">
        <v>17</v>
      </c>
      <c r="E2349" s="3" t="n">
        <f aca="false">IF(Tabla2[[#This Row],[Frecuencia]]="Annual", Tabla2[[#This Row],[Cosecha/Tarea]]/12,Tabla2[[#This Row],[Cosecha/Tarea]])</f>
        <v>7541</v>
      </c>
      <c r="F2349" s="3" t="n">
        <v>52414</v>
      </c>
      <c r="G2349" s="2" t="s">
        <v>18</v>
      </c>
      <c r="H2349" s="2" t="n">
        <f aca="false">F2349/Tabla2[[#This Row],[Cosecha Mensual]]</f>
        <v>6.95053706404986</v>
      </c>
      <c r="I2349" s="2" t="n">
        <f aca="false">H2349*_xlfn.XLOOKUP(Tabla2[[#This Row],[Unidad de producción]],Tabla3[Medida],Tabla3[Equivalencia en Kg],"ELVIS",0)</f>
        <v>315.276361225302</v>
      </c>
      <c r="J2349" s="2" t="n">
        <v>739.8671875</v>
      </c>
      <c r="K2349" s="2" t="s">
        <v>18</v>
      </c>
      <c r="L2349" s="2" t="n">
        <f aca="false">J2349/_xlfn.XLOOKUP(Tabla2[[#This Row],[Unidad de precio]],Tabla3[Medida],Tabla3[Equivalencia en Kg],"ELVIS",0)</f>
        <v>16.3110050154321</v>
      </c>
      <c r="M2349" s="2" t="n">
        <v>1888.43011620852</v>
      </c>
      <c r="N2349" s="3" t="n">
        <f aca="false">(Tabla2[[#This Row],[Productividad (kg/TAS)]]*Tabla2[[#This Row],[Precio por kg]]-Tabla2[[#This Row],[Costos (En RD$/Tarea)]])</f>
        <v>3254.04419298456</v>
      </c>
      <c r="O2349" s="9" t="n">
        <f aca="false">IF(Tabla2[[#This Row],[Costos (En RD$/Tarea)]]=0,0,Tabla2[[#This Row],[Beneficio Neto  (En RD$/Tarea)]]/Tabla2[[#This Row],[Costos (En RD$/Tarea)]])</f>
        <v>1.72314779617995</v>
      </c>
      <c r="P2349" s="7" t="n">
        <f aca="false">Tabla2[[#This Row],[Rentabilidad (%)]]/12</f>
        <v>0.143595649681662</v>
      </c>
    </row>
    <row r="2350" customFormat="false" ht="14.25" hidden="false" customHeight="false" outlineLevel="0" collapsed="false">
      <c r="A2350" s="1" t="n">
        <v>42461</v>
      </c>
      <c r="B2350" s="2" t="s">
        <v>27</v>
      </c>
      <c r="C2350" s="3" t="n">
        <v>4998</v>
      </c>
      <c r="D2350" s="8" t="s">
        <v>17</v>
      </c>
      <c r="E2350" s="3" t="n">
        <f aca="false">IF(Tabla2[[#This Row],[Frecuencia]]="Annual", Tabla2[[#This Row],[Cosecha/Tarea]]/12,Tabla2[[#This Row],[Cosecha/Tarea]])</f>
        <v>4998</v>
      </c>
      <c r="F2350" s="3" t="n">
        <v>48998</v>
      </c>
      <c r="G2350" s="2" t="s">
        <v>18</v>
      </c>
      <c r="H2350" s="2" t="n">
        <f aca="false">F2350/Tabla2[[#This Row],[Cosecha Mensual]]</f>
        <v>9.80352140856343</v>
      </c>
      <c r="I2350" s="2" t="n">
        <f aca="false">H2350*_xlfn.XLOOKUP(Tabla2[[#This Row],[Unidad de producción]],Tabla3[Medida],Tabla3[Equivalencia en Kg],"ELVIS",0)</f>
        <v>444.687731092437</v>
      </c>
      <c r="J2350" s="2" t="n">
        <v>563.519966666667</v>
      </c>
      <c r="K2350" s="2" t="s">
        <v>18</v>
      </c>
      <c r="L2350" s="2" t="n">
        <f aca="false">J2350/_xlfn.XLOOKUP(Tabla2[[#This Row],[Unidad de precio]],Tabla3[Medida],Tabla3[Equivalencia en Kg],"ELVIS",0)</f>
        <v>12.4232796884186</v>
      </c>
      <c r="M2350" s="2" t="n">
        <v>8287.288275158</v>
      </c>
      <c r="N2350" s="3" t="n">
        <f aca="false">(Tabla2[[#This Row],[Productividad (kg/TAS)]]*Tabla2[[#This Row],[Precio por kg]]-Tabla2[[#This Row],[Costos (En RD$/Tarea)]])</f>
        <v>-2762.80821778838</v>
      </c>
      <c r="O2350" s="9" t="n">
        <f aca="false">IF(Tabla2[[#This Row],[Costos (En RD$/Tarea)]]=0,0,Tabla2[[#This Row],[Beneficio Neto  (En RD$/Tarea)]]/Tabla2[[#This Row],[Costos (En RD$/Tarea)]])</f>
        <v>-0.333379041015164</v>
      </c>
      <c r="P2350" s="7" t="n">
        <f aca="false">Tabla2[[#This Row],[Rentabilidad (%)]]/12</f>
        <v>-0.0277815867512636</v>
      </c>
    </row>
    <row r="2351" customFormat="false" ht="14.25" hidden="false" customHeight="false" outlineLevel="0" collapsed="false">
      <c r="A2351" s="1" t="n">
        <v>42461</v>
      </c>
      <c r="B2351" s="2" t="s">
        <v>28</v>
      </c>
      <c r="C2351" s="3" t="n">
        <v>15698</v>
      </c>
      <c r="D2351" s="8" t="s">
        <v>17</v>
      </c>
      <c r="E2351" s="3" t="n">
        <f aca="false">IF(Tabla2[[#This Row],[Frecuencia]]="Annual", Tabla2[[#This Row],[Cosecha/Tarea]]/12,Tabla2[[#This Row],[Cosecha/Tarea]])</f>
        <v>15698</v>
      </c>
      <c r="F2351" s="3" t="n">
        <v>218568</v>
      </c>
      <c r="G2351" s="2" t="s">
        <v>18</v>
      </c>
      <c r="H2351" s="2" t="n">
        <f aca="false">F2351/Tabla2[[#This Row],[Cosecha Mensual]]</f>
        <v>13.9233023315072</v>
      </c>
      <c r="I2351" s="2" t="n">
        <f aca="false">H2351*_xlfn.XLOOKUP(Tabla2[[#This Row],[Unidad de producción]],Tabla3[Medida],Tabla3[Equivalencia en Kg],"ELVIS",0)</f>
        <v>631.560993757167</v>
      </c>
      <c r="J2351" s="2" t="n">
        <v>6409.2875</v>
      </c>
      <c r="K2351" s="2" t="s">
        <v>29</v>
      </c>
      <c r="L2351" s="2" t="n">
        <f aca="false">J2351/_xlfn.XLOOKUP(Tabla2[[#This Row],[Unidad de precio]],Tabla3[Medida],Tabla3[Equivalencia en Kg],"ELVIS",0)</f>
        <v>11.3975308532205</v>
      </c>
      <c r="M2351" s="2" t="n">
        <v>7046.24991079678</v>
      </c>
      <c r="N2351" s="3" t="n">
        <f aca="false">(Tabla2[[#This Row],[Productividad (kg/TAS)]]*Tabla2[[#This Row],[Precio por kg]]-Tabla2[[#This Row],[Costos (En RD$/Tarea)]])</f>
        <v>151.986001241108</v>
      </c>
      <c r="O2351" s="9" t="n">
        <f aca="false">IF(Tabla2[[#This Row],[Costos (En RD$/Tarea)]]=0,0,Tabla2[[#This Row],[Beneficio Neto  (En RD$/Tarea)]]/Tabla2[[#This Row],[Costos (En RD$/Tarea)]])</f>
        <v>0.0215697716040733</v>
      </c>
      <c r="P2351" s="7" t="n">
        <f aca="false">Tabla2[[#This Row],[Rentabilidad (%)]]/12</f>
        <v>0.00179748096700611</v>
      </c>
    </row>
    <row r="2352" customFormat="false" ht="14.25" hidden="false" customHeight="false" outlineLevel="0" collapsed="false">
      <c r="A2352" s="1" t="n">
        <v>42461</v>
      </c>
      <c r="B2352" s="2" t="s">
        <v>30</v>
      </c>
      <c r="C2352" s="3" t="n">
        <v>452477</v>
      </c>
      <c r="D2352" s="3" t="s">
        <v>31</v>
      </c>
      <c r="E2352" s="3" t="n">
        <f aca="false">IF(Tabla2[[#This Row],[Frecuencia]]="Annual", Tabla2[[#This Row],[Cosecha/Tarea]]/12,Tabla2[[#This Row],[Cosecha/Tarea]])</f>
        <v>37706.4166666667</v>
      </c>
      <c r="F2352" s="3" t="n">
        <v>2195387.4</v>
      </c>
      <c r="G2352" s="2" t="s">
        <v>18</v>
      </c>
      <c r="H2352" s="2" t="n">
        <f aca="false">F2352/Tabla2[[#This Row],[Cosecha Mensual]]</f>
        <v>58.2231777526814</v>
      </c>
      <c r="I2352" s="2" t="n">
        <f aca="false">H2352*_xlfn.XLOOKUP(Tabla2[[#This Row],[Unidad de producción]],Tabla3[Medida],Tabla3[Equivalencia en Kg],"ELVIS",0)</f>
        <v>2641.00334286163</v>
      </c>
      <c r="J2352" s="2" t="n">
        <v>221.479166666667</v>
      </c>
      <c r="K2352" s="2" t="s">
        <v>32</v>
      </c>
      <c r="L2352" s="2" t="n">
        <f aca="false">J2352/_xlfn.XLOOKUP(Tabla2[[#This Row],[Unidad de precio]],Tabla3[Medida],Tabla3[Equivalencia en Kg],"ELVIS",0)</f>
        <v>8.13962391277718</v>
      </c>
      <c r="M2352" s="3" t="n">
        <v>31633.940308743</v>
      </c>
      <c r="N2352" s="3" t="n">
        <f aca="false">(Tabla2[[#This Row],[Productividad (kg/TAS)]]*Tabla2[[#This Row],[Precio por kg]]-Tabla2[[#This Row],[Costos (En RD$/Tarea)]])</f>
        <v>-10137.166345462</v>
      </c>
      <c r="O2352" s="9" t="n">
        <f aca="false">IF(Tabla2[[#This Row],[Costos (En RD$/Tarea)]]=0,0,Tabla2[[#This Row],[Beneficio Neto  (En RD$/Tarea)]]/Tabla2[[#This Row],[Costos (En RD$/Tarea)]])</f>
        <v>-0.320452218298595</v>
      </c>
      <c r="P2352" s="7" t="n">
        <f aca="false">Tabla2[[#This Row],[Rentabilidad (%)]]/12</f>
        <v>-0.0267043515248829</v>
      </c>
    </row>
    <row r="2353" customFormat="false" ht="14.25" hidden="false" customHeight="false" outlineLevel="0" collapsed="false">
      <c r="A2353" s="1" t="n">
        <v>42461</v>
      </c>
      <c r="B2353" s="2" t="s">
        <v>33</v>
      </c>
      <c r="C2353" s="3" t="n">
        <v>752144</v>
      </c>
      <c r="D2353" s="3" t="s">
        <v>31</v>
      </c>
      <c r="E2353" s="11" t="n">
        <f aca="false">IF(Tabla2[[#This Row],[Frecuencia]]="Annual", Tabla2[[#This Row],[Cosecha/Tarea]]/12,Tabla2[[#This Row],[Cosecha/Tarea]])</f>
        <v>62678.6666666667</v>
      </c>
      <c r="F2353" s="3" t="n">
        <v>2989323</v>
      </c>
      <c r="G2353" s="2" t="s">
        <v>18</v>
      </c>
      <c r="H2353" s="2" t="n">
        <f aca="false">F2353/Tabla2[[#This Row],[Cosecha Mensual]]</f>
        <v>47.6928300963645</v>
      </c>
      <c r="I2353" s="2" t="n">
        <f aca="false">H2353*_xlfn.XLOOKUP(Tabla2[[#This Row],[Unidad de producción]],Tabla3[Medida],Tabla3[Equivalencia en Kg],"ELVIS",0)</f>
        <v>2163.3467731711</v>
      </c>
      <c r="J2353" s="2" t="n">
        <v>6252.6796875</v>
      </c>
      <c r="K2353" s="2" t="s">
        <v>34</v>
      </c>
      <c r="L2353" s="2" t="n">
        <f aca="false">J2353/_xlfn.XLOOKUP(Tabla2[[#This Row],[Unidad de precio]],Tabla3[Medida],Tabla3[Equivalencia en Kg],"ELVIS",0)</f>
        <v>15.3195631201764</v>
      </c>
      <c r="M2353" s="3" t="n">
        <v>19988.8214440479</v>
      </c>
      <c r="N2353" s="3" t="n">
        <f aca="false">(Tabla2[[#This Row],[Productividad (kg/TAS)]]*Tabla2[[#This Row],[Precio por kg]]-Tabla2[[#This Row],[Costos (En RD$/Tarea)]])</f>
        <v>13152.7059983766</v>
      </c>
      <c r="O2353" s="9" t="n">
        <f aca="false">IF(Tabla2[[#This Row],[Costos (En RD$/Tarea)]]=0,0,Tabla2[[#This Row],[Beneficio Neto  (En RD$/Tarea)]]/Tabla2[[#This Row],[Costos (En RD$/Tarea)]])</f>
        <v>0.65800307612899</v>
      </c>
      <c r="P2353" s="7" t="n">
        <f aca="false">Tabla2[[#This Row],[Rentabilidad (%)]]/12</f>
        <v>0.0548335896774159</v>
      </c>
    </row>
    <row r="2354" customFormat="false" ht="14.25" hidden="false" customHeight="false" outlineLevel="0" collapsed="false">
      <c r="A2354" s="1" t="n">
        <v>42491</v>
      </c>
      <c r="B2354" s="2" t="s">
        <v>16</v>
      </c>
      <c r="C2354" s="3" t="n">
        <v>417077</v>
      </c>
      <c r="D2354" s="8" t="s">
        <v>17</v>
      </c>
      <c r="E2354" s="3" t="n">
        <f aca="false">IF(Tabla2[[#This Row],[Frecuencia]]="Annual", Tabla2[[#This Row],[Cosecha/Tarea]]/12,Tabla2[[#This Row],[Cosecha/Tarea]])</f>
        <v>417077</v>
      </c>
      <c r="F2354" s="3" t="n">
        <v>2208602</v>
      </c>
      <c r="G2354" s="2" t="s">
        <v>18</v>
      </c>
      <c r="H2354" s="2" t="n">
        <f aca="false">F2354/Tabla2[[#This Row],[Cosecha Mensual]]</f>
        <v>5.29542986067321</v>
      </c>
      <c r="I2354" s="2" t="n">
        <f aca="false">H2354*_xlfn.XLOOKUP(Tabla2[[#This Row],[Unidad de producción]],Tabla3[Medida],Tabla3[Equivalencia en Kg],"ELVIS",0)</f>
        <v>240.200698480137</v>
      </c>
      <c r="J2354" s="2" t="n">
        <v>1985.66472167217</v>
      </c>
      <c r="K2354" s="2" t="s">
        <v>19</v>
      </c>
      <c r="L2354" s="2" t="n">
        <f aca="false">J2354/_xlfn.XLOOKUP(Tabla2[[#This Row],[Unidad de precio]],Tabla3[Medida],Tabla3[Equivalencia en Kg],"ELVIS",0)</f>
        <v>18.051497469747</v>
      </c>
      <c r="M2354" s="2" t="n">
        <v>5924.25478252843</v>
      </c>
      <c r="N2354" s="3" t="n">
        <f aca="false">(Tabla2[[#This Row],[Productividad (kg/TAS)]]*Tabla2[[#This Row],[Precio por kg]]-Tabla2[[#This Row],[Costos (En RD$/Tarea)]])</f>
        <v>-1588.27248168278</v>
      </c>
      <c r="O2354" s="9" t="n">
        <f aca="false">IF(Tabla2[[#This Row],[Costos (En RD$/Tarea)]]=0,0,Tabla2[[#This Row],[Beneficio Neto  (En RD$/Tarea)]]/Tabla2[[#This Row],[Costos (En RD$/Tarea)]])</f>
        <v>-0.268096585981894</v>
      </c>
      <c r="P2354" s="7" t="n">
        <f aca="false">Tabla2[[#This Row],[Rentabilidad (%)]]/12</f>
        <v>-0.0223413821651578</v>
      </c>
    </row>
    <row r="2355" customFormat="false" ht="14.25" hidden="false" customHeight="false" outlineLevel="0" collapsed="false">
      <c r="A2355" s="1" t="n">
        <v>42491</v>
      </c>
      <c r="B2355" s="2" t="s">
        <v>20</v>
      </c>
      <c r="C2355" s="3" t="n">
        <v>20733</v>
      </c>
      <c r="D2355" s="8" t="s">
        <v>17</v>
      </c>
      <c r="E2355" s="3" t="n">
        <f aca="false">IF(Tabla2[[#This Row],[Frecuencia]]="Annual", Tabla2[[#This Row],[Cosecha/Tarea]]/12,Tabla2[[#This Row],[Cosecha/Tarea]])</f>
        <v>20733</v>
      </c>
      <c r="F2355" s="3" t="n">
        <v>75913</v>
      </c>
      <c r="G2355" s="2" t="s">
        <v>18</v>
      </c>
      <c r="H2355" s="2" t="n">
        <f aca="false">F2355/Tabla2[[#This Row],[Cosecha Mensual]]</f>
        <v>3.66145757970385</v>
      </c>
      <c r="I2355" s="2" t="n">
        <f aca="false">H2355*_xlfn.XLOOKUP(Tabla2[[#This Row],[Unidad de producción]],Tabla3[Medida],Tabla3[Equivalencia en Kg],"ELVIS",0)</f>
        <v>166.083715815367</v>
      </c>
      <c r="J2355" s="2" t="n">
        <v>845.838680555556</v>
      </c>
      <c r="K2355" s="2" t="s">
        <v>18</v>
      </c>
      <c r="L2355" s="2" t="n">
        <f aca="false">J2355/_xlfn.XLOOKUP(Tabla2[[#This Row],[Unidad de precio]],Tabla3[Medida],Tabla3[Equivalencia en Kg],"ELVIS",0)</f>
        <v>18.6472372256516</v>
      </c>
      <c r="M2355" s="2" t="n">
        <v>2463.292898352</v>
      </c>
      <c r="N2355" s="3" t="n">
        <f aca="false">(Tabla2[[#This Row],[Productividad (kg/TAS)]]*Tabla2[[#This Row],[Precio por kg]]-Tabla2[[#This Row],[Costos (En RD$/Tarea)]])</f>
        <v>633.709549774847</v>
      </c>
      <c r="O2355" s="9" t="n">
        <f aca="false">IF(Tabla2[[#This Row],[Costos (En RD$/Tarea)]]=0,0,Tabla2[[#This Row],[Beneficio Neto  (En RD$/Tarea)]]/Tabla2[[#This Row],[Costos (En RD$/Tarea)]])</f>
        <v>0.257261144299492</v>
      </c>
      <c r="P2355" s="7" t="n">
        <f aca="false">Tabla2[[#This Row],[Rentabilidad (%)]]/12</f>
        <v>0.0214384286916243</v>
      </c>
    </row>
    <row r="2356" customFormat="false" ht="14.25" hidden="false" customHeight="false" outlineLevel="0" collapsed="false">
      <c r="A2356" s="1" t="n">
        <v>42491</v>
      </c>
      <c r="B2356" s="2" t="s">
        <v>21</v>
      </c>
      <c r="C2356" s="3" t="n">
        <v>9248</v>
      </c>
      <c r="D2356" s="8" t="s">
        <v>17</v>
      </c>
      <c r="E2356" s="3" t="n">
        <f aca="false">IF(Tabla2[[#This Row],[Frecuencia]]="Annual", Tabla2[[#This Row],[Cosecha/Tarea]]/12,Tabla2[[#This Row],[Cosecha/Tarea]])</f>
        <v>9248</v>
      </c>
      <c r="F2356" s="3" t="n">
        <v>104132</v>
      </c>
      <c r="G2356" s="2" t="s">
        <v>18</v>
      </c>
      <c r="H2356" s="2" t="n">
        <f aca="false">F2356/Tabla2[[#This Row],[Cosecha Mensual]]</f>
        <v>11.2599480968858</v>
      </c>
      <c r="I2356" s="2" t="n">
        <f aca="false">H2356*_xlfn.XLOOKUP(Tabla2[[#This Row],[Unidad de producción]],Tabla3[Medida],Tabla3[Equivalencia en Kg],"ELVIS",0)</f>
        <v>510.75124567474</v>
      </c>
      <c r="J2356" s="2" t="n">
        <v>357.729166666667</v>
      </c>
      <c r="K2356" s="2" t="s">
        <v>18</v>
      </c>
      <c r="L2356" s="2" t="n">
        <f aca="false">J2356/_xlfn.XLOOKUP(Tabla2[[#This Row],[Unidad de precio]],Tabla3[Medida],Tabla3[Equivalencia en Kg],"ELVIS",0)</f>
        <v>7.88644547325104</v>
      </c>
      <c r="M2356" s="2" t="n">
        <v>4713.68743816075</v>
      </c>
      <c r="N2356" s="3" t="n">
        <f aca="false">(Tabla2[[#This Row],[Productividad (kg/TAS)]]*Tabla2[[#This Row],[Precio por kg]]-Tabla2[[#This Row],[Costos (En RD$/Tarea)]])</f>
        <v>-685.675588751865</v>
      </c>
      <c r="O2356" s="9" t="n">
        <f aca="false">IF(Tabla2[[#This Row],[Costos (En RD$/Tarea)]]=0,0,Tabla2[[#This Row],[Beneficio Neto  (En RD$/Tarea)]]/Tabla2[[#This Row],[Costos (En RD$/Tarea)]])</f>
        <v>-0.145464797517294</v>
      </c>
      <c r="P2356" s="7" t="n">
        <f aca="false">Tabla2[[#This Row],[Rentabilidad (%)]]/12</f>
        <v>-0.0121220664597745</v>
      </c>
    </row>
    <row r="2357" customFormat="false" ht="14.25" hidden="false" customHeight="false" outlineLevel="0" collapsed="false">
      <c r="A2357" s="1" t="n">
        <v>42491</v>
      </c>
      <c r="B2357" s="2" t="s">
        <v>22</v>
      </c>
      <c r="C2357" s="3" t="n">
        <v>4390</v>
      </c>
      <c r="D2357" s="8" t="s">
        <v>17</v>
      </c>
      <c r="E2357" s="3" t="n">
        <f aca="false">IF(Tabla2[[#This Row],[Frecuencia]]="Annual", Tabla2[[#This Row],[Cosecha/Tarea]]/12,Tabla2[[#This Row],[Cosecha/Tarea]])</f>
        <v>4390</v>
      </c>
      <c r="F2357" s="3" t="n">
        <v>43654</v>
      </c>
      <c r="G2357" s="2" t="s">
        <v>18</v>
      </c>
      <c r="H2357" s="2" t="n">
        <f aca="false">F2357/Tabla2[[#This Row],[Cosecha Mensual]]</f>
        <v>9.94396355353075</v>
      </c>
      <c r="I2357" s="2" t="n">
        <f aca="false">H2357*_xlfn.XLOOKUP(Tabla2[[#This Row],[Unidad de producción]],Tabla3[Medida],Tabla3[Equivalencia en Kg],"ELVIS",0)</f>
        <v>451.058186788155</v>
      </c>
      <c r="J2357" s="2" t="n">
        <v>1488.875</v>
      </c>
      <c r="K2357" s="2" t="s">
        <v>18</v>
      </c>
      <c r="L2357" s="2" t="n">
        <f aca="false">J2357/_xlfn.XLOOKUP(Tabla2[[#This Row],[Unidad de precio]],Tabla3[Medida],Tabla3[Equivalencia en Kg],"ELVIS",0)</f>
        <v>32.8235229276896</v>
      </c>
      <c r="M2357" s="2" t="n">
        <v>8550.15765636903</v>
      </c>
      <c r="N2357" s="3" t="n">
        <f aca="false">(Tabla2[[#This Row],[Productividad (kg/TAS)]]*Tabla2[[#This Row],[Precio por kg]]-Tabla2[[#This Row],[Costos (En RD$/Tarea)]])</f>
        <v>6255.16107939407</v>
      </c>
      <c r="O2357" s="9" t="n">
        <f aca="false">IF(Tabla2[[#This Row],[Costos (En RD$/Tarea)]]=0,0,Tabla2[[#This Row],[Beneficio Neto  (En RD$/Tarea)]]/Tabla2[[#This Row],[Costos (En RD$/Tarea)]])</f>
        <v>0.731584297131011</v>
      </c>
      <c r="P2357" s="7" t="n">
        <f aca="false">Tabla2[[#This Row],[Rentabilidad (%)]]/12</f>
        <v>0.0609653580942509</v>
      </c>
    </row>
    <row r="2358" customFormat="false" ht="14.25" hidden="false" customHeight="false" outlineLevel="0" collapsed="false">
      <c r="A2358" s="1" t="n">
        <v>42491</v>
      </c>
      <c r="B2358" s="2" t="s">
        <v>23</v>
      </c>
      <c r="C2358" s="3" t="n">
        <v>4402</v>
      </c>
      <c r="D2358" s="8" t="s">
        <v>17</v>
      </c>
      <c r="E2358" s="3" t="n">
        <f aca="false">IF(Tabla2[[#This Row],[Frecuencia]]="Annual", Tabla2[[#This Row],[Cosecha/Tarea]]/12,Tabla2[[#This Row],[Cosecha/Tarea]])</f>
        <v>4402</v>
      </c>
      <c r="F2358" s="3" t="n">
        <v>176021</v>
      </c>
      <c r="G2358" s="2" t="s">
        <v>18</v>
      </c>
      <c r="H2358" s="2" t="n">
        <f aca="false">F2358/Tabla2[[#This Row],[Cosecha Mensual]]</f>
        <v>39.986597001363</v>
      </c>
      <c r="I2358" s="2" t="n">
        <f aca="false">H2358*_xlfn.XLOOKUP(Tabla2[[#This Row],[Unidad de producción]],Tabla3[Medida],Tabla3[Equivalencia en Kg],"ELVIS",0)</f>
        <v>1813.79203998183</v>
      </c>
      <c r="J2358" s="2" t="n">
        <v>727.8125</v>
      </c>
      <c r="K2358" s="2" t="s">
        <v>18</v>
      </c>
      <c r="L2358" s="2" t="n">
        <f aca="false">J2358/_xlfn.XLOOKUP(Tabla2[[#This Row],[Unidad de precio]],Tabla3[Medida],Tabla3[Equivalencia en Kg],"ELVIS",0)</f>
        <v>16.0452491181658</v>
      </c>
      <c r="M2358" s="2" t="n">
        <v>23192.17</v>
      </c>
      <c r="N2358" s="3" t="n">
        <f aca="false">(Tabla2[[#This Row],[Productividad (kg/TAS)]]*Tabla2[[#This Row],[Precio por kg]]-Tabla2[[#This Row],[Costos (En RD$/Tarea)]])</f>
        <v>5910.57513005452</v>
      </c>
      <c r="O2358" s="9" t="n">
        <f aca="false">IF(Tabla2[[#This Row],[Costos (En RD$/Tarea)]]=0,0,Tabla2[[#This Row],[Beneficio Neto  (En RD$/Tarea)]]/Tabla2[[#This Row],[Costos (En RD$/Tarea)]])</f>
        <v>0.25485218201033</v>
      </c>
      <c r="P2358" s="7" t="n">
        <f aca="false">Tabla2[[#This Row],[Rentabilidad (%)]]/12</f>
        <v>0.0212376818341942</v>
      </c>
    </row>
    <row r="2359" customFormat="false" ht="14.25" hidden="false" customHeight="false" outlineLevel="0" collapsed="false">
      <c r="A2359" s="1" t="n">
        <v>42491</v>
      </c>
      <c r="B2359" s="2" t="s">
        <v>24</v>
      </c>
      <c r="C2359" s="3" t="n">
        <v>6201</v>
      </c>
      <c r="D2359" s="8" t="s">
        <v>17</v>
      </c>
      <c r="E2359" s="3" t="n">
        <f aca="false">IF(Tabla2[[#This Row],[Frecuencia]]="Annual", Tabla2[[#This Row],[Cosecha/Tarea]]/12,Tabla2[[#This Row],[Cosecha/Tarea]])</f>
        <v>6201</v>
      </c>
      <c r="F2359" s="3" t="n">
        <v>39521</v>
      </c>
      <c r="G2359" s="2" t="s">
        <v>18</v>
      </c>
      <c r="H2359" s="2" t="n">
        <f aca="false">F2359/Tabla2[[#This Row],[Cosecha Mensual]]</f>
        <v>6.37332688276085</v>
      </c>
      <c r="I2359" s="2" t="n">
        <f aca="false">H2359*_xlfn.XLOOKUP(Tabla2[[#This Row],[Unidad de producción]],Tabla3[Medida],Tabla3[Equivalencia en Kg],"ELVIS",0)</f>
        <v>289.094107402032</v>
      </c>
      <c r="J2359" s="2" t="n">
        <v>2210.52604166667</v>
      </c>
      <c r="K2359" s="2" t="s">
        <v>18</v>
      </c>
      <c r="L2359" s="2" t="n">
        <f aca="false">J2359/_xlfn.XLOOKUP(Tabla2[[#This Row],[Unidad de precio]],Tabla3[Medida],Tabla3[Equivalencia en Kg],"ELVIS",0)</f>
        <v>48.7329374265139</v>
      </c>
      <c r="M2359" s="2" t="n">
        <v>8705.156224128</v>
      </c>
      <c r="N2359" s="3" t="n">
        <f aca="false">(Tabla2[[#This Row],[Productividad (kg/TAS)]]*Tabla2[[#This Row],[Precio por kg]]-Tabla2[[#This Row],[Costos (En RD$/Tarea)]])</f>
        <v>5383.24882226911</v>
      </c>
      <c r="O2359" s="9" t="n">
        <f aca="false">IF(Tabla2[[#This Row],[Costos (En RD$/Tarea)]]=0,0,Tabla2[[#This Row],[Beneficio Neto  (En RD$/Tarea)]]/Tabla2[[#This Row],[Costos (En RD$/Tarea)]])</f>
        <v>0.618397727010161</v>
      </c>
      <c r="P2359" s="7" t="n">
        <f aca="false">Tabla2[[#This Row],[Rentabilidad (%)]]/12</f>
        <v>0.0515331439175134</v>
      </c>
    </row>
    <row r="2360" customFormat="false" ht="14.25" hidden="false" customHeight="false" outlineLevel="0" collapsed="false">
      <c r="A2360" s="1" t="n">
        <v>42491</v>
      </c>
      <c r="B2360" s="2" t="s">
        <v>25</v>
      </c>
      <c r="C2360" s="3" t="n">
        <v>31025</v>
      </c>
      <c r="D2360" s="8" t="s">
        <v>17</v>
      </c>
      <c r="E2360" s="3" t="n">
        <f aca="false">IF(Tabla2[[#This Row],[Frecuencia]]="Annual", Tabla2[[#This Row],[Cosecha/Tarea]]/12,Tabla2[[#This Row],[Cosecha/Tarea]])</f>
        <v>31025</v>
      </c>
      <c r="F2360" s="3" t="n">
        <v>291222</v>
      </c>
      <c r="G2360" s="2" t="s">
        <v>18</v>
      </c>
      <c r="H2360" s="2" t="n">
        <f aca="false">F2360/Tabla2[[#This Row],[Cosecha Mensual]]</f>
        <v>9.38668815471394</v>
      </c>
      <c r="I2360" s="2" t="n">
        <f aca="false">H2360*_xlfn.XLOOKUP(Tabla2[[#This Row],[Unidad de producción]],Tabla3[Medida],Tabla3[Equivalencia en Kg],"ELVIS",0)</f>
        <v>425.780174697824</v>
      </c>
      <c r="J2360" s="2" t="n">
        <v>935.967013888889</v>
      </c>
      <c r="K2360" s="2" t="s">
        <v>18</v>
      </c>
      <c r="L2360" s="2" t="n">
        <f aca="false">J2360/_xlfn.XLOOKUP(Tabla2[[#This Row],[Unidad de precio]],Tabla3[Medida],Tabla3[Equivalencia en Kg],"ELVIS",0)</f>
        <v>20.6341934278856</v>
      </c>
      <c r="M2360" s="2" t="n">
        <v>4784.76271988092</v>
      </c>
      <c r="N2360" s="3" t="n">
        <f aca="false">(Tabla2[[#This Row],[Productividad (kg/TAS)]]*Tabla2[[#This Row],[Precio por kg]]-Tabla2[[#This Row],[Costos (En RD$/Tarea)]])</f>
        <v>4000.86776259289</v>
      </c>
      <c r="O2360" s="9" t="n">
        <f aca="false">IF(Tabla2[[#This Row],[Costos (En RD$/Tarea)]]=0,0,Tabla2[[#This Row],[Beneficio Neto  (En RD$/Tarea)]]/Tabla2[[#This Row],[Costos (En RD$/Tarea)]])</f>
        <v>0.83616847831745</v>
      </c>
      <c r="P2360" s="7" t="n">
        <f aca="false">Tabla2[[#This Row],[Rentabilidad (%)]]/12</f>
        <v>0.0696807065264542</v>
      </c>
    </row>
    <row r="2361" customFormat="false" ht="14.25" hidden="false" customHeight="false" outlineLevel="0" collapsed="false">
      <c r="A2361" s="1" t="n">
        <v>42491</v>
      </c>
      <c r="B2361" s="2" t="s">
        <v>26</v>
      </c>
      <c r="C2361" s="3" t="n">
        <v>6989</v>
      </c>
      <c r="D2361" s="8" t="s">
        <v>17</v>
      </c>
      <c r="E2361" s="3" t="n">
        <f aca="false">IF(Tabla2[[#This Row],[Frecuencia]]="Annual", Tabla2[[#This Row],[Cosecha/Tarea]]/12,Tabla2[[#This Row],[Cosecha/Tarea]])</f>
        <v>6989</v>
      </c>
      <c r="F2361" s="3" t="n">
        <v>46988</v>
      </c>
      <c r="G2361" s="2" t="s">
        <v>18</v>
      </c>
      <c r="H2361" s="2" t="n">
        <f aca="false">F2361/Tabla2[[#This Row],[Cosecha Mensual]]</f>
        <v>6.72313635713264</v>
      </c>
      <c r="I2361" s="2" t="n">
        <f aca="false">H2361*_xlfn.XLOOKUP(Tabla2[[#This Row],[Unidad de producción]],Tabla3[Medida],Tabla3[Equivalencia en Kg],"ELVIS",0)</f>
        <v>304.961465159536</v>
      </c>
      <c r="J2361" s="2" t="n">
        <v>824.059523809524</v>
      </c>
      <c r="K2361" s="2" t="s">
        <v>18</v>
      </c>
      <c r="L2361" s="2" t="n">
        <f aca="false">J2361/_xlfn.XLOOKUP(Tabla2[[#This Row],[Unidad de precio]],Tabla3[Medida],Tabla3[Equivalencia en Kg],"ELVIS",0)</f>
        <v>18.1670970857479</v>
      </c>
      <c r="M2361" s="2" t="n">
        <v>1888.43011620852</v>
      </c>
      <c r="N2361" s="3" t="n">
        <f aca="false">(Tabla2[[#This Row],[Productividad (kg/TAS)]]*Tabla2[[#This Row],[Precio por kg]]-Tabla2[[#This Row],[Costos (En RD$/Tarea)]])</f>
        <v>3651.8344287567</v>
      </c>
      <c r="O2361" s="9" t="n">
        <f aca="false">IF(Tabla2[[#This Row],[Costos (En RD$/Tarea)]]=0,0,Tabla2[[#This Row],[Beneficio Neto  (En RD$/Tarea)]]/Tabla2[[#This Row],[Costos (En RD$/Tarea)]])</f>
        <v>1.93379378850865</v>
      </c>
      <c r="P2361" s="7" t="n">
        <f aca="false">Tabla2[[#This Row],[Rentabilidad (%)]]/12</f>
        <v>0.161149482375721</v>
      </c>
    </row>
    <row r="2362" customFormat="false" ht="14.25" hidden="false" customHeight="false" outlineLevel="0" collapsed="false">
      <c r="A2362" s="1" t="n">
        <v>42491</v>
      </c>
      <c r="B2362" s="2" t="s">
        <v>27</v>
      </c>
      <c r="C2362" s="3" t="n">
        <v>3987</v>
      </c>
      <c r="D2362" s="8" t="s">
        <v>17</v>
      </c>
      <c r="E2362" s="3" t="n">
        <f aca="false">IF(Tabla2[[#This Row],[Frecuencia]]="Annual", Tabla2[[#This Row],[Cosecha/Tarea]]/12,Tabla2[[#This Row],[Cosecha/Tarea]])</f>
        <v>3987</v>
      </c>
      <c r="F2362" s="3" t="n">
        <v>45209</v>
      </c>
      <c r="G2362" s="2" t="s">
        <v>18</v>
      </c>
      <c r="H2362" s="2" t="n">
        <f aca="false">F2362/Tabla2[[#This Row],[Cosecha Mensual]]</f>
        <v>11.3391020817657</v>
      </c>
      <c r="I2362" s="2" t="n">
        <f aca="false">H2362*_xlfn.XLOOKUP(Tabla2[[#This Row],[Unidad de producción]],Tabla3[Medida],Tabla3[Equivalencia en Kg],"ELVIS",0)</f>
        <v>514.341670428894</v>
      </c>
      <c r="J2362" s="2" t="n">
        <v>623.532142857143</v>
      </c>
      <c r="K2362" s="2" t="s">
        <v>18</v>
      </c>
      <c r="L2362" s="2" t="n">
        <f aca="false">J2362/_xlfn.XLOOKUP(Tabla2[[#This Row],[Unidad de precio]],Tabla3[Medida],Tabla3[Equivalencia en Kg],"ELVIS",0)</f>
        <v>13.7462994457042</v>
      </c>
      <c r="M2362" s="2" t="n">
        <v>8287.288275158</v>
      </c>
      <c r="N2362" s="3" t="n">
        <f aca="false">(Tabla2[[#This Row],[Productividad (kg/TAS)]]*Tabla2[[#This Row],[Precio por kg]]-Tabla2[[#This Row],[Costos (En RD$/Tarea)]])</f>
        <v>-1216.99365603872</v>
      </c>
      <c r="O2362" s="9" t="n">
        <f aca="false">IF(Tabla2[[#This Row],[Costos (En RD$/Tarea)]]=0,0,Tabla2[[#This Row],[Beneficio Neto  (En RD$/Tarea)]]/Tabla2[[#This Row],[Costos (En RD$/Tarea)]])</f>
        <v>-0.146850648322055</v>
      </c>
      <c r="P2362" s="7" t="n">
        <f aca="false">Tabla2[[#This Row],[Rentabilidad (%)]]/12</f>
        <v>-0.0122375540268379</v>
      </c>
    </row>
    <row r="2363" customFormat="false" ht="14.25" hidden="false" customHeight="false" outlineLevel="0" collapsed="false">
      <c r="A2363" s="1" t="n">
        <v>42491</v>
      </c>
      <c r="B2363" s="2" t="s">
        <v>28</v>
      </c>
      <c r="C2363" s="3" t="n">
        <v>12225</v>
      </c>
      <c r="D2363" s="8" t="s">
        <v>17</v>
      </c>
      <c r="E2363" s="3" t="n">
        <f aca="false">IF(Tabla2[[#This Row],[Frecuencia]]="Annual", Tabla2[[#This Row],[Cosecha/Tarea]]/12,Tabla2[[#This Row],[Cosecha/Tarea]])</f>
        <v>12225</v>
      </c>
      <c r="F2363" s="3" t="n">
        <v>346860</v>
      </c>
      <c r="G2363" s="2" t="s">
        <v>18</v>
      </c>
      <c r="H2363" s="2" t="n">
        <f aca="false">F2363/Tabla2[[#This Row],[Cosecha Mensual]]</f>
        <v>28.3730061349693</v>
      </c>
      <c r="I2363" s="2" t="n">
        <f aca="false">H2363*_xlfn.XLOOKUP(Tabla2[[#This Row],[Unidad de producción]],Tabla3[Medida],Tabla3[Equivalencia en Kg],"ELVIS",0)</f>
        <v>1286.99955828221</v>
      </c>
      <c r="J2363" s="2" t="n">
        <v>5812.5</v>
      </c>
      <c r="K2363" s="2" t="s">
        <v>29</v>
      </c>
      <c r="L2363" s="2" t="n">
        <f aca="false">J2363/_xlfn.XLOOKUP(Tabla2[[#This Row],[Unidad de precio]],Tabla3[Medida],Tabla3[Equivalencia en Kg],"ELVIS",0)</f>
        <v>10.3362734288864</v>
      </c>
      <c r="M2363" s="2" t="n">
        <v>7046.24991079678</v>
      </c>
      <c r="N2363" s="3" t="n">
        <f aca="false">(Tabla2[[#This Row],[Productividad (kg/TAS)]]*Tabla2[[#This Row],[Precio por kg]]-Tabla2[[#This Row],[Costos (En RD$/Tarea)]])</f>
        <v>6256.5294264642</v>
      </c>
      <c r="O2363" s="9" t="n">
        <f aca="false">IF(Tabla2[[#This Row],[Costos (En RD$/Tarea)]]=0,0,Tabla2[[#This Row],[Beneficio Neto  (En RD$/Tarea)]]/Tabla2[[#This Row],[Costos (En RD$/Tarea)]])</f>
        <v>0.887923293336145</v>
      </c>
      <c r="P2363" s="7" t="n">
        <f aca="false">Tabla2[[#This Row],[Rentabilidad (%)]]/12</f>
        <v>0.0739936077780121</v>
      </c>
    </row>
    <row r="2364" customFormat="false" ht="14.25" hidden="false" customHeight="false" outlineLevel="0" collapsed="false">
      <c r="A2364" s="1" t="n">
        <v>42491</v>
      </c>
      <c r="B2364" s="2" t="s">
        <v>30</v>
      </c>
      <c r="C2364" s="3" t="n">
        <v>465899</v>
      </c>
      <c r="D2364" s="3" t="s">
        <v>31</v>
      </c>
      <c r="E2364" s="3" t="n">
        <f aca="false">IF(Tabla2[[#This Row],[Frecuencia]]="Annual", Tabla2[[#This Row],[Cosecha/Tarea]]/12,Tabla2[[#This Row],[Cosecha/Tarea]])</f>
        <v>38824.9166666667</v>
      </c>
      <c r="F2364" s="3" t="n">
        <v>2141925</v>
      </c>
      <c r="G2364" s="2" t="s">
        <v>18</v>
      </c>
      <c r="H2364" s="2" t="n">
        <f aca="false">F2364/Tabla2[[#This Row],[Cosecha Mensual]]</f>
        <v>55.1688241442888</v>
      </c>
      <c r="I2364" s="2" t="n">
        <f aca="false">H2364*_xlfn.XLOOKUP(Tabla2[[#This Row],[Unidad de producción]],Tabla3[Medida],Tabla3[Equivalencia en Kg],"ELVIS",0)</f>
        <v>2502.45786318494</v>
      </c>
      <c r="J2364" s="2" t="n">
        <v>174.932291666667</v>
      </c>
      <c r="K2364" s="2" t="s">
        <v>32</v>
      </c>
      <c r="L2364" s="2" t="n">
        <f aca="false">J2364/_xlfn.XLOOKUP(Tabla2[[#This Row],[Unidad de precio]],Tabla3[Medida],Tabla3[Equivalencia en Kg],"ELVIS",0)</f>
        <v>6.42897066029647</v>
      </c>
      <c r="M2364" s="3" t="n">
        <v>31633.940308743</v>
      </c>
      <c r="N2364" s="3" t="n">
        <f aca="false">(Tabla2[[#This Row],[Productividad (kg/TAS)]]*Tabla2[[#This Row],[Precio por kg]]-Tabla2[[#This Row],[Costos (En RD$/Tarea)]])</f>
        <v>-15545.7121276988</v>
      </c>
      <c r="O2364" s="9" t="n">
        <f aca="false">IF(Tabla2[[#This Row],[Costos (En RD$/Tarea)]]=0,0,Tabla2[[#This Row],[Beneficio Neto  (En RD$/Tarea)]]/Tabla2[[#This Row],[Costos (En RD$/Tarea)]])</f>
        <v>-0.491425095197587</v>
      </c>
      <c r="P2364" s="7" t="n">
        <f aca="false">Tabla2[[#This Row],[Rentabilidad (%)]]/12</f>
        <v>-0.0409520912664656</v>
      </c>
    </row>
    <row r="2365" customFormat="false" ht="14.25" hidden="false" customHeight="false" outlineLevel="0" collapsed="false">
      <c r="A2365" s="1" t="n">
        <v>42491</v>
      </c>
      <c r="B2365" s="2" t="s">
        <v>33</v>
      </c>
      <c r="C2365" s="3" t="n">
        <v>765899</v>
      </c>
      <c r="D2365" s="3" t="s">
        <v>31</v>
      </c>
      <c r="E2365" s="11" t="n">
        <f aca="false">IF(Tabla2[[#This Row],[Frecuencia]]="Annual", Tabla2[[#This Row],[Cosecha/Tarea]]/12,Tabla2[[#This Row],[Cosecha/Tarea]])</f>
        <v>63824.9166666667</v>
      </c>
      <c r="F2365" s="3" t="n">
        <v>2330541</v>
      </c>
      <c r="G2365" s="2" t="s">
        <v>18</v>
      </c>
      <c r="H2365" s="2" t="n">
        <f aca="false">F2365/Tabla2[[#This Row],[Cosecha Mensual]]</f>
        <v>36.5145952664777</v>
      </c>
      <c r="I2365" s="2" t="n">
        <f aca="false">H2365*_xlfn.XLOOKUP(Tabla2[[#This Row],[Unidad de producción]],Tabla3[Medida],Tabla3[Equivalencia en Kg],"ELVIS",0)</f>
        <v>1656.30204128743</v>
      </c>
      <c r="J2365" s="2" t="n">
        <v>5976.55902777778</v>
      </c>
      <c r="K2365" s="2" t="s">
        <v>34</v>
      </c>
      <c r="L2365" s="2" t="n">
        <f aca="false">J2365/_xlfn.XLOOKUP(Tabla2[[#This Row],[Unidad de precio]],Tabla3[Medida],Tabla3[Equivalencia en Kg],"ELVIS",0)</f>
        <v>14.6430455170349</v>
      </c>
      <c r="M2365" s="3" t="n">
        <v>19988.8214440479</v>
      </c>
      <c r="N2365" s="3" t="n">
        <f aca="false">(Tabla2[[#This Row],[Productividad (kg/TAS)]]*Tabla2[[#This Row],[Precio por kg]]-Tabla2[[#This Row],[Costos (En RD$/Tarea)]])</f>
        <v>4264.48473648168</v>
      </c>
      <c r="O2365" s="9" t="n">
        <f aca="false">IF(Tabla2[[#This Row],[Costos (En RD$/Tarea)]]=0,0,Tabla2[[#This Row],[Beneficio Neto  (En RD$/Tarea)]]/Tabla2[[#This Row],[Costos (En RD$/Tarea)]])</f>
        <v>0.213343480425732</v>
      </c>
      <c r="P2365" s="7" t="n">
        <f aca="false">Tabla2[[#This Row],[Rentabilidad (%)]]/12</f>
        <v>0.017778623368811</v>
      </c>
    </row>
    <row r="2366" customFormat="false" ht="14.25" hidden="false" customHeight="false" outlineLevel="0" collapsed="false">
      <c r="A2366" s="1" t="n">
        <v>42522</v>
      </c>
      <c r="B2366" s="2" t="s">
        <v>16</v>
      </c>
      <c r="C2366" s="3" t="n">
        <v>151521</v>
      </c>
      <c r="D2366" s="8" t="s">
        <v>17</v>
      </c>
      <c r="E2366" s="3" t="n">
        <f aca="false">IF(Tabla2[[#This Row],[Frecuencia]]="Annual", Tabla2[[#This Row],[Cosecha/Tarea]]/12,Tabla2[[#This Row],[Cosecha/Tarea]])</f>
        <v>151521</v>
      </c>
      <c r="F2366" s="3" t="n">
        <v>817893</v>
      </c>
      <c r="G2366" s="2" t="s">
        <v>18</v>
      </c>
      <c r="H2366" s="2" t="n">
        <f aca="false">F2366/Tabla2[[#This Row],[Cosecha Mensual]]</f>
        <v>5.39788544162195</v>
      </c>
      <c r="I2366" s="2" t="n">
        <f aca="false">H2366*_xlfn.XLOOKUP(Tabla2[[#This Row],[Unidad de producción]],Tabla3[Medida],Tabla3[Equivalencia en Kg],"ELVIS",0)</f>
        <v>244.848083631972</v>
      </c>
      <c r="J2366" s="2" t="n">
        <v>1993.91331279795</v>
      </c>
      <c r="K2366" s="2" t="s">
        <v>19</v>
      </c>
      <c r="L2366" s="2" t="n">
        <f aca="false">J2366/_xlfn.XLOOKUP(Tabla2[[#This Row],[Unidad de precio]],Tabla3[Medida],Tabla3[Equivalencia en Kg],"ELVIS",0)</f>
        <v>18.1264846617995</v>
      </c>
      <c r="M2366" s="2" t="n">
        <v>5924.25478252843</v>
      </c>
      <c r="N2366" s="3" t="n">
        <f aca="false">(Tabla2[[#This Row],[Productividad (kg/TAS)]]*Tabla2[[#This Row],[Precio por kg]]-Tabla2[[#This Row],[Costos (En RD$/Tarea)]])</f>
        <v>-1486.01975010248</v>
      </c>
      <c r="O2366" s="9" t="n">
        <f aca="false">IF(Tabla2[[#This Row],[Costos (En RD$/Tarea)]]=0,0,Tabla2[[#This Row],[Beneficio Neto  (En RD$/Tarea)]]/Tabla2[[#This Row],[Costos (En RD$/Tarea)]])</f>
        <v>-0.250836570109204</v>
      </c>
      <c r="P2366" s="7" t="n">
        <f aca="false">Tabla2[[#This Row],[Rentabilidad (%)]]/12</f>
        <v>-0.0209030475091004</v>
      </c>
    </row>
    <row r="2367" customFormat="false" ht="14.25" hidden="false" customHeight="false" outlineLevel="0" collapsed="false">
      <c r="A2367" s="1" t="n">
        <v>42522</v>
      </c>
      <c r="B2367" s="2" t="s">
        <v>20</v>
      </c>
      <c r="C2367" s="3" t="n">
        <v>32458</v>
      </c>
      <c r="D2367" s="8" t="s">
        <v>17</v>
      </c>
      <c r="E2367" s="3" t="n">
        <f aca="false">IF(Tabla2[[#This Row],[Frecuencia]]="Annual", Tabla2[[#This Row],[Cosecha/Tarea]]/12,Tabla2[[#This Row],[Cosecha/Tarea]])</f>
        <v>32458</v>
      </c>
      <c r="F2367" s="3" t="n">
        <v>86547</v>
      </c>
      <c r="G2367" s="2" t="s">
        <v>18</v>
      </c>
      <c r="H2367" s="2" t="n">
        <f aca="false">F2367/Tabla2[[#This Row],[Cosecha Mensual]]</f>
        <v>2.66643046398423</v>
      </c>
      <c r="I2367" s="2" t="n">
        <f aca="false">H2367*_xlfn.XLOOKUP(Tabla2[[#This Row],[Unidad de producción]],Tabla3[Medida],Tabla3[Equivalencia en Kg],"ELVIS",0)</f>
        <v>120.949285846324</v>
      </c>
      <c r="J2367" s="2" t="n">
        <v>803.653541666667</v>
      </c>
      <c r="K2367" s="2" t="s">
        <v>18</v>
      </c>
      <c r="L2367" s="2" t="n">
        <f aca="false">J2367/_xlfn.XLOOKUP(Tabla2[[#This Row],[Unidad de precio]],Tabla3[Medida],Tabla3[Equivalencia en Kg],"ELVIS",0)</f>
        <v>17.7172297545562</v>
      </c>
      <c r="M2367" s="2" t="n">
        <v>2463.292898352</v>
      </c>
      <c r="N2367" s="3" t="n">
        <f aca="false">(Tabla2[[#This Row],[Productividad (kg/TAS)]]*Tabla2[[#This Row],[Precio por kg]]-Tabla2[[#This Row],[Costos (En RD$/Tarea)]])</f>
        <v>-320.406612363183</v>
      </c>
      <c r="O2367" s="9" t="n">
        <f aca="false">IF(Tabla2[[#This Row],[Costos (En RD$/Tarea)]]=0,0,Tabla2[[#This Row],[Beneficio Neto  (En RD$/Tarea)]]/Tabla2[[#This Row],[Costos (En RD$/Tarea)]])</f>
        <v>-0.130072478420062</v>
      </c>
      <c r="P2367" s="7" t="n">
        <f aca="false">Tabla2[[#This Row],[Rentabilidad (%)]]/12</f>
        <v>-0.0108393732016718</v>
      </c>
    </row>
    <row r="2368" customFormat="false" ht="14.25" hidden="false" customHeight="false" outlineLevel="0" collapsed="false">
      <c r="A2368" s="1" t="n">
        <v>42522</v>
      </c>
      <c r="B2368" s="2" t="s">
        <v>21</v>
      </c>
      <c r="C2368" s="3" t="n">
        <v>6805</v>
      </c>
      <c r="D2368" s="8" t="s">
        <v>17</v>
      </c>
      <c r="E2368" s="3" t="n">
        <f aca="false">IF(Tabla2[[#This Row],[Frecuencia]]="Annual", Tabla2[[#This Row],[Cosecha/Tarea]]/12,Tabla2[[#This Row],[Cosecha/Tarea]])</f>
        <v>6805</v>
      </c>
      <c r="F2368" s="3" t="n">
        <v>78363</v>
      </c>
      <c r="G2368" s="2" t="s">
        <v>18</v>
      </c>
      <c r="H2368" s="2" t="n">
        <f aca="false">F2368/Tabla2[[#This Row],[Cosecha Mensual]]</f>
        <v>11.5155033063924</v>
      </c>
      <c r="I2368" s="2" t="n">
        <f aca="false">H2368*_xlfn.XLOOKUP(Tabla2[[#This Row],[Unidad de producción]],Tabla3[Medida],Tabla3[Equivalencia en Kg],"ELVIS",0)</f>
        <v>522.343229977957</v>
      </c>
      <c r="J2368" s="2" t="n">
        <v>344.360296875</v>
      </c>
      <c r="K2368" s="2" t="s">
        <v>18</v>
      </c>
      <c r="L2368" s="2" t="n">
        <f aca="false">J2368/_xlfn.XLOOKUP(Tabla2[[#This Row],[Unidad de precio]],Tabla3[Medida],Tabla3[Equivalencia en Kg],"ELVIS",0)</f>
        <v>7.59171730324074</v>
      </c>
      <c r="M2368" s="2" t="n">
        <v>4713.68743816075</v>
      </c>
      <c r="N2368" s="3" t="n">
        <f aca="false">(Tabla2[[#This Row],[Productividad (kg/TAS)]]*Tabla2[[#This Row],[Precio por kg]]-Tabla2[[#This Row],[Costos (En RD$/Tarea)]])</f>
        <v>-748.205300906433</v>
      </c>
      <c r="O2368" s="9" t="n">
        <f aca="false">IF(Tabla2[[#This Row],[Costos (En RD$/Tarea)]]=0,0,Tabla2[[#This Row],[Beneficio Neto  (En RD$/Tarea)]]/Tabla2[[#This Row],[Costos (En RD$/Tarea)]])</f>
        <v>-0.15873035934652</v>
      </c>
      <c r="P2368" s="7" t="n">
        <f aca="false">Tabla2[[#This Row],[Rentabilidad (%)]]/12</f>
        <v>-0.0132275299455433</v>
      </c>
    </row>
    <row r="2369" customFormat="false" ht="14.25" hidden="false" customHeight="false" outlineLevel="0" collapsed="false">
      <c r="A2369" s="1" t="n">
        <v>42522</v>
      </c>
      <c r="B2369" s="2" t="s">
        <v>22</v>
      </c>
      <c r="C2369" s="3" t="n">
        <v>4521</v>
      </c>
      <c r="D2369" s="8" t="s">
        <v>17</v>
      </c>
      <c r="E2369" s="3" t="n">
        <f aca="false">IF(Tabla2[[#This Row],[Frecuencia]]="Annual", Tabla2[[#This Row],[Cosecha/Tarea]]/12,Tabla2[[#This Row],[Cosecha/Tarea]])</f>
        <v>4521</v>
      </c>
      <c r="F2369" s="3" t="n">
        <v>33214</v>
      </c>
      <c r="G2369" s="2" t="s">
        <v>18</v>
      </c>
      <c r="H2369" s="2" t="n">
        <f aca="false">F2369/Tabla2[[#This Row],[Cosecha Mensual]]</f>
        <v>7.34660473346605</v>
      </c>
      <c r="I2369" s="2" t="n">
        <f aca="false">H2369*_xlfn.XLOOKUP(Tabla2[[#This Row],[Unidad de producción]],Tabla3[Medida],Tabla3[Equivalencia en Kg],"ELVIS",0)</f>
        <v>333.24199071002</v>
      </c>
      <c r="J2369" s="2" t="n">
        <v>1415.82361111111</v>
      </c>
      <c r="K2369" s="2" t="s">
        <v>18</v>
      </c>
      <c r="L2369" s="2" t="n">
        <f aca="false">J2369/_xlfn.XLOOKUP(Tabla2[[#This Row],[Unidad de precio]],Tabla3[Medida],Tabla3[Equivalencia en Kg],"ELVIS",0)</f>
        <v>31.2130425729963</v>
      </c>
      <c r="M2369" s="2" t="n">
        <v>8550.15765636903</v>
      </c>
      <c r="N2369" s="3" t="n">
        <f aca="false">(Tabla2[[#This Row],[Productividad (kg/TAS)]]*Tabla2[[#This Row],[Precio por kg]]-Tabla2[[#This Row],[Costos (En RD$/Tarea)]])</f>
        <v>1851.33878677284</v>
      </c>
      <c r="O2369" s="9" t="n">
        <f aca="false">IF(Tabla2[[#This Row],[Costos (En RD$/Tarea)]]=0,0,Tabla2[[#This Row],[Beneficio Neto  (En RD$/Tarea)]]/Tabla2[[#This Row],[Costos (En RD$/Tarea)]])</f>
        <v>0.216526859641445</v>
      </c>
      <c r="P2369" s="7" t="n">
        <f aca="false">Tabla2[[#This Row],[Rentabilidad (%)]]/12</f>
        <v>0.0180439049701204</v>
      </c>
    </row>
    <row r="2370" customFormat="false" ht="14.25" hidden="false" customHeight="false" outlineLevel="0" collapsed="false">
      <c r="A2370" s="1" t="n">
        <v>42522</v>
      </c>
      <c r="B2370" s="2" t="s">
        <v>23</v>
      </c>
      <c r="C2370" s="3" t="n">
        <v>4210</v>
      </c>
      <c r="D2370" s="8" t="s">
        <v>17</v>
      </c>
      <c r="E2370" s="3" t="n">
        <f aca="false">IF(Tabla2[[#This Row],[Frecuencia]]="Annual", Tabla2[[#This Row],[Cosecha/Tarea]]/12,Tabla2[[#This Row],[Cosecha/Tarea]])</f>
        <v>4210</v>
      </c>
      <c r="F2370" s="3" t="n">
        <v>157220</v>
      </c>
      <c r="G2370" s="2" t="s">
        <v>18</v>
      </c>
      <c r="H2370" s="2" t="n">
        <f aca="false">F2370/Tabla2[[#This Row],[Cosecha Mensual]]</f>
        <v>37.3444180522565</v>
      </c>
      <c r="I2370" s="2" t="n">
        <f aca="false">H2370*_xlfn.XLOOKUP(Tabla2[[#This Row],[Unidad de producción]],Tabla3[Medida],Tabla3[Equivalencia en Kg],"ELVIS",0)</f>
        <v>1693.94280285036</v>
      </c>
      <c r="J2370" s="2" t="n">
        <v>818.75</v>
      </c>
      <c r="K2370" s="2" t="s">
        <v>18</v>
      </c>
      <c r="L2370" s="2" t="n">
        <f aca="false">J2370/_xlfn.XLOOKUP(Tabla2[[#This Row],[Unidad de precio]],Tabla3[Medida],Tabla3[Equivalencia en Kg],"ELVIS",0)</f>
        <v>18.0500440917108</v>
      </c>
      <c r="M2370" s="2" t="n">
        <v>23192.17</v>
      </c>
      <c r="N2370" s="3" t="n">
        <f aca="false">(Tabla2[[#This Row],[Productividad (kg/TAS)]]*Tabla2[[#This Row],[Precio por kg]]-Tabla2[[#This Row],[Costos (En RD$/Tarea)]])</f>
        <v>7383.57228028504</v>
      </c>
      <c r="O2370" s="9" t="n">
        <f aca="false">IF(Tabla2[[#This Row],[Costos (En RD$/Tarea)]]=0,0,Tabla2[[#This Row],[Beneficio Neto  (En RD$/Tarea)]]/Tabla2[[#This Row],[Costos (En RD$/Tarea)]])</f>
        <v>0.318364874019337</v>
      </c>
      <c r="P2370" s="7" t="n">
        <f aca="false">Tabla2[[#This Row],[Rentabilidad (%)]]/12</f>
        <v>0.0265304061682781</v>
      </c>
    </row>
    <row r="2371" customFormat="false" ht="14.25" hidden="false" customHeight="false" outlineLevel="0" collapsed="false">
      <c r="A2371" s="1" t="n">
        <v>42522</v>
      </c>
      <c r="B2371" s="2" t="s">
        <v>24</v>
      </c>
      <c r="C2371" s="3" t="n">
        <v>6455</v>
      </c>
      <c r="D2371" s="8" t="s">
        <v>17</v>
      </c>
      <c r="E2371" s="3" t="n">
        <f aca="false">IF(Tabla2[[#This Row],[Frecuencia]]="Annual", Tabla2[[#This Row],[Cosecha/Tarea]]/12,Tabla2[[#This Row],[Cosecha/Tarea]])</f>
        <v>6455</v>
      </c>
      <c r="F2371" s="3" t="n">
        <v>61090</v>
      </c>
      <c r="G2371" s="2" t="s">
        <v>18</v>
      </c>
      <c r="H2371" s="2" t="n">
        <f aca="false">F2371/Tabla2[[#This Row],[Cosecha Mensual]]</f>
        <v>9.46398140975988</v>
      </c>
      <c r="I2371" s="2" t="n">
        <f aca="false">H2371*_xlfn.XLOOKUP(Tabla2[[#This Row],[Unidad de producción]],Tabla3[Medida],Tabla3[Equivalencia en Kg],"ELVIS",0)</f>
        <v>429.286196746708</v>
      </c>
      <c r="J2371" s="2" t="n">
        <v>2149.05</v>
      </c>
      <c r="K2371" s="2" t="s">
        <v>18</v>
      </c>
      <c r="L2371" s="2" t="n">
        <f aca="false">J2371/_xlfn.XLOOKUP(Tabla2[[#This Row],[Unidad de precio]],Tabla3[Medida],Tabla3[Equivalencia en Kg],"ELVIS",0)</f>
        <v>47.3776455026455</v>
      </c>
      <c r="M2371" s="2" t="n">
        <v>8705.156224128</v>
      </c>
      <c r="N2371" s="3" t="n">
        <f aca="false">(Tabla2[[#This Row],[Productividad (kg/TAS)]]*Tabla2[[#This Row],[Precio por kg]]-Tabla2[[#This Row],[Costos (En RD$/Tarea)]])</f>
        <v>11633.4130245165</v>
      </c>
      <c r="O2371" s="9" t="n">
        <f aca="false">IF(Tabla2[[#This Row],[Costos (En RD$/Tarea)]]=0,0,Tabla2[[#This Row],[Beneficio Neto  (En RD$/Tarea)]]/Tabla2[[#This Row],[Costos (En RD$/Tarea)]])</f>
        <v>1.3363818781646</v>
      </c>
      <c r="P2371" s="7" t="n">
        <f aca="false">Tabla2[[#This Row],[Rentabilidad (%)]]/12</f>
        <v>0.111365156513717</v>
      </c>
    </row>
    <row r="2372" customFormat="false" ht="14.25" hidden="false" customHeight="false" outlineLevel="0" collapsed="false">
      <c r="A2372" s="1" t="n">
        <v>42522</v>
      </c>
      <c r="B2372" s="2" t="s">
        <v>25</v>
      </c>
      <c r="C2372" s="3" t="n">
        <v>26877</v>
      </c>
      <c r="D2372" s="8" t="s">
        <v>17</v>
      </c>
      <c r="E2372" s="3" t="n">
        <f aca="false">IF(Tabla2[[#This Row],[Frecuencia]]="Annual", Tabla2[[#This Row],[Cosecha/Tarea]]/12,Tabla2[[#This Row],[Cosecha/Tarea]])</f>
        <v>26877</v>
      </c>
      <c r="F2372" s="3" t="n">
        <v>254792</v>
      </c>
      <c r="G2372" s="2" t="s">
        <v>18</v>
      </c>
      <c r="H2372" s="2" t="n">
        <f aca="false">F2372/Tabla2[[#This Row],[Cosecha Mensual]]</f>
        <v>9.4799270751944</v>
      </c>
      <c r="I2372" s="2" t="n">
        <f aca="false">H2372*_xlfn.XLOOKUP(Tabla2[[#This Row],[Unidad de producción]],Tabla3[Medida],Tabla3[Equivalencia en Kg],"ELVIS",0)</f>
        <v>430.009492130818</v>
      </c>
      <c r="J2372" s="2" t="n">
        <v>947.71875</v>
      </c>
      <c r="K2372" s="2" t="s">
        <v>18</v>
      </c>
      <c r="L2372" s="2" t="n">
        <f aca="false">J2372/_xlfn.XLOOKUP(Tabla2[[#This Row],[Unidad de precio]],Tabla3[Medida],Tabla3[Equivalencia en Kg],"ELVIS",0)</f>
        <v>20.8932705026455</v>
      </c>
      <c r="M2372" s="2" t="n">
        <v>4784.76271988092</v>
      </c>
      <c r="N2372" s="3" t="n">
        <f aca="false">(Tabla2[[#This Row],[Productividad (kg/TAS)]]*Tabla2[[#This Row],[Precio por kg]]-Tabla2[[#This Row],[Costos (En RD$/Tarea)]])</f>
        <v>4199.54191791348</v>
      </c>
      <c r="O2372" s="9" t="n">
        <f aca="false">IF(Tabla2[[#This Row],[Costos (En RD$/Tarea)]]=0,0,Tabla2[[#This Row],[Beneficio Neto  (En RD$/Tarea)]]/Tabla2[[#This Row],[Costos (En RD$/Tarea)]])</f>
        <v>0.877690736985594</v>
      </c>
      <c r="P2372" s="7" t="n">
        <f aca="false">Tabla2[[#This Row],[Rentabilidad (%)]]/12</f>
        <v>0.0731408947487995</v>
      </c>
    </row>
    <row r="2373" customFormat="false" ht="14.25" hidden="false" customHeight="false" outlineLevel="0" collapsed="false">
      <c r="A2373" s="1" t="n">
        <v>42522</v>
      </c>
      <c r="B2373" s="2" t="s">
        <v>26</v>
      </c>
      <c r="C2373" s="3" t="n">
        <v>11568</v>
      </c>
      <c r="D2373" s="8" t="s">
        <v>17</v>
      </c>
      <c r="E2373" s="3" t="n">
        <f aca="false">IF(Tabla2[[#This Row],[Frecuencia]]="Annual", Tabla2[[#This Row],[Cosecha/Tarea]]/12,Tabla2[[#This Row],[Cosecha/Tarea]])</f>
        <v>11568</v>
      </c>
      <c r="F2373" s="3" t="n">
        <v>70124</v>
      </c>
      <c r="G2373" s="2" t="s">
        <v>18</v>
      </c>
      <c r="H2373" s="2" t="n">
        <f aca="false">F2373/Tabla2[[#This Row],[Cosecha Mensual]]</f>
        <v>6.0618948824343</v>
      </c>
      <c r="I2373" s="2" t="n">
        <f aca="false">H2373*_xlfn.XLOOKUP(Tabla2[[#This Row],[Unidad de producción]],Tabla3[Medida],Tabla3[Equivalencia en Kg],"ELVIS",0)</f>
        <v>274.96755186722</v>
      </c>
      <c r="J2373" s="2" t="n">
        <v>882.842261904762</v>
      </c>
      <c r="K2373" s="2" t="s">
        <v>18</v>
      </c>
      <c r="L2373" s="2" t="n">
        <f aca="false">J2373/_xlfn.XLOOKUP(Tabla2[[#This Row],[Unidad de precio]],Tabla3[Medida],Tabla3[Equivalencia en Kg],"ELVIS",0)</f>
        <v>19.4630128285882</v>
      </c>
      <c r="M2373" s="2" t="n">
        <v>1888.43011620852</v>
      </c>
      <c r="N2373" s="3" t="n">
        <f aca="false">(Tabla2[[#This Row],[Productividad (kg/TAS)]]*Tabla2[[#This Row],[Precio por kg]]-Tabla2[[#This Row],[Costos (En RD$/Tarea)]])</f>
        <v>3463.26687322868</v>
      </c>
      <c r="O2373" s="9" t="n">
        <f aca="false">IF(Tabla2[[#This Row],[Costos (En RD$/Tarea)]]=0,0,Tabla2[[#This Row],[Beneficio Neto  (En RD$/Tarea)]]/Tabla2[[#This Row],[Costos (En RD$/Tarea)]])</f>
        <v>1.83393965363252</v>
      </c>
      <c r="P2373" s="7" t="n">
        <f aca="false">Tabla2[[#This Row],[Rentabilidad (%)]]/12</f>
        <v>0.152828304469377</v>
      </c>
    </row>
    <row r="2374" customFormat="false" ht="14.25" hidden="false" customHeight="false" outlineLevel="0" collapsed="false">
      <c r="A2374" s="1" t="n">
        <v>42522</v>
      </c>
      <c r="B2374" s="2" t="s">
        <v>27</v>
      </c>
      <c r="C2374" s="3" t="n">
        <v>7952</v>
      </c>
      <c r="D2374" s="8" t="s">
        <v>17</v>
      </c>
      <c r="E2374" s="3" t="n">
        <f aca="false">IF(Tabla2[[#This Row],[Frecuencia]]="Annual", Tabla2[[#This Row],[Cosecha/Tarea]]/12,Tabla2[[#This Row],[Cosecha/Tarea]])</f>
        <v>7952</v>
      </c>
      <c r="F2374" s="3" t="n">
        <v>53760</v>
      </c>
      <c r="G2374" s="2" t="s">
        <v>18</v>
      </c>
      <c r="H2374" s="2" t="n">
        <f aca="false">F2374/Tabla2[[#This Row],[Cosecha Mensual]]</f>
        <v>6.76056338028169</v>
      </c>
      <c r="I2374" s="2" t="n">
        <f aca="false">H2374*_xlfn.XLOOKUP(Tabla2[[#This Row],[Unidad de producción]],Tabla3[Medida],Tabla3[Equivalencia en Kg],"ELVIS",0)</f>
        <v>306.659154929578</v>
      </c>
      <c r="J2374" s="2" t="n">
        <v>592.45</v>
      </c>
      <c r="K2374" s="2" t="s">
        <v>18</v>
      </c>
      <c r="L2374" s="2" t="n">
        <f aca="false">J2374/_xlfn.XLOOKUP(Tabla2[[#This Row],[Unidad de precio]],Tabla3[Medida],Tabla3[Equivalencia en Kg],"ELVIS",0)</f>
        <v>13.0610670194004</v>
      </c>
      <c r="M2374" s="2" t="n">
        <v>8287.288275158</v>
      </c>
      <c r="N2374" s="3" t="n">
        <f aca="false">(Tabla2[[#This Row],[Productividad (kg/TAS)]]*Tabla2[[#This Row],[Precio por kg]]-Tabla2[[#This Row],[Costos (En RD$/Tarea)]])</f>
        <v>-4281.99250051011</v>
      </c>
      <c r="O2374" s="9" t="n">
        <f aca="false">IF(Tabla2[[#This Row],[Costos (En RD$/Tarea)]]=0,0,Tabla2[[#This Row],[Beneficio Neto  (En RD$/Tarea)]]/Tabla2[[#This Row],[Costos (En RD$/Tarea)]])</f>
        <v>-0.51669404494421</v>
      </c>
      <c r="P2374" s="7" t="n">
        <f aca="false">Tabla2[[#This Row],[Rentabilidad (%)]]/12</f>
        <v>-0.0430578370786842</v>
      </c>
    </row>
    <row r="2375" customFormat="false" ht="14.25" hidden="false" customHeight="false" outlineLevel="0" collapsed="false">
      <c r="A2375" s="1" t="n">
        <v>42522</v>
      </c>
      <c r="B2375" s="2" t="s">
        <v>28</v>
      </c>
      <c r="C2375" s="3" t="n">
        <v>39524</v>
      </c>
      <c r="D2375" s="8" t="s">
        <v>17</v>
      </c>
      <c r="E2375" s="3" t="n">
        <f aca="false">IF(Tabla2[[#This Row],[Frecuencia]]="Annual", Tabla2[[#This Row],[Cosecha/Tarea]]/12,Tabla2[[#This Row],[Cosecha/Tarea]])</f>
        <v>39524</v>
      </c>
      <c r="F2375" s="3" t="n">
        <v>1006812</v>
      </c>
      <c r="G2375" s="2" t="s">
        <v>18</v>
      </c>
      <c r="H2375" s="2" t="n">
        <f aca="false">F2375/Tabla2[[#This Row],[Cosecha Mensual]]</f>
        <v>25.4734338629693</v>
      </c>
      <c r="I2375" s="2" t="n">
        <f aca="false">H2375*_xlfn.XLOOKUP(Tabla2[[#This Row],[Unidad de producción]],Tabla3[Medida],Tabla3[Equivalencia en Kg],"ELVIS",0)</f>
        <v>1155.47496002429</v>
      </c>
      <c r="J2375" s="2" t="n">
        <v>7875</v>
      </c>
      <c r="K2375" s="2" t="s">
        <v>29</v>
      </c>
      <c r="L2375" s="2" t="n">
        <f aca="false">J2375/_xlfn.XLOOKUP(Tabla2[[#This Row],[Unidad de precio]],Tabla3[Medida],Tabla3[Equivalencia en Kg],"ELVIS",0)</f>
        <v>14.0039833552655</v>
      </c>
      <c r="M2375" s="2" t="n">
        <v>7046.24991079678</v>
      </c>
      <c r="N2375" s="3" t="n">
        <f aca="false">(Tabla2[[#This Row],[Productividad (kg/TAS)]]*Tabla2[[#This Row],[Precio por kg]]-Tabla2[[#This Row],[Costos (En RD$/Tarea)]])</f>
        <v>9135.00219680943</v>
      </c>
      <c r="O2375" s="9" t="n">
        <f aca="false">IF(Tabla2[[#This Row],[Costos (En RD$/Tarea)]]=0,0,Tabla2[[#This Row],[Beneficio Neto  (En RD$/Tarea)]]/Tabla2[[#This Row],[Costos (En RD$/Tarea)]])</f>
        <v>1.29643460173221</v>
      </c>
      <c r="P2375" s="7" t="n">
        <f aca="false">Tabla2[[#This Row],[Rentabilidad (%)]]/12</f>
        <v>0.108036216811017</v>
      </c>
    </row>
    <row r="2376" customFormat="false" ht="14.25" hidden="false" customHeight="false" outlineLevel="0" collapsed="false">
      <c r="A2376" s="1" t="n">
        <v>42522</v>
      </c>
      <c r="B2376" s="2" t="s">
        <v>30</v>
      </c>
      <c r="C2376" s="3" t="n">
        <v>444102</v>
      </c>
      <c r="D2376" s="3" t="s">
        <v>31</v>
      </c>
      <c r="E2376" s="3" t="n">
        <f aca="false">IF(Tabla2[[#This Row],[Frecuencia]]="Annual", Tabla2[[#This Row],[Cosecha/Tarea]]/12,Tabla2[[#This Row],[Cosecha/Tarea]])</f>
        <v>37008.5</v>
      </c>
      <c r="F2376" s="3" t="n">
        <v>2279872.8</v>
      </c>
      <c r="G2376" s="2" t="s">
        <v>18</v>
      </c>
      <c r="H2376" s="2" t="n">
        <f aca="false">F2376/Tabla2[[#This Row],[Cosecha Mensual]]</f>
        <v>61.6040315062756</v>
      </c>
      <c r="I2376" s="2" t="n">
        <f aca="false">H2376*_xlfn.XLOOKUP(Tabla2[[#This Row],[Unidad de producción]],Tabla3[Medida],Tabla3[Equivalencia en Kg],"ELVIS",0)</f>
        <v>2794.35886912466</v>
      </c>
      <c r="J2376" s="2" t="n">
        <v>168.117395833333</v>
      </c>
      <c r="K2376" s="2" t="s">
        <v>32</v>
      </c>
      <c r="L2376" s="2" t="n">
        <f aca="false">J2376/_xlfn.XLOOKUP(Tabla2[[#This Row],[Unidad de precio]],Tabla3[Medida],Tabla3[Equivalencia en Kg],"ELVIS",0)</f>
        <v>6.17851509861569</v>
      </c>
      <c r="M2376" s="3" t="n">
        <v>31633.940308743</v>
      </c>
      <c r="N2376" s="3" t="n">
        <f aca="false">(Tabla2[[#This Row],[Productividad (kg/TAS)]]*Tabla2[[#This Row],[Precio por kg]]-Tabla2[[#This Row],[Costos (En RD$/Tarea)]])</f>
        <v>-14368.9518449056</v>
      </c>
      <c r="O2376" s="9" t="n">
        <f aca="false">IF(Tabla2[[#This Row],[Costos (En RD$/Tarea)]]=0,0,Tabla2[[#This Row],[Beneficio Neto  (En RD$/Tarea)]]/Tabla2[[#This Row],[Costos (En RD$/Tarea)]])</f>
        <v>-0.454225800032072</v>
      </c>
      <c r="P2376" s="7" t="n">
        <f aca="false">Tabla2[[#This Row],[Rentabilidad (%)]]/12</f>
        <v>-0.0378521500026727</v>
      </c>
    </row>
    <row r="2377" customFormat="false" ht="14.25" hidden="false" customHeight="false" outlineLevel="0" collapsed="false">
      <c r="A2377" s="1" t="n">
        <v>42522</v>
      </c>
      <c r="B2377" s="2" t="s">
        <v>33</v>
      </c>
      <c r="C2377" s="3" t="n">
        <v>762989</v>
      </c>
      <c r="D2377" s="3" t="s">
        <v>31</v>
      </c>
      <c r="E2377" s="3" t="n">
        <f aca="false">IF(Tabla2[[#This Row],[Frecuencia]]="Annual", Tabla2[[#This Row],[Cosecha/Tarea]]/12,Tabla2[[#This Row],[Cosecha/Tarea]])</f>
        <v>63582.4166666667</v>
      </c>
      <c r="F2377" s="3" t="n">
        <v>1774890</v>
      </c>
      <c r="G2377" s="2" t="s">
        <v>18</v>
      </c>
      <c r="H2377" s="2" t="n">
        <f aca="false">F2377/Tabla2[[#This Row],[Cosecha Mensual]]</f>
        <v>27.9147930048795</v>
      </c>
      <c r="I2377" s="2" t="n">
        <f aca="false">H2377*_xlfn.XLOOKUP(Tabla2[[#This Row],[Unidad de producción]],Tabla3[Medida],Tabla3[Equivalencia en Kg],"ELVIS",0)</f>
        <v>1266.21501070133</v>
      </c>
      <c r="J2377" s="2" t="n">
        <v>5444.51979166667</v>
      </c>
      <c r="K2377" s="2" t="s">
        <v>34</v>
      </c>
      <c r="L2377" s="2" t="n">
        <f aca="false">J2377/_xlfn.XLOOKUP(Tabla2[[#This Row],[Unidad de precio]],Tabla3[Medida],Tabla3[Equivalencia en Kg],"ELVIS",0)</f>
        <v>13.3395070235616</v>
      </c>
      <c r="M2377" s="3" t="n">
        <v>19988.8214440479</v>
      </c>
      <c r="N2377" s="3" t="n">
        <f aca="false">(Tabla2[[#This Row],[Productividad (kg/TAS)]]*Tabla2[[#This Row],[Precio por kg]]-Tabla2[[#This Row],[Costos (En RD$/Tarea)]])</f>
        <v>-3098.13741545832</v>
      </c>
      <c r="O2377" s="9" t="n">
        <f aca="false">IF(Tabla2[[#This Row],[Costos (En RD$/Tarea)]]=0,0,Tabla2[[#This Row],[Beneficio Neto  (En RD$/Tarea)]]/Tabla2[[#This Row],[Costos (En RD$/Tarea)]])</f>
        <v>-0.154993500949044</v>
      </c>
      <c r="P2377" s="7" t="n">
        <f aca="false">Tabla2[[#This Row],[Rentabilidad (%)]]/12</f>
        <v>-0.012916125079087</v>
      </c>
    </row>
    <row r="2378" customFormat="false" ht="14.25" hidden="false" customHeight="false" outlineLevel="0" collapsed="false">
      <c r="A2378" s="1" t="n">
        <v>42552</v>
      </c>
      <c r="B2378" s="2" t="s">
        <v>16</v>
      </c>
      <c r="C2378" s="3" t="n">
        <v>77897</v>
      </c>
      <c r="D2378" s="8" t="s">
        <v>17</v>
      </c>
      <c r="E2378" s="3" t="n">
        <f aca="false">IF(Tabla2[[#This Row],[Frecuencia]]="Annual", Tabla2[[#This Row],[Cosecha/Tarea]]/12,Tabla2[[#This Row],[Cosecha/Tarea]])</f>
        <v>77897</v>
      </c>
      <c r="F2378" s="3" t="n">
        <v>327707</v>
      </c>
      <c r="G2378" s="2" t="s">
        <v>18</v>
      </c>
      <c r="H2378" s="2" t="n">
        <f aca="false">F2378/Tabla2[[#This Row],[Cosecha Mensual]]</f>
        <v>4.20692709603708</v>
      </c>
      <c r="I2378" s="2" t="n">
        <f aca="false">H2378*_xlfn.XLOOKUP(Tabla2[[#This Row],[Unidad de producción]],Tabla3[Medida],Tabla3[Equivalencia en Kg],"ELVIS",0)</f>
        <v>190.826213076242</v>
      </c>
      <c r="J2378" s="2" t="n">
        <v>2030.57493353502</v>
      </c>
      <c r="K2378" s="2" t="s">
        <v>19</v>
      </c>
      <c r="L2378" s="2" t="n">
        <f aca="false">J2378/_xlfn.XLOOKUP(Tabla2[[#This Row],[Unidad de precio]],Tabla3[Medida],Tabla3[Equivalencia en Kg],"ELVIS",0)</f>
        <v>18.4597721230456</v>
      </c>
      <c r="M2378" s="2" t="n">
        <v>5924.25478252843</v>
      </c>
      <c r="N2378" s="3" t="n">
        <f aca="false">(Tabla2[[#This Row],[Productividad (kg/TAS)]]*Tabla2[[#This Row],[Precio por kg]]-Tabla2[[#This Row],[Costos (En RD$/Tarea)]])</f>
        <v>-2401.64637403726</v>
      </c>
      <c r="O2378" s="9" t="n">
        <f aca="false">IF(Tabla2[[#This Row],[Costos (En RD$/Tarea)]]=0,0,Tabla2[[#This Row],[Beneficio Neto  (En RD$/Tarea)]]/Tabla2[[#This Row],[Costos (En RD$/Tarea)]])</f>
        <v>-0.405392148413349</v>
      </c>
      <c r="P2378" s="7" t="n">
        <f aca="false">Tabla2[[#This Row],[Rentabilidad (%)]]/12</f>
        <v>-0.0337826790344457</v>
      </c>
    </row>
    <row r="2379" customFormat="false" ht="14.25" hidden="false" customHeight="false" outlineLevel="0" collapsed="false">
      <c r="A2379" s="1" t="n">
        <v>42552</v>
      </c>
      <c r="B2379" s="2" t="s">
        <v>20</v>
      </c>
      <c r="C2379" s="3" t="n">
        <v>34911</v>
      </c>
      <c r="D2379" s="8" t="s">
        <v>17</v>
      </c>
      <c r="E2379" s="3" t="n">
        <f aca="false">IF(Tabla2[[#This Row],[Frecuencia]]="Annual", Tabla2[[#This Row],[Cosecha/Tarea]]/12,Tabla2[[#This Row],[Cosecha/Tarea]])</f>
        <v>34911</v>
      </c>
      <c r="F2379" s="3" t="n">
        <v>72736</v>
      </c>
      <c r="G2379" s="2" t="s">
        <v>18</v>
      </c>
      <c r="H2379" s="2" t="n">
        <f aca="false">F2379/Tabla2[[#This Row],[Cosecha Mensual]]</f>
        <v>2.08346939360087</v>
      </c>
      <c r="I2379" s="2" t="n">
        <f aca="false">H2379*_xlfn.XLOOKUP(Tabla2[[#This Row],[Unidad de producción]],Tabla3[Medida],Tabla3[Equivalencia en Kg],"ELVIS",0)</f>
        <v>94.5061716937355</v>
      </c>
      <c r="J2379" s="2" t="n">
        <v>784.127604166667</v>
      </c>
      <c r="K2379" s="2" t="s">
        <v>18</v>
      </c>
      <c r="L2379" s="2" t="n">
        <f aca="false">J2379/_xlfn.XLOOKUP(Tabla2[[#This Row],[Unidad de precio]],Tabla3[Medida],Tabla3[Equivalencia en Kg],"ELVIS",0)</f>
        <v>17.2867637602881</v>
      </c>
      <c r="M2379" s="2" t="n">
        <v>2463.292898352</v>
      </c>
      <c r="N2379" s="3" t="n">
        <f aca="false">(Tabla2[[#This Row],[Productividad (kg/TAS)]]*Tabla2[[#This Row],[Precio por kg]]-Tabla2[[#This Row],[Costos (En RD$/Tarea)]])</f>
        <v>-829.587034393171</v>
      </c>
      <c r="O2379" s="9" t="n">
        <f aca="false">IF(Tabla2[[#This Row],[Costos (En RD$/Tarea)]]=0,0,Tabla2[[#This Row],[Beneficio Neto  (En RD$/Tarea)]]/Tabla2[[#This Row],[Costos (En RD$/Tarea)]])</f>
        <v>-0.336779696376417</v>
      </c>
      <c r="P2379" s="7" t="n">
        <f aca="false">Tabla2[[#This Row],[Rentabilidad (%)]]/12</f>
        <v>-0.0280649746980348</v>
      </c>
    </row>
    <row r="2380" customFormat="false" ht="14.25" hidden="false" customHeight="false" outlineLevel="0" collapsed="false">
      <c r="A2380" s="1" t="n">
        <v>42552</v>
      </c>
      <c r="B2380" s="2" t="s">
        <v>21</v>
      </c>
      <c r="C2380" s="3" t="n">
        <v>7544</v>
      </c>
      <c r="D2380" s="8" t="s">
        <v>17</v>
      </c>
      <c r="E2380" s="3" t="n">
        <f aca="false">IF(Tabla2[[#This Row],[Frecuencia]]="Annual", Tabla2[[#This Row],[Cosecha/Tarea]]/12,Tabla2[[#This Row],[Cosecha/Tarea]])</f>
        <v>7544</v>
      </c>
      <c r="F2380" s="3" t="n">
        <v>91446</v>
      </c>
      <c r="G2380" s="2" t="s">
        <v>18</v>
      </c>
      <c r="H2380" s="2" t="n">
        <f aca="false">F2380/Tabla2[[#This Row],[Cosecha Mensual]]</f>
        <v>12.1216861081654</v>
      </c>
      <c r="I2380" s="2" t="n">
        <f aca="false">H2380*_xlfn.XLOOKUP(Tabla2[[#This Row],[Unidad de producción]],Tabla3[Medida],Tabla3[Equivalencia en Kg],"ELVIS",0)</f>
        <v>549.839681866384</v>
      </c>
      <c r="J2380" s="2" t="n">
        <v>377.919791666667</v>
      </c>
      <c r="K2380" s="2" t="s">
        <v>18</v>
      </c>
      <c r="L2380" s="2" t="n">
        <f aca="false">J2380/_xlfn.XLOOKUP(Tabla2[[#This Row],[Unidad de precio]],Tabla3[Medida],Tabla3[Equivalencia en Kg],"ELVIS",0)</f>
        <v>8.33156507201647</v>
      </c>
      <c r="M2380" s="2" t="n">
        <v>4713.68743816075</v>
      </c>
      <c r="N2380" s="3" t="n">
        <f aca="false">(Tabla2[[#This Row],[Productividad (kg/TAS)]]*Tabla2[[#This Row],[Precio por kg]]-Tabla2[[#This Row],[Costos (En RD$/Tarea)]])</f>
        <v>-132.662349514139</v>
      </c>
      <c r="O2380" s="9" t="n">
        <f aca="false">IF(Tabla2[[#This Row],[Costos (En RD$/Tarea)]]=0,0,Tabla2[[#This Row],[Beneficio Neto  (En RD$/Tarea)]]/Tabla2[[#This Row],[Costos (En RD$/Tarea)]])</f>
        <v>-0.0281440700628855</v>
      </c>
      <c r="P2380" s="7" t="n">
        <f aca="false">Tabla2[[#This Row],[Rentabilidad (%)]]/12</f>
        <v>-0.00234533917190712</v>
      </c>
    </row>
    <row r="2381" customFormat="false" ht="14.25" hidden="false" customHeight="false" outlineLevel="0" collapsed="false">
      <c r="A2381" s="1" t="n">
        <v>42552</v>
      </c>
      <c r="B2381" s="2" t="s">
        <v>22</v>
      </c>
      <c r="C2381" s="3" t="n">
        <v>6189</v>
      </c>
      <c r="D2381" s="8" t="s">
        <v>17</v>
      </c>
      <c r="E2381" s="3" t="n">
        <f aca="false">IF(Tabla2[[#This Row],[Frecuencia]]="Annual", Tabla2[[#This Row],[Cosecha/Tarea]]/12,Tabla2[[#This Row],[Cosecha/Tarea]])</f>
        <v>6189</v>
      </c>
      <c r="F2381" s="3" t="n">
        <v>60936</v>
      </c>
      <c r="G2381" s="2" t="s">
        <v>18</v>
      </c>
      <c r="H2381" s="2" t="n">
        <f aca="false">F2381/Tabla2[[#This Row],[Cosecha Mensual]]</f>
        <v>9.84585555016966</v>
      </c>
      <c r="I2381" s="2" t="n">
        <f aca="false">H2381*_xlfn.XLOOKUP(Tabla2[[#This Row],[Unidad de producción]],Tabla3[Medida],Tabla3[Equivalencia en Kg],"ELVIS",0)</f>
        <v>446.608007755696</v>
      </c>
      <c r="J2381" s="2" t="n">
        <v>1706.67261904762</v>
      </c>
      <c r="K2381" s="2" t="s">
        <v>18</v>
      </c>
      <c r="L2381" s="2" t="n">
        <f aca="false">J2381/_xlfn.XLOOKUP(Tabla2[[#This Row],[Unidad de precio]],Tabla3[Medida],Tabla3[Equivalencia en Kg],"ELVIS",0)</f>
        <v>37.6250577391451</v>
      </c>
      <c r="M2381" s="2" t="n">
        <v>8550.15765636903</v>
      </c>
      <c r="N2381" s="3" t="n">
        <f aca="false">(Tabla2[[#This Row],[Productividad (kg/TAS)]]*Tabla2[[#This Row],[Precio por kg]]-Tabla2[[#This Row],[Costos (En RD$/Tarea)]])</f>
        <v>8253.49442220357</v>
      </c>
      <c r="O2381" s="9" t="n">
        <f aca="false">IF(Tabla2[[#This Row],[Costos (En RD$/Tarea)]]=0,0,Tabla2[[#This Row],[Beneficio Neto  (En RD$/Tarea)]]/Tabla2[[#This Row],[Costos (En RD$/Tarea)]])</f>
        <v>0.96530318549805</v>
      </c>
      <c r="P2381" s="7" t="n">
        <f aca="false">Tabla2[[#This Row],[Rentabilidad (%)]]/12</f>
        <v>0.0804419321248375</v>
      </c>
    </row>
    <row r="2382" customFormat="false" ht="14.25" hidden="false" customHeight="false" outlineLevel="0" collapsed="false">
      <c r="A2382" s="1" t="n">
        <v>42552</v>
      </c>
      <c r="B2382" s="2" t="s">
        <v>23</v>
      </c>
      <c r="C2382" s="3" t="n">
        <v>2801</v>
      </c>
      <c r="D2382" s="8" t="s">
        <v>17</v>
      </c>
      <c r="E2382" s="3" t="n">
        <f aca="false">IF(Tabla2[[#This Row],[Frecuencia]]="Annual", Tabla2[[#This Row],[Cosecha/Tarea]]/12,Tabla2[[#This Row],[Cosecha/Tarea]])</f>
        <v>2801</v>
      </c>
      <c r="F2382" s="3" t="n">
        <v>107698</v>
      </c>
      <c r="G2382" s="2" t="s">
        <v>18</v>
      </c>
      <c r="H2382" s="2" t="n">
        <f aca="false">F2382/Tabla2[[#This Row],[Cosecha Mensual]]</f>
        <v>38.4498393430918</v>
      </c>
      <c r="I2382" s="2" t="n">
        <f aca="false">H2382*_xlfn.XLOOKUP(Tabla2[[#This Row],[Unidad de producción]],Tabla3[Medida],Tabla3[Equivalencia en Kg],"ELVIS",0)</f>
        <v>1744.08471260264</v>
      </c>
      <c r="J2382" s="2" t="n">
        <v>914.583333333333</v>
      </c>
      <c r="K2382" s="2" t="s">
        <v>18</v>
      </c>
      <c r="L2382" s="2" t="n">
        <f aca="false">J2382/_xlfn.XLOOKUP(Tabla2[[#This Row],[Unidad de precio]],Tabla3[Medida],Tabla3[Equivalencia en Kg],"ELVIS",0)</f>
        <v>20.162771898883</v>
      </c>
      <c r="M2382" s="2" t="n">
        <v>23192.17</v>
      </c>
      <c r="N2382" s="3" t="n">
        <f aca="false">(Tabla2[[#This Row],[Productividad (kg/TAS)]]*Tabla2[[#This Row],[Precio por kg]]-Tabla2[[#This Row],[Costos (En RD$/Tarea)]])</f>
        <v>11973.412232536</v>
      </c>
      <c r="O2382" s="9" t="n">
        <f aca="false">IF(Tabla2[[#This Row],[Costos (En RD$/Tarea)]]=0,0,Tabla2[[#This Row],[Beneficio Neto  (En RD$/Tarea)]]/Tabla2[[#This Row],[Costos (En RD$/Tarea)]])</f>
        <v>0.516269595839285</v>
      </c>
      <c r="P2382" s="7" t="n">
        <f aca="false">Tabla2[[#This Row],[Rentabilidad (%)]]/12</f>
        <v>0.0430224663199404</v>
      </c>
    </row>
    <row r="2383" customFormat="false" ht="14.25" hidden="false" customHeight="false" outlineLevel="0" collapsed="false">
      <c r="A2383" s="1" t="n">
        <v>42552</v>
      </c>
      <c r="B2383" s="2" t="s">
        <v>24</v>
      </c>
      <c r="C2383" s="3" t="n">
        <v>5201</v>
      </c>
      <c r="D2383" s="8" t="s">
        <v>17</v>
      </c>
      <c r="E2383" s="3" t="n">
        <f aca="false">IF(Tabla2[[#This Row],[Frecuencia]]="Annual", Tabla2[[#This Row],[Cosecha/Tarea]]/12,Tabla2[[#This Row],[Cosecha/Tarea]])</f>
        <v>5201</v>
      </c>
      <c r="F2383" s="3" t="n">
        <v>50124</v>
      </c>
      <c r="G2383" s="2" t="s">
        <v>18</v>
      </c>
      <c r="H2383" s="2" t="n">
        <f aca="false">F2383/Tabla2[[#This Row],[Cosecha Mensual]]</f>
        <v>9.63737742741781</v>
      </c>
      <c r="I2383" s="2" t="n">
        <f aca="false">H2383*_xlfn.XLOOKUP(Tabla2[[#This Row],[Unidad de producción]],Tabla3[Medida],Tabla3[Equivalencia en Kg],"ELVIS",0)</f>
        <v>437.151440107672</v>
      </c>
      <c r="J2383" s="2" t="n">
        <v>2202.59375</v>
      </c>
      <c r="K2383" s="2" t="s">
        <v>18</v>
      </c>
      <c r="L2383" s="2" t="n">
        <f aca="false">J2383/_xlfn.XLOOKUP(Tabla2[[#This Row],[Unidad de precio]],Tabla3[Medida],Tabla3[Equivalencia en Kg],"ELVIS",0)</f>
        <v>48.5580632716049</v>
      </c>
      <c r="M2383" s="2" t="n">
        <v>8705.156224128</v>
      </c>
      <c r="N2383" s="3" t="n">
        <f aca="false">(Tabla2[[#This Row],[Productividad (kg/TAS)]]*Tabla2[[#This Row],[Precio por kg]]-Tabla2[[#This Row],[Costos (En RD$/Tarea)]])</f>
        <v>12522.0710638935</v>
      </c>
      <c r="O2383" s="9" t="n">
        <f aca="false">IF(Tabla2[[#This Row],[Costos (En RD$/Tarea)]]=0,0,Tabla2[[#This Row],[Beneficio Neto  (En RD$/Tarea)]]/Tabla2[[#This Row],[Costos (En RD$/Tarea)]])</f>
        <v>1.43846597826541</v>
      </c>
      <c r="P2383" s="7" t="n">
        <f aca="false">Tabla2[[#This Row],[Rentabilidad (%)]]/12</f>
        <v>0.119872164855451</v>
      </c>
    </row>
    <row r="2384" customFormat="false" ht="14.25" hidden="false" customHeight="false" outlineLevel="0" collapsed="false">
      <c r="A2384" s="1" t="n">
        <v>42552</v>
      </c>
      <c r="B2384" s="2" t="s">
        <v>25</v>
      </c>
      <c r="C2384" s="3" t="n">
        <v>24578</v>
      </c>
      <c r="D2384" s="8" t="s">
        <v>17</v>
      </c>
      <c r="E2384" s="3" t="n">
        <f aca="false">IF(Tabla2[[#This Row],[Frecuencia]]="Annual", Tabla2[[#This Row],[Cosecha/Tarea]]/12,Tabla2[[#This Row],[Cosecha/Tarea]])</f>
        <v>24578</v>
      </c>
      <c r="F2384" s="3" t="n">
        <v>245651</v>
      </c>
      <c r="G2384" s="2" t="s">
        <v>18</v>
      </c>
      <c r="H2384" s="2" t="n">
        <f aca="false">F2384/Tabla2[[#This Row],[Cosecha Mensual]]</f>
        <v>9.99475140369436</v>
      </c>
      <c r="I2384" s="2" t="n">
        <f aca="false">H2384*_xlfn.XLOOKUP(Tabla2[[#This Row],[Unidad de producción]],Tabla3[Medida],Tabla3[Equivalencia en Kg],"ELVIS",0)</f>
        <v>453.361923671576</v>
      </c>
      <c r="J2384" s="2" t="n">
        <v>858.652777777778</v>
      </c>
      <c r="K2384" s="2" t="s">
        <v>18</v>
      </c>
      <c r="L2384" s="2" t="n">
        <f aca="false">J2384/_xlfn.XLOOKUP(Tabla2[[#This Row],[Unidad de precio]],Tabla3[Medida],Tabla3[Equivalencia en Kg],"ELVIS",0)</f>
        <v>18.9297349598276</v>
      </c>
      <c r="M2384" s="2" t="n">
        <v>4784.76271988092</v>
      </c>
      <c r="N2384" s="3" t="n">
        <f aca="false">(Tabla2[[#This Row],[Productividad (kg/TAS)]]*Tabla2[[#This Row],[Precio por kg]]-Tabla2[[#This Row],[Costos (En RD$/Tarea)]])</f>
        <v>3797.25833609959</v>
      </c>
      <c r="O2384" s="9" t="n">
        <f aca="false">IF(Tabla2[[#This Row],[Costos (En RD$/Tarea)]]=0,0,Tabla2[[#This Row],[Beneficio Neto  (En RD$/Tarea)]]/Tabla2[[#This Row],[Costos (En RD$/Tarea)]])</f>
        <v>0.793614763867349</v>
      </c>
      <c r="P2384" s="7" t="n">
        <f aca="false">Tabla2[[#This Row],[Rentabilidad (%)]]/12</f>
        <v>0.0661345636556124</v>
      </c>
    </row>
    <row r="2385" customFormat="false" ht="14.25" hidden="false" customHeight="false" outlineLevel="0" collapsed="false">
      <c r="A2385" s="1" t="n">
        <v>42552</v>
      </c>
      <c r="B2385" s="2" t="s">
        <v>26</v>
      </c>
      <c r="C2385" s="3" t="n">
        <v>9021</v>
      </c>
      <c r="D2385" s="8" t="s">
        <v>17</v>
      </c>
      <c r="E2385" s="3" t="n">
        <f aca="false">IF(Tabla2[[#This Row],[Frecuencia]]="Annual", Tabla2[[#This Row],[Cosecha/Tarea]]/12,Tabla2[[#This Row],[Cosecha/Tarea]])</f>
        <v>9021</v>
      </c>
      <c r="F2385" s="3" t="n">
        <v>47530</v>
      </c>
      <c r="G2385" s="2" t="s">
        <v>18</v>
      </c>
      <c r="H2385" s="2" t="n">
        <f aca="false">F2385/Tabla2[[#This Row],[Cosecha Mensual]]</f>
        <v>5.26881720430108</v>
      </c>
      <c r="I2385" s="2" t="n">
        <f aca="false">H2385*_xlfn.XLOOKUP(Tabla2[[#This Row],[Unidad de producción]],Tabla3[Medida],Tabla3[Equivalencia en Kg],"ELVIS",0)</f>
        <v>238.993548387097</v>
      </c>
      <c r="J2385" s="2" t="n">
        <v>801.673611111111</v>
      </c>
      <c r="K2385" s="2" t="s">
        <v>18</v>
      </c>
      <c r="L2385" s="2" t="n">
        <f aca="false">J2385/_xlfn.XLOOKUP(Tabla2[[#This Row],[Unidad de precio]],Tabla3[Medida],Tabla3[Equivalencia en Kg],"ELVIS",0)</f>
        <v>17.6735804918675</v>
      </c>
      <c r="M2385" s="2" t="n">
        <v>1888.43011620852</v>
      </c>
      <c r="N2385" s="3" t="n">
        <f aca="false">(Tabla2[[#This Row],[Productividad (kg/TAS)]]*Tabla2[[#This Row],[Precio por kg]]-Tabla2[[#This Row],[Costos (En RD$/Tarea)]])</f>
        <v>2335.44159824787</v>
      </c>
      <c r="O2385" s="9" t="n">
        <f aca="false">IF(Tabla2[[#This Row],[Costos (En RD$/Tarea)]]=0,0,Tabla2[[#This Row],[Beneficio Neto  (En RD$/Tarea)]]/Tabla2[[#This Row],[Costos (En RD$/Tarea)]])</f>
        <v>1.23671062974617</v>
      </c>
      <c r="P2385" s="7" t="n">
        <f aca="false">Tabla2[[#This Row],[Rentabilidad (%)]]/12</f>
        <v>0.103059219145514</v>
      </c>
    </row>
    <row r="2386" customFormat="false" ht="14.25" hidden="false" customHeight="false" outlineLevel="0" collapsed="false">
      <c r="A2386" s="1" t="n">
        <v>42552</v>
      </c>
      <c r="B2386" s="2" t="s">
        <v>27</v>
      </c>
      <c r="C2386" s="3" t="n">
        <v>4102</v>
      </c>
      <c r="D2386" s="8" t="s">
        <v>17</v>
      </c>
      <c r="E2386" s="3" t="n">
        <f aca="false">IF(Tabla2[[#This Row],[Frecuencia]]="Annual", Tabla2[[#This Row],[Cosecha/Tarea]]/12,Tabla2[[#This Row],[Cosecha/Tarea]])</f>
        <v>4102</v>
      </c>
      <c r="F2386" s="3" t="n">
        <v>39874</v>
      </c>
      <c r="G2386" s="2" t="s">
        <v>18</v>
      </c>
      <c r="H2386" s="2" t="n">
        <f aca="false">F2386/Tabla2[[#This Row],[Cosecha Mensual]]</f>
        <v>9.7206240858118</v>
      </c>
      <c r="I2386" s="2" t="n">
        <f aca="false">H2386*_xlfn.XLOOKUP(Tabla2[[#This Row],[Unidad de producción]],Tabla3[Medida],Tabla3[Equivalencia en Kg],"ELVIS",0)</f>
        <v>440.927508532423</v>
      </c>
      <c r="J2386" s="2" t="n">
        <v>577.898809523809</v>
      </c>
      <c r="K2386" s="2" t="s">
        <v>18</v>
      </c>
      <c r="L2386" s="2" t="n">
        <f aca="false">J2386/_xlfn.XLOOKUP(Tabla2[[#This Row],[Unidad de precio]],Tabla3[Medida],Tabla3[Equivalencia en Kg],"ELVIS",0)</f>
        <v>12.7402735785672</v>
      </c>
      <c r="M2386" s="2" t="n">
        <v>8287.288275158</v>
      </c>
      <c r="N2386" s="3" t="n">
        <f aca="false">(Tabla2[[#This Row],[Productividad (kg/TAS)]]*Tabla2[[#This Row],[Precio por kg]]-Tabla2[[#This Row],[Costos (En RD$/Tarea)]])</f>
        <v>-2669.7511881389</v>
      </c>
      <c r="O2386" s="9" t="n">
        <f aca="false">IF(Tabla2[[#This Row],[Costos (En RD$/Tarea)]]=0,0,Tabla2[[#This Row],[Beneficio Neto  (En RD$/Tarea)]]/Tabla2[[#This Row],[Costos (En RD$/Tarea)]])</f>
        <v>-0.322150153282558</v>
      </c>
      <c r="P2386" s="7" t="n">
        <f aca="false">Tabla2[[#This Row],[Rentabilidad (%)]]/12</f>
        <v>-0.0268458461068799</v>
      </c>
    </row>
    <row r="2387" customFormat="false" ht="14.25" hidden="false" customHeight="false" outlineLevel="0" collapsed="false">
      <c r="A2387" s="1" t="n">
        <v>42552</v>
      </c>
      <c r="B2387" s="2" t="s">
        <v>28</v>
      </c>
      <c r="C2387" s="3" t="n">
        <v>27801</v>
      </c>
      <c r="D2387" s="8" t="s">
        <v>17</v>
      </c>
      <c r="E2387" s="3" t="n">
        <f aca="false">IF(Tabla2[[#This Row],[Frecuencia]]="Annual", Tabla2[[#This Row],[Cosecha/Tarea]]/12,Tabla2[[#This Row],[Cosecha/Tarea]])</f>
        <v>27801</v>
      </c>
      <c r="F2387" s="3" t="n">
        <v>972288</v>
      </c>
      <c r="G2387" s="2" t="s">
        <v>18</v>
      </c>
      <c r="H2387" s="2" t="n">
        <f aca="false">F2387/Tabla2[[#This Row],[Cosecha Mensual]]</f>
        <v>34.973130462933</v>
      </c>
      <c r="I2387" s="2" t="n">
        <f aca="false">H2387*_xlfn.XLOOKUP(Tabla2[[#This Row],[Unidad de producción]],Tabla3[Medida],Tabla3[Equivalencia en Kg],"ELVIS",0)</f>
        <v>1586.38119779864</v>
      </c>
      <c r="J2387" s="2" t="n">
        <v>3738.07912037037</v>
      </c>
      <c r="K2387" s="2" t="s">
        <v>29</v>
      </c>
      <c r="L2387" s="2" t="n">
        <f aca="false">J2387/_xlfn.XLOOKUP(Tabla2[[#This Row],[Unidad de precio]],Tabla3[Medida],Tabla3[Equivalencia en Kg],"ELVIS",0)</f>
        <v>6.64736479775646</v>
      </c>
      <c r="M2387" s="2" t="n">
        <v>7046.24991079678</v>
      </c>
      <c r="N2387" s="3" t="n">
        <f aca="false">(Tabla2[[#This Row],[Productividad (kg/TAS)]]*Tabla2[[#This Row],[Precio por kg]]-Tabla2[[#This Row],[Costos (En RD$/Tarea)]])</f>
        <v>3499.00461927264</v>
      </c>
      <c r="O2387" s="9" t="n">
        <f aca="false">IF(Tabla2[[#This Row],[Costos (En RD$/Tarea)]]=0,0,Tabla2[[#This Row],[Beneficio Neto  (En RD$/Tarea)]]/Tabla2[[#This Row],[Costos (En RD$/Tarea)]])</f>
        <v>0.496576854861648</v>
      </c>
      <c r="P2387" s="7" t="n">
        <f aca="false">Tabla2[[#This Row],[Rentabilidad (%)]]/12</f>
        <v>0.041381404571804</v>
      </c>
    </row>
    <row r="2388" customFormat="false" ht="14.25" hidden="false" customHeight="false" outlineLevel="0" collapsed="false">
      <c r="A2388" s="1" t="n">
        <v>42552</v>
      </c>
      <c r="B2388" s="2" t="s">
        <v>30</v>
      </c>
      <c r="C2388" s="3" t="n">
        <v>435214</v>
      </c>
      <c r="D2388" s="3" t="s">
        <v>31</v>
      </c>
      <c r="E2388" s="3" t="n">
        <f aca="false">IF(Tabla2[[#This Row],[Frecuencia]]="Annual", Tabla2[[#This Row],[Cosecha/Tarea]]/12,Tabla2[[#This Row],[Cosecha/Tarea]])</f>
        <v>36267.8333333333</v>
      </c>
      <c r="F2388" s="3" t="n">
        <v>2291933.4</v>
      </c>
      <c r="G2388" s="2" t="s">
        <v>18</v>
      </c>
      <c r="H2388" s="2" t="n">
        <f aca="false">F2388/Tabla2[[#This Row],[Cosecha Mensual]]</f>
        <v>63.1946600982505</v>
      </c>
      <c r="I2388" s="2" t="n">
        <f aca="false">H2388*_xlfn.XLOOKUP(Tabla2[[#This Row],[Unidad de producción]],Tabla3[Medida],Tabla3[Equivalencia en Kg],"ELVIS",0)</f>
        <v>2866.50978205664</v>
      </c>
      <c r="J2388" s="2" t="n">
        <v>160.0171875</v>
      </c>
      <c r="K2388" s="2" t="s">
        <v>32</v>
      </c>
      <c r="L2388" s="2" t="n">
        <f aca="false">J2388/_xlfn.XLOOKUP(Tabla2[[#This Row],[Unidad de precio]],Tabla3[Medida],Tabla3[Equivalencia en Kg],"ELVIS",0)</f>
        <v>5.88082276736494</v>
      </c>
      <c r="M2388" s="3" t="n">
        <v>31633.940308743</v>
      </c>
      <c r="N2388" s="3" t="n">
        <f aca="false">(Tabla2[[#This Row],[Productividad (kg/TAS)]]*Tabla2[[#This Row],[Precio por kg]]-Tabla2[[#This Row],[Costos (En RD$/Tarea)]])</f>
        <v>-14776.50431955</v>
      </c>
      <c r="O2388" s="9" t="n">
        <f aca="false">IF(Tabla2[[#This Row],[Costos (En RD$/Tarea)]]=0,0,Tabla2[[#This Row],[Beneficio Neto  (En RD$/Tarea)]]/Tabla2[[#This Row],[Costos (En RD$/Tarea)]])</f>
        <v>-0.467109192700413</v>
      </c>
      <c r="P2388" s="7" t="n">
        <f aca="false">Tabla2[[#This Row],[Rentabilidad (%)]]/12</f>
        <v>-0.0389257660583677</v>
      </c>
    </row>
    <row r="2389" customFormat="false" ht="14.25" hidden="false" customHeight="false" outlineLevel="0" collapsed="false">
      <c r="A2389" s="1" t="n">
        <v>42552</v>
      </c>
      <c r="B2389" s="2" t="s">
        <v>33</v>
      </c>
      <c r="C2389" s="3" t="n">
        <v>781040</v>
      </c>
      <c r="D2389" s="3" t="s">
        <v>31</v>
      </c>
      <c r="E2389" s="3" t="n">
        <f aca="false">IF(Tabla2[[#This Row],[Frecuencia]]="Annual", Tabla2[[#This Row],[Cosecha/Tarea]]/12,Tabla2[[#This Row],[Cosecha/Tarea]])</f>
        <v>65086.6666666667</v>
      </c>
      <c r="F2389" s="3" t="n">
        <v>1917162</v>
      </c>
      <c r="G2389" s="2" t="s">
        <v>18</v>
      </c>
      <c r="H2389" s="2" t="n">
        <f aca="false">F2389/Tabla2[[#This Row],[Cosecha Mensual]]</f>
        <v>29.4555259653795</v>
      </c>
      <c r="I2389" s="2" t="n">
        <f aca="false">H2389*_xlfn.XLOOKUP(Tabla2[[#This Row],[Unidad de producción]],Tabla3[Medida],Tabla3[Equivalencia en Kg],"ELVIS",0)</f>
        <v>1336.10265778961</v>
      </c>
      <c r="J2389" s="2" t="n">
        <v>5603.31770833333</v>
      </c>
      <c r="K2389" s="2" t="s">
        <v>34</v>
      </c>
      <c r="L2389" s="2" t="n">
        <f aca="false">J2389/_xlfn.XLOOKUP(Tabla2[[#This Row],[Unidad de precio]],Tabla3[Medida],Tabla3[Equivalencia en Kg],"ELVIS",0)</f>
        <v>13.72857456409</v>
      </c>
      <c r="M2389" s="3" t="n">
        <v>19988.8214440479</v>
      </c>
      <c r="N2389" s="3" t="n">
        <f aca="false">(Tabla2[[#This Row],[Productividad (kg/TAS)]]*Tabla2[[#This Row],[Precio por kg]]-Tabla2[[#This Row],[Costos (En RD$/Tarea)]])</f>
        <v>-1646.03648130437</v>
      </c>
      <c r="O2389" s="9" t="n">
        <f aca="false">IF(Tabla2[[#This Row],[Costos (En RD$/Tarea)]]=0,0,Tabla2[[#This Row],[Beneficio Neto  (En RD$/Tarea)]]/Tabla2[[#This Row],[Costos (En RD$/Tarea)]])</f>
        <v>-0.082347850567974</v>
      </c>
      <c r="P2389" s="7" t="n">
        <f aca="false">Tabla2[[#This Row],[Rentabilidad (%)]]/12</f>
        <v>-0.0068623208806645</v>
      </c>
    </row>
    <row r="2390" customFormat="false" ht="14.25" hidden="false" customHeight="false" outlineLevel="0" collapsed="false">
      <c r="A2390" s="1" t="n">
        <v>42583</v>
      </c>
      <c r="B2390" s="2" t="s">
        <v>16</v>
      </c>
      <c r="C2390" s="3" t="n">
        <v>138612</v>
      </c>
      <c r="D2390" s="8" t="s">
        <v>17</v>
      </c>
      <c r="E2390" s="3" t="n">
        <f aca="false">IF(Tabla2[[#This Row],[Frecuencia]]="Annual", Tabla2[[#This Row],[Cosecha/Tarea]]/12,Tabla2[[#This Row],[Cosecha/Tarea]])</f>
        <v>138612</v>
      </c>
      <c r="F2390" s="3" t="n">
        <v>560173</v>
      </c>
      <c r="G2390" s="2" t="s">
        <v>18</v>
      </c>
      <c r="H2390" s="2" t="n">
        <f aca="false">F2390/Tabla2[[#This Row],[Cosecha Mensual]]</f>
        <v>4.04130234034571</v>
      </c>
      <c r="I2390" s="2" t="n">
        <f aca="false">H2390*_xlfn.XLOOKUP(Tabla2[[#This Row],[Unidad de producción]],Tabla3[Medida],Tabla3[Equivalencia en Kg],"ELVIS",0)</f>
        <v>183.313474158082</v>
      </c>
      <c r="J2390" s="2" t="n">
        <v>1996.70803080308</v>
      </c>
      <c r="K2390" s="2" t="s">
        <v>19</v>
      </c>
      <c r="L2390" s="2" t="n">
        <f aca="false">J2390/_xlfn.XLOOKUP(Tabla2[[#This Row],[Unidad de precio]],Tabla3[Medida],Tabla3[Equivalencia en Kg],"ELVIS",0)</f>
        <v>18.1518911891189</v>
      </c>
      <c r="M2390" s="2" t="n">
        <v>5924.25478252843</v>
      </c>
      <c r="N2390" s="3" t="n">
        <f aca="false">(Tabla2[[#This Row],[Productividad (kg/TAS)]]*Tabla2[[#This Row],[Precio por kg]]-Tabla2[[#This Row],[Costos (En RD$/Tarea)]])</f>
        <v>-2596.76854611157</v>
      </c>
      <c r="O2390" s="9" t="n">
        <f aca="false">IF(Tabla2[[#This Row],[Costos (En RD$/Tarea)]]=0,0,Tabla2[[#This Row],[Beneficio Neto  (En RD$/Tarea)]]/Tabla2[[#This Row],[Costos (En RD$/Tarea)]])</f>
        <v>-0.438328303125966</v>
      </c>
      <c r="P2390" s="7" t="n">
        <f aca="false">Tabla2[[#This Row],[Rentabilidad (%)]]/12</f>
        <v>-0.0365273585938305</v>
      </c>
    </row>
    <row r="2391" customFormat="false" ht="14.25" hidden="false" customHeight="false" outlineLevel="0" collapsed="false">
      <c r="A2391" s="1" t="n">
        <v>42583</v>
      </c>
      <c r="B2391" s="2" t="s">
        <v>20</v>
      </c>
      <c r="C2391" s="3" t="n">
        <v>36545</v>
      </c>
      <c r="D2391" s="8" t="s">
        <v>17</v>
      </c>
      <c r="E2391" s="3" t="n">
        <f aca="false">IF(Tabla2[[#This Row],[Frecuencia]]="Annual", Tabla2[[#This Row],[Cosecha/Tarea]]/12,Tabla2[[#This Row],[Cosecha/Tarea]])</f>
        <v>36545</v>
      </c>
      <c r="F2391" s="3" t="n">
        <v>72491</v>
      </c>
      <c r="G2391" s="2" t="s">
        <v>18</v>
      </c>
      <c r="H2391" s="2" t="n">
        <f aca="false">F2391/Tabla2[[#This Row],[Cosecha Mensual]]</f>
        <v>1.98360924887125</v>
      </c>
      <c r="I2391" s="2" t="n">
        <f aca="false">H2391*_xlfn.XLOOKUP(Tabla2[[#This Row],[Unidad de producción]],Tabla3[Medida],Tabla3[Equivalencia en Kg],"ELVIS",0)</f>
        <v>89.9765155288001</v>
      </c>
      <c r="J2391" s="2" t="n">
        <v>775.236458333333</v>
      </c>
      <c r="K2391" s="2" t="s">
        <v>18</v>
      </c>
      <c r="L2391" s="2" t="n">
        <f aca="false">J2391/_xlfn.XLOOKUP(Tabla2[[#This Row],[Unidad de precio]],Tabla3[Medida],Tabla3[Equivalencia en Kg],"ELVIS",0)</f>
        <v>17.0907508450911</v>
      </c>
      <c r="M2391" s="2" t="n">
        <v>2463.292898352</v>
      </c>
      <c r="N2391" s="3" t="n">
        <f aca="false">(Tabla2[[#This Row],[Productividad (kg/TAS)]]*Tabla2[[#This Row],[Precio por kg]]-Tabla2[[#This Row],[Costos (En RD$/Tarea)]])</f>
        <v>-925.526689539806</v>
      </c>
      <c r="O2391" s="9" t="n">
        <f aca="false">IF(Tabla2[[#This Row],[Costos (En RD$/Tarea)]]=0,0,Tabla2[[#This Row],[Beneficio Neto  (En RD$/Tarea)]]/Tabla2[[#This Row],[Costos (En RD$/Tarea)]])</f>
        <v>-0.375727421679738</v>
      </c>
      <c r="P2391" s="7" t="n">
        <f aca="false">Tabla2[[#This Row],[Rentabilidad (%)]]/12</f>
        <v>-0.0313106184733115</v>
      </c>
    </row>
    <row r="2392" customFormat="false" ht="14.25" hidden="false" customHeight="false" outlineLevel="0" collapsed="false">
      <c r="A2392" s="1" t="n">
        <v>42583</v>
      </c>
      <c r="B2392" s="2" t="s">
        <v>21</v>
      </c>
      <c r="C2392" s="3" t="n">
        <v>5838</v>
      </c>
      <c r="D2392" s="8" t="s">
        <v>17</v>
      </c>
      <c r="E2392" s="3" t="n">
        <f aca="false">IF(Tabla2[[#This Row],[Frecuencia]]="Annual", Tabla2[[#This Row],[Cosecha/Tarea]]/12,Tabla2[[#This Row],[Cosecha/Tarea]])</f>
        <v>5838</v>
      </c>
      <c r="F2392" s="3" t="n">
        <v>73013</v>
      </c>
      <c r="G2392" s="2" t="s">
        <v>18</v>
      </c>
      <c r="H2392" s="2" t="n">
        <f aca="false">F2392/Tabla2[[#This Row],[Cosecha Mensual]]</f>
        <v>12.5065090784515</v>
      </c>
      <c r="I2392" s="2" t="n">
        <f aca="false">H2392*_xlfn.XLOOKUP(Tabla2[[#This Row],[Unidad de producción]],Tabla3[Medida],Tabla3[Equivalencia en Kg],"ELVIS",0)</f>
        <v>567.295251798561</v>
      </c>
      <c r="J2392" s="2" t="n">
        <v>429.870364583333</v>
      </c>
      <c r="K2392" s="2" t="s">
        <v>18</v>
      </c>
      <c r="L2392" s="2" t="n">
        <f aca="false">J2392/_xlfn.XLOOKUP(Tabla2[[#This Row],[Unidad de precio]],Tabla3[Medida],Tabla3[Equivalencia en Kg],"ELVIS",0)</f>
        <v>9.47685988940328</v>
      </c>
      <c r="M2392" s="2" t="n">
        <v>4713.68743816075</v>
      </c>
      <c r="N2392" s="3" t="n">
        <f aca="false">(Tabla2[[#This Row],[Productividad (kg/TAS)]]*Tabla2[[#This Row],[Precio por kg]]-Tabla2[[#This Row],[Costos (En RD$/Tarea)]])</f>
        <v>662.49017905797</v>
      </c>
      <c r="O2392" s="9" t="n">
        <f aca="false">IF(Tabla2[[#This Row],[Costos (En RD$/Tarea)]]=0,0,Tabla2[[#This Row],[Beneficio Neto  (En RD$/Tarea)]]/Tabla2[[#This Row],[Costos (En RD$/Tarea)]])</f>
        <v>0.1405460560865</v>
      </c>
      <c r="P2392" s="7" t="n">
        <f aca="false">Tabla2[[#This Row],[Rentabilidad (%)]]/12</f>
        <v>0.0117121713405416</v>
      </c>
    </row>
    <row r="2393" customFormat="false" ht="14.25" hidden="false" customHeight="false" outlineLevel="0" collapsed="false">
      <c r="A2393" s="1" t="n">
        <v>42583</v>
      </c>
      <c r="B2393" s="2" t="s">
        <v>22</v>
      </c>
      <c r="C2393" s="3" t="n">
        <v>4014</v>
      </c>
      <c r="D2393" s="8" t="s">
        <v>17</v>
      </c>
      <c r="E2393" s="3" t="n">
        <f aca="false">IF(Tabla2[[#This Row],[Frecuencia]]="Annual", Tabla2[[#This Row],[Cosecha/Tarea]]/12,Tabla2[[#This Row],[Cosecha/Tarea]])</f>
        <v>4014</v>
      </c>
      <c r="F2393" s="3" t="n">
        <v>30159</v>
      </c>
      <c r="G2393" s="2" t="s">
        <v>18</v>
      </c>
      <c r="H2393" s="2" t="n">
        <f aca="false">F2393/Tabla2[[#This Row],[Cosecha Mensual]]</f>
        <v>7.51345291479821</v>
      </c>
      <c r="I2393" s="2" t="n">
        <f aca="false">H2393*_xlfn.XLOOKUP(Tabla2[[#This Row],[Unidad de producción]],Tabla3[Medida],Tabla3[Equivalencia en Kg],"ELVIS",0)</f>
        <v>340.810224215247</v>
      </c>
      <c r="J2393" s="2" t="n">
        <v>1579.85416666667</v>
      </c>
      <c r="K2393" s="2" t="s">
        <v>18</v>
      </c>
      <c r="L2393" s="2" t="n">
        <f aca="false">J2393/_xlfn.XLOOKUP(Tabla2[[#This Row],[Unidad de precio]],Tabla3[Medida],Tabla3[Equivalencia en Kg],"ELVIS",0)</f>
        <v>34.8292364785421</v>
      </c>
      <c r="M2393" s="2" t="n">
        <v>8550.15765636903</v>
      </c>
      <c r="N2393" s="3" t="n">
        <f aca="false">(Tabla2[[#This Row],[Productividad (kg/TAS)]]*Tabla2[[#This Row],[Precio por kg]]-Tabla2[[#This Row],[Costos (En RD$/Tarea)]])</f>
        <v>3320.00223712875</v>
      </c>
      <c r="O2393" s="9" t="n">
        <f aca="false">IF(Tabla2[[#This Row],[Costos (En RD$/Tarea)]]=0,0,Tabla2[[#This Row],[Beneficio Neto  (En RD$/Tarea)]]/Tabla2[[#This Row],[Costos (En RD$/Tarea)]])</f>
        <v>0.388297195275186</v>
      </c>
      <c r="P2393" s="7" t="n">
        <f aca="false">Tabla2[[#This Row],[Rentabilidad (%)]]/12</f>
        <v>0.0323580996062655</v>
      </c>
    </row>
    <row r="2394" customFormat="false" ht="14.25" hidden="false" customHeight="false" outlineLevel="0" collapsed="false">
      <c r="A2394" s="1" t="n">
        <v>42583</v>
      </c>
      <c r="B2394" s="2" t="s">
        <v>23</v>
      </c>
      <c r="C2394" s="3" t="n">
        <v>2698</v>
      </c>
      <c r="D2394" s="8" t="s">
        <v>17</v>
      </c>
      <c r="E2394" s="3" t="n">
        <f aca="false">IF(Tabla2[[#This Row],[Frecuencia]]="Annual", Tabla2[[#This Row],[Cosecha/Tarea]]/12,Tabla2[[#This Row],[Cosecha/Tarea]])</f>
        <v>2698</v>
      </c>
      <c r="F2394" s="3" t="n">
        <v>104210</v>
      </c>
      <c r="G2394" s="2" t="s">
        <v>18</v>
      </c>
      <c r="H2394" s="2" t="n">
        <f aca="false">F2394/Tabla2[[#This Row],[Cosecha Mensual]]</f>
        <v>38.6249073387695</v>
      </c>
      <c r="I2394" s="2" t="n">
        <f aca="false">H2394*_xlfn.XLOOKUP(Tabla2[[#This Row],[Unidad de producción]],Tabla3[Medida],Tabla3[Equivalencia en Kg],"ELVIS",0)</f>
        <v>1752.02579688658</v>
      </c>
      <c r="J2394" s="2" t="n">
        <v>987.5</v>
      </c>
      <c r="K2394" s="2" t="s">
        <v>18</v>
      </c>
      <c r="L2394" s="2" t="n">
        <f aca="false">J2394/_xlfn.XLOOKUP(Tabla2[[#This Row],[Unidad de precio]],Tabla3[Medida],Tabla3[Equivalencia en Kg],"ELVIS",0)</f>
        <v>21.7702821869489</v>
      </c>
      <c r="M2394" s="2" t="n">
        <v>23192.17</v>
      </c>
      <c r="N2394" s="3" t="n">
        <f aca="false">(Tabla2[[#This Row],[Productividad (kg/TAS)]]*Tabla2[[#This Row],[Precio por kg]]-Tabla2[[#This Row],[Costos (En RD$/Tarea)]])</f>
        <v>14949.9259970348</v>
      </c>
      <c r="O2394" s="9" t="n">
        <f aca="false">IF(Tabla2[[#This Row],[Costos (En RD$/Tarea)]]=0,0,Tabla2[[#This Row],[Beneficio Neto  (En RD$/Tarea)]]/Tabla2[[#This Row],[Costos (En RD$/Tarea)]])</f>
        <v>0.644610918126025</v>
      </c>
      <c r="P2394" s="7" t="n">
        <f aca="false">Tabla2[[#This Row],[Rentabilidad (%)]]/12</f>
        <v>0.053717576510502</v>
      </c>
    </row>
    <row r="2395" customFormat="false" ht="14.25" hidden="false" customHeight="false" outlineLevel="0" collapsed="false">
      <c r="A2395" s="1" t="n">
        <v>42583</v>
      </c>
      <c r="B2395" s="2" t="s">
        <v>24</v>
      </c>
      <c r="C2395" s="3" t="n">
        <v>4401</v>
      </c>
      <c r="D2395" s="8" t="s">
        <v>17</v>
      </c>
      <c r="E2395" s="3" t="n">
        <f aca="false">IF(Tabla2[[#This Row],[Frecuencia]]="Annual", Tabla2[[#This Row],[Cosecha/Tarea]]/12,Tabla2[[#This Row],[Cosecha/Tarea]])</f>
        <v>4401</v>
      </c>
      <c r="F2395" s="3" t="n">
        <v>47545</v>
      </c>
      <c r="G2395" s="2" t="s">
        <v>18</v>
      </c>
      <c r="H2395" s="2" t="n">
        <f aca="false">F2395/Tabla2[[#This Row],[Cosecha Mensual]]</f>
        <v>10.8032265394229</v>
      </c>
      <c r="I2395" s="2" t="n">
        <f aca="false">H2395*_xlfn.XLOOKUP(Tabla2[[#This Row],[Unidad de producción]],Tabla3[Medida],Tabla3[Equivalencia en Kg],"ELVIS",0)</f>
        <v>490.034355828221</v>
      </c>
      <c r="J2395" s="2" t="n">
        <v>2091.50625</v>
      </c>
      <c r="K2395" s="2" t="s">
        <v>18</v>
      </c>
      <c r="L2395" s="2" t="n">
        <f aca="false">J2395/_xlfn.XLOOKUP(Tabla2[[#This Row],[Unidad de precio]],Tabla3[Medida],Tabla3[Equivalencia en Kg],"ELVIS",0)</f>
        <v>46.1090443121693</v>
      </c>
      <c r="M2395" s="2" t="n">
        <v>8705.156224128</v>
      </c>
      <c r="N2395" s="3" t="n">
        <f aca="false">(Tabla2[[#This Row],[Productividad (kg/TAS)]]*Tabla2[[#This Row],[Precio por kg]]-Tabla2[[#This Row],[Costos (En RD$/Tarea)]])</f>
        <v>13889.8596032408</v>
      </c>
      <c r="O2395" s="9" t="n">
        <f aca="false">IF(Tabla2[[#This Row],[Costos (En RD$/Tarea)]]=0,0,Tabla2[[#This Row],[Beneficio Neto  (En RD$/Tarea)]]/Tabla2[[#This Row],[Costos (En RD$/Tarea)]])</f>
        <v>1.5955899291896</v>
      </c>
      <c r="P2395" s="7" t="n">
        <f aca="false">Tabla2[[#This Row],[Rentabilidad (%)]]/12</f>
        <v>0.132965827432466</v>
      </c>
    </row>
    <row r="2396" customFormat="false" ht="14.25" hidden="false" customHeight="false" outlineLevel="0" collapsed="false">
      <c r="A2396" s="1" t="n">
        <v>42583</v>
      </c>
      <c r="B2396" s="2" t="s">
        <v>25</v>
      </c>
      <c r="C2396" s="3" t="n">
        <v>26541</v>
      </c>
      <c r="D2396" s="8" t="s">
        <v>17</v>
      </c>
      <c r="E2396" s="3" t="n">
        <f aca="false">IF(Tabla2[[#This Row],[Frecuencia]]="Annual", Tabla2[[#This Row],[Cosecha/Tarea]]/12,Tabla2[[#This Row],[Cosecha/Tarea]])</f>
        <v>26541</v>
      </c>
      <c r="F2396" s="3" t="n">
        <v>278047</v>
      </c>
      <c r="G2396" s="2" t="s">
        <v>18</v>
      </c>
      <c r="H2396" s="2" t="n">
        <f aca="false">F2396/Tabla2[[#This Row],[Cosecha Mensual]]</f>
        <v>10.4761312686033</v>
      </c>
      <c r="I2396" s="2" t="n">
        <f aca="false">H2396*_xlfn.XLOOKUP(Tabla2[[#This Row],[Unidad de producción]],Tabla3[Medida],Tabla3[Equivalencia en Kg],"ELVIS",0)</f>
        <v>475.197314343845</v>
      </c>
      <c r="J2396" s="2" t="n">
        <v>772.70203125</v>
      </c>
      <c r="K2396" s="2" t="s">
        <v>18</v>
      </c>
      <c r="L2396" s="2" t="n">
        <f aca="false">J2396/_xlfn.XLOOKUP(Tabla2[[#This Row],[Unidad de precio]],Tabla3[Medida],Tabla3[Equivalencia en Kg],"ELVIS",0)</f>
        <v>17.0348772321429</v>
      </c>
      <c r="M2396" s="2" t="n">
        <v>4784.76271988092</v>
      </c>
      <c r="N2396" s="3" t="n">
        <f aca="false">(Tabla2[[#This Row],[Productividad (kg/TAS)]]*Tabla2[[#This Row],[Precio por kg]]-Tabla2[[#This Row],[Costos (En RD$/Tarea)]])</f>
        <v>3310.16519101048</v>
      </c>
      <c r="O2396" s="9" t="n">
        <f aca="false">IF(Tabla2[[#This Row],[Costos (En RD$/Tarea)]]=0,0,Tabla2[[#This Row],[Beneficio Neto  (En RD$/Tarea)]]/Tabla2[[#This Row],[Costos (En RD$/Tarea)]])</f>
        <v>0.691813865138304</v>
      </c>
      <c r="P2396" s="7" t="n">
        <f aca="false">Tabla2[[#This Row],[Rentabilidad (%)]]/12</f>
        <v>0.057651155428192</v>
      </c>
    </row>
    <row r="2397" customFormat="false" ht="14.25" hidden="false" customHeight="false" outlineLevel="0" collapsed="false">
      <c r="A2397" s="1" t="n">
        <v>42583</v>
      </c>
      <c r="B2397" s="2" t="s">
        <v>26</v>
      </c>
      <c r="C2397" s="3" t="n">
        <v>8875</v>
      </c>
      <c r="D2397" s="8" t="s">
        <v>17</v>
      </c>
      <c r="E2397" s="3" t="n">
        <f aca="false">IF(Tabla2[[#This Row],[Frecuencia]]="Annual", Tabla2[[#This Row],[Cosecha/Tarea]]/12,Tabla2[[#This Row],[Cosecha/Tarea]])</f>
        <v>8875</v>
      </c>
      <c r="F2397" s="3" t="n">
        <v>72862</v>
      </c>
      <c r="G2397" s="2" t="s">
        <v>18</v>
      </c>
      <c r="H2397" s="2" t="n">
        <f aca="false">F2397/Tabla2[[#This Row],[Cosecha Mensual]]</f>
        <v>8.20980281690141</v>
      </c>
      <c r="I2397" s="2" t="n">
        <f aca="false">H2397*_xlfn.XLOOKUP(Tabla2[[#This Row],[Unidad de producción]],Tabla3[Medida],Tabla3[Equivalencia en Kg],"ELVIS",0)</f>
        <v>372.396655774648</v>
      </c>
      <c r="J2397" s="2" t="n">
        <v>724.7734375</v>
      </c>
      <c r="K2397" s="2" t="s">
        <v>18</v>
      </c>
      <c r="L2397" s="2" t="n">
        <f aca="false">J2397/_xlfn.XLOOKUP(Tabla2[[#This Row],[Unidad de precio]],Tabla3[Medida],Tabla3[Equivalencia en Kg],"ELVIS",0)</f>
        <v>15.9782503858025</v>
      </c>
      <c r="M2397" s="2" t="n">
        <v>1888.43011620852</v>
      </c>
      <c r="N2397" s="3" t="n">
        <f aca="false">(Tabla2[[#This Row],[Productividad (kg/TAS)]]*Tabla2[[#This Row],[Precio por kg]]-Tabla2[[#This Row],[Costos (En RD$/Tarea)]])</f>
        <v>4061.8168925943</v>
      </c>
      <c r="O2397" s="9" t="n">
        <f aca="false">IF(Tabla2[[#This Row],[Costos (En RD$/Tarea)]]=0,0,Tabla2[[#This Row],[Beneficio Neto  (En RD$/Tarea)]]/Tabla2[[#This Row],[Costos (En RD$/Tarea)]])</f>
        <v>2.15089605791152</v>
      </c>
      <c r="P2397" s="7" t="n">
        <f aca="false">Tabla2[[#This Row],[Rentabilidad (%)]]/12</f>
        <v>0.179241338159293</v>
      </c>
    </row>
    <row r="2398" customFormat="false" ht="14.25" hidden="false" customHeight="false" outlineLevel="0" collapsed="false">
      <c r="A2398" s="1" t="n">
        <v>42583</v>
      </c>
      <c r="B2398" s="2" t="s">
        <v>27</v>
      </c>
      <c r="C2398" s="3" t="n">
        <v>4421</v>
      </c>
      <c r="D2398" s="8" t="s">
        <v>17</v>
      </c>
      <c r="E2398" s="3" t="n">
        <f aca="false">IF(Tabla2[[#This Row],[Frecuencia]]="Annual", Tabla2[[#This Row],[Cosecha/Tarea]]/12,Tabla2[[#This Row],[Cosecha/Tarea]])</f>
        <v>4421</v>
      </c>
      <c r="F2398" s="3" t="n">
        <v>43520</v>
      </c>
      <c r="G2398" s="2" t="s">
        <v>18</v>
      </c>
      <c r="H2398" s="2" t="n">
        <f aca="false">F2398/Tabla2[[#This Row],[Cosecha Mensual]]</f>
        <v>9.84392671341326</v>
      </c>
      <c r="I2398" s="2" t="n">
        <f aca="false">H2398*_xlfn.XLOOKUP(Tabla2[[#This Row],[Unidad de producción]],Tabla3[Medida],Tabla3[Equivalencia en Kg],"ELVIS",0)</f>
        <v>446.520515720425</v>
      </c>
      <c r="J2398" s="2" t="n">
        <v>636.532619047619</v>
      </c>
      <c r="K2398" s="2" t="s">
        <v>18</v>
      </c>
      <c r="L2398" s="2" t="n">
        <f aca="false">J2398/_xlfn.XLOOKUP(Tabla2[[#This Row],[Unidad de precio]],Tabla3[Medida],Tabla3[Equivalencia en Kg],"ELVIS",0)</f>
        <v>14.03290606366</v>
      </c>
      <c r="M2398" s="2" t="n">
        <v>8287.288275158</v>
      </c>
      <c r="N2398" s="3" t="n">
        <f aca="false">(Tabla2[[#This Row],[Productividad (kg/TAS)]]*Tabla2[[#This Row],[Precio por kg]]-Tabla2[[#This Row],[Costos (En RD$/Tarea)]])</f>
        <v>-2021.30782255624</v>
      </c>
      <c r="O2398" s="9" t="n">
        <f aca="false">IF(Tabla2[[#This Row],[Costos (En RD$/Tarea)]]=0,0,Tabla2[[#This Row],[Beneficio Neto  (En RD$/Tarea)]]/Tabla2[[#This Row],[Costos (En RD$/Tarea)]])</f>
        <v>-0.243904610946782</v>
      </c>
      <c r="P2398" s="7" t="n">
        <f aca="false">Tabla2[[#This Row],[Rentabilidad (%)]]/12</f>
        <v>-0.0203253842455652</v>
      </c>
    </row>
    <row r="2399" customFormat="false" ht="14.25" hidden="false" customHeight="false" outlineLevel="0" collapsed="false">
      <c r="A2399" s="1" t="n">
        <v>42583</v>
      </c>
      <c r="B2399" s="2" t="s">
        <v>28</v>
      </c>
      <c r="C2399" s="3" t="n">
        <v>50140</v>
      </c>
      <c r="D2399" s="8" t="s">
        <v>17</v>
      </c>
      <c r="E2399" s="3" t="n">
        <f aca="false">IF(Tabla2[[#This Row],[Frecuencia]]="Annual", Tabla2[[#This Row],[Cosecha/Tarea]]/12,Tabla2[[#This Row],[Cosecha/Tarea]])</f>
        <v>50140</v>
      </c>
      <c r="F2399" s="3" t="n">
        <v>1334448</v>
      </c>
      <c r="G2399" s="2" t="s">
        <v>18</v>
      </c>
      <c r="H2399" s="2" t="n">
        <f aca="false">F2399/Tabla2[[#This Row],[Cosecha Mensual]]</f>
        <v>26.6144395692062</v>
      </c>
      <c r="I2399" s="2" t="n">
        <f aca="false">H2399*_xlfn.XLOOKUP(Tabla2[[#This Row],[Unidad de producción]],Tabla3[Medida],Tabla3[Equivalencia en Kg],"ELVIS",0)</f>
        <v>1207.23097885919</v>
      </c>
      <c r="J2399" s="2" t="n">
        <v>3426.42447916667</v>
      </c>
      <c r="K2399" s="2" t="s">
        <v>29</v>
      </c>
      <c r="L2399" s="2" t="n">
        <f aca="false">J2399/_xlfn.XLOOKUP(Tabla2[[#This Row],[Unidad de precio]],Tabla3[Medida],Tabla3[Equivalencia en Kg],"ELVIS",0)</f>
        <v>6.09315446023166</v>
      </c>
      <c r="M2399" s="2" t="n">
        <v>7046.24991079678</v>
      </c>
      <c r="N2399" s="3" t="n">
        <f aca="false">(Tabla2[[#This Row],[Productividad (kg/TAS)]]*Tabla2[[#This Row],[Precio por kg]]-Tabla2[[#This Row],[Costos (En RD$/Tarea)]])</f>
        <v>309.594912568949</v>
      </c>
      <c r="O2399" s="9" t="n">
        <f aca="false">IF(Tabla2[[#This Row],[Costos (En RD$/Tarea)]]=0,0,Tabla2[[#This Row],[Beneficio Neto  (En RD$/Tarea)]]/Tabla2[[#This Row],[Costos (En RD$/Tarea)]])</f>
        <v>0.0439375435853566</v>
      </c>
      <c r="P2399" s="7" t="n">
        <f aca="false">Tabla2[[#This Row],[Rentabilidad (%)]]/12</f>
        <v>0.00366146196544638</v>
      </c>
    </row>
    <row r="2400" customFormat="false" ht="14.25" hidden="false" customHeight="false" outlineLevel="0" collapsed="false">
      <c r="A2400" s="1" t="n">
        <v>42583</v>
      </c>
      <c r="B2400" s="2" t="s">
        <v>30</v>
      </c>
      <c r="C2400" s="3" t="n">
        <v>421021</v>
      </c>
      <c r="D2400" s="3" t="s">
        <v>31</v>
      </c>
      <c r="E2400" s="3" t="n">
        <f aca="false">IF(Tabla2[[#This Row],[Frecuencia]]="Annual", Tabla2[[#This Row],[Cosecha/Tarea]]/12,Tabla2[[#This Row],[Cosecha/Tarea]])</f>
        <v>35085.0833333333</v>
      </c>
      <c r="F2400" s="3" t="n">
        <v>2213867.4</v>
      </c>
      <c r="G2400" s="2" t="s">
        <v>18</v>
      </c>
      <c r="H2400" s="2" t="n">
        <f aca="false">F2400/Tabla2[[#This Row],[Cosecha Mensual]]</f>
        <v>63.0999612845915</v>
      </c>
      <c r="I2400" s="2" t="n">
        <f aca="false">H2400*_xlfn.XLOOKUP(Tabla2[[#This Row],[Unidad de producción]],Tabla3[Medida],Tabla3[Equivalencia en Kg],"ELVIS",0)</f>
        <v>2862.21424386907</v>
      </c>
      <c r="J2400" s="2" t="n">
        <v>155.316979166667</v>
      </c>
      <c r="K2400" s="2" t="s">
        <v>32</v>
      </c>
      <c r="L2400" s="2" t="n">
        <f aca="false">J2400/_xlfn.XLOOKUP(Tabla2[[#This Row],[Unidad de precio]],Tabla3[Medida],Tabla3[Equivalencia en Kg],"ELVIS",0)</f>
        <v>5.70808449712117</v>
      </c>
      <c r="M2400" s="3" t="n">
        <v>31633.940308743</v>
      </c>
      <c r="N2400" s="3" t="n">
        <f aca="false">(Tabla2[[#This Row],[Productividad (kg/TAS)]]*Tabla2[[#This Row],[Precio por kg]]-Tabla2[[#This Row],[Costos (En RD$/Tarea)]])</f>
        <v>-15296.1795558746</v>
      </c>
      <c r="O2400" s="9" t="n">
        <f aca="false">IF(Tabla2[[#This Row],[Costos (En RD$/Tarea)]]=0,0,Tabla2[[#This Row],[Beneficio Neto  (En RD$/Tarea)]]/Tabla2[[#This Row],[Costos (En RD$/Tarea)]])</f>
        <v>-0.483536967149395</v>
      </c>
      <c r="P2400" s="7" t="n">
        <f aca="false">Tabla2[[#This Row],[Rentabilidad (%)]]/12</f>
        <v>-0.0402947472624496</v>
      </c>
    </row>
    <row r="2401" customFormat="false" ht="14.25" hidden="false" customHeight="false" outlineLevel="0" collapsed="false">
      <c r="A2401" s="1" t="n">
        <v>42583</v>
      </c>
      <c r="B2401" s="2" t="s">
        <v>33</v>
      </c>
      <c r="C2401" s="3" t="n">
        <v>772145</v>
      </c>
      <c r="D2401" s="3" t="s">
        <v>31</v>
      </c>
      <c r="E2401" s="3" t="n">
        <f aca="false">IF(Tabla2[[#This Row],[Frecuencia]]="Annual", Tabla2[[#This Row],[Cosecha/Tarea]]/12,Tabla2[[#This Row],[Cosecha/Tarea]])</f>
        <v>64345.4166666667</v>
      </c>
      <c r="F2401" s="3" t="n">
        <v>2121192</v>
      </c>
      <c r="G2401" s="2" t="s">
        <v>18</v>
      </c>
      <c r="H2401" s="2" t="n">
        <f aca="false">F2401/Tabla2[[#This Row],[Cosecha Mensual]]</f>
        <v>32.9657046280168</v>
      </c>
      <c r="I2401" s="2" t="n">
        <f aca="false">H2401*_xlfn.XLOOKUP(Tabla2[[#This Row],[Unidad de producción]],Tabla3[Medida],Tabla3[Equivalencia en Kg],"ELVIS",0)</f>
        <v>1495.32436192684</v>
      </c>
      <c r="J2401" s="2" t="n">
        <v>5455.26770833333</v>
      </c>
      <c r="K2401" s="2" t="s">
        <v>34</v>
      </c>
      <c r="L2401" s="2" t="n">
        <f aca="false">J2401/_xlfn.XLOOKUP(Tabla2[[#This Row],[Unidad de precio]],Tabla3[Medida],Tabla3[Equivalencia en Kg],"ELVIS",0)</f>
        <v>13.3658402752256</v>
      </c>
      <c r="M2401" s="3" t="n">
        <v>19988.8214440479</v>
      </c>
      <c r="N2401" s="3" t="n">
        <f aca="false">(Tabla2[[#This Row],[Productividad (kg/TAS)]]*Tabla2[[#This Row],[Precio por kg]]-Tabla2[[#This Row],[Costos (En RD$/Tarea)]])</f>
        <v>-2.55486288011161</v>
      </c>
      <c r="O2401" s="9" t="n">
        <f aca="false">IF(Tabla2[[#This Row],[Costos (En RD$/Tarea)]]=0,0,Tabla2[[#This Row],[Beneficio Neto  (En RD$/Tarea)]]/Tabla2[[#This Row],[Costos (En RD$/Tarea)]])</f>
        <v>-0.000127814583129031</v>
      </c>
      <c r="P2401" s="7" t="n">
        <f aca="false">Tabla2[[#This Row],[Rentabilidad (%)]]/12</f>
        <v>-1.06512152607526E-005</v>
      </c>
    </row>
    <row r="2402" customFormat="false" ht="14.25" hidden="false" customHeight="false" outlineLevel="0" collapsed="false">
      <c r="A2402" s="1" t="n">
        <v>42614</v>
      </c>
      <c r="B2402" s="2" t="s">
        <v>16</v>
      </c>
      <c r="C2402" s="3" t="n">
        <v>256107</v>
      </c>
      <c r="D2402" s="8" t="s">
        <v>17</v>
      </c>
      <c r="E2402" s="3" t="n">
        <f aca="false">IF(Tabla2[[#This Row],[Frecuencia]]="Annual", Tabla2[[#This Row],[Cosecha/Tarea]]/12,Tabla2[[#This Row],[Cosecha/Tarea]])</f>
        <v>256107</v>
      </c>
      <c r="F2402" s="3" t="n">
        <v>1220289</v>
      </c>
      <c r="G2402" s="2" t="s">
        <v>18</v>
      </c>
      <c r="H2402" s="2" t="n">
        <f aca="false">F2402/Tabla2[[#This Row],[Cosecha Mensual]]</f>
        <v>4.76476238447212</v>
      </c>
      <c r="I2402" s="2" t="n">
        <f aca="false">H2402*_xlfn.XLOOKUP(Tabla2[[#This Row],[Unidad de producción]],Tabla3[Medida],Tabla3[Equivalencia en Kg],"ELVIS",0)</f>
        <v>216.129621759655</v>
      </c>
      <c r="J2402" s="2" t="n">
        <v>1974.11671250458</v>
      </c>
      <c r="K2402" s="2" t="s">
        <v>19</v>
      </c>
      <c r="L2402" s="2" t="n">
        <f aca="false">J2402/_xlfn.XLOOKUP(Tabla2[[#This Row],[Unidad de precio]],Tabla3[Medida],Tabla3[Equivalencia en Kg],"ELVIS",0)</f>
        <v>17.9465155682235</v>
      </c>
      <c r="M2402" s="2" t="n">
        <v>5924.25478252843</v>
      </c>
      <c r="N2402" s="3" t="n">
        <f aca="false">(Tabla2[[#This Row],[Productividad (kg/TAS)]]*Tabla2[[#This Row],[Precio por kg]]-Tabla2[[#This Row],[Costos (En RD$/Tarea)]])</f>
        <v>-2045.48116086453</v>
      </c>
      <c r="O2402" s="9" t="n">
        <f aca="false">IF(Tabla2[[#This Row],[Costos (En RD$/Tarea)]]=0,0,Tabla2[[#This Row],[Beneficio Neto  (En RD$/Tarea)]]/Tabla2[[#This Row],[Costos (En RD$/Tarea)]])</f>
        <v>-0.345272314569755</v>
      </c>
      <c r="P2402" s="7" t="n">
        <f aca="false">Tabla2[[#This Row],[Rentabilidad (%)]]/12</f>
        <v>-0.0287726928808129</v>
      </c>
    </row>
    <row r="2403" customFormat="false" ht="14.25" hidden="false" customHeight="false" outlineLevel="0" collapsed="false">
      <c r="A2403" s="1" t="n">
        <v>42614</v>
      </c>
      <c r="B2403" s="2" t="s">
        <v>20</v>
      </c>
      <c r="C2403" s="3" t="n">
        <v>49897</v>
      </c>
      <c r="D2403" s="8" t="s">
        <v>17</v>
      </c>
      <c r="E2403" s="3" t="n">
        <f aca="false">IF(Tabla2[[#This Row],[Frecuencia]]="Annual", Tabla2[[#This Row],[Cosecha/Tarea]]/12,Tabla2[[#This Row],[Cosecha/Tarea]])</f>
        <v>49897</v>
      </c>
      <c r="F2403" s="3" t="n">
        <v>126980</v>
      </c>
      <c r="G2403" s="2" t="s">
        <v>18</v>
      </c>
      <c r="H2403" s="2" t="n">
        <f aca="false">F2403/Tabla2[[#This Row],[Cosecha Mensual]]</f>
        <v>2.5448423752931</v>
      </c>
      <c r="I2403" s="2" t="n">
        <f aca="false">H2403*_xlfn.XLOOKUP(Tabla2[[#This Row],[Unidad de producción]],Tabla3[Medida],Tabla3[Equivalencia en Kg],"ELVIS",0)</f>
        <v>115.434050143295</v>
      </c>
      <c r="J2403" s="2" t="n">
        <v>693.928125</v>
      </c>
      <c r="K2403" s="2" t="s">
        <v>18</v>
      </c>
      <c r="L2403" s="2" t="n">
        <f aca="false">J2403/_xlfn.XLOOKUP(Tabla2[[#This Row],[Unidad de precio]],Tabla3[Medida],Tabla3[Equivalencia en Kg],"ELVIS",0)</f>
        <v>15.2982390873016</v>
      </c>
      <c r="M2403" s="2" t="n">
        <v>2463.292898352</v>
      </c>
      <c r="N2403" s="3" t="n">
        <f aca="false">(Tabla2[[#This Row],[Productividad (kg/TAS)]]*Tabla2[[#This Row],[Precio por kg]]-Tabla2[[#This Row],[Costos (En RD$/Tarea)]])</f>
        <v>-697.35520044431</v>
      </c>
      <c r="O2403" s="9" t="n">
        <f aca="false">IF(Tabla2[[#This Row],[Costos (En RD$/Tarea)]]=0,0,Tabla2[[#This Row],[Beneficio Neto  (En RD$/Tarea)]]/Tabla2[[#This Row],[Costos (En RD$/Tarea)]])</f>
        <v>-0.283098774372653</v>
      </c>
      <c r="P2403" s="7" t="n">
        <f aca="false">Tabla2[[#This Row],[Rentabilidad (%)]]/12</f>
        <v>-0.0235915645310544</v>
      </c>
    </row>
    <row r="2404" customFormat="false" ht="14.25" hidden="false" customHeight="false" outlineLevel="0" collapsed="false">
      <c r="A2404" s="1" t="n">
        <v>42614</v>
      </c>
      <c r="B2404" s="2" t="s">
        <v>21</v>
      </c>
      <c r="C2404" s="3" t="n">
        <v>8122</v>
      </c>
      <c r="D2404" s="8" t="s">
        <v>17</v>
      </c>
      <c r="E2404" s="3" t="n">
        <f aca="false">IF(Tabla2[[#This Row],[Frecuencia]]="Annual", Tabla2[[#This Row],[Cosecha/Tarea]]/12,Tabla2[[#This Row],[Cosecha/Tarea]])</f>
        <v>8122</v>
      </c>
      <c r="F2404" s="3" t="n">
        <v>87167</v>
      </c>
      <c r="G2404" s="2" t="s">
        <v>18</v>
      </c>
      <c r="H2404" s="2" t="n">
        <f aca="false">F2404/Tabla2[[#This Row],[Cosecha Mensual]]</f>
        <v>10.7322088155627</v>
      </c>
      <c r="I2404" s="2" t="n">
        <f aca="false">H2404*_xlfn.XLOOKUP(Tabla2[[#This Row],[Unidad de producción]],Tabla3[Medida],Tabla3[Equivalencia en Kg],"ELVIS",0)</f>
        <v>486.812991873923</v>
      </c>
      <c r="J2404" s="2" t="n">
        <v>449.168489583333</v>
      </c>
      <c r="K2404" s="2" t="s">
        <v>18</v>
      </c>
      <c r="L2404" s="2" t="n">
        <f aca="false">J2404/_xlfn.XLOOKUP(Tabla2[[#This Row],[Unidad de precio]],Tabla3[Medida],Tabla3[Equivalencia en Kg],"ELVIS",0)</f>
        <v>9.90230356224279</v>
      </c>
      <c r="M2404" s="2" t="n">
        <v>4713.68743816075</v>
      </c>
      <c r="N2404" s="3" t="n">
        <f aca="false">(Tabla2[[#This Row],[Productividad (kg/TAS)]]*Tabla2[[#This Row],[Precio por kg]]-Tabla2[[#This Row],[Costos (En RD$/Tarea)]])</f>
        <v>106.882585418465</v>
      </c>
      <c r="O2404" s="9" t="n">
        <f aca="false">IF(Tabla2[[#This Row],[Costos (En RD$/Tarea)]]=0,0,Tabla2[[#This Row],[Beneficio Neto  (En RD$/Tarea)]]/Tabla2[[#This Row],[Costos (En RD$/Tarea)]])</f>
        <v>0.0226749411836628</v>
      </c>
      <c r="P2404" s="7" t="n">
        <f aca="false">Tabla2[[#This Row],[Rentabilidad (%)]]/12</f>
        <v>0.0018895784319719</v>
      </c>
    </row>
    <row r="2405" customFormat="false" ht="14.25" hidden="false" customHeight="false" outlineLevel="0" collapsed="false">
      <c r="A2405" s="1" t="n">
        <v>42614</v>
      </c>
      <c r="B2405" s="2" t="s">
        <v>22</v>
      </c>
      <c r="C2405" s="3" t="n">
        <v>3510</v>
      </c>
      <c r="D2405" s="8" t="s">
        <v>17</v>
      </c>
      <c r="E2405" s="3" t="n">
        <f aca="false">IF(Tabla2[[#This Row],[Frecuencia]]="Annual", Tabla2[[#This Row],[Cosecha/Tarea]]/12,Tabla2[[#This Row],[Cosecha/Tarea]])</f>
        <v>3510</v>
      </c>
      <c r="F2405" s="3" t="n">
        <v>30124</v>
      </c>
      <c r="G2405" s="2" t="s">
        <v>18</v>
      </c>
      <c r="H2405" s="2" t="n">
        <f aca="false">F2405/Tabla2[[#This Row],[Cosecha Mensual]]</f>
        <v>8.58233618233618</v>
      </c>
      <c r="I2405" s="2" t="n">
        <f aca="false">H2405*_xlfn.XLOOKUP(Tabla2[[#This Row],[Unidad de producción]],Tabla3[Medida],Tabla3[Equivalencia en Kg],"ELVIS",0)</f>
        <v>389.294769230769</v>
      </c>
      <c r="J2405" s="2" t="n">
        <v>1753.86904761905</v>
      </c>
      <c r="K2405" s="2" t="s">
        <v>18</v>
      </c>
      <c r="L2405" s="2" t="n">
        <f aca="false">J2405/_xlfn.XLOOKUP(Tabla2[[#This Row],[Unidad de precio]],Tabla3[Medida],Tabla3[Equivalencia en Kg],"ELVIS",0)</f>
        <v>38.665543377845</v>
      </c>
      <c r="M2405" s="2" t="n">
        <v>8550.15765636903</v>
      </c>
      <c r="N2405" s="3" t="n">
        <f aca="false">(Tabla2[[#This Row],[Productividad (kg/TAS)]]*Tabla2[[#This Row],[Precio por kg]]-Tabla2[[#This Row],[Costos (En RD$/Tarea)]])</f>
        <v>6502.13613009144</v>
      </c>
      <c r="O2405" s="9" t="n">
        <f aca="false">IF(Tabla2[[#This Row],[Costos (En RD$/Tarea)]]=0,0,Tabla2[[#This Row],[Beneficio Neto  (En RD$/Tarea)]]/Tabla2[[#This Row],[Costos (En RD$/Tarea)]])</f>
        <v>0.760469735344352</v>
      </c>
      <c r="P2405" s="7" t="n">
        <f aca="false">Tabla2[[#This Row],[Rentabilidad (%)]]/12</f>
        <v>0.0633724779453627</v>
      </c>
    </row>
    <row r="2406" customFormat="false" ht="14.25" hidden="false" customHeight="false" outlineLevel="0" collapsed="false">
      <c r="A2406" s="1" t="n">
        <v>42614</v>
      </c>
      <c r="B2406" s="2" t="s">
        <v>23</v>
      </c>
      <c r="C2406" s="3" t="n">
        <v>5012</v>
      </c>
      <c r="D2406" s="8" t="s">
        <v>17</v>
      </c>
      <c r="E2406" s="3" t="n">
        <f aca="false">IF(Tabla2[[#This Row],[Frecuencia]]="Annual", Tabla2[[#This Row],[Cosecha/Tarea]]/12,Tabla2[[#This Row],[Cosecha/Tarea]])</f>
        <v>5012</v>
      </c>
      <c r="F2406" s="3" t="n">
        <v>198698</v>
      </c>
      <c r="G2406" s="2" t="s">
        <v>18</v>
      </c>
      <c r="H2406" s="2" t="n">
        <f aca="false">F2406/Tabla2[[#This Row],[Cosecha Mensual]]</f>
        <v>39.6444533120511</v>
      </c>
      <c r="I2406" s="2" t="n">
        <f aca="false">H2406*_xlfn.XLOOKUP(Tabla2[[#This Row],[Unidad de producción]],Tabla3[Medida],Tabla3[Equivalencia en Kg],"ELVIS",0)</f>
        <v>1798.27240223464</v>
      </c>
      <c r="J2406" s="2" t="n">
        <v>972.777777777778</v>
      </c>
      <c r="K2406" s="2" t="s">
        <v>18</v>
      </c>
      <c r="L2406" s="2" t="n">
        <f aca="false">J2406/_xlfn.XLOOKUP(Tabla2[[#This Row],[Unidad de precio]],Tabla3[Medida],Tabla3[Equivalencia en Kg],"ELVIS",0)</f>
        <v>21.4457182049775</v>
      </c>
      <c r="M2406" s="2" t="n">
        <v>23192.17</v>
      </c>
      <c r="N2406" s="3" t="n">
        <f aca="false">(Tabla2[[#This Row],[Productividad (kg/TAS)]]*Tabla2[[#This Row],[Precio por kg]]-Tabla2[[#This Row],[Costos (En RD$/Tarea)]])</f>
        <v>15373.0731941119</v>
      </c>
      <c r="O2406" s="9" t="n">
        <f aca="false">IF(Tabla2[[#This Row],[Costos (En RD$/Tarea)]]=0,0,Tabla2[[#This Row],[Beneficio Neto  (En RD$/Tarea)]]/Tabla2[[#This Row],[Costos (En RD$/Tarea)]])</f>
        <v>0.662856179223933</v>
      </c>
      <c r="P2406" s="7" t="n">
        <f aca="false">Tabla2[[#This Row],[Rentabilidad (%)]]/12</f>
        <v>0.0552380149353278</v>
      </c>
    </row>
    <row r="2407" customFormat="false" ht="14.25" hidden="false" customHeight="false" outlineLevel="0" collapsed="false">
      <c r="A2407" s="1" t="n">
        <v>42614</v>
      </c>
      <c r="B2407" s="2" t="s">
        <v>24</v>
      </c>
      <c r="C2407" s="3" t="n">
        <v>4259</v>
      </c>
      <c r="D2407" s="8" t="s">
        <v>17</v>
      </c>
      <c r="E2407" s="3" t="n">
        <f aca="false">IF(Tabla2[[#This Row],[Frecuencia]]="Annual", Tabla2[[#This Row],[Cosecha/Tarea]]/12,Tabla2[[#This Row],[Cosecha/Tarea]])</f>
        <v>4259</v>
      </c>
      <c r="F2407" s="3" t="n">
        <v>39594</v>
      </c>
      <c r="G2407" s="2" t="s">
        <v>18</v>
      </c>
      <c r="H2407" s="2" t="n">
        <f aca="false">F2407/Tabla2[[#This Row],[Cosecha Mensual]]</f>
        <v>9.29654848555999</v>
      </c>
      <c r="I2407" s="2" t="n">
        <f aca="false">H2407*_xlfn.XLOOKUP(Tabla2[[#This Row],[Unidad de producción]],Tabla3[Medida],Tabla3[Equivalencia en Kg],"ELVIS",0)</f>
        <v>421.691439305001</v>
      </c>
      <c r="J2407" s="2" t="n">
        <v>2265.234375</v>
      </c>
      <c r="K2407" s="2" t="s">
        <v>18</v>
      </c>
      <c r="L2407" s="2" t="n">
        <f aca="false">J2407/_xlfn.XLOOKUP(Tabla2[[#This Row],[Unidad de precio]],Tabla3[Medida],Tabla3[Equivalencia en Kg],"ELVIS",0)</f>
        <v>49.9390294312169</v>
      </c>
      <c r="M2407" s="2" t="n">
        <v>8705.156224128</v>
      </c>
      <c r="N2407" s="3" t="n">
        <f aca="false">(Tabla2[[#This Row],[Productividad (kg/TAS)]]*Tabla2[[#This Row],[Precio por kg]]-Tabla2[[#This Row],[Costos (En RD$/Tarea)]])</f>
        <v>12353.7049742167</v>
      </c>
      <c r="O2407" s="9" t="n">
        <f aca="false">IF(Tabla2[[#This Row],[Costos (En RD$/Tarea)]]=0,0,Tabla2[[#This Row],[Beneficio Neto  (En RD$/Tarea)]]/Tabla2[[#This Row],[Costos (En RD$/Tarea)]])</f>
        <v>1.41912501696133</v>
      </c>
      <c r="P2407" s="7" t="n">
        <f aca="false">Tabla2[[#This Row],[Rentabilidad (%)]]/12</f>
        <v>0.118260418080111</v>
      </c>
    </row>
    <row r="2408" customFormat="false" ht="14.25" hidden="false" customHeight="false" outlineLevel="0" collapsed="false">
      <c r="A2408" s="1" t="n">
        <v>42614</v>
      </c>
      <c r="B2408" s="2" t="s">
        <v>25</v>
      </c>
      <c r="C2408" s="3" t="n">
        <v>29987</v>
      </c>
      <c r="D2408" s="8" t="s">
        <v>17</v>
      </c>
      <c r="E2408" s="3" t="n">
        <f aca="false">IF(Tabla2[[#This Row],[Frecuencia]]="Annual", Tabla2[[#This Row],[Cosecha/Tarea]]/12,Tabla2[[#This Row],[Cosecha/Tarea]])</f>
        <v>29987</v>
      </c>
      <c r="F2408" s="3" t="n">
        <v>329503</v>
      </c>
      <c r="G2408" s="2" t="s">
        <v>18</v>
      </c>
      <c r="H2408" s="2" t="n">
        <f aca="false">F2408/Tabla2[[#This Row],[Cosecha Mensual]]</f>
        <v>10.9881948844499</v>
      </c>
      <c r="I2408" s="2" t="n">
        <f aca="false">H2408*_xlfn.XLOOKUP(Tabla2[[#This Row],[Unidad de producción]],Tabla3[Medida],Tabla3[Equivalencia en Kg],"ELVIS",0)</f>
        <v>498.424519958649</v>
      </c>
      <c r="J2408" s="2" t="n">
        <v>528.624177083333</v>
      </c>
      <c r="K2408" s="2" t="s">
        <v>18</v>
      </c>
      <c r="L2408" s="2" t="n">
        <f aca="false">J2408/_xlfn.XLOOKUP(Tabla2[[#This Row],[Unidad de precio]],Tabla3[Medida],Tabla3[Equivalencia en Kg],"ELVIS",0)</f>
        <v>11.6539721579218</v>
      </c>
      <c r="M2408" s="2" t="n">
        <v>4784.76271988092</v>
      </c>
      <c r="N2408" s="3" t="n">
        <f aca="false">(Tabla2[[#This Row],[Productividad (kg/TAS)]]*Tabla2[[#This Row],[Precio por kg]]-Tabla2[[#This Row],[Costos (En RD$/Tarea)]])</f>
        <v>1023.86275854271</v>
      </c>
      <c r="O2408" s="9" t="n">
        <f aca="false">IF(Tabla2[[#This Row],[Costos (En RD$/Tarea)]]=0,0,Tabla2[[#This Row],[Beneficio Neto  (En RD$/Tarea)]]/Tabla2[[#This Row],[Costos (En RD$/Tarea)]])</f>
        <v>0.21398401937227</v>
      </c>
      <c r="P2408" s="7" t="n">
        <f aca="false">Tabla2[[#This Row],[Rentabilidad (%)]]/12</f>
        <v>0.0178320016143558</v>
      </c>
    </row>
    <row r="2409" customFormat="false" ht="14.25" hidden="false" customHeight="false" outlineLevel="0" collapsed="false">
      <c r="A2409" s="1" t="n">
        <v>42614</v>
      </c>
      <c r="B2409" s="2" t="s">
        <v>26</v>
      </c>
      <c r="C2409" s="3" t="n">
        <v>10015</v>
      </c>
      <c r="D2409" s="8" t="s">
        <v>17</v>
      </c>
      <c r="E2409" s="3" t="n">
        <f aca="false">IF(Tabla2[[#This Row],[Frecuencia]]="Annual", Tabla2[[#This Row],[Cosecha/Tarea]]/12,Tabla2[[#This Row],[Cosecha/Tarea]])</f>
        <v>10015</v>
      </c>
      <c r="F2409" s="3" t="n">
        <v>60124</v>
      </c>
      <c r="G2409" s="2" t="s">
        <v>18</v>
      </c>
      <c r="H2409" s="2" t="n">
        <f aca="false">F2409/Tabla2[[#This Row],[Cosecha Mensual]]</f>
        <v>6.00339490763854</v>
      </c>
      <c r="I2409" s="2" t="n">
        <f aca="false">H2409*_xlfn.XLOOKUP(Tabla2[[#This Row],[Unidad de producción]],Tabla3[Medida],Tabla3[Equivalencia en Kg],"ELVIS",0)</f>
        <v>272.313993010484</v>
      </c>
      <c r="J2409" s="2" t="n">
        <v>757.059027777778</v>
      </c>
      <c r="K2409" s="2" t="s">
        <v>18</v>
      </c>
      <c r="L2409" s="2" t="n">
        <f aca="false">J2409/_xlfn.XLOOKUP(Tabla2[[#This Row],[Unidad de precio]],Tabla3[Medida],Tabla3[Equivalencia en Kg],"ELVIS",0)</f>
        <v>16.6900138398981</v>
      </c>
      <c r="M2409" s="2" t="n">
        <v>1888.43011620852</v>
      </c>
      <c r="N2409" s="3" t="n">
        <f aca="false">(Tabla2[[#This Row],[Productividad (kg/TAS)]]*Tabla2[[#This Row],[Precio por kg]]-Tabla2[[#This Row],[Costos (En RD$/Tarea)]])</f>
        <v>2656.49419593438</v>
      </c>
      <c r="O2409" s="9" t="n">
        <f aca="false">IF(Tabla2[[#This Row],[Costos (En RD$/Tarea)]]=0,0,Tabla2[[#This Row],[Beneficio Neto  (En RD$/Tarea)]]/Tabla2[[#This Row],[Costos (En RD$/Tarea)]])</f>
        <v>1.40672094409717</v>
      </c>
      <c r="P2409" s="7" t="n">
        <f aca="false">Tabla2[[#This Row],[Rentabilidad (%)]]/12</f>
        <v>0.117226745341431</v>
      </c>
    </row>
    <row r="2410" customFormat="false" ht="14.25" hidden="false" customHeight="false" outlineLevel="0" collapsed="false">
      <c r="A2410" s="1" t="n">
        <v>42614</v>
      </c>
      <c r="B2410" s="2" t="s">
        <v>27</v>
      </c>
      <c r="C2410" s="3" t="n">
        <v>3850</v>
      </c>
      <c r="D2410" s="8" t="s">
        <v>17</v>
      </c>
      <c r="E2410" s="3" t="n">
        <f aca="false">IF(Tabla2[[#This Row],[Frecuencia]]="Annual", Tabla2[[#This Row],[Cosecha/Tarea]]/12,Tabla2[[#This Row],[Cosecha/Tarea]])</f>
        <v>3850</v>
      </c>
      <c r="F2410" s="3" t="n">
        <v>35204</v>
      </c>
      <c r="G2410" s="2" t="s">
        <v>18</v>
      </c>
      <c r="H2410" s="2" t="n">
        <f aca="false">F2410/Tabla2[[#This Row],[Cosecha Mensual]]</f>
        <v>9.1438961038961</v>
      </c>
      <c r="I2410" s="2" t="n">
        <f aca="false">H2410*_xlfn.XLOOKUP(Tabla2[[#This Row],[Unidad de producción]],Tabla3[Medida],Tabla3[Equivalencia en Kg],"ELVIS",0)</f>
        <v>414.767127272727</v>
      </c>
      <c r="J2410" s="2" t="n">
        <v>665.964880952381</v>
      </c>
      <c r="K2410" s="2" t="s">
        <v>18</v>
      </c>
      <c r="L2410" s="2" t="n">
        <f aca="false">J2410/_xlfn.XLOOKUP(Tabla2[[#This Row],[Unidad de precio]],Tabla3[Medida],Tabla3[Equivalencia en Kg],"ELVIS",0)</f>
        <v>14.6817654530948</v>
      </c>
      <c r="M2410" s="2" t="n">
        <v>8287.288275158</v>
      </c>
      <c r="N2410" s="3" t="n">
        <f aca="false">(Tabla2[[#This Row],[Productividad (kg/TAS)]]*Tabla2[[#This Row],[Precio por kg]]-Tabla2[[#This Row],[Costos (En RD$/Tarea)]])</f>
        <v>-2197.77459488589</v>
      </c>
      <c r="O2410" s="9" t="n">
        <f aca="false">IF(Tabla2[[#This Row],[Costos (En RD$/Tarea)]]=0,0,Tabla2[[#This Row],[Beneficio Neto  (En RD$/Tarea)]]/Tabla2[[#This Row],[Costos (En RD$/Tarea)]])</f>
        <v>-0.265198279812945</v>
      </c>
      <c r="P2410" s="7" t="n">
        <f aca="false">Tabla2[[#This Row],[Rentabilidad (%)]]/12</f>
        <v>-0.0220998566510788</v>
      </c>
    </row>
    <row r="2411" customFormat="false" ht="14.25" hidden="false" customHeight="false" outlineLevel="0" collapsed="false">
      <c r="A2411" s="1" t="n">
        <v>42614</v>
      </c>
      <c r="B2411" s="2" t="s">
        <v>28</v>
      </c>
      <c r="C2411" s="3" t="n">
        <v>67541</v>
      </c>
      <c r="D2411" s="8" t="s">
        <v>17</v>
      </c>
      <c r="E2411" s="3" t="n">
        <f aca="false">IF(Tabla2[[#This Row],[Frecuencia]]="Annual", Tabla2[[#This Row],[Cosecha/Tarea]]/12,Tabla2[[#This Row],[Cosecha/Tarea]])</f>
        <v>67541</v>
      </c>
      <c r="F2411" s="3" t="n">
        <v>1511868</v>
      </c>
      <c r="G2411" s="2" t="s">
        <v>18</v>
      </c>
      <c r="H2411" s="2" t="n">
        <f aca="false">F2411/Tabla2[[#This Row],[Cosecha Mensual]]</f>
        <v>22.3844479649398</v>
      </c>
      <c r="I2411" s="2" t="n">
        <f aca="false">H2411*_xlfn.XLOOKUP(Tabla2[[#This Row],[Unidad de producción]],Tabla3[Medida],Tabla3[Equivalencia en Kg],"ELVIS",0)</f>
        <v>1015.35855968967</v>
      </c>
      <c r="J2411" s="2" t="n">
        <v>2135.90208333333</v>
      </c>
      <c r="K2411" s="2" t="s">
        <v>29</v>
      </c>
      <c r="L2411" s="2" t="n">
        <f aca="false">J2411/_xlfn.XLOOKUP(Tabla2[[#This Row],[Unidad de precio]],Tabla3[Medida],Tabla3[Equivalencia en Kg],"ELVIS",0)</f>
        <v>3.79823964742563</v>
      </c>
      <c r="M2411" s="2" t="n">
        <v>7046.24991079678</v>
      </c>
      <c r="N2411" s="3" t="n">
        <f aca="false">(Tabla2[[#This Row],[Productividad (kg/TAS)]]*Tabla2[[#This Row],[Precio por kg]]-Tabla2[[#This Row],[Costos (En RD$/Tarea)]])</f>
        <v>-3189.67477303049</v>
      </c>
      <c r="O2411" s="9" t="n">
        <f aca="false">IF(Tabla2[[#This Row],[Costos (En RD$/Tarea)]]=0,0,Tabla2[[#This Row],[Beneficio Neto  (En RD$/Tarea)]]/Tabla2[[#This Row],[Costos (En RD$/Tarea)]])</f>
        <v>-0.452676929346919</v>
      </c>
      <c r="P2411" s="7" t="n">
        <f aca="false">Tabla2[[#This Row],[Rentabilidad (%)]]/12</f>
        <v>-0.0377230774455766</v>
      </c>
    </row>
    <row r="2412" customFormat="false" ht="14.25" hidden="false" customHeight="false" outlineLevel="0" collapsed="false">
      <c r="A2412" s="1" t="n">
        <v>42614</v>
      </c>
      <c r="B2412" s="2" t="s">
        <v>30</v>
      </c>
      <c r="C2412" s="3" t="n">
        <v>425987</v>
      </c>
      <c r="D2412" s="3" t="s">
        <v>31</v>
      </c>
      <c r="E2412" s="3" t="n">
        <f aca="false">IF(Tabla2[[#This Row],[Frecuencia]]="Annual", Tabla2[[#This Row],[Cosecha/Tarea]]/12,Tabla2[[#This Row],[Cosecha/Tarea]])</f>
        <v>35498.9166666667</v>
      </c>
      <c r="F2412" s="3" t="n">
        <v>2081939.4</v>
      </c>
      <c r="G2412" s="2" t="s">
        <v>18</v>
      </c>
      <c r="H2412" s="2" t="n">
        <f aca="false">F2412/Tabla2[[#This Row],[Cosecha Mensual]]</f>
        <v>58.6479700084744</v>
      </c>
      <c r="I2412" s="2" t="n">
        <f aca="false">H2412*_xlfn.XLOOKUP(Tabla2[[#This Row],[Unidad de producción]],Tabla3[Medida],Tabla3[Equivalencia en Kg],"ELVIS",0)</f>
        <v>2660.2719195844</v>
      </c>
      <c r="J2412" s="2" t="n">
        <v>140.414166666667</v>
      </c>
      <c r="K2412" s="2" t="s">
        <v>32</v>
      </c>
      <c r="L2412" s="2" t="n">
        <f aca="false">J2412/_xlfn.XLOOKUP(Tabla2[[#This Row],[Unidad de precio]],Tabla3[Medida],Tabla3[Equivalencia en Kg],"ELVIS",0)</f>
        <v>5.16038833762099</v>
      </c>
      <c r="M2412" s="3" t="n">
        <v>31633.940308743</v>
      </c>
      <c r="N2412" s="3" t="n">
        <f aca="false">(Tabla2[[#This Row],[Productividad (kg/TAS)]]*Tabla2[[#This Row],[Precio por kg]]-Tabla2[[#This Row],[Costos (En RD$/Tarea)]])</f>
        <v>-17905.9041200191</v>
      </c>
      <c r="O2412" s="9" t="n">
        <f aca="false">IF(Tabla2[[#This Row],[Costos (En RD$/Tarea)]]=0,0,Tabla2[[#This Row],[Beneficio Neto  (En RD$/Tarea)]]/Tabla2[[#This Row],[Costos (En RD$/Tarea)]])</f>
        <v>-0.566034580114265</v>
      </c>
      <c r="P2412" s="7" t="n">
        <f aca="false">Tabla2[[#This Row],[Rentabilidad (%)]]/12</f>
        <v>-0.0471695483428554</v>
      </c>
    </row>
    <row r="2413" customFormat="false" ht="14.25" hidden="false" customHeight="false" outlineLevel="0" collapsed="false">
      <c r="A2413" s="1" t="n">
        <v>42614</v>
      </c>
      <c r="B2413" s="2" t="s">
        <v>33</v>
      </c>
      <c r="C2413" s="3" t="n">
        <v>712989</v>
      </c>
      <c r="D2413" s="3" t="s">
        <v>31</v>
      </c>
      <c r="E2413" s="3" t="n">
        <f aca="false">IF(Tabla2[[#This Row],[Frecuencia]]="Annual", Tabla2[[#This Row],[Cosecha/Tarea]]/12,Tabla2[[#This Row],[Cosecha/Tarea]])</f>
        <v>59415.75</v>
      </c>
      <c r="F2413" s="3" t="n">
        <v>1783557</v>
      </c>
      <c r="G2413" s="2" t="s">
        <v>18</v>
      </c>
      <c r="H2413" s="2" t="n">
        <f aca="false">F2413/Tabla2[[#This Row],[Cosecha Mensual]]</f>
        <v>30.018252736017</v>
      </c>
      <c r="I2413" s="2" t="n">
        <f aca="false">H2413*_xlfn.XLOOKUP(Tabla2[[#This Row],[Unidad de producción]],Tabla3[Medida],Tabla3[Equivalencia en Kg],"ELVIS",0)</f>
        <v>1361.62794410573</v>
      </c>
      <c r="J2413" s="2" t="n">
        <v>4925.734375</v>
      </c>
      <c r="K2413" s="2" t="s">
        <v>34</v>
      </c>
      <c r="L2413" s="2" t="n">
        <f aca="false">J2413/_xlfn.XLOOKUP(Tabla2[[#This Row],[Unidad de precio]],Tabla3[Medida],Tabla3[Equivalencia en Kg],"ELVIS",0)</f>
        <v>12.0684414430969</v>
      </c>
      <c r="M2413" s="3" t="n">
        <v>19988.8214440479</v>
      </c>
      <c r="N2413" s="3" t="n">
        <f aca="false">(Tabla2[[#This Row],[Productividad (kg/TAS)]]*Tabla2[[#This Row],[Precio por kg]]-Tabla2[[#This Row],[Costos (En RD$/Tarea)]])</f>
        <v>-3556.09433332348</v>
      </c>
      <c r="O2413" s="9" t="n">
        <f aca="false">IF(Tabla2[[#This Row],[Costos (En RD$/Tarea)]]=0,0,Tabla2[[#This Row],[Beneficio Neto  (En RD$/Tarea)]]/Tabla2[[#This Row],[Costos (En RD$/Tarea)]])</f>
        <v>-0.177904152242172</v>
      </c>
      <c r="P2413" s="7" t="n">
        <f aca="false">Tabla2[[#This Row],[Rentabilidad (%)]]/12</f>
        <v>-0.014825346020181</v>
      </c>
    </row>
    <row r="2414" customFormat="false" ht="14.25" hidden="false" customHeight="false" outlineLevel="0" collapsed="false">
      <c r="A2414" s="1" t="n">
        <v>42644</v>
      </c>
      <c r="B2414" s="2" t="s">
        <v>16</v>
      </c>
      <c r="C2414" s="3" t="n">
        <v>444033</v>
      </c>
      <c r="D2414" s="8" t="s">
        <v>17</v>
      </c>
      <c r="E2414" s="3" t="n">
        <f aca="false">IF(Tabla2[[#This Row],[Frecuencia]]="Annual", Tabla2[[#This Row],[Cosecha/Tarea]]/12,Tabla2[[#This Row],[Cosecha/Tarea]])</f>
        <v>444033</v>
      </c>
      <c r="F2414" s="3" t="n">
        <v>2024017</v>
      </c>
      <c r="G2414" s="2" t="s">
        <v>18</v>
      </c>
      <c r="H2414" s="2" t="n">
        <f aca="false">F2414/Tabla2[[#This Row],[Cosecha Mensual]]</f>
        <v>4.55825805739664</v>
      </c>
      <c r="I2414" s="2" t="n">
        <f aca="false">H2414*_xlfn.XLOOKUP(Tabla2[[#This Row],[Unidad de producción]],Tabla3[Medida],Tabla3[Equivalencia en Kg],"ELVIS",0)</f>
        <v>206.762585483511</v>
      </c>
      <c r="J2414" s="2" t="n">
        <v>1998.3973459846</v>
      </c>
      <c r="K2414" s="2" t="s">
        <v>19</v>
      </c>
      <c r="L2414" s="2" t="n">
        <f aca="false">J2414/_xlfn.XLOOKUP(Tabla2[[#This Row],[Unidad de precio]],Tabla3[Medida],Tabla3[Equivalencia en Kg],"ELVIS",0)</f>
        <v>18.16724859986</v>
      </c>
      <c r="M2414" s="2" t="n">
        <v>5924.25478252843</v>
      </c>
      <c r="N2414" s="3" t="n">
        <f aca="false">(Tabla2[[#This Row],[Productividad (kg/TAS)]]*Tabla2[[#This Row],[Precio por kg]]-Tabla2[[#This Row],[Costos (En RD$/Tarea)]])</f>
        <v>-2167.94749089968</v>
      </c>
      <c r="O2414" s="9" t="n">
        <f aca="false">IF(Tabla2[[#This Row],[Costos (En RD$/Tarea)]]=0,0,Tabla2[[#This Row],[Beneficio Neto  (En RD$/Tarea)]]/Tabla2[[#This Row],[Costos (En RD$/Tarea)]])</f>
        <v>-0.365944337386248</v>
      </c>
      <c r="P2414" s="7" t="n">
        <f aca="false">Tabla2[[#This Row],[Rentabilidad (%)]]/12</f>
        <v>-0.030495361448854</v>
      </c>
    </row>
    <row r="2415" customFormat="false" ht="14.25" hidden="false" customHeight="false" outlineLevel="0" collapsed="false">
      <c r="A2415" s="1" t="n">
        <v>42644</v>
      </c>
      <c r="B2415" s="2" t="s">
        <v>20</v>
      </c>
      <c r="C2415" s="3" t="n">
        <v>31245</v>
      </c>
      <c r="D2415" s="8" t="s">
        <v>17</v>
      </c>
      <c r="E2415" s="3" t="n">
        <f aca="false">IF(Tabla2[[#This Row],[Frecuencia]]="Annual", Tabla2[[#This Row],[Cosecha/Tarea]]/12,Tabla2[[#This Row],[Cosecha/Tarea]])</f>
        <v>31245</v>
      </c>
      <c r="F2415" s="3" t="n">
        <v>79852</v>
      </c>
      <c r="G2415" s="2" t="s">
        <v>18</v>
      </c>
      <c r="H2415" s="2" t="n">
        <f aca="false">F2415/Tabla2[[#This Row],[Cosecha Mensual]]</f>
        <v>2.55567290766523</v>
      </c>
      <c r="I2415" s="2" t="n">
        <f aca="false">H2415*_xlfn.XLOOKUP(Tabla2[[#This Row],[Unidad de producción]],Tabla3[Medida],Tabla3[Equivalencia en Kg],"ELVIS",0)</f>
        <v>115.925323091695</v>
      </c>
      <c r="J2415" s="2" t="n">
        <v>696.444001736111</v>
      </c>
      <c r="K2415" s="2" t="s">
        <v>18</v>
      </c>
      <c r="L2415" s="2" t="n">
        <f aca="false">J2415/_xlfn.XLOOKUP(Tabla2[[#This Row],[Unidad de precio]],Tabla3[Medida],Tabla3[Equivalencia en Kg],"ELVIS",0)</f>
        <v>15.3537037419778</v>
      </c>
      <c r="M2415" s="2" t="n">
        <v>2463.292898352</v>
      </c>
      <c r="N2415" s="3" t="n">
        <f aca="false">(Tabla2[[#This Row],[Productividad (kg/TAS)]]*Tabla2[[#This Row],[Precio por kg]]-Tabla2[[#This Row],[Costos (En RD$/Tarea)]])</f>
        <v>-683.409831409068</v>
      </c>
      <c r="O2415" s="9" t="n">
        <f aca="false">IF(Tabla2[[#This Row],[Costos (En RD$/Tarea)]]=0,0,Tabla2[[#This Row],[Beneficio Neto  (En RD$/Tarea)]]/Tabla2[[#This Row],[Costos (En RD$/Tarea)]])</f>
        <v>-0.277437503216237</v>
      </c>
      <c r="P2415" s="7" t="n">
        <f aca="false">Tabla2[[#This Row],[Rentabilidad (%)]]/12</f>
        <v>-0.0231197919346864</v>
      </c>
    </row>
    <row r="2416" customFormat="false" ht="14.25" hidden="false" customHeight="false" outlineLevel="0" collapsed="false">
      <c r="A2416" s="1" t="n">
        <v>42644</v>
      </c>
      <c r="B2416" s="2" t="s">
        <v>21</v>
      </c>
      <c r="C2416" s="3" t="n">
        <v>6201</v>
      </c>
      <c r="D2416" s="8" t="s">
        <v>17</v>
      </c>
      <c r="E2416" s="3" t="n">
        <f aca="false">IF(Tabla2[[#This Row],[Frecuencia]]="Annual", Tabla2[[#This Row],[Cosecha/Tarea]]/12,Tabla2[[#This Row],[Cosecha/Tarea]])</f>
        <v>6201</v>
      </c>
      <c r="F2416" s="3" t="n">
        <v>72698</v>
      </c>
      <c r="G2416" s="2" t="s">
        <v>18</v>
      </c>
      <c r="H2416" s="2" t="n">
        <f aca="false">F2416/Tabla2[[#This Row],[Cosecha Mensual]]</f>
        <v>11.723592968876</v>
      </c>
      <c r="I2416" s="2" t="n">
        <f aca="false">H2416*_xlfn.XLOOKUP(Tabla2[[#This Row],[Unidad de producción]],Tabla3[Medida],Tabla3[Equivalencia en Kg],"ELVIS",0)</f>
        <v>531.782177068215</v>
      </c>
      <c r="J2416" s="2" t="n">
        <v>444.11171875</v>
      </c>
      <c r="K2416" s="2" t="s">
        <v>18</v>
      </c>
      <c r="L2416" s="2" t="n">
        <f aca="false">J2416/_xlfn.XLOOKUP(Tabla2[[#This Row],[Unidad de precio]],Tabla3[Medida],Tabla3[Equivalencia en Kg],"ELVIS",0)</f>
        <v>9.79082272376543</v>
      </c>
      <c r="M2416" s="2" t="n">
        <v>4713.68743816075</v>
      </c>
      <c r="N2416" s="3" t="n">
        <f aca="false">(Tabla2[[#This Row],[Productividad (kg/TAS)]]*Tabla2[[#This Row],[Precio por kg]]-Tabla2[[#This Row],[Costos (En RD$/Tarea)]])</f>
        <v>492.897585172179</v>
      </c>
      <c r="O2416" s="9" t="n">
        <f aca="false">IF(Tabla2[[#This Row],[Costos (En RD$/Tarea)]]=0,0,Tabla2[[#This Row],[Beneficio Neto  (En RD$/Tarea)]]/Tabla2[[#This Row],[Costos (En RD$/Tarea)]])</f>
        <v>0.104567303547073</v>
      </c>
      <c r="P2416" s="7" t="n">
        <f aca="false">Tabla2[[#This Row],[Rentabilidad (%)]]/12</f>
        <v>0.00871394196225606</v>
      </c>
    </row>
    <row r="2417" customFormat="false" ht="14.25" hidden="false" customHeight="false" outlineLevel="0" collapsed="false">
      <c r="A2417" s="1" t="n">
        <v>42644</v>
      </c>
      <c r="B2417" s="2" t="s">
        <v>22</v>
      </c>
      <c r="C2417" s="3" t="n">
        <v>3668</v>
      </c>
      <c r="D2417" s="8" t="s">
        <v>17</v>
      </c>
      <c r="E2417" s="3" t="n">
        <f aca="false">IF(Tabla2[[#This Row],[Frecuencia]]="Annual", Tabla2[[#This Row],[Cosecha/Tarea]]/12,Tabla2[[#This Row],[Cosecha/Tarea]])</f>
        <v>3668</v>
      </c>
      <c r="F2417" s="3" t="n">
        <v>38959</v>
      </c>
      <c r="G2417" s="2" t="s">
        <v>18</v>
      </c>
      <c r="H2417" s="2" t="n">
        <f aca="false">F2417/Tabla2[[#This Row],[Cosecha Mensual]]</f>
        <v>10.6213195201745</v>
      </c>
      <c r="I2417" s="2" t="n">
        <f aca="false">H2417*_xlfn.XLOOKUP(Tabla2[[#This Row],[Unidad de producción]],Tabla3[Medida],Tabla3[Equivalencia en Kg],"ELVIS",0)</f>
        <v>481.783053435115</v>
      </c>
      <c r="J2417" s="2" t="n">
        <v>1645.22321428571</v>
      </c>
      <c r="K2417" s="2" t="s">
        <v>18</v>
      </c>
      <c r="L2417" s="2" t="n">
        <f aca="false">J2417/_xlfn.XLOOKUP(Tabla2[[#This Row],[Unidad de precio]],Tabla3[Medida],Tabla3[Equivalencia en Kg],"ELVIS",0)</f>
        <v>36.2703530486268</v>
      </c>
      <c r="M2417" s="2" t="n">
        <v>8550.15765636903</v>
      </c>
      <c r="N2417" s="3" t="n">
        <f aca="false">(Tabla2[[#This Row],[Productividad (kg/TAS)]]*Tabla2[[#This Row],[Precio por kg]]-Tabla2[[#This Row],[Costos (En RD$/Tarea)]])</f>
        <v>8924.28378456798</v>
      </c>
      <c r="O2417" s="9" t="n">
        <f aca="false">IF(Tabla2[[#This Row],[Costos (En RD$/Tarea)]]=0,0,Tabla2[[#This Row],[Beneficio Neto  (En RD$/Tarea)]]/Tabla2[[#This Row],[Costos (En RD$/Tarea)]])</f>
        <v>1.04375663505108</v>
      </c>
      <c r="P2417" s="7" t="n">
        <f aca="false">Tabla2[[#This Row],[Rentabilidad (%)]]/12</f>
        <v>0.0869797195875902</v>
      </c>
    </row>
    <row r="2418" customFormat="false" ht="14.25" hidden="false" customHeight="false" outlineLevel="0" collapsed="false">
      <c r="A2418" s="1" t="n">
        <v>42644</v>
      </c>
      <c r="B2418" s="2" t="s">
        <v>23</v>
      </c>
      <c r="C2418" s="3" t="n">
        <v>3760</v>
      </c>
      <c r="D2418" s="8" t="s">
        <v>17</v>
      </c>
      <c r="E2418" s="3" t="n">
        <f aca="false">IF(Tabla2[[#This Row],[Frecuencia]]="Annual", Tabla2[[#This Row],[Cosecha/Tarea]]/12,Tabla2[[#This Row],[Cosecha/Tarea]])</f>
        <v>3760</v>
      </c>
      <c r="F2418" s="3" t="n">
        <v>149414</v>
      </c>
      <c r="G2418" s="2" t="s">
        <v>18</v>
      </c>
      <c r="H2418" s="2" t="n">
        <f aca="false">F2418/Tabla2[[#This Row],[Cosecha Mensual]]</f>
        <v>39.7377659574468</v>
      </c>
      <c r="I2418" s="2" t="n">
        <f aca="false">H2418*_xlfn.XLOOKUP(Tabla2[[#This Row],[Unidad de producción]],Tabla3[Medida],Tabla3[Equivalencia en Kg],"ELVIS",0)</f>
        <v>1802.50506382979</v>
      </c>
      <c r="J2418" s="2" t="n">
        <v>902.083333333333</v>
      </c>
      <c r="K2418" s="2" t="s">
        <v>18</v>
      </c>
      <c r="L2418" s="2" t="n">
        <f aca="false">J2418/_xlfn.XLOOKUP(Tabla2[[#This Row],[Unidad de precio]],Tabla3[Medida],Tabla3[Equivalencia en Kg],"ELVIS",0)</f>
        <v>19.8871987066431</v>
      </c>
      <c r="M2418" s="2" t="n">
        <v>23192.17</v>
      </c>
      <c r="N2418" s="3" t="n">
        <f aca="false">(Tabla2[[#This Row],[Productividad (kg/TAS)]]*Tabla2[[#This Row],[Precio por kg]]-Tabla2[[#This Row],[Costos (En RD$/Tarea)]])</f>
        <v>12654.6063741135</v>
      </c>
      <c r="O2418" s="9" t="n">
        <f aca="false">IF(Tabla2[[#This Row],[Costos (En RD$/Tarea)]]=0,0,Tabla2[[#This Row],[Beneficio Neto  (En RD$/Tarea)]]/Tabla2[[#This Row],[Costos (En RD$/Tarea)]])</f>
        <v>0.545641325245264</v>
      </c>
      <c r="P2418" s="7" t="n">
        <f aca="false">Tabla2[[#This Row],[Rentabilidad (%)]]/12</f>
        <v>0.0454701104371054</v>
      </c>
    </row>
    <row r="2419" customFormat="false" ht="14.25" hidden="false" customHeight="false" outlineLevel="0" collapsed="false">
      <c r="A2419" s="1" t="n">
        <v>42644</v>
      </c>
      <c r="B2419" s="2" t="s">
        <v>24</v>
      </c>
      <c r="C2419" s="3" t="n">
        <v>5562</v>
      </c>
      <c r="D2419" s="8" t="s">
        <v>17</v>
      </c>
      <c r="E2419" s="3" t="n">
        <f aca="false">IF(Tabla2[[#This Row],[Frecuencia]]="Annual", Tabla2[[#This Row],[Cosecha/Tarea]]/12,Tabla2[[#This Row],[Cosecha/Tarea]])</f>
        <v>5562</v>
      </c>
      <c r="F2419" s="3" t="n">
        <v>57612</v>
      </c>
      <c r="G2419" s="2" t="s">
        <v>18</v>
      </c>
      <c r="H2419" s="2" t="n">
        <f aca="false">F2419/Tabla2[[#This Row],[Cosecha Mensual]]</f>
        <v>10.3581445523193</v>
      </c>
      <c r="I2419" s="2" t="n">
        <f aca="false">H2419*_xlfn.XLOOKUP(Tabla2[[#This Row],[Unidad de producción]],Tabla3[Medida],Tabla3[Equivalencia en Kg],"ELVIS",0)</f>
        <v>469.845436893204</v>
      </c>
      <c r="J2419" s="2" t="n">
        <v>2078.37239583333</v>
      </c>
      <c r="K2419" s="2" t="s">
        <v>18</v>
      </c>
      <c r="L2419" s="2" t="n">
        <f aca="false">J2419/_xlfn.XLOOKUP(Tabla2[[#This Row],[Unidad de precio]],Tabla3[Medida],Tabla3[Equivalencia en Kg],"ELVIS",0)</f>
        <v>45.8194972626395</v>
      </c>
      <c r="M2419" s="2" t="n">
        <v>8705.156224128</v>
      </c>
      <c r="N2419" s="3" t="n">
        <f aca="false">(Tabla2[[#This Row],[Productividad (kg/TAS)]]*Tabla2[[#This Row],[Precio por kg]]-Tabla2[[#This Row],[Costos (En RD$/Tarea)]])</f>
        <v>12822.9254854638</v>
      </c>
      <c r="O2419" s="9" t="n">
        <f aca="false">IF(Tabla2[[#This Row],[Costos (En RD$/Tarea)]]=0,0,Tabla2[[#This Row],[Beneficio Neto  (En RD$/Tarea)]]/Tabla2[[#This Row],[Costos (En RD$/Tarea)]])</f>
        <v>1.47302646331868</v>
      </c>
      <c r="P2419" s="7" t="n">
        <f aca="false">Tabla2[[#This Row],[Rentabilidad (%)]]/12</f>
        <v>0.122752205276556</v>
      </c>
    </row>
    <row r="2420" customFormat="false" ht="14.25" hidden="false" customHeight="false" outlineLevel="0" collapsed="false">
      <c r="A2420" s="1" t="n">
        <v>42644</v>
      </c>
      <c r="B2420" s="2" t="s">
        <v>25</v>
      </c>
      <c r="C2420" s="3" t="n">
        <v>32215</v>
      </c>
      <c r="D2420" s="8" t="s">
        <v>17</v>
      </c>
      <c r="E2420" s="3" t="n">
        <f aca="false">IF(Tabla2[[#This Row],[Frecuencia]]="Annual", Tabla2[[#This Row],[Cosecha/Tarea]]/12,Tabla2[[#This Row],[Cosecha/Tarea]])</f>
        <v>32215</v>
      </c>
      <c r="F2420" s="3" t="n">
        <v>298375</v>
      </c>
      <c r="G2420" s="2" t="s">
        <v>18</v>
      </c>
      <c r="H2420" s="2" t="n">
        <f aca="false">F2420/Tabla2[[#This Row],[Cosecha Mensual]]</f>
        <v>9.26198975632469</v>
      </c>
      <c r="I2420" s="2" t="n">
        <f aca="false">H2420*_xlfn.XLOOKUP(Tabla2[[#This Row],[Unidad de producción]],Tabla3[Medida],Tabla3[Equivalencia en Kg],"ELVIS",0)</f>
        <v>420.123855346888</v>
      </c>
      <c r="J2420" s="2" t="n">
        <v>451.416</v>
      </c>
      <c r="K2420" s="2" t="s">
        <v>18</v>
      </c>
      <c r="L2420" s="2" t="n">
        <f aca="false">J2420/_xlfn.XLOOKUP(Tabla2[[#This Row],[Unidad de precio]],Tabla3[Medida],Tabla3[Equivalencia en Kg],"ELVIS",0)</f>
        <v>9.95185185185185</v>
      </c>
      <c r="M2420" s="2" t="n">
        <v>4784.76271988092</v>
      </c>
      <c r="N2420" s="3" t="n">
        <f aca="false">(Tabla2[[#This Row],[Productividad (kg/TAS)]]*Tabla2[[#This Row],[Precio por kg]]-Tabla2[[#This Row],[Costos (En RD$/Tarea)]])</f>
        <v>-603.752352039852</v>
      </c>
      <c r="O2420" s="9" t="n">
        <f aca="false">IF(Tabla2[[#This Row],[Costos (En RD$/Tarea)]]=0,0,Tabla2[[#This Row],[Beneficio Neto  (En RD$/Tarea)]]/Tabla2[[#This Row],[Costos (En RD$/Tarea)]])</f>
        <v>-0.126182297302065</v>
      </c>
      <c r="P2420" s="7" t="n">
        <f aca="false">Tabla2[[#This Row],[Rentabilidad (%)]]/12</f>
        <v>-0.0105151914418388</v>
      </c>
    </row>
    <row r="2421" customFormat="false" ht="14.25" hidden="false" customHeight="false" outlineLevel="0" collapsed="false">
      <c r="A2421" s="1" t="n">
        <v>42644</v>
      </c>
      <c r="B2421" s="2" t="s">
        <v>26</v>
      </c>
      <c r="C2421" s="3" t="n">
        <v>9814</v>
      </c>
      <c r="D2421" s="8" t="s">
        <v>17</v>
      </c>
      <c r="E2421" s="3" t="n">
        <f aca="false">IF(Tabla2[[#This Row],[Frecuencia]]="Annual", Tabla2[[#This Row],[Cosecha/Tarea]]/12,Tabla2[[#This Row],[Cosecha/Tarea]])</f>
        <v>9814</v>
      </c>
      <c r="F2421" s="3" t="n">
        <v>59995</v>
      </c>
      <c r="G2421" s="2" t="s">
        <v>18</v>
      </c>
      <c r="H2421" s="2" t="n">
        <f aca="false">F2421/Tabla2[[#This Row],[Cosecha Mensual]]</f>
        <v>6.11320562461789</v>
      </c>
      <c r="I2421" s="2" t="n">
        <f aca="false">H2421*_xlfn.XLOOKUP(Tabla2[[#This Row],[Unidad de producción]],Tabla3[Medida],Tabla3[Equivalencia en Kg],"ELVIS",0)</f>
        <v>277.295007132668</v>
      </c>
      <c r="J2421" s="2" t="n">
        <v>834.807291666667</v>
      </c>
      <c r="K2421" s="2" t="s">
        <v>18</v>
      </c>
      <c r="L2421" s="2" t="n">
        <f aca="false">J2421/_xlfn.XLOOKUP(Tabla2[[#This Row],[Unidad de precio]],Tabla3[Medida],Tabla3[Equivalencia en Kg],"ELVIS",0)</f>
        <v>18.4040408215756</v>
      </c>
      <c r="M2421" s="2" t="n">
        <v>1888.43011620852</v>
      </c>
      <c r="N2421" s="3" t="n">
        <f aca="false">(Tabla2[[#This Row],[Productividad (kg/TAS)]]*Tabla2[[#This Row],[Precio por kg]]-Tabla2[[#This Row],[Costos (En RD$/Tarea)]])</f>
        <v>3214.91851468018</v>
      </c>
      <c r="O2421" s="9" t="n">
        <f aca="false">IF(Tabla2[[#This Row],[Costos (En RD$/Tarea)]]=0,0,Tabla2[[#This Row],[Beneficio Neto  (En RD$/Tarea)]]/Tabla2[[#This Row],[Costos (En RD$/Tarea)]])</f>
        <v>1.70242916965066</v>
      </c>
      <c r="P2421" s="7" t="n">
        <f aca="false">Tabla2[[#This Row],[Rentabilidad (%)]]/12</f>
        <v>0.141869097470889</v>
      </c>
    </row>
    <row r="2422" customFormat="false" ht="14.25" hidden="false" customHeight="false" outlineLevel="0" collapsed="false">
      <c r="A2422" s="1" t="n">
        <v>42644</v>
      </c>
      <c r="B2422" s="2" t="s">
        <v>27</v>
      </c>
      <c r="C2422" s="3" t="n">
        <v>3032</v>
      </c>
      <c r="D2422" s="8" t="s">
        <v>17</v>
      </c>
      <c r="E2422" s="3" t="n">
        <f aca="false">IF(Tabla2[[#This Row],[Frecuencia]]="Annual", Tabla2[[#This Row],[Cosecha/Tarea]]/12,Tabla2[[#This Row],[Cosecha/Tarea]])</f>
        <v>3032</v>
      </c>
      <c r="F2422" s="3" t="n">
        <v>30586</v>
      </c>
      <c r="G2422" s="2" t="s">
        <v>18</v>
      </c>
      <c r="H2422" s="2" t="n">
        <f aca="false">F2422/Tabla2[[#This Row],[Cosecha Mensual]]</f>
        <v>10.0877308707124</v>
      </c>
      <c r="I2422" s="2" t="n">
        <f aca="false">H2422*_xlfn.XLOOKUP(Tabla2[[#This Row],[Unidad de producción]],Tabla3[Medida],Tabla3[Equivalencia en Kg],"ELVIS",0)</f>
        <v>457.579472295515</v>
      </c>
      <c r="J2422" s="2" t="n">
        <v>734.92619047619</v>
      </c>
      <c r="K2422" s="2" t="s">
        <v>18</v>
      </c>
      <c r="L2422" s="2" t="n">
        <f aca="false">J2422/_xlfn.XLOOKUP(Tabla2[[#This Row],[Unidad de precio]],Tabla3[Medida],Tabla3[Equivalencia en Kg],"ELVIS",0)</f>
        <v>16.2020765096162</v>
      </c>
      <c r="M2422" s="2" t="n">
        <v>8287.288275158</v>
      </c>
      <c r="N2422" s="3" t="n">
        <f aca="false">(Tabla2[[#This Row],[Productividad (kg/TAS)]]*Tabla2[[#This Row],[Precio por kg]]-Tabla2[[#This Row],[Costos (En RD$/Tarea)]])</f>
        <v>-873.550655796276</v>
      </c>
      <c r="O2422" s="9" t="n">
        <f aca="false">IF(Tabla2[[#This Row],[Costos (En RD$/Tarea)]]=0,0,Tabla2[[#This Row],[Beneficio Neto  (En RD$/Tarea)]]/Tabla2[[#This Row],[Costos (En RD$/Tarea)]])</f>
        <v>-0.105408503577079</v>
      </c>
      <c r="P2422" s="7" t="n">
        <f aca="false">Tabla2[[#This Row],[Rentabilidad (%)]]/12</f>
        <v>-0.00878404196475658</v>
      </c>
    </row>
    <row r="2423" customFormat="false" ht="14.25" hidden="false" customHeight="false" outlineLevel="0" collapsed="false">
      <c r="A2423" s="1" t="n">
        <v>42644</v>
      </c>
      <c r="B2423" s="2" t="s">
        <v>28</v>
      </c>
      <c r="C2423" s="3" t="n">
        <v>75244</v>
      </c>
      <c r="D2423" s="8" t="s">
        <v>17</v>
      </c>
      <c r="E2423" s="3" t="n">
        <f aca="false">IF(Tabla2[[#This Row],[Frecuencia]]="Annual", Tabla2[[#This Row],[Cosecha/Tarea]]/12,Tabla2[[#This Row],[Cosecha/Tarea]])</f>
        <v>75244</v>
      </c>
      <c r="F2423" s="3" t="n">
        <v>1705896</v>
      </c>
      <c r="G2423" s="2" t="s">
        <v>18</v>
      </c>
      <c r="H2423" s="2" t="n">
        <f aca="false">F2423/Tabla2[[#This Row],[Cosecha Mensual]]</f>
        <v>22.6715219818191</v>
      </c>
      <c r="I2423" s="2" t="n">
        <f aca="false">H2423*_xlfn.XLOOKUP(Tabla2[[#This Row],[Unidad de producción]],Tabla3[Medida],Tabla3[Equivalencia en Kg],"ELVIS",0)</f>
        <v>1028.38023709532</v>
      </c>
      <c r="J2423" s="2" t="n">
        <v>6891.444</v>
      </c>
      <c r="K2423" s="2" t="s">
        <v>29</v>
      </c>
      <c r="L2423" s="2" t="n">
        <f aca="false">J2423/_xlfn.XLOOKUP(Tabla2[[#This Row],[Unidad de precio]],Tabla3[Medida],Tabla3[Equivalencia en Kg],"ELVIS",0)</f>
        <v>12.2549418501263</v>
      </c>
      <c r="M2423" s="2" t="n">
        <v>7046.24991079678</v>
      </c>
      <c r="N2423" s="3" t="n">
        <f aca="false">(Tabla2[[#This Row],[Productividad (kg/TAS)]]*Tabla2[[#This Row],[Precio por kg]]-Tabla2[[#This Row],[Costos (En RD$/Tarea)]])</f>
        <v>5556.49009462538</v>
      </c>
      <c r="O2423" s="9" t="n">
        <f aca="false">IF(Tabla2[[#This Row],[Costos (En RD$/Tarea)]]=0,0,Tabla2[[#This Row],[Beneficio Neto  (En RD$/Tarea)]]/Tabla2[[#This Row],[Costos (En RD$/Tarea)]])</f>
        <v>0.788574087630829</v>
      </c>
      <c r="P2423" s="7" t="n">
        <f aca="false">Tabla2[[#This Row],[Rentabilidad (%)]]/12</f>
        <v>0.0657145073025691</v>
      </c>
    </row>
    <row r="2424" customFormat="false" ht="14.25" hidden="false" customHeight="false" outlineLevel="0" collapsed="false">
      <c r="A2424" s="1" t="n">
        <v>42644</v>
      </c>
      <c r="B2424" s="2" t="s">
        <v>30</v>
      </c>
      <c r="C2424" s="3" t="n">
        <v>425879</v>
      </c>
      <c r="D2424" s="3" t="s">
        <v>31</v>
      </c>
      <c r="E2424" s="3" t="n">
        <f aca="false">IF(Tabla2[[#This Row],[Frecuencia]]="Annual", Tabla2[[#This Row],[Cosecha/Tarea]]/12,Tabla2[[#This Row],[Cosecha/Tarea]])</f>
        <v>35489.9166666667</v>
      </c>
      <c r="F2424" s="3" t="n">
        <v>2336106.6</v>
      </c>
      <c r="G2424" s="2" t="s">
        <v>18</v>
      </c>
      <c r="H2424" s="2" t="n">
        <f aca="false">F2424/Tabla2[[#This Row],[Cosecha Mensual]]</f>
        <v>65.8245163532365</v>
      </c>
      <c r="I2424" s="2" t="n">
        <f aca="false">H2424*_xlfn.XLOOKUP(Tabla2[[#This Row],[Unidad de producción]],Tabla3[Medida],Tabla3[Equivalencia en Kg],"ELVIS",0)</f>
        <v>2985.80006178281</v>
      </c>
      <c r="J2424" s="2" t="n">
        <v>135.694270833333</v>
      </c>
      <c r="K2424" s="2" t="s">
        <v>32</v>
      </c>
      <c r="L2424" s="2" t="n">
        <f aca="false">J2424/_xlfn.XLOOKUP(Tabla2[[#This Row],[Unidad de precio]],Tabla3[Medida],Tabla3[Equivalencia en Kg],"ELVIS",0)</f>
        <v>4.98692652823716</v>
      </c>
      <c r="M2424" s="3" t="n">
        <v>31633.940308743</v>
      </c>
      <c r="N2424" s="3" t="n">
        <f aca="false">(Tabla2[[#This Row],[Productividad (kg/TAS)]]*Tabla2[[#This Row],[Precio por kg]]-Tabla2[[#This Row],[Costos (En RD$/Tarea)]])</f>
        <v>-16743.9747726262</v>
      </c>
      <c r="O2424" s="9" t="n">
        <f aca="false">IF(Tabla2[[#This Row],[Costos (En RD$/Tarea)]]=0,0,Tabla2[[#This Row],[Beneficio Neto  (En RD$/Tarea)]]/Tabla2[[#This Row],[Costos (En RD$/Tarea)]])</f>
        <v>-0.52930411479592</v>
      </c>
      <c r="P2424" s="7" t="n">
        <f aca="false">Tabla2[[#This Row],[Rentabilidad (%)]]/12</f>
        <v>-0.0441086762329933</v>
      </c>
    </row>
    <row r="2425" customFormat="false" ht="14.25" hidden="false" customHeight="false" outlineLevel="0" collapsed="false">
      <c r="A2425" s="1" t="n">
        <v>42644</v>
      </c>
      <c r="B2425" s="2" t="s">
        <v>33</v>
      </c>
      <c r="C2425" s="3" t="n">
        <v>758479</v>
      </c>
      <c r="D2425" s="3" t="s">
        <v>31</v>
      </c>
      <c r="E2425" s="3" t="n">
        <f aca="false">IF(Tabla2[[#This Row],[Frecuencia]]="Annual", Tabla2[[#This Row],[Cosecha/Tarea]]/12,Tabla2[[#This Row],[Cosecha/Tarea]])</f>
        <v>63206.5833333333</v>
      </c>
      <c r="F2425" s="3" t="n">
        <v>1431405</v>
      </c>
      <c r="G2425" s="2" t="s">
        <v>18</v>
      </c>
      <c r="H2425" s="2" t="n">
        <f aca="false">F2425/Tabla2[[#This Row],[Cosecha Mensual]]</f>
        <v>22.6464542854845</v>
      </c>
      <c r="I2425" s="2" t="n">
        <f aca="false">H2425*_xlfn.XLOOKUP(Tabla2[[#This Row],[Unidad de producción]],Tabla3[Medida],Tabla3[Equivalencia en Kg],"ELVIS",0)</f>
        <v>1027.24316638958</v>
      </c>
      <c r="J2425" s="2" t="n">
        <v>4283.70833333333</v>
      </c>
      <c r="K2425" s="2" t="s">
        <v>34</v>
      </c>
      <c r="L2425" s="2" t="n">
        <f aca="false">J2425/_xlfn.XLOOKUP(Tabla2[[#This Row],[Unidad de precio]],Tabla3[Medida],Tabla3[Equivalencia en Kg],"ELVIS",0)</f>
        <v>10.4954265180285</v>
      </c>
      <c r="M2425" s="3" t="n">
        <v>19988.8214440479</v>
      </c>
      <c r="N2425" s="3" t="n">
        <f aca="false">(Tabla2[[#This Row],[Productividad (kg/TAS)]]*Tabla2[[#This Row],[Precio por kg]]-Tabla2[[#This Row],[Costos (En RD$/Tarea)]])</f>
        <v>-9207.46627505917</v>
      </c>
      <c r="O2425" s="9" t="n">
        <f aca="false">IF(Tabla2[[#This Row],[Costos (En RD$/Tarea)]]=0,0,Tabla2[[#This Row],[Beneficio Neto  (En RD$/Tarea)]]/Tabla2[[#This Row],[Costos (En RD$/Tarea)]])</f>
        <v>-0.460630773096475</v>
      </c>
      <c r="P2425" s="7" t="n">
        <f aca="false">Tabla2[[#This Row],[Rentabilidad (%)]]/12</f>
        <v>-0.0383858977580396</v>
      </c>
    </row>
    <row r="2426" customFormat="false" ht="14.25" hidden="false" customHeight="false" outlineLevel="0" collapsed="false">
      <c r="A2426" s="1" t="n">
        <v>42675</v>
      </c>
      <c r="B2426" s="2" t="s">
        <v>16</v>
      </c>
      <c r="C2426" s="3" t="n">
        <v>471296</v>
      </c>
      <c r="D2426" s="8" t="s">
        <v>17</v>
      </c>
      <c r="E2426" s="3" t="n">
        <f aca="false">IF(Tabla2[[#This Row],[Frecuencia]]="Annual", Tabla2[[#This Row],[Cosecha/Tarea]]/12,Tabla2[[#This Row],[Cosecha/Tarea]])</f>
        <v>471296</v>
      </c>
      <c r="F2426" s="3" t="n">
        <v>1803576</v>
      </c>
      <c r="G2426" s="2" t="s">
        <v>18</v>
      </c>
      <c r="H2426" s="2" t="n">
        <f aca="false">F2426/Tabla2[[#This Row],[Cosecha Mensual]]</f>
        <v>3.82684342748506</v>
      </c>
      <c r="I2426" s="2" t="n">
        <f aca="false">H2426*_xlfn.XLOOKUP(Tabla2[[#This Row],[Unidad de producción]],Tabla3[Medida],Tabla3[Equivalencia en Kg],"ELVIS",0)</f>
        <v>173.585617870722</v>
      </c>
      <c r="J2426" s="2" t="n">
        <v>1984.64090082508</v>
      </c>
      <c r="K2426" s="2" t="s">
        <v>19</v>
      </c>
      <c r="L2426" s="2" t="n">
        <f aca="false">J2426/_xlfn.XLOOKUP(Tabla2[[#This Row],[Unidad de precio]],Tabla3[Medida],Tabla3[Equivalencia en Kg],"ELVIS",0)</f>
        <v>18.0421900075007</v>
      </c>
      <c r="M2426" s="2" t="n">
        <v>5924.25478252843</v>
      </c>
      <c r="N2426" s="3" t="n">
        <f aca="false">(Tabla2[[#This Row],[Productividad (kg/TAS)]]*Tabla2[[#This Row],[Precio por kg]]-Tabla2[[#This Row],[Costos (En RD$/Tarea)]])</f>
        <v>-2792.39008233544</v>
      </c>
      <c r="O2426" s="9" t="n">
        <f aca="false">IF(Tabla2[[#This Row],[Costos (En RD$/Tarea)]]=0,0,Tabla2[[#This Row],[Beneficio Neto  (En RD$/Tarea)]]/Tabla2[[#This Row],[Costos (En RD$/Tarea)]])</f>
        <v>-0.471348749309473</v>
      </c>
      <c r="P2426" s="7" t="n">
        <f aca="false">Tabla2[[#This Row],[Rentabilidad (%)]]/12</f>
        <v>-0.0392790624424561</v>
      </c>
    </row>
    <row r="2427" customFormat="false" ht="14.25" hidden="false" customHeight="false" outlineLevel="0" collapsed="false">
      <c r="A2427" s="1" t="n">
        <v>42675</v>
      </c>
      <c r="B2427" s="2" t="s">
        <v>20</v>
      </c>
      <c r="C2427" s="3" t="n">
        <v>34125</v>
      </c>
      <c r="D2427" s="8" t="s">
        <v>17</v>
      </c>
      <c r="E2427" s="3" t="n">
        <f aca="false">IF(Tabla2[[#This Row],[Frecuencia]]="Annual", Tabla2[[#This Row],[Cosecha/Tarea]]/12,Tabla2[[#This Row],[Cosecha/Tarea]])</f>
        <v>34125</v>
      </c>
      <c r="F2427" s="3" t="n">
        <v>55897</v>
      </c>
      <c r="G2427" s="2" t="s">
        <v>18</v>
      </c>
      <c r="H2427" s="2" t="n">
        <f aca="false">F2427/Tabla2[[#This Row],[Cosecha Mensual]]</f>
        <v>1.63800732600733</v>
      </c>
      <c r="I2427" s="2" t="n">
        <f aca="false">H2427*_xlfn.XLOOKUP(Tabla2[[#This Row],[Unidad de producción]],Tabla3[Medida],Tabla3[Equivalencia en Kg],"ELVIS",0)</f>
        <v>74.3000123076923</v>
      </c>
      <c r="J2427" s="2" t="n">
        <v>697.853541666667</v>
      </c>
      <c r="K2427" s="2" t="s">
        <v>18</v>
      </c>
      <c r="L2427" s="2" t="n">
        <f aca="false">J2427/_xlfn.XLOOKUP(Tabla2[[#This Row],[Unidad de precio]],Tabla3[Medida],Tabla3[Equivalencia en Kg],"ELVIS",0)</f>
        <v>15.384778255438</v>
      </c>
      <c r="M2427" s="2" t="n">
        <v>2463.292898352</v>
      </c>
      <c r="N2427" s="3" t="n">
        <f aca="false">(Tabla2[[#This Row],[Productividad (kg/TAS)]]*Tabla2[[#This Row],[Precio por kg]]-Tabla2[[#This Row],[Costos (En RD$/Tarea)]])</f>
        <v>-1320.20368462184</v>
      </c>
      <c r="O2427" s="9" t="n">
        <f aca="false">IF(Tabla2[[#This Row],[Costos (En RD$/Tarea)]]=0,0,Tabla2[[#This Row],[Beneficio Neto  (En RD$/Tarea)]]/Tabla2[[#This Row],[Costos (En RD$/Tarea)]])</f>
        <v>-0.535950753361522</v>
      </c>
      <c r="P2427" s="7" t="n">
        <f aca="false">Tabla2[[#This Row],[Rentabilidad (%)]]/12</f>
        <v>-0.0446625627801268</v>
      </c>
    </row>
    <row r="2428" customFormat="false" ht="14.25" hidden="false" customHeight="false" outlineLevel="0" collapsed="false">
      <c r="A2428" s="1" t="n">
        <v>42675</v>
      </c>
      <c r="B2428" s="2" t="s">
        <v>21</v>
      </c>
      <c r="C2428" s="3" t="n">
        <v>12045</v>
      </c>
      <c r="D2428" s="8" t="s">
        <v>17</v>
      </c>
      <c r="E2428" s="3" t="n">
        <f aca="false">IF(Tabla2[[#This Row],[Frecuencia]]="Annual", Tabla2[[#This Row],[Cosecha/Tarea]]/12,Tabla2[[#This Row],[Cosecha/Tarea]])</f>
        <v>12045</v>
      </c>
      <c r="F2428" s="3" t="n">
        <v>89542</v>
      </c>
      <c r="G2428" s="2" t="s">
        <v>18</v>
      </c>
      <c r="H2428" s="2" t="n">
        <f aca="false">F2428/Tabla2[[#This Row],[Cosecha Mensual]]</f>
        <v>7.43395599833956</v>
      </c>
      <c r="I2428" s="2" t="n">
        <f aca="false">H2428*_xlfn.XLOOKUP(Tabla2[[#This Row],[Unidad de producción]],Tabla3[Medida],Tabla3[Equivalencia en Kg],"ELVIS",0)</f>
        <v>337.204244084682</v>
      </c>
      <c r="J2428" s="2" t="n">
        <v>423.260590277778</v>
      </c>
      <c r="K2428" s="2" t="s">
        <v>18</v>
      </c>
      <c r="L2428" s="2" t="n">
        <f aca="false">J2428/_xlfn.XLOOKUP(Tabla2[[#This Row],[Unidad de precio]],Tabla3[Medida],Tabla3[Equivalencia en Kg],"ELVIS",0)</f>
        <v>9.33114176097394</v>
      </c>
      <c r="M2428" s="2" t="n">
        <v>4713.68743816075</v>
      </c>
      <c r="N2428" s="3" t="n">
        <f aca="false">(Tabla2[[#This Row],[Productividad (kg/TAS)]]*Tabla2[[#This Row],[Precio por kg]]-Tabla2[[#This Row],[Costos (En RD$/Tarea)]])</f>
        <v>-1567.18683420452</v>
      </c>
      <c r="O2428" s="9" t="n">
        <f aca="false">IF(Tabla2[[#This Row],[Costos (En RD$/Tarea)]]=0,0,Tabla2[[#This Row],[Beneficio Neto  (En RD$/Tarea)]]/Tabla2[[#This Row],[Costos (En RD$/Tarea)]])</f>
        <v>-0.33247576441259</v>
      </c>
      <c r="P2428" s="7" t="n">
        <f aca="false">Tabla2[[#This Row],[Rentabilidad (%)]]/12</f>
        <v>-0.0277063137010492</v>
      </c>
    </row>
    <row r="2429" customFormat="false" ht="14.25" hidden="false" customHeight="false" outlineLevel="0" collapsed="false">
      <c r="A2429" s="1" t="n">
        <v>42675</v>
      </c>
      <c r="B2429" s="2" t="s">
        <v>22</v>
      </c>
      <c r="C2429" s="3" t="n">
        <v>5891</v>
      </c>
      <c r="D2429" s="8" t="s">
        <v>17</v>
      </c>
      <c r="E2429" s="3" t="n">
        <f aca="false">IF(Tabla2[[#This Row],[Frecuencia]]="Annual", Tabla2[[#This Row],[Cosecha/Tarea]]/12,Tabla2[[#This Row],[Cosecha/Tarea]])</f>
        <v>5891</v>
      </c>
      <c r="F2429" s="3" t="n">
        <v>50144</v>
      </c>
      <c r="G2429" s="2" t="s">
        <v>18</v>
      </c>
      <c r="H2429" s="2" t="n">
        <f aca="false">F2429/Tabla2[[#This Row],[Cosecha Mensual]]</f>
        <v>8.51196740791037</v>
      </c>
      <c r="I2429" s="2" t="n">
        <f aca="false">H2429*_xlfn.XLOOKUP(Tabla2[[#This Row],[Unidad de producción]],Tabla3[Medida],Tabla3[Equivalencia en Kg],"ELVIS",0)</f>
        <v>386.102841622815</v>
      </c>
      <c r="J2429" s="2" t="n">
        <v>1780.00297619048</v>
      </c>
      <c r="K2429" s="2" t="s">
        <v>18</v>
      </c>
      <c r="L2429" s="2" t="n">
        <f aca="false">J2429/_xlfn.XLOOKUP(Tabla2[[#This Row],[Unidad de precio]],Tabla3[Medida],Tabla3[Equivalencia en Kg],"ELVIS",0)</f>
        <v>39.2416881876208</v>
      </c>
      <c r="M2429" s="2" t="n">
        <v>8550.15765636903</v>
      </c>
      <c r="N2429" s="3" t="n">
        <f aca="false">(Tabla2[[#This Row],[Productividad (kg/TAS)]]*Tabla2[[#This Row],[Precio por kg]]-Tabla2[[#This Row],[Costos (En RD$/Tarea)]])</f>
        <v>6601.1696629478</v>
      </c>
      <c r="O2429" s="9" t="n">
        <f aca="false">IF(Tabla2[[#This Row],[Costos (En RD$/Tarea)]]=0,0,Tabla2[[#This Row],[Beneficio Neto  (En RD$/Tarea)]]/Tabla2[[#This Row],[Costos (En RD$/Tarea)]])</f>
        <v>0.772052391107733</v>
      </c>
      <c r="P2429" s="7" t="n">
        <f aca="false">Tabla2[[#This Row],[Rentabilidad (%)]]/12</f>
        <v>0.0643376992589777</v>
      </c>
    </row>
    <row r="2430" customFormat="false" ht="14.25" hidden="false" customHeight="false" outlineLevel="0" collapsed="false">
      <c r="A2430" s="1" t="n">
        <v>42675</v>
      </c>
      <c r="B2430" s="2" t="s">
        <v>23</v>
      </c>
      <c r="C2430" s="3" t="n">
        <v>5012</v>
      </c>
      <c r="D2430" s="8" t="s">
        <v>17</v>
      </c>
      <c r="E2430" s="3" t="n">
        <f aca="false">IF(Tabla2[[#This Row],[Frecuencia]]="Annual", Tabla2[[#This Row],[Cosecha/Tarea]]/12,Tabla2[[#This Row],[Cosecha/Tarea]])</f>
        <v>5012</v>
      </c>
      <c r="F2430" s="3" t="n">
        <v>172450</v>
      </c>
      <c r="G2430" s="2" t="s">
        <v>18</v>
      </c>
      <c r="H2430" s="2" t="n">
        <f aca="false">F2430/Tabla2[[#This Row],[Cosecha Mensual]]</f>
        <v>34.4074221867518</v>
      </c>
      <c r="I2430" s="2" t="n">
        <f aca="false">H2430*_xlfn.XLOOKUP(Tabla2[[#This Row],[Unidad de producción]],Tabla3[Medida],Tabla3[Equivalencia en Kg],"ELVIS",0)</f>
        <v>1560.72067039106</v>
      </c>
      <c r="J2430" s="2" t="n">
        <v>825</v>
      </c>
      <c r="K2430" s="2" t="s">
        <v>18</v>
      </c>
      <c r="L2430" s="2" t="n">
        <f aca="false">J2430/_xlfn.XLOOKUP(Tabla2[[#This Row],[Unidad de precio]],Tabla3[Medida],Tabla3[Equivalencia en Kg],"ELVIS",0)</f>
        <v>18.1878306878307</v>
      </c>
      <c r="M2430" s="2" t="n">
        <v>23192.17</v>
      </c>
      <c r="N2430" s="3" t="n">
        <f aca="false">(Tabla2[[#This Row],[Productividad (kg/TAS)]]*Tabla2[[#This Row],[Precio por kg]]-Tabla2[[#This Row],[Costos (En RD$/Tarea)]])</f>
        <v>5193.95330407023</v>
      </c>
      <c r="O2430" s="9" t="n">
        <f aca="false">IF(Tabla2[[#This Row],[Costos (En RD$/Tarea)]]=0,0,Tabla2[[#This Row],[Beneficio Neto  (En RD$/Tarea)]]/Tabla2[[#This Row],[Costos (En RD$/Tarea)]])</f>
        <v>0.223952881686804</v>
      </c>
      <c r="P2430" s="7" t="n">
        <f aca="false">Tabla2[[#This Row],[Rentabilidad (%)]]/12</f>
        <v>0.018662740140567</v>
      </c>
    </row>
    <row r="2431" customFormat="false" ht="14.25" hidden="false" customHeight="false" outlineLevel="0" collapsed="false">
      <c r="A2431" s="1" t="n">
        <v>42675</v>
      </c>
      <c r="B2431" s="2" t="s">
        <v>24</v>
      </c>
      <c r="C2431" s="3" t="n">
        <v>6541</v>
      </c>
      <c r="D2431" s="8" t="s">
        <v>17</v>
      </c>
      <c r="E2431" s="3" t="n">
        <f aca="false">IF(Tabla2[[#This Row],[Frecuencia]]="Annual", Tabla2[[#This Row],[Cosecha/Tarea]]/12,Tabla2[[#This Row],[Cosecha/Tarea]])</f>
        <v>6541</v>
      </c>
      <c r="F2431" s="3" t="n">
        <v>47512</v>
      </c>
      <c r="G2431" s="2" t="s">
        <v>18</v>
      </c>
      <c r="H2431" s="2" t="n">
        <f aca="false">F2431/Tabla2[[#This Row],[Cosecha Mensual]]</f>
        <v>7.26372114355603</v>
      </c>
      <c r="I2431" s="2" t="n">
        <f aca="false">H2431*_xlfn.XLOOKUP(Tabla2[[#This Row],[Unidad de producción]],Tabla3[Medida],Tabla3[Equivalencia en Kg],"ELVIS",0)</f>
        <v>329.482391071702</v>
      </c>
      <c r="J2431" s="2" t="n">
        <v>2213.66927083333</v>
      </c>
      <c r="K2431" s="2" t="s">
        <v>18</v>
      </c>
      <c r="L2431" s="2" t="n">
        <f aca="false">J2431/_xlfn.XLOOKUP(Tabla2[[#This Row],[Unidad de precio]],Tabla3[Medida],Tabla3[Equivalencia en Kg],"ELVIS",0)</f>
        <v>48.8022326021457</v>
      </c>
      <c r="M2431" s="2" t="n">
        <v>8705.156224128</v>
      </c>
      <c r="N2431" s="3" t="n">
        <f aca="false">(Tabla2[[#This Row],[Productividad (kg/TAS)]]*Tabla2[[#This Row],[Precio por kg]]-Tabla2[[#This Row],[Costos (En RD$/Tarea)]])</f>
        <v>7374.32006326432</v>
      </c>
      <c r="O2431" s="9" t="n">
        <f aca="false">IF(Tabla2[[#This Row],[Costos (En RD$/Tarea)]]=0,0,Tabla2[[#This Row],[Beneficio Neto  (En RD$/Tarea)]]/Tabla2[[#This Row],[Costos (En RD$/Tarea)]])</f>
        <v>0.847120933088482</v>
      </c>
      <c r="P2431" s="7" t="n">
        <f aca="false">Tabla2[[#This Row],[Rentabilidad (%)]]/12</f>
        <v>0.0705934110907068</v>
      </c>
    </row>
    <row r="2432" customFormat="false" ht="14.25" hidden="false" customHeight="false" outlineLevel="0" collapsed="false">
      <c r="A2432" s="1" t="n">
        <v>42675</v>
      </c>
      <c r="B2432" s="2" t="s">
        <v>25</v>
      </c>
      <c r="C2432" s="3" t="n">
        <v>45920</v>
      </c>
      <c r="D2432" s="8" t="s">
        <v>17</v>
      </c>
      <c r="E2432" s="3" t="n">
        <f aca="false">IF(Tabla2[[#This Row],[Frecuencia]]="Annual", Tabla2[[#This Row],[Cosecha/Tarea]]/12,Tabla2[[#This Row],[Cosecha/Tarea]])</f>
        <v>45920</v>
      </c>
      <c r="F2432" s="3" t="n">
        <v>415241</v>
      </c>
      <c r="G2432" s="2" t="s">
        <v>18</v>
      </c>
      <c r="H2432" s="2" t="n">
        <f aca="false">F2432/Tabla2[[#This Row],[Cosecha Mensual]]</f>
        <v>9.04270470383275</v>
      </c>
      <c r="I2432" s="2" t="n">
        <f aca="false">H2432*_xlfn.XLOOKUP(Tabla2[[#This Row],[Unidad de producción]],Tabla3[Medida],Tabla3[Equivalencia en Kg],"ELVIS",0)</f>
        <v>410.177085365854</v>
      </c>
      <c r="J2432" s="2" t="n">
        <v>391.617965277778</v>
      </c>
      <c r="K2432" s="2" t="s">
        <v>18</v>
      </c>
      <c r="L2432" s="2" t="n">
        <f aca="false">J2432/_xlfn.XLOOKUP(Tabla2[[#This Row],[Unidad de precio]],Tabla3[Medida],Tabla3[Equivalencia en Kg],"ELVIS",0)</f>
        <v>8.63355302640604</v>
      </c>
      <c r="M2432" s="2" t="n">
        <v>4784.76271988092</v>
      </c>
      <c r="N2432" s="3" t="n">
        <f aca="false">(Tabla2[[#This Row],[Productividad (kg/TAS)]]*Tabla2[[#This Row],[Precio por kg]]-Tabla2[[#This Row],[Costos (En RD$/Tarea)]])</f>
        <v>-1243.47710315815</v>
      </c>
      <c r="O2432" s="9" t="n">
        <f aca="false">IF(Tabla2[[#This Row],[Costos (En RD$/Tarea)]]=0,0,Tabla2[[#This Row],[Beneficio Neto  (En RD$/Tarea)]]/Tabla2[[#This Row],[Costos (En RD$/Tarea)]])</f>
        <v>-0.259882710168978</v>
      </c>
      <c r="P2432" s="7" t="n">
        <f aca="false">Tabla2[[#This Row],[Rentabilidad (%)]]/12</f>
        <v>-0.0216568925140815</v>
      </c>
    </row>
    <row r="2433" customFormat="false" ht="14.25" hidden="false" customHeight="false" outlineLevel="0" collapsed="false">
      <c r="A2433" s="1" t="n">
        <v>42675</v>
      </c>
      <c r="B2433" s="2" t="s">
        <v>26</v>
      </c>
      <c r="C2433" s="3" t="n">
        <v>11204</v>
      </c>
      <c r="D2433" s="8" t="s">
        <v>17</v>
      </c>
      <c r="E2433" s="3" t="n">
        <f aca="false">IF(Tabla2[[#This Row],[Frecuencia]]="Annual", Tabla2[[#This Row],[Cosecha/Tarea]]/12,Tabla2[[#This Row],[Cosecha/Tarea]])</f>
        <v>11204</v>
      </c>
      <c r="F2433" s="3" t="n">
        <v>72411</v>
      </c>
      <c r="G2433" s="2" t="s">
        <v>18</v>
      </c>
      <c r="H2433" s="2" t="n">
        <f aca="false">F2433/Tabla2[[#This Row],[Cosecha Mensual]]</f>
        <v>6.46295965726526</v>
      </c>
      <c r="I2433" s="2" t="n">
        <f aca="false">H2433*_xlfn.XLOOKUP(Tabla2[[#This Row],[Unidad de producción]],Tabla3[Medida],Tabla3[Equivalencia en Kg],"ELVIS",0)</f>
        <v>293.159850053552</v>
      </c>
      <c r="J2433" s="2" t="n">
        <v>967.769965277778</v>
      </c>
      <c r="K2433" s="2" t="s">
        <v>18</v>
      </c>
      <c r="L2433" s="2" t="n">
        <f aca="false">J2433/_xlfn.XLOOKUP(Tabla2[[#This Row],[Unidad de precio]],Tabla3[Medida],Tabla3[Equivalencia en Kg],"ELVIS",0)</f>
        <v>21.3353166948364</v>
      </c>
      <c r="M2433" s="2" t="n">
        <v>1888.43011620852</v>
      </c>
      <c r="N2433" s="3" t="n">
        <f aca="false">(Tabla2[[#This Row],[Productividad (kg/TAS)]]*Tabla2[[#This Row],[Precio por kg]]-Tabla2[[#This Row],[Costos (En RD$/Tarea)]])</f>
        <v>4366.22812689476</v>
      </c>
      <c r="O2433" s="9" t="n">
        <f aca="false">IF(Tabla2[[#This Row],[Costos (En RD$/Tarea)]]=0,0,Tabla2[[#This Row],[Beneficio Neto  (En RD$/Tarea)]]/Tabla2[[#This Row],[Costos (En RD$/Tarea)]])</f>
        <v>2.31209409838317</v>
      </c>
      <c r="P2433" s="7" t="n">
        <f aca="false">Tabla2[[#This Row],[Rentabilidad (%)]]/12</f>
        <v>0.192674508198597</v>
      </c>
    </row>
    <row r="2434" customFormat="false" ht="14.25" hidden="false" customHeight="false" outlineLevel="0" collapsed="false">
      <c r="A2434" s="1" t="n">
        <v>42675</v>
      </c>
      <c r="B2434" s="2" t="s">
        <v>27</v>
      </c>
      <c r="C2434" s="3" t="n">
        <v>4598</v>
      </c>
      <c r="D2434" s="8" t="s">
        <v>17</v>
      </c>
      <c r="E2434" s="3" t="n">
        <f aca="false">IF(Tabla2[[#This Row],[Frecuencia]]="Annual", Tabla2[[#This Row],[Cosecha/Tarea]]/12,Tabla2[[#This Row],[Cosecha/Tarea]])</f>
        <v>4598</v>
      </c>
      <c r="F2434" s="3" t="n">
        <v>25874</v>
      </c>
      <c r="G2434" s="2" t="s">
        <v>18</v>
      </c>
      <c r="H2434" s="2" t="n">
        <f aca="false">F2434/Tabla2[[#This Row],[Cosecha Mensual]]</f>
        <v>5.62722923010004</v>
      </c>
      <c r="I2434" s="2" t="n">
        <f aca="false">H2434*_xlfn.XLOOKUP(Tabla2[[#This Row],[Unidad de producción]],Tabla3[Medida],Tabla3[Equivalencia en Kg],"ELVIS",0)</f>
        <v>255.251117877338</v>
      </c>
      <c r="J2434" s="2" t="n">
        <v>1000.39285714286</v>
      </c>
      <c r="K2434" s="2" t="s">
        <v>18</v>
      </c>
      <c r="L2434" s="2" t="n">
        <f aca="false">J2434/_xlfn.XLOOKUP(Tabla2[[#This Row],[Unidad de precio]],Tabla3[Medida],Tabla3[Equivalencia en Kg],"ELVIS",0)</f>
        <v>22.0545162509449</v>
      </c>
      <c r="M2434" s="2" t="n">
        <v>8287.288275158</v>
      </c>
      <c r="N2434" s="3" t="n">
        <f aca="false">(Tabla2[[#This Row],[Productividad (kg/TAS)]]*Tabla2[[#This Row],[Precio por kg]]-Tabla2[[#This Row],[Costos (En RD$/Tarea)]])</f>
        <v>-2657.8483478604</v>
      </c>
      <c r="O2434" s="9" t="n">
        <f aca="false">IF(Tabla2[[#This Row],[Costos (En RD$/Tarea)]]=0,0,Tabla2[[#This Row],[Beneficio Neto  (En RD$/Tarea)]]/Tabla2[[#This Row],[Costos (En RD$/Tarea)]])</f>
        <v>-0.320713876435019</v>
      </c>
      <c r="P2434" s="7" t="n">
        <f aca="false">Tabla2[[#This Row],[Rentabilidad (%)]]/12</f>
        <v>-0.0267261563695849</v>
      </c>
    </row>
    <row r="2435" customFormat="false" ht="14.25" hidden="false" customHeight="false" outlineLevel="0" collapsed="false">
      <c r="A2435" s="1" t="n">
        <v>42675</v>
      </c>
      <c r="B2435" s="2" t="s">
        <v>28</v>
      </c>
      <c r="C2435" s="3" t="n">
        <v>59521</v>
      </c>
      <c r="D2435" s="8" t="s">
        <v>17</v>
      </c>
      <c r="E2435" s="3" t="n">
        <f aca="false">IF(Tabla2[[#This Row],[Frecuencia]]="Annual", Tabla2[[#This Row],[Cosecha/Tarea]]/12,Tabla2[[#This Row],[Cosecha/Tarea]])</f>
        <v>59521</v>
      </c>
      <c r="F2435" s="3" t="n">
        <v>878292</v>
      </c>
      <c r="G2435" s="2" t="s">
        <v>18</v>
      </c>
      <c r="H2435" s="2" t="n">
        <f aca="false">F2435/Tabla2[[#This Row],[Cosecha Mensual]]</f>
        <v>14.7560020832983</v>
      </c>
      <c r="I2435" s="2" t="n">
        <f aca="false">H2435*_xlfn.XLOOKUP(Tabla2[[#This Row],[Unidad de producción]],Tabla3[Medida],Tabla3[Equivalencia en Kg],"ELVIS",0)</f>
        <v>669.332254498412</v>
      </c>
      <c r="J2435" s="2" t="n">
        <v>6760.01157407408</v>
      </c>
      <c r="K2435" s="2" t="s">
        <v>29</v>
      </c>
      <c r="L2435" s="2" t="n">
        <f aca="false">J2435/_xlfn.XLOOKUP(Tabla2[[#This Row],[Unidad de precio]],Tabla3[Medida],Tabla3[Equivalencia en Kg],"ELVIS",0)</f>
        <v>12.0212177225061</v>
      </c>
      <c r="M2435" s="2" t="n">
        <v>7046.24991079678</v>
      </c>
      <c r="N2435" s="3" t="n">
        <f aca="false">(Tabla2[[#This Row],[Productividad (kg/TAS)]]*Tabla2[[#This Row],[Precio por kg]]-Tabla2[[#This Row],[Costos (En RD$/Tarea)]])</f>
        <v>999.938849224498</v>
      </c>
      <c r="O2435" s="9" t="n">
        <f aca="false">IF(Tabla2[[#This Row],[Costos (En RD$/Tarea)]]=0,0,Tabla2[[#This Row],[Beneficio Neto  (En RD$/Tarea)]]/Tabla2[[#This Row],[Costos (En RD$/Tarea)]])</f>
        <v>0.141910784017512</v>
      </c>
      <c r="P2435" s="7" t="n">
        <f aca="false">Tabla2[[#This Row],[Rentabilidad (%)]]/12</f>
        <v>0.011825898668126</v>
      </c>
    </row>
    <row r="2436" customFormat="false" ht="14.25" hidden="false" customHeight="false" outlineLevel="0" collapsed="false">
      <c r="A2436" s="1" t="n">
        <v>42675</v>
      </c>
      <c r="B2436" s="2" t="s">
        <v>30</v>
      </c>
      <c r="C2436" s="3" t="n">
        <v>352654</v>
      </c>
      <c r="D2436" s="3" t="s">
        <v>31</v>
      </c>
      <c r="E2436" s="3" t="n">
        <f aca="false">IF(Tabla2[[#This Row],[Frecuencia]]="Annual", Tabla2[[#This Row],[Cosecha/Tarea]]/12,Tabla2[[#This Row],[Cosecha/Tarea]])</f>
        <v>29387.8333333333</v>
      </c>
      <c r="F2436" s="3" t="n">
        <v>1452626.4</v>
      </c>
      <c r="G2436" s="2" t="s">
        <v>18</v>
      </c>
      <c r="H2436" s="2" t="n">
        <f aca="false">F2436/Tabla2[[#This Row],[Cosecha Mensual]]</f>
        <v>49.429516750129</v>
      </c>
      <c r="I2436" s="2" t="n">
        <f aca="false">H2436*_xlfn.XLOOKUP(Tabla2[[#This Row],[Unidad de producción]],Tabla3[Medida],Tabla3[Equivalencia en Kg],"ELVIS",0)</f>
        <v>2242.12287978585</v>
      </c>
      <c r="J2436" s="2" t="n">
        <v>124.2015625</v>
      </c>
      <c r="K2436" s="2" t="s">
        <v>32</v>
      </c>
      <c r="L2436" s="2" t="n">
        <f aca="false">J2436/_xlfn.XLOOKUP(Tabla2[[#This Row],[Unidad de precio]],Tabla3[Medida],Tabla3[Equivalencia en Kg],"ELVIS",0)</f>
        <v>4.56455576993752</v>
      </c>
      <c r="M2436" s="3" t="n">
        <v>31633.940308743</v>
      </c>
      <c r="N2436" s="3" t="n">
        <f aca="false">(Tabla2[[#This Row],[Productividad (kg/TAS)]]*Tabla2[[#This Row],[Precio por kg]]-Tabla2[[#This Row],[Costos (En RD$/Tarea)]])</f>
        <v>-21399.6453809076</v>
      </c>
      <c r="O2436" s="9" t="n">
        <f aca="false">IF(Tabla2[[#This Row],[Costos (En RD$/Tarea)]]=0,0,Tabla2[[#This Row],[Beneficio Neto  (En RD$/Tarea)]]/Tabla2[[#This Row],[Costos (En RD$/Tarea)]])</f>
        <v>-0.676477390171755</v>
      </c>
      <c r="P2436" s="7" t="n">
        <f aca="false">Tabla2[[#This Row],[Rentabilidad (%)]]/12</f>
        <v>-0.0563731158476463</v>
      </c>
    </row>
    <row r="2437" customFormat="false" ht="14.25" hidden="false" customHeight="false" outlineLevel="0" collapsed="false">
      <c r="A2437" s="1" t="n">
        <v>42675</v>
      </c>
      <c r="B2437" s="2" t="s">
        <v>33</v>
      </c>
      <c r="C2437" s="3" t="n">
        <v>735201</v>
      </c>
      <c r="D2437" s="3" t="s">
        <v>31</v>
      </c>
      <c r="E2437" s="3" t="n">
        <f aca="false">IF(Tabla2[[#This Row],[Frecuencia]]="Annual", Tabla2[[#This Row],[Cosecha/Tarea]]/12,Tabla2[[#This Row],[Cosecha/Tarea]])</f>
        <v>61266.75</v>
      </c>
      <c r="F2437" s="3" t="n">
        <v>1211202</v>
      </c>
      <c r="G2437" s="2" t="s">
        <v>18</v>
      </c>
      <c r="H2437" s="2" t="n">
        <f aca="false">F2437/Tabla2[[#This Row],[Cosecha Mensual]]</f>
        <v>19.7693202267135</v>
      </c>
      <c r="I2437" s="2" t="n">
        <f aca="false">H2437*_xlfn.XLOOKUP(Tabla2[[#This Row],[Unidad de producción]],Tabla3[Medida],Tabla3[Equivalencia en Kg],"ELVIS",0)</f>
        <v>896.736365483725</v>
      </c>
      <c r="J2437" s="2" t="n">
        <v>3791.890625</v>
      </c>
      <c r="K2437" s="2" t="s">
        <v>34</v>
      </c>
      <c r="L2437" s="2" t="n">
        <f aca="false">J2437/_xlfn.XLOOKUP(Tabla2[[#This Row],[Unidad de precio]],Tabla3[Medida],Tabla3[Equivalencia en Kg],"ELVIS",0)</f>
        <v>9.29043397035404</v>
      </c>
      <c r="M2437" s="3" t="n">
        <v>19988.8214440479</v>
      </c>
      <c r="N2437" s="3" t="n">
        <f aca="false">(Tabla2[[#This Row],[Productividad (kg/TAS)]]*Tabla2[[#This Row],[Precio por kg]]-Tabla2[[#This Row],[Costos (En RD$/Tarea)]])</f>
        <v>-11657.7514517061</v>
      </c>
      <c r="O2437" s="9" t="n">
        <f aca="false">IF(Tabla2[[#This Row],[Costos (En RD$/Tarea)]]=0,0,Tabla2[[#This Row],[Beneficio Neto  (En RD$/Tarea)]]/Tabla2[[#This Row],[Costos (En RD$/Tarea)]])</f>
        <v>-0.583213546848578</v>
      </c>
      <c r="P2437" s="7" t="n">
        <f aca="false">Tabla2[[#This Row],[Rentabilidad (%)]]/12</f>
        <v>-0.0486011289040482</v>
      </c>
    </row>
    <row r="2438" customFormat="false" ht="14.25" hidden="false" customHeight="false" outlineLevel="0" collapsed="false">
      <c r="A2438" s="1" t="n">
        <v>42705</v>
      </c>
      <c r="B2438" s="2" t="s">
        <v>16</v>
      </c>
      <c r="C2438" s="3" t="n">
        <v>82517</v>
      </c>
      <c r="D2438" s="8" t="s">
        <v>17</v>
      </c>
      <c r="E2438" s="3" t="n">
        <f aca="false">IF(Tabla2[[#This Row],[Frecuencia]]="Annual", Tabla2[[#This Row],[Cosecha/Tarea]]/12,Tabla2[[#This Row],[Cosecha/Tarea]])</f>
        <v>82517</v>
      </c>
      <c r="F2438" s="3" t="n">
        <v>304217</v>
      </c>
      <c r="G2438" s="2" t="s">
        <v>18</v>
      </c>
      <c r="H2438" s="2" t="n">
        <f aca="false">F2438/Tabla2[[#This Row],[Cosecha Mensual]]</f>
        <v>3.6867191003066</v>
      </c>
      <c r="I2438" s="2" t="n">
        <f aca="false">H2438*_xlfn.XLOOKUP(Tabla2[[#This Row],[Unidad de producción]],Tabla3[Medida],Tabla3[Equivalencia en Kg],"ELVIS",0)</f>
        <v>167.229578389908</v>
      </c>
      <c r="J2438" s="2" t="n">
        <v>1950.71960322699</v>
      </c>
      <c r="K2438" s="2" t="s">
        <v>19</v>
      </c>
      <c r="L2438" s="2" t="n">
        <f aca="false">J2438/_xlfn.XLOOKUP(Tabla2[[#This Row],[Unidad de precio]],Tabla3[Medida],Tabla3[Equivalencia en Kg],"ELVIS",0)</f>
        <v>17.7338145747908</v>
      </c>
      <c r="M2438" s="2" t="n">
        <v>5924.25478252843</v>
      </c>
      <c r="N2438" s="3" t="n">
        <f aca="false">(Tabla2[[#This Row],[Productividad (kg/TAS)]]*Tabla2[[#This Row],[Precio por kg]]-Tabla2[[#This Row],[Costos (En RD$/Tarea)]])</f>
        <v>-2958.63644794136</v>
      </c>
      <c r="O2438" s="9" t="n">
        <f aca="false">IF(Tabla2[[#This Row],[Costos (En RD$/Tarea)]]=0,0,Tabla2[[#This Row],[Beneficio Neto  (En RD$/Tarea)]]/Tabla2[[#This Row],[Costos (En RD$/Tarea)]])</f>
        <v>-0.499410737138932</v>
      </c>
      <c r="P2438" s="7" t="n">
        <f aca="false">Tabla2[[#This Row],[Rentabilidad (%)]]/12</f>
        <v>-0.0416175614282443</v>
      </c>
    </row>
    <row r="2439" customFormat="false" ht="14.25" hidden="false" customHeight="false" outlineLevel="0" collapsed="false">
      <c r="A2439" s="1" t="n">
        <v>42705</v>
      </c>
      <c r="B2439" s="2" t="s">
        <v>20</v>
      </c>
      <c r="C2439" s="3" t="n">
        <v>51204</v>
      </c>
      <c r="D2439" s="8" t="s">
        <v>17</v>
      </c>
      <c r="E2439" s="3" t="n">
        <f aca="false">IF(Tabla2[[#This Row],[Frecuencia]]="Annual", Tabla2[[#This Row],[Cosecha/Tarea]]/12,Tabla2[[#This Row],[Cosecha/Tarea]])</f>
        <v>51204</v>
      </c>
      <c r="F2439" s="3" t="n">
        <v>95478</v>
      </c>
      <c r="G2439" s="2" t="s">
        <v>18</v>
      </c>
      <c r="H2439" s="2" t="n">
        <f aca="false">F2439/Tabla2[[#This Row],[Cosecha Mensual]]</f>
        <v>1.86465901101476</v>
      </c>
      <c r="I2439" s="2" t="n">
        <f aca="false">H2439*_xlfn.XLOOKUP(Tabla2[[#This Row],[Unidad de producción]],Tabla3[Medida],Tabla3[Equivalencia en Kg],"ELVIS",0)</f>
        <v>84.5809327396297</v>
      </c>
      <c r="J2439" s="2" t="n">
        <v>724.23375234375</v>
      </c>
      <c r="K2439" s="2" t="s">
        <v>18</v>
      </c>
      <c r="L2439" s="2" t="n">
        <f aca="false">J2439/_xlfn.XLOOKUP(Tabla2[[#This Row],[Unidad de precio]],Tabla3[Medida],Tabla3[Equivalencia en Kg],"ELVIS",0)</f>
        <v>15.9663525648975</v>
      </c>
      <c r="M2439" s="2" t="n">
        <v>2463.292898352</v>
      </c>
      <c r="N2439" s="3" t="n">
        <f aca="false">(Tabla2[[#This Row],[Productividad (kg/TAS)]]*Tabla2[[#This Row],[Precio por kg]]-Tabla2[[#This Row],[Costos (En RD$/Tarea)]])</f>
        <v>-1112.84390596319</v>
      </c>
      <c r="O2439" s="9" t="n">
        <f aca="false">IF(Tabla2[[#This Row],[Costos (En RD$/Tarea)]]=0,0,Tabla2[[#This Row],[Beneficio Neto  (En RD$/Tarea)]]/Tabla2[[#This Row],[Costos (En RD$/Tarea)]])</f>
        <v>-0.45177084166796</v>
      </c>
      <c r="P2439" s="7" t="n">
        <f aca="false">Tabla2[[#This Row],[Rentabilidad (%)]]/12</f>
        <v>-0.0376475701389967</v>
      </c>
    </row>
    <row r="2440" customFormat="false" ht="14.25" hidden="false" customHeight="false" outlineLevel="0" collapsed="false">
      <c r="A2440" s="1" t="n">
        <v>42705</v>
      </c>
      <c r="B2440" s="2" t="s">
        <v>21</v>
      </c>
      <c r="C2440" s="3" t="n">
        <v>7862</v>
      </c>
      <c r="D2440" s="8" t="s">
        <v>17</v>
      </c>
      <c r="E2440" s="3" t="n">
        <f aca="false">IF(Tabla2[[#This Row],[Frecuencia]]="Annual", Tabla2[[#This Row],[Cosecha/Tarea]]/12,Tabla2[[#This Row],[Cosecha/Tarea]])</f>
        <v>7862</v>
      </c>
      <c r="F2440" s="3" t="n">
        <v>83241</v>
      </c>
      <c r="G2440" s="2" t="s">
        <v>18</v>
      </c>
      <c r="H2440" s="2" t="n">
        <f aca="false">F2440/Tabla2[[#This Row],[Cosecha Mensual]]</f>
        <v>10.5877639277538</v>
      </c>
      <c r="I2440" s="2" t="n">
        <f aca="false">H2440*_xlfn.XLOOKUP(Tabla2[[#This Row],[Unidad de producción]],Tabla3[Medida],Tabla3[Equivalencia en Kg],"ELVIS",0)</f>
        <v>480.26097176291</v>
      </c>
      <c r="J2440" s="2" t="n">
        <v>431.682465277778</v>
      </c>
      <c r="K2440" s="2" t="s">
        <v>18</v>
      </c>
      <c r="L2440" s="2" t="n">
        <f aca="false">J2440/_xlfn.XLOOKUP(Tabla2[[#This Row],[Unidad de precio]],Tabla3[Medida],Tabla3[Equivalencia en Kg],"ELVIS",0)</f>
        <v>9.51680919924555</v>
      </c>
      <c r="M2440" s="2" t="n">
        <v>4713.68743816075</v>
      </c>
      <c r="N2440" s="3" t="n">
        <f aca="false">(Tabla2[[#This Row],[Productividad (kg/TAS)]]*Tabla2[[#This Row],[Precio por kg]]-Tabla2[[#This Row],[Costos (En RD$/Tarea)]])</f>
        <v>-143.135404048881</v>
      </c>
      <c r="O2440" s="9" t="n">
        <f aca="false">IF(Tabla2[[#This Row],[Costos (En RD$/Tarea)]]=0,0,Tabla2[[#This Row],[Beneficio Neto  (En RD$/Tarea)]]/Tabla2[[#This Row],[Costos (En RD$/Tarea)]])</f>
        <v>-0.0303659090524534</v>
      </c>
      <c r="P2440" s="7" t="n">
        <f aca="false">Tabla2[[#This Row],[Rentabilidad (%)]]/12</f>
        <v>-0.00253049242103778</v>
      </c>
    </row>
    <row r="2441" customFormat="false" ht="14.25" hidden="false" customHeight="false" outlineLevel="0" collapsed="false">
      <c r="A2441" s="1" t="n">
        <v>42705</v>
      </c>
      <c r="B2441" s="2" t="s">
        <v>22</v>
      </c>
      <c r="C2441" s="3" t="n">
        <v>7014</v>
      </c>
      <c r="D2441" s="8" t="s">
        <v>17</v>
      </c>
      <c r="E2441" s="3" t="n">
        <f aca="false">IF(Tabla2[[#This Row],[Frecuencia]]="Annual", Tabla2[[#This Row],[Cosecha/Tarea]]/12,Tabla2[[#This Row],[Cosecha/Tarea]])</f>
        <v>7014</v>
      </c>
      <c r="F2441" s="3" t="n">
        <v>60451</v>
      </c>
      <c r="G2441" s="2" t="s">
        <v>18</v>
      </c>
      <c r="H2441" s="2" t="n">
        <f aca="false">F2441/Tabla2[[#This Row],[Cosecha Mensual]]</f>
        <v>8.61861990305104</v>
      </c>
      <c r="I2441" s="2" t="n">
        <f aca="false">H2441*_xlfn.XLOOKUP(Tabla2[[#This Row],[Unidad de producción]],Tabla3[Medida],Tabla3[Equivalencia en Kg],"ELVIS",0)</f>
        <v>390.940598802395</v>
      </c>
      <c r="J2441" s="2" t="n">
        <v>1681.06845238095</v>
      </c>
      <c r="K2441" s="2" t="s">
        <v>18</v>
      </c>
      <c r="L2441" s="2" t="n">
        <f aca="false">J2441/_xlfn.XLOOKUP(Tabla2[[#This Row],[Unidad de precio]],Tabla3[Medida],Tabla3[Equivalencia en Kg],"ELVIS",0)</f>
        <v>37.060591983707</v>
      </c>
      <c r="M2441" s="2" t="n">
        <v>8550.15765636903</v>
      </c>
      <c r="N2441" s="3" t="n">
        <f aca="false">(Tabla2[[#This Row],[Productividad (kg/TAS)]]*Tabla2[[#This Row],[Precio por kg]]-Tabla2[[#This Row],[Costos (En RD$/Tarea)]])</f>
        <v>5938.33236571264</v>
      </c>
      <c r="O2441" s="9" t="n">
        <f aca="false">IF(Tabla2[[#This Row],[Costos (En RD$/Tarea)]]=0,0,Tabla2[[#This Row],[Beneficio Neto  (En RD$/Tarea)]]/Tabla2[[#This Row],[Costos (En RD$/Tarea)]])</f>
        <v>0.6945289905022</v>
      </c>
      <c r="P2441" s="7" t="n">
        <f aca="false">Tabla2[[#This Row],[Rentabilidad (%)]]/12</f>
        <v>0.0578774158751833</v>
      </c>
    </row>
    <row r="2442" customFormat="false" ht="14.25" hidden="false" customHeight="false" outlineLevel="0" collapsed="false">
      <c r="A2442" s="1" t="n">
        <v>42705</v>
      </c>
      <c r="B2442" s="2" t="s">
        <v>23</v>
      </c>
      <c r="C2442" s="3" t="n">
        <v>4210</v>
      </c>
      <c r="D2442" s="8" t="s">
        <v>17</v>
      </c>
      <c r="E2442" s="3" t="n">
        <f aca="false">IF(Tabla2[[#This Row],[Frecuencia]]="Annual", Tabla2[[#This Row],[Cosecha/Tarea]]/12,Tabla2[[#This Row],[Cosecha/Tarea]])</f>
        <v>4210</v>
      </c>
      <c r="F2442" s="3" t="n">
        <v>151254</v>
      </c>
      <c r="G2442" s="2" t="s">
        <v>18</v>
      </c>
      <c r="H2442" s="2" t="n">
        <f aca="false">F2442/Tabla2[[#This Row],[Cosecha Mensual]]</f>
        <v>35.9273159144893</v>
      </c>
      <c r="I2442" s="2" t="n">
        <f aca="false">H2442*_xlfn.XLOOKUP(Tabla2[[#This Row],[Unidad de producción]],Tabla3[Medida],Tabla3[Equivalencia en Kg],"ELVIS",0)</f>
        <v>1629.66304988124</v>
      </c>
      <c r="J2442" s="2" t="n">
        <v>971.875</v>
      </c>
      <c r="K2442" s="2" t="s">
        <v>18</v>
      </c>
      <c r="L2442" s="2" t="n">
        <f aca="false">J2442/_xlfn.XLOOKUP(Tabla2[[#This Row],[Unidad de precio]],Tabla3[Medida],Tabla3[Equivalencia en Kg],"ELVIS",0)</f>
        <v>21.425815696649</v>
      </c>
      <c r="M2442" s="2" t="n">
        <v>23192.17</v>
      </c>
      <c r="N2442" s="3" t="n">
        <f aca="false">(Tabla2[[#This Row],[Productividad (kg/TAS)]]*Tabla2[[#This Row],[Precio por kg]]-Tabla2[[#This Row],[Costos (En RD$/Tarea)]])</f>
        <v>11724.6901543943</v>
      </c>
      <c r="O2442" s="9" t="n">
        <f aca="false">IF(Tabla2[[#This Row],[Costos (En RD$/Tarea)]]=0,0,Tabla2[[#This Row],[Beneficio Neto  (En RD$/Tarea)]]/Tabla2[[#This Row],[Costos (En RD$/Tarea)]])</f>
        <v>0.505545197124474</v>
      </c>
      <c r="P2442" s="7" t="n">
        <f aca="false">Tabla2[[#This Row],[Rentabilidad (%)]]/12</f>
        <v>0.0421287664270395</v>
      </c>
    </row>
    <row r="2443" customFormat="false" ht="14.25" hidden="false" customHeight="false" outlineLevel="0" collapsed="false">
      <c r="A2443" s="1" t="n">
        <v>42705</v>
      </c>
      <c r="B2443" s="2" t="s">
        <v>24</v>
      </c>
      <c r="C2443" s="3" t="n">
        <v>8214</v>
      </c>
      <c r="D2443" s="8" t="s">
        <v>17</v>
      </c>
      <c r="E2443" s="3" t="n">
        <f aca="false">IF(Tabla2[[#This Row],[Frecuencia]]="Annual", Tabla2[[#This Row],[Cosecha/Tarea]]/12,Tabla2[[#This Row],[Cosecha/Tarea]])</f>
        <v>8214</v>
      </c>
      <c r="F2443" s="3" t="n">
        <v>82147</v>
      </c>
      <c r="G2443" s="2" t="s">
        <v>18</v>
      </c>
      <c r="H2443" s="2" t="n">
        <f aca="false">F2443/Tabla2[[#This Row],[Cosecha Mensual]]</f>
        <v>10.0008522035549</v>
      </c>
      <c r="I2443" s="2" t="n">
        <f aca="false">H2443*_xlfn.XLOOKUP(Tabla2[[#This Row],[Unidad de producción]],Tabla3[Medida],Tabla3[Equivalencia en Kg],"ELVIS",0)</f>
        <v>453.638655953251</v>
      </c>
      <c r="J2443" s="2" t="n">
        <v>2135.26909722222</v>
      </c>
      <c r="K2443" s="2" t="s">
        <v>18</v>
      </c>
      <c r="L2443" s="2" t="n">
        <f aca="false">J2443/_xlfn.XLOOKUP(Tabla2[[#This Row],[Unidad de precio]],Tabla3[Medida],Tabla3[Equivalencia en Kg],"ELVIS",0)</f>
        <v>47.0738337130119</v>
      </c>
      <c r="M2443" s="2" t="n">
        <v>8705.156224128</v>
      </c>
      <c r="N2443" s="3" t="n">
        <f aca="false">(Tabla2[[#This Row],[Productividad (kg/TAS)]]*Tabla2[[#This Row],[Precio por kg]]-Tabla2[[#This Row],[Costos (En RD$/Tarea)]])</f>
        <v>12649.3544320095</v>
      </c>
      <c r="O2443" s="9" t="n">
        <f aca="false">IF(Tabla2[[#This Row],[Costos (En RD$/Tarea)]]=0,0,Tabla2[[#This Row],[Beneficio Neto  (En RD$/Tarea)]]/Tabla2[[#This Row],[Costos (En RD$/Tarea)]])</f>
        <v>1.45308758468337</v>
      </c>
      <c r="P2443" s="7" t="n">
        <f aca="false">Tabla2[[#This Row],[Rentabilidad (%)]]/12</f>
        <v>0.121090632056947</v>
      </c>
    </row>
    <row r="2444" customFormat="false" ht="14.25" hidden="false" customHeight="false" outlineLevel="0" collapsed="false">
      <c r="A2444" s="1" t="n">
        <v>42705</v>
      </c>
      <c r="B2444" s="2" t="s">
        <v>25</v>
      </c>
      <c r="C2444" s="3" t="n">
        <v>28412</v>
      </c>
      <c r="D2444" s="8" t="s">
        <v>17</v>
      </c>
      <c r="E2444" s="3" t="n">
        <f aca="false">IF(Tabla2[[#This Row],[Frecuencia]]="Annual", Tabla2[[#This Row],[Cosecha/Tarea]]/12,Tabla2[[#This Row],[Cosecha/Tarea]])</f>
        <v>28412</v>
      </c>
      <c r="F2444" s="3" t="n">
        <v>333214</v>
      </c>
      <c r="G2444" s="2" t="s">
        <v>18</v>
      </c>
      <c r="H2444" s="2" t="n">
        <f aca="false">F2444/Tabla2[[#This Row],[Cosecha Mensual]]</f>
        <v>11.7279318597776</v>
      </c>
      <c r="I2444" s="2" t="n">
        <f aca="false">H2444*_xlfn.XLOOKUP(Tabla2[[#This Row],[Unidad de producción]],Tabla3[Medida],Tabla3[Equivalencia en Kg],"ELVIS",0)</f>
        <v>531.97898915951</v>
      </c>
      <c r="J2444" s="2" t="n">
        <v>447.4203125</v>
      </c>
      <c r="K2444" s="2" t="s">
        <v>18</v>
      </c>
      <c r="L2444" s="2" t="n">
        <f aca="false">J2444/_xlfn.XLOOKUP(Tabla2[[#This Row],[Unidad de precio]],Tabla3[Medida],Tabla3[Equivalencia en Kg],"ELVIS",0)</f>
        <v>9.86376350308642</v>
      </c>
      <c r="M2444" s="2" t="n">
        <v>4784.76271988092</v>
      </c>
      <c r="N2444" s="3" t="n">
        <f aca="false">(Tabla2[[#This Row],[Productividad (kg/TAS)]]*Tabla2[[#This Row],[Precio por kg]]-Tabla2[[#This Row],[Costos (En RD$/Tarea)]])</f>
        <v>462.552217799463</v>
      </c>
      <c r="O2444" s="9" t="n">
        <f aca="false">IF(Tabla2[[#This Row],[Costos (En RD$/Tarea)]]=0,0,Tabla2[[#This Row],[Beneficio Neto  (En RD$/Tarea)]]/Tabla2[[#This Row],[Costos (En RD$/Tarea)]])</f>
        <v>0.0966719239550868</v>
      </c>
      <c r="P2444" s="7" t="n">
        <f aca="false">Tabla2[[#This Row],[Rentabilidad (%)]]/12</f>
        <v>0.0080559936629239</v>
      </c>
    </row>
    <row r="2445" customFormat="false" ht="14.25" hidden="false" customHeight="false" outlineLevel="0" collapsed="false">
      <c r="A2445" s="1" t="n">
        <v>42705</v>
      </c>
      <c r="B2445" s="2" t="s">
        <v>26</v>
      </c>
      <c r="C2445" s="3" t="n">
        <v>13012</v>
      </c>
      <c r="D2445" s="8" t="s">
        <v>17</v>
      </c>
      <c r="E2445" s="3" t="n">
        <f aca="false">IF(Tabla2[[#This Row],[Frecuencia]]="Annual", Tabla2[[#This Row],[Cosecha/Tarea]]/12,Tabla2[[#This Row],[Cosecha/Tarea]])</f>
        <v>13012</v>
      </c>
      <c r="F2445" s="3" t="n">
        <v>91024</v>
      </c>
      <c r="G2445" s="2" t="s">
        <v>18</v>
      </c>
      <c r="H2445" s="2" t="n">
        <f aca="false">F2445/Tabla2[[#This Row],[Cosecha Mensual]]</f>
        <v>6.99538887181064</v>
      </c>
      <c r="I2445" s="2" t="n">
        <f aca="false">H2445*_xlfn.XLOOKUP(Tabla2[[#This Row],[Unidad de producción]],Tabla3[Medida],Tabla3[Equivalencia en Kg],"ELVIS",0)</f>
        <v>317.310839225331</v>
      </c>
      <c r="J2445" s="2" t="n">
        <v>1008</v>
      </c>
      <c r="K2445" s="2" t="s">
        <v>18</v>
      </c>
      <c r="L2445" s="2" t="n">
        <f aca="false">J2445/_xlfn.XLOOKUP(Tabla2[[#This Row],[Unidad de precio]],Tabla3[Medida],Tabla3[Equivalencia en Kg],"ELVIS",0)</f>
        <v>22.2222222222222</v>
      </c>
      <c r="M2445" s="2" t="n">
        <v>1888.43011620852</v>
      </c>
      <c r="N2445" s="3" t="n">
        <f aca="false">(Tabla2[[#This Row],[Productividad (kg/TAS)]]*Tabla2[[#This Row],[Precio por kg]]-Tabla2[[#This Row],[Costos (En RD$/Tarea)]])</f>
        <v>5162.9218665766</v>
      </c>
      <c r="O2445" s="9" t="n">
        <f aca="false">IF(Tabla2[[#This Row],[Costos (En RD$/Tarea)]]=0,0,Tabla2[[#This Row],[Beneficio Neto  (En RD$/Tarea)]]/Tabla2[[#This Row],[Costos (En RD$/Tarea)]])</f>
        <v>2.73397560347238</v>
      </c>
      <c r="P2445" s="7" t="n">
        <f aca="false">Tabla2[[#This Row],[Rentabilidad (%)]]/12</f>
        <v>0.227831300289365</v>
      </c>
    </row>
    <row r="2446" customFormat="false" ht="14.25" hidden="false" customHeight="false" outlineLevel="0" collapsed="false">
      <c r="A2446" s="1" t="n">
        <v>42705</v>
      </c>
      <c r="B2446" s="2" t="s">
        <v>27</v>
      </c>
      <c r="C2446" s="3" t="n">
        <v>7021</v>
      </c>
      <c r="D2446" s="8" t="s">
        <v>17</v>
      </c>
      <c r="E2446" s="3" t="n">
        <f aca="false">IF(Tabla2[[#This Row],[Frecuencia]]="Annual", Tabla2[[#This Row],[Cosecha/Tarea]]/12,Tabla2[[#This Row],[Cosecha/Tarea]])</f>
        <v>7021</v>
      </c>
      <c r="F2446" s="3" t="n">
        <v>43561</v>
      </c>
      <c r="G2446" s="2" t="s">
        <v>18</v>
      </c>
      <c r="H2446" s="2" t="n">
        <f aca="false">F2446/Tabla2[[#This Row],[Cosecha Mensual]]</f>
        <v>6.20438683948156</v>
      </c>
      <c r="I2446" s="2" t="n">
        <f aca="false">H2446*_xlfn.XLOOKUP(Tabla2[[#This Row],[Unidad de producción]],Tabla3[Medida],Tabla3[Equivalencia en Kg],"ELVIS",0)</f>
        <v>281.430987038883</v>
      </c>
      <c r="J2446" s="2" t="n">
        <v>962.031746031746</v>
      </c>
      <c r="K2446" s="2" t="s">
        <v>18</v>
      </c>
      <c r="L2446" s="2" t="n">
        <f aca="false">J2446/_xlfn.XLOOKUP(Tabla2[[#This Row],[Unidad de precio]],Tabla3[Medida],Tabla3[Equivalencia en Kg],"ELVIS",0)</f>
        <v>21.2088127432043</v>
      </c>
      <c r="M2446" s="2" t="n">
        <v>8287.288275158</v>
      </c>
      <c r="N2446" s="3" t="n">
        <f aca="false">(Tabla2[[#This Row],[Productividad (kg/TAS)]]*Tabla2[[#This Row],[Precio por kg]]-Tabla2[[#This Row],[Costos (En RD$/Tarea)]])</f>
        <v>-2318.47117091517</v>
      </c>
      <c r="O2446" s="9" t="n">
        <f aca="false">IF(Tabla2[[#This Row],[Costos (En RD$/Tarea)]]=0,0,Tabla2[[#This Row],[Beneficio Neto  (En RD$/Tarea)]]/Tabla2[[#This Row],[Costos (En RD$/Tarea)]])</f>
        <v>-0.279762341303491</v>
      </c>
      <c r="P2446" s="7" t="n">
        <f aca="false">Tabla2[[#This Row],[Rentabilidad (%)]]/12</f>
        <v>-0.0233135284419576</v>
      </c>
    </row>
    <row r="2447" customFormat="false" ht="14.25" hidden="false" customHeight="false" outlineLevel="0" collapsed="false">
      <c r="A2447" s="1" t="n">
        <v>42705</v>
      </c>
      <c r="B2447" s="2" t="s">
        <v>28</v>
      </c>
      <c r="C2447" s="3" t="n">
        <v>58421</v>
      </c>
      <c r="D2447" s="8" t="s">
        <v>17</v>
      </c>
      <c r="E2447" s="3" t="n">
        <f aca="false">IF(Tabla2[[#This Row],[Frecuencia]]="Annual", Tabla2[[#This Row],[Cosecha/Tarea]]/12,Tabla2[[#This Row],[Cosecha/Tarea]])</f>
        <v>58421</v>
      </c>
      <c r="F2447" s="3" t="n">
        <v>1187448</v>
      </c>
      <c r="G2447" s="2" t="s">
        <v>18</v>
      </c>
      <c r="H2447" s="2" t="n">
        <f aca="false">F2447/Tabla2[[#This Row],[Cosecha Mensual]]</f>
        <v>20.3257047979323</v>
      </c>
      <c r="I2447" s="2" t="n">
        <f aca="false">H2447*_xlfn.XLOOKUP(Tabla2[[#This Row],[Unidad de producción]],Tabla3[Medida],Tabla3[Equivalencia en Kg],"ELVIS",0)</f>
        <v>921.973969634207</v>
      </c>
      <c r="J2447" s="2" t="n">
        <v>6879.27430555556</v>
      </c>
      <c r="K2447" s="2" t="s">
        <v>29</v>
      </c>
      <c r="L2447" s="2" t="n">
        <f aca="false">J2447/_xlfn.XLOOKUP(Tabla2[[#This Row],[Unidad de precio]],Tabla3[Medida],Tabla3[Equivalencia en Kg],"ELVIS",0)</f>
        <v>12.2333006820706</v>
      </c>
      <c r="M2447" s="2" t="n">
        <v>7046.24991079678</v>
      </c>
      <c r="N2447" s="3" t="n">
        <f aca="false">(Tabla2[[#This Row],[Productividad (kg/TAS)]]*Tabla2[[#This Row],[Precio por kg]]-Tabla2[[#This Row],[Costos (En RD$/Tarea)]])</f>
        <v>4232.53488078067</v>
      </c>
      <c r="O2447" s="9" t="n">
        <f aca="false">IF(Tabla2[[#This Row],[Costos (En RD$/Tarea)]]=0,0,Tabla2[[#This Row],[Beneficio Neto  (En RD$/Tarea)]]/Tabla2[[#This Row],[Costos (En RD$/Tarea)]])</f>
        <v>0.600679075304336</v>
      </c>
      <c r="P2447" s="7" t="n">
        <f aca="false">Tabla2[[#This Row],[Rentabilidad (%)]]/12</f>
        <v>0.0500565896086946</v>
      </c>
    </row>
    <row r="2448" customFormat="false" ht="14.25" hidden="false" customHeight="false" outlineLevel="0" collapsed="false">
      <c r="A2448" s="1" t="n">
        <v>42705</v>
      </c>
      <c r="B2448" s="2" t="s">
        <v>30</v>
      </c>
      <c r="C2448" s="3" t="n">
        <v>374014</v>
      </c>
      <c r="D2448" s="3" t="s">
        <v>31</v>
      </c>
      <c r="E2448" s="3" t="n">
        <f aca="false">IF(Tabla2[[#This Row],[Frecuencia]]="Annual", Tabla2[[#This Row],[Cosecha/Tarea]]/12,Tabla2[[#This Row],[Cosecha/Tarea]])</f>
        <v>31167.8333333333</v>
      </c>
      <c r="F2448" s="3" t="n">
        <v>1972529.4</v>
      </c>
      <c r="G2448" s="2" t="s">
        <v>18</v>
      </c>
      <c r="H2448" s="2" t="n">
        <f aca="false">F2448/Tabla2[[#This Row],[Cosecha Mensual]]</f>
        <v>63.2873443240093</v>
      </c>
      <c r="I2448" s="2" t="n">
        <f aca="false">H2448*_xlfn.XLOOKUP(Tabla2[[#This Row],[Unidad de producción]],Tabla3[Medida],Tabla3[Equivalencia en Kg],"ELVIS",0)</f>
        <v>2870.71393853706</v>
      </c>
      <c r="J2448" s="2" t="n">
        <v>145.1890625</v>
      </c>
      <c r="K2448" s="2" t="s">
        <v>32</v>
      </c>
      <c r="L2448" s="2" t="n">
        <f aca="false">J2448/_xlfn.XLOOKUP(Tabla2[[#This Row],[Unidad de precio]],Tabla3[Medida],Tabla3[Equivalencia en Kg],"ELVIS",0)</f>
        <v>5.33587146269754</v>
      </c>
      <c r="M2448" s="3" t="n">
        <v>31633.940308743</v>
      </c>
      <c r="N2448" s="3" t="n">
        <f aca="false">(Tabla2[[#This Row],[Productividad (kg/TAS)]]*Tabla2[[#This Row],[Precio por kg]]-Tabla2[[#This Row],[Costos (En RD$/Tarea)]])</f>
        <v>-16316.179726535</v>
      </c>
      <c r="O2448" s="9" t="n">
        <f aca="false">IF(Tabla2[[#This Row],[Costos (En RD$/Tarea)]]=0,0,Tabla2[[#This Row],[Beneficio Neto  (En RD$/Tarea)]]/Tabla2[[#This Row],[Costos (En RD$/Tarea)]])</f>
        <v>-0.515780821715263</v>
      </c>
      <c r="P2448" s="7" t="n">
        <f aca="false">Tabla2[[#This Row],[Rentabilidad (%)]]/12</f>
        <v>-0.0429817351429386</v>
      </c>
    </row>
    <row r="2449" customFormat="false" ht="14.25" hidden="false" customHeight="false" outlineLevel="0" collapsed="false">
      <c r="A2449" s="1" t="n">
        <v>42705</v>
      </c>
      <c r="B2449" s="2" t="s">
        <v>33</v>
      </c>
      <c r="C2449" s="3" t="n">
        <v>733521</v>
      </c>
      <c r="D2449" s="3" t="s">
        <v>31</v>
      </c>
      <c r="E2449" s="3" t="n">
        <f aca="false">IF(Tabla2[[#This Row],[Frecuencia]]="Annual", Tabla2[[#This Row],[Cosecha/Tarea]]/12,Tabla2[[#This Row],[Cosecha/Tarea]])</f>
        <v>61126.75</v>
      </c>
      <c r="F2449" s="3" t="n">
        <v>1296369.22233175</v>
      </c>
      <c r="G2449" s="2" t="s">
        <v>18</v>
      </c>
      <c r="H2449" s="2" t="n">
        <f aca="false">F2449/Tabla2[[#This Row],[Cosecha Mensual]]</f>
        <v>21.207887256099</v>
      </c>
      <c r="I2449" s="2" t="n">
        <f aca="false">H2449*_xlfn.XLOOKUP(Tabla2[[#This Row],[Unidad de producción]],Tabla3[Medida],Tabla3[Equivalencia en Kg],"ELVIS",0)</f>
        <v>961.989765936651</v>
      </c>
      <c r="J2449" s="2" t="n">
        <v>4332.17534722222</v>
      </c>
      <c r="K2449" s="2" t="s">
        <v>34</v>
      </c>
      <c r="L2449" s="2" t="n">
        <f aca="false">J2449/_xlfn.XLOOKUP(Tabla2[[#This Row],[Unidad de precio]],Tabla3[Medida],Tabla3[Equivalencia en Kg],"ELVIS",0)</f>
        <v>10.6141745613677</v>
      </c>
      <c r="M2449" s="3" t="n">
        <v>19988.8214440479</v>
      </c>
      <c r="N2449" s="3" t="n">
        <f aca="false">(Tabla2[[#This Row],[Productividad (kg/TAS)]]*Tabla2[[#This Row],[Precio por kg]]-Tabla2[[#This Row],[Costos (En RD$/Tarea)]])</f>
        <v>-9778.09414214705</v>
      </c>
      <c r="O2449" s="9" t="n">
        <f aca="false">IF(Tabla2[[#This Row],[Costos (En RD$/Tarea)]]=0,0,Tabla2[[#This Row],[Beneficio Neto  (En RD$/Tarea)]]/Tabla2[[#This Row],[Costos (En RD$/Tarea)]])</f>
        <v>-0.489178122357918</v>
      </c>
      <c r="P2449" s="7" t="n">
        <f aca="false">Tabla2[[#This Row],[Rentabilidad (%)]]/12</f>
        <v>-0.0407648435298265</v>
      </c>
    </row>
    <row r="2450" customFormat="false" ht="14.25" hidden="false" customHeight="false" outlineLevel="0" collapsed="false">
      <c r="A2450" s="1" t="n">
        <v>42736</v>
      </c>
      <c r="B2450" s="2" t="s">
        <v>16</v>
      </c>
      <c r="C2450" s="3" t="n">
        <v>17214</v>
      </c>
      <c r="D2450" s="8" t="s">
        <v>17</v>
      </c>
      <c r="E2450" s="3" t="n">
        <f aca="false">IF(Tabla2[[#This Row],[Frecuencia]]="Annual", Tabla2[[#This Row],[Cosecha/Tarea]]/12,Tabla2[[#This Row],[Cosecha/Tarea]])</f>
        <v>17214</v>
      </c>
      <c r="F2450" s="3" t="n">
        <v>56455</v>
      </c>
      <c r="G2450" s="2" t="s">
        <v>18</v>
      </c>
      <c r="H2450" s="2" t="n">
        <f aca="false">F2450/Tabla2[[#This Row],[Cosecha Mensual]]</f>
        <v>3.27959800162658</v>
      </c>
      <c r="I2450" s="2" t="n">
        <f aca="false">H2450*_xlfn.XLOOKUP(Tabla2[[#This Row],[Unidad de producción]],Tabla3[Medida],Tabla3[Equivalencia en Kg],"ELVIS",0)</f>
        <v>148.762565353782</v>
      </c>
      <c r="J2450" s="2" t="n">
        <v>1947.48739851485</v>
      </c>
      <c r="K2450" s="2" t="s">
        <v>19</v>
      </c>
      <c r="L2450" s="2" t="n">
        <f aca="false">J2450/_xlfn.XLOOKUP(Tabla2[[#This Row],[Unidad de precio]],Tabla3[Medida],Tabla3[Equivalencia en Kg],"ELVIS",0)</f>
        <v>17.7044308955895</v>
      </c>
      <c r="M2450" s="2" t="n">
        <v>6064.21649453855</v>
      </c>
      <c r="N2450" s="3" t="n">
        <f aca="false">(Tabla2[[#This Row],[Productividad (kg/TAS)]]*Tabla2[[#This Row],[Precio por kg]]-Tabla2[[#This Row],[Costos (En RD$/Tarea)]])</f>
        <v>-3430.4599363819</v>
      </c>
      <c r="O2450" s="9" t="n">
        <f aca="false">IF(Tabla2[[#This Row],[Costos (En RD$/Tarea)]]=0,0,Tabla2[[#This Row],[Beneficio Neto  (En RD$/Tarea)]]/Tabla2[[#This Row],[Costos (En RD$/Tarea)]])</f>
        <v>-0.565688896409186</v>
      </c>
      <c r="P2450" s="7" t="n">
        <f aca="false">Tabla2[[#This Row],[Rentabilidad (%)]]/12</f>
        <v>-0.0471407413674322</v>
      </c>
    </row>
    <row r="2451" customFormat="false" ht="14.25" hidden="false" customHeight="false" outlineLevel="0" collapsed="false">
      <c r="A2451" s="1" t="n">
        <v>42736</v>
      </c>
      <c r="B2451" s="2" t="s">
        <v>20</v>
      </c>
      <c r="C2451" s="3" t="n">
        <v>28910</v>
      </c>
      <c r="D2451" s="8" t="s">
        <v>17</v>
      </c>
      <c r="E2451" s="3" t="n">
        <f aca="false">IF(Tabla2[[#This Row],[Frecuencia]]="Annual", Tabla2[[#This Row],[Cosecha/Tarea]]/12,Tabla2[[#This Row],[Cosecha/Tarea]])</f>
        <v>28910</v>
      </c>
      <c r="F2451" s="3" t="n">
        <v>52415</v>
      </c>
      <c r="G2451" s="2" t="s">
        <v>18</v>
      </c>
      <c r="H2451" s="2" t="n">
        <f aca="false">F2451/Tabla2[[#This Row],[Cosecha Mensual]]</f>
        <v>1.81304047042546</v>
      </c>
      <c r="I2451" s="2" t="n">
        <f aca="false">H2451*_xlfn.XLOOKUP(Tabla2[[#This Row],[Unidad de producción]],Tabla3[Medida],Tabla3[Equivalencia en Kg],"ELVIS",0)</f>
        <v>82.2395157384988</v>
      </c>
      <c r="J2451" s="2" t="n">
        <v>798.191840277778</v>
      </c>
      <c r="K2451" s="2" t="s">
        <v>18</v>
      </c>
      <c r="L2451" s="2" t="n">
        <f aca="false">J2451/_xlfn.XLOOKUP(Tabla2[[#This Row],[Unidad de precio]],Tabla3[Medida],Tabla3[Equivalencia en Kg],"ELVIS",0)</f>
        <v>17.5968218756124</v>
      </c>
      <c r="M2451" s="2" t="n">
        <v>2479.0864296156</v>
      </c>
      <c r="N2451" s="3" t="n">
        <f aca="false">(Tabla2[[#This Row],[Productividad (kg/TAS)]]*Tabla2[[#This Row],[Precio por kg]]-Tabla2[[#This Row],[Costos (En RD$/Tarea)]])</f>
        <v>-1031.93232002861</v>
      </c>
      <c r="O2451" s="9" t="n">
        <f aca="false">IF(Tabla2[[#This Row],[Costos (En RD$/Tarea)]]=0,0,Tabla2[[#This Row],[Beneficio Neto  (En RD$/Tarea)]]/Tabla2[[#This Row],[Costos (En RD$/Tarea)]])</f>
        <v>-0.416255079976628</v>
      </c>
      <c r="P2451" s="7" t="n">
        <f aca="false">Tabla2[[#This Row],[Rentabilidad (%)]]/12</f>
        <v>-0.0346879233313857</v>
      </c>
    </row>
    <row r="2452" customFormat="false" ht="14.25" hidden="false" customHeight="false" outlineLevel="0" collapsed="false">
      <c r="A2452" s="1" t="n">
        <v>42736</v>
      </c>
      <c r="B2452" s="2" t="s">
        <v>21</v>
      </c>
      <c r="C2452" s="3" t="n">
        <v>4907</v>
      </c>
      <c r="D2452" s="8" t="s">
        <v>17</v>
      </c>
      <c r="E2452" s="3" t="n">
        <f aca="false">IF(Tabla2[[#This Row],[Frecuencia]]="Annual", Tabla2[[#This Row],[Cosecha/Tarea]]/12,Tabla2[[#This Row],[Cosecha/Tarea]])</f>
        <v>4907</v>
      </c>
      <c r="F2452" s="3" t="n">
        <v>64219</v>
      </c>
      <c r="G2452" s="2" t="s">
        <v>18</v>
      </c>
      <c r="H2452" s="2" t="n">
        <f aca="false">F2452/Tabla2[[#This Row],[Cosecha Mensual]]</f>
        <v>13.0872223354392</v>
      </c>
      <c r="I2452" s="2" t="n">
        <f aca="false">H2452*_xlfn.XLOOKUP(Tabla2[[#This Row],[Unidad de producción]],Tabla3[Medida],Tabla3[Equivalencia en Kg],"ELVIS",0)</f>
        <v>593.636405135521</v>
      </c>
      <c r="J2452" s="2" t="n">
        <v>642.505208333333</v>
      </c>
      <c r="K2452" s="2" t="s">
        <v>18</v>
      </c>
      <c r="L2452" s="2" t="n">
        <f aca="false">J2452/_xlfn.XLOOKUP(Tabla2[[#This Row],[Unidad de precio]],Tabla3[Medida],Tabla3[Equivalencia en Kg],"ELVIS",0)</f>
        <v>14.1645769032922</v>
      </c>
      <c r="M2452" s="2" t="n">
        <v>5064.80450774638</v>
      </c>
      <c r="N2452" s="3" t="n">
        <f aca="false">(Tabla2[[#This Row],[Productividad (kg/TAS)]]*Tabla2[[#This Row],[Precio por kg]]-Tabla2[[#This Row],[Costos (En RD$/Tarea)]])</f>
        <v>3343.80400538961</v>
      </c>
      <c r="O2452" s="9" t="n">
        <f aca="false">IF(Tabla2[[#This Row],[Costos (En RD$/Tarea)]]=0,0,Tabla2[[#This Row],[Beneficio Neto  (En RD$/Tarea)]]/Tabla2[[#This Row],[Costos (En RD$/Tarea)]])</f>
        <v>0.660203962517294</v>
      </c>
      <c r="P2452" s="7" t="n">
        <f aca="false">Tabla2[[#This Row],[Rentabilidad (%)]]/12</f>
        <v>0.0550169968764412</v>
      </c>
    </row>
    <row r="2453" customFormat="false" ht="14.25" hidden="false" customHeight="false" outlineLevel="0" collapsed="false">
      <c r="A2453" s="1" t="n">
        <v>42736</v>
      </c>
      <c r="B2453" s="2" t="s">
        <v>22</v>
      </c>
      <c r="C2453" s="3" t="n">
        <v>9428</v>
      </c>
      <c r="D2453" s="8" t="s">
        <v>17</v>
      </c>
      <c r="E2453" s="3" t="n">
        <f aca="false">IF(Tabla2[[#This Row],[Frecuencia]]="Annual", Tabla2[[#This Row],[Cosecha/Tarea]]/12,Tabla2[[#This Row],[Cosecha/Tarea]])</f>
        <v>9428</v>
      </c>
      <c r="F2453" s="3" t="n">
        <v>78509</v>
      </c>
      <c r="G2453" s="2" t="s">
        <v>18</v>
      </c>
      <c r="H2453" s="2" t="n">
        <f aca="false">F2453/Tabla2[[#This Row],[Cosecha Mensual]]</f>
        <v>8.32721680101824</v>
      </c>
      <c r="I2453" s="2" t="n">
        <f aca="false">H2453*_xlfn.XLOOKUP(Tabla2[[#This Row],[Unidad de producción]],Tabla3[Medida],Tabla3[Equivalencia en Kg],"ELVIS",0)</f>
        <v>377.722554094188</v>
      </c>
      <c r="J2453" s="2" t="n">
        <v>1875.19763888889</v>
      </c>
      <c r="K2453" s="2" t="s">
        <v>18</v>
      </c>
      <c r="L2453" s="2" t="n">
        <f aca="false">J2453/_xlfn.XLOOKUP(Tabla2[[#This Row],[Unidad de precio]],Tabla3[Medida],Tabla3[Equivalencia en Kg],"ELVIS",0)</f>
        <v>41.3403359543406</v>
      </c>
      <c r="M2453" s="2" t="n">
        <v>9358.71441738452</v>
      </c>
      <c r="N2453" s="3" t="n">
        <f aca="false">(Tabla2[[#This Row],[Productividad (kg/TAS)]]*Tabla2[[#This Row],[Precio por kg]]-Tabla2[[#This Row],[Costos (En RD$/Tarea)]])</f>
        <v>6256.46286640079</v>
      </c>
      <c r="O2453" s="9" t="n">
        <f aca="false">IF(Tabla2[[#This Row],[Costos (En RD$/Tarea)]]=0,0,Tabla2[[#This Row],[Beneficio Neto  (En RD$/Tarea)]]/Tabla2[[#This Row],[Costos (En RD$/Tarea)]])</f>
        <v>0.668517339815278</v>
      </c>
      <c r="P2453" s="7" t="n">
        <f aca="false">Tabla2[[#This Row],[Rentabilidad (%)]]/12</f>
        <v>0.0557097783179398</v>
      </c>
    </row>
    <row r="2454" customFormat="false" ht="14.25" hidden="false" customHeight="false" outlineLevel="0" collapsed="false">
      <c r="A2454" s="1" t="n">
        <v>42736</v>
      </c>
      <c r="B2454" s="2" t="s">
        <v>23</v>
      </c>
      <c r="C2454" s="3" t="n">
        <v>4989</v>
      </c>
      <c r="D2454" s="8" t="s">
        <v>17</v>
      </c>
      <c r="E2454" s="3" t="n">
        <f aca="false">IF(Tabla2[[#This Row],[Frecuencia]]="Annual", Tabla2[[#This Row],[Cosecha/Tarea]]/12,Tabla2[[#This Row],[Cosecha/Tarea]])</f>
        <v>4989</v>
      </c>
      <c r="F2454" s="3" t="n">
        <v>142970</v>
      </c>
      <c r="G2454" s="2" t="s">
        <v>18</v>
      </c>
      <c r="H2454" s="2" t="n">
        <f aca="false">F2454/Tabla2[[#This Row],[Cosecha Mensual]]</f>
        <v>28.6570455001002</v>
      </c>
      <c r="I2454" s="2" t="n">
        <f aca="false">H2454*_xlfn.XLOOKUP(Tabla2[[#This Row],[Unidad de producción]],Tabla3[Medida],Tabla3[Equivalencia en Kg],"ELVIS",0)</f>
        <v>1299.88358388455</v>
      </c>
      <c r="J2454" s="2" t="n">
        <v>915.625</v>
      </c>
      <c r="K2454" s="2" t="s">
        <v>18</v>
      </c>
      <c r="L2454" s="2" t="n">
        <f aca="false">J2454/_xlfn.XLOOKUP(Tabla2[[#This Row],[Unidad de precio]],Tabla3[Medida],Tabla3[Equivalencia en Kg],"ELVIS",0)</f>
        <v>20.1857363315697</v>
      </c>
      <c r="M2454" s="2" t="n">
        <v>23497.6811528187</v>
      </c>
      <c r="N2454" s="3" t="n">
        <f aca="false">(Tabla2[[#This Row],[Productividad (kg/TAS)]]*Tabla2[[#This Row],[Precio por kg]]-Tabla2[[#This Row],[Costos (En RD$/Tarea)]])</f>
        <v>2741.42613321056</v>
      </c>
      <c r="O2454" s="9" t="n">
        <f aca="false">IF(Tabla2[[#This Row],[Costos (En RD$/Tarea)]]=0,0,Tabla2[[#This Row],[Beneficio Neto  (En RD$/Tarea)]]/Tabla2[[#This Row],[Costos (En RD$/Tarea)]])</f>
        <v>0.116667943333707</v>
      </c>
      <c r="P2454" s="7" t="n">
        <f aca="false">Tabla2[[#This Row],[Rentabilidad (%)]]/12</f>
        <v>0.00972232861114224</v>
      </c>
    </row>
    <row r="2455" customFormat="false" ht="14.25" hidden="false" customHeight="false" outlineLevel="0" collapsed="false">
      <c r="A2455" s="1" t="n">
        <v>42736</v>
      </c>
      <c r="B2455" s="2" t="s">
        <v>24</v>
      </c>
      <c r="C2455" s="3" t="n">
        <v>5867</v>
      </c>
      <c r="D2455" s="8" t="s">
        <v>17</v>
      </c>
      <c r="E2455" s="3" t="n">
        <f aca="false">IF(Tabla2[[#This Row],[Frecuencia]]="Annual", Tabla2[[#This Row],[Cosecha/Tarea]]/12,Tabla2[[#This Row],[Cosecha/Tarea]])</f>
        <v>5867</v>
      </c>
      <c r="F2455" s="3" t="n">
        <v>73214</v>
      </c>
      <c r="G2455" s="2" t="s">
        <v>18</v>
      </c>
      <c r="H2455" s="2" t="n">
        <f aca="false">F2455/Tabla2[[#This Row],[Cosecha Mensual]]</f>
        <v>12.4789500596557</v>
      </c>
      <c r="I2455" s="2" t="n">
        <f aca="false">H2455*_xlfn.XLOOKUP(Tabla2[[#This Row],[Unidad de producción]],Tabla3[Medida],Tabla3[Equivalencia en Kg],"ELVIS",0)</f>
        <v>566.045174705983</v>
      </c>
      <c r="J2455" s="2" t="n">
        <v>2167.34548611111</v>
      </c>
      <c r="K2455" s="2" t="s">
        <v>18</v>
      </c>
      <c r="L2455" s="2" t="n">
        <f aca="false">J2455/_xlfn.XLOOKUP(Tabla2[[#This Row],[Unidad de precio]],Tabla3[Medida],Tabla3[Equivalencia en Kg],"ELVIS",0)</f>
        <v>47.780985143543</v>
      </c>
      <c r="M2455" s="2" t="n">
        <v>9059.4442114896</v>
      </c>
      <c r="N2455" s="3" t="n">
        <f aca="false">(Tabla2[[#This Row],[Productividad (kg/TAS)]]*Tabla2[[#This Row],[Precio por kg]]-Tabla2[[#This Row],[Costos (En RD$/Tarea)]])</f>
        <v>17986.7518717112</v>
      </c>
      <c r="O2455" s="9" t="n">
        <f aca="false">IF(Tabla2[[#This Row],[Costos (En RD$/Tarea)]]=0,0,Tabla2[[#This Row],[Beneficio Neto  (En RD$/Tarea)]]/Tabla2[[#This Row],[Costos (En RD$/Tarea)]])</f>
        <v>1.98541449694006</v>
      </c>
      <c r="P2455" s="7" t="n">
        <f aca="false">Tabla2[[#This Row],[Rentabilidad (%)]]/12</f>
        <v>0.165451208078338</v>
      </c>
    </row>
    <row r="2456" customFormat="false" ht="14.25" hidden="false" customHeight="false" outlineLevel="0" collapsed="false">
      <c r="A2456" s="1" t="n">
        <v>42736</v>
      </c>
      <c r="B2456" s="2" t="s">
        <v>25</v>
      </c>
      <c r="C2456" s="3" t="n">
        <v>25478</v>
      </c>
      <c r="D2456" s="8" t="s">
        <v>17</v>
      </c>
      <c r="E2456" s="3" t="n">
        <f aca="false">IF(Tabla2[[#This Row],[Frecuencia]]="Annual", Tabla2[[#This Row],[Cosecha/Tarea]]/12,Tabla2[[#This Row],[Cosecha/Tarea]])</f>
        <v>25478</v>
      </c>
      <c r="F2456" s="3" t="n">
        <v>269877</v>
      </c>
      <c r="G2456" s="2" t="s">
        <v>18</v>
      </c>
      <c r="H2456" s="2" t="n">
        <f aca="false">F2456/Tabla2[[#This Row],[Cosecha Mensual]]</f>
        <v>10.59255043567</v>
      </c>
      <c r="I2456" s="2" t="n">
        <f aca="false">H2456*_xlfn.XLOOKUP(Tabla2[[#This Row],[Unidad de producción]],Tabla3[Medida],Tabla3[Equivalencia en Kg],"ELVIS",0)</f>
        <v>480.478087761991</v>
      </c>
      <c r="J2456" s="2" t="n">
        <v>452.050520833333</v>
      </c>
      <c r="K2456" s="2" t="s">
        <v>18</v>
      </c>
      <c r="L2456" s="2" t="n">
        <f aca="false">J2456/_xlfn.XLOOKUP(Tabla2[[#This Row],[Unidad de precio]],Tabla3[Medida],Tabla3[Equivalencia en Kg],"ELVIS",0)</f>
        <v>9.96584040637859</v>
      </c>
      <c r="M2456" s="2" t="n">
        <v>4667.26585652655</v>
      </c>
      <c r="N2456" s="3" t="n">
        <f aca="false">(Tabla2[[#This Row],[Productividad (kg/TAS)]]*Tabla2[[#This Row],[Precio por kg]]-Tabla2[[#This Row],[Costos (En RD$/Tarea)]])</f>
        <v>121.102084871417</v>
      </c>
      <c r="O2456" s="9" t="n">
        <f aca="false">IF(Tabla2[[#This Row],[Costos (En RD$/Tarea)]]=0,0,Tabla2[[#This Row],[Beneficio Neto  (En RD$/Tarea)]]/Tabla2[[#This Row],[Costos (En RD$/Tarea)]])</f>
        <v>0.0259471152049485</v>
      </c>
      <c r="P2456" s="7" t="n">
        <f aca="false">Tabla2[[#This Row],[Rentabilidad (%)]]/12</f>
        <v>0.00216225960041237</v>
      </c>
    </row>
    <row r="2457" customFormat="false" ht="14.25" hidden="false" customHeight="false" outlineLevel="0" collapsed="false">
      <c r="A2457" s="1" t="n">
        <v>42736</v>
      </c>
      <c r="B2457" s="2" t="s">
        <v>26</v>
      </c>
      <c r="C2457" s="3" t="n">
        <v>12001</v>
      </c>
      <c r="D2457" s="8" t="s">
        <v>17</v>
      </c>
      <c r="E2457" s="3" t="n">
        <f aca="false">IF(Tabla2[[#This Row],[Frecuencia]]="Annual", Tabla2[[#This Row],[Cosecha/Tarea]]/12,Tabla2[[#This Row],[Cosecha/Tarea]])</f>
        <v>12001</v>
      </c>
      <c r="F2457" s="3" t="n">
        <v>75988</v>
      </c>
      <c r="G2457" s="2" t="s">
        <v>18</v>
      </c>
      <c r="H2457" s="2" t="n">
        <f aca="false">F2457/Tabla2[[#This Row],[Cosecha Mensual]]</f>
        <v>6.33180568285976</v>
      </c>
      <c r="I2457" s="2" t="n">
        <f aca="false">H2457*_xlfn.XLOOKUP(Tabla2[[#This Row],[Unidad de producción]],Tabla3[Medida],Tabla3[Equivalencia en Kg],"ELVIS",0)</f>
        <v>287.210705774519</v>
      </c>
      <c r="J2457" s="2" t="n">
        <v>1187.07118055556</v>
      </c>
      <c r="K2457" s="2" t="s">
        <v>18</v>
      </c>
      <c r="L2457" s="2" t="n">
        <f aca="false">J2457/_xlfn.XLOOKUP(Tabla2[[#This Row],[Unidad de precio]],Tabla3[Medida],Tabla3[Equivalencia en Kg],"ELVIS",0)</f>
        <v>26.1699995713307</v>
      </c>
      <c r="M2457" s="2" t="n">
        <v>1810.97553022926</v>
      </c>
      <c r="N2457" s="3" t="n">
        <f aca="false">(Tabla2[[#This Row],[Productividad (kg/TAS)]]*Tabla2[[#This Row],[Precio por kg]]-Tabla2[[#This Row],[Costos (En RD$/Tarea)]])</f>
        <v>5705.32851677148</v>
      </c>
      <c r="O2457" s="9" t="n">
        <f aca="false">IF(Tabla2[[#This Row],[Costos (En RD$/Tarea)]]=0,0,Tabla2[[#This Row],[Beneficio Neto  (En RD$/Tarea)]]/Tabla2[[#This Row],[Costos (En RD$/Tarea)]])</f>
        <v>3.15041723178293</v>
      </c>
      <c r="P2457" s="7" t="n">
        <f aca="false">Tabla2[[#This Row],[Rentabilidad (%)]]/12</f>
        <v>0.262534769315244</v>
      </c>
    </row>
    <row r="2458" customFormat="false" ht="14.25" hidden="false" customHeight="false" outlineLevel="0" collapsed="false">
      <c r="A2458" s="1" t="n">
        <v>42736</v>
      </c>
      <c r="B2458" s="2" t="s">
        <v>27</v>
      </c>
      <c r="C2458" s="3" t="n">
        <v>6541</v>
      </c>
      <c r="D2458" s="8" t="s">
        <v>17</v>
      </c>
      <c r="E2458" s="3" t="n">
        <f aca="false">IF(Tabla2[[#This Row],[Frecuencia]]="Annual", Tabla2[[#This Row],[Cosecha/Tarea]]/12,Tabla2[[#This Row],[Cosecha/Tarea]])</f>
        <v>6541</v>
      </c>
      <c r="F2458" s="3" t="n">
        <v>55487</v>
      </c>
      <c r="G2458" s="2" t="s">
        <v>18</v>
      </c>
      <c r="H2458" s="2" t="n">
        <f aca="false">F2458/Tabla2[[#This Row],[Cosecha Mensual]]</f>
        <v>8.48295367680783</v>
      </c>
      <c r="I2458" s="2" t="n">
        <f aca="false">H2458*_xlfn.XLOOKUP(Tabla2[[#This Row],[Unidad de producción]],Tabla3[Medida],Tabla3[Equivalencia en Kg],"ELVIS",0)</f>
        <v>384.786778780003</v>
      </c>
      <c r="J2458" s="2" t="n">
        <v>969.482142857143</v>
      </c>
      <c r="K2458" s="2" t="s">
        <v>18</v>
      </c>
      <c r="L2458" s="2" t="n">
        <f aca="false">J2458/_xlfn.XLOOKUP(Tabla2[[#This Row],[Unidad de precio]],Tabla3[Medida],Tabla3[Equivalencia en Kg],"ELVIS",0)</f>
        <v>21.3730631141345</v>
      </c>
      <c r="M2458" s="2" t="n">
        <v>8788.431876469</v>
      </c>
      <c r="N2458" s="3" t="n">
        <f aca="false">(Tabla2[[#This Row],[Productividad (kg/TAS)]]*Tabla2[[#This Row],[Precio por kg]]-Tabla2[[#This Row],[Costos (En RD$/Tarea)]])</f>
        <v>-564.359768119466</v>
      </c>
      <c r="O2458" s="9" t="n">
        <f aca="false">IF(Tabla2[[#This Row],[Costos (En RD$/Tarea)]]=0,0,Tabla2[[#This Row],[Beneficio Neto  (En RD$/Tarea)]]/Tabla2[[#This Row],[Costos (En RD$/Tarea)]])</f>
        <v>-0.0642162078573468</v>
      </c>
      <c r="P2458" s="7" t="n">
        <f aca="false">Tabla2[[#This Row],[Rentabilidad (%)]]/12</f>
        <v>-0.0053513506547789</v>
      </c>
    </row>
    <row r="2459" customFormat="false" ht="14.25" hidden="false" customHeight="false" outlineLevel="0" collapsed="false">
      <c r="A2459" s="1" t="n">
        <v>42736</v>
      </c>
      <c r="B2459" s="2" t="s">
        <v>28</v>
      </c>
      <c r="C2459" s="3" t="n">
        <v>67214</v>
      </c>
      <c r="D2459" s="8" t="s">
        <v>17</v>
      </c>
      <c r="E2459" s="3" t="n">
        <f aca="false">IF(Tabla2[[#This Row],[Frecuencia]]="Annual", Tabla2[[#This Row],[Cosecha/Tarea]]/12,Tabla2[[#This Row],[Cosecha/Tarea]])</f>
        <v>67214</v>
      </c>
      <c r="F2459" s="3" t="n">
        <v>1183848</v>
      </c>
      <c r="G2459" s="2" t="s">
        <v>18</v>
      </c>
      <c r="H2459" s="2" t="n">
        <f aca="false">F2459/Tabla2[[#This Row],[Cosecha Mensual]]</f>
        <v>17.6131163150534</v>
      </c>
      <c r="I2459" s="2" t="n">
        <f aca="false">H2459*_xlfn.XLOOKUP(Tabla2[[#This Row],[Unidad de producción]],Tabla3[Medida],Tabla3[Equivalencia en Kg],"ELVIS",0)</f>
        <v>798.930956050823</v>
      </c>
      <c r="J2459" s="2" t="n">
        <v>8361.1875</v>
      </c>
      <c r="K2459" s="2" t="s">
        <v>29</v>
      </c>
      <c r="L2459" s="2" t="n">
        <f aca="false">J2459/_xlfn.XLOOKUP(Tabla2[[#This Row],[Unidad de precio]],Tabla3[Medida],Tabla3[Equivalencia en Kg],"ELVIS",0)</f>
        <v>14.8685626133656</v>
      </c>
      <c r="M2459" s="2" t="n">
        <v>7106.96492145872</v>
      </c>
      <c r="N2459" s="3" t="n">
        <f aca="false">(Tabla2[[#This Row],[Productividad (kg/TAS)]]*Tabla2[[#This Row],[Precio por kg]]-Tabla2[[#This Row],[Costos (En RD$/Tarea)]])</f>
        <v>4771.99002233896</v>
      </c>
      <c r="O2459" s="9" t="n">
        <f aca="false">IF(Tabla2[[#This Row],[Costos (En RD$/Tarea)]]=0,0,Tabla2[[#This Row],[Beneficio Neto  (En RD$/Tarea)]]/Tabla2[[#This Row],[Costos (En RD$/Tarea)]])</f>
        <v>0.671452592643373</v>
      </c>
      <c r="P2459" s="7" t="n">
        <f aca="false">Tabla2[[#This Row],[Rentabilidad (%)]]/12</f>
        <v>0.0559543827202811</v>
      </c>
    </row>
    <row r="2460" customFormat="false" ht="14.25" hidden="false" customHeight="false" outlineLevel="0" collapsed="false">
      <c r="A2460" s="1" t="n">
        <v>42736</v>
      </c>
      <c r="B2460" s="2" t="s">
        <v>30</v>
      </c>
      <c r="C2460" s="3" t="n">
        <v>399457</v>
      </c>
      <c r="D2460" s="3" t="s">
        <v>31</v>
      </c>
      <c r="E2460" s="3" t="n">
        <f aca="false">IF(Tabla2[[#This Row],[Frecuencia]]="Annual", Tabla2[[#This Row],[Cosecha/Tarea]]/12,Tabla2[[#This Row],[Cosecha/Tarea]])</f>
        <v>33288.0833333333</v>
      </c>
      <c r="F2460" s="3" t="n">
        <v>1820265.6</v>
      </c>
      <c r="G2460" s="2" t="s">
        <v>18</v>
      </c>
      <c r="H2460" s="2" t="n">
        <f aca="false">F2460/Tabla2[[#This Row],[Cosecha Mensual]]</f>
        <v>54.6821990852582</v>
      </c>
      <c r="I2460" s="2" t="n">
        <f aca="false">H2460*_xlfn.XLOOKUP(Tabla2[[#This Row],[Unidad de producción]],Tabla3[Medida],Tabla3[Equivalencia en Kg],"ELVIS",0)</f>
        <v>2480.38455050731</v>
      </c>
      <c r="J2460" s="2" t="n">
        <v>140.197916666667</v>
      </c>
      <c r="K2460" s="2" t="s">
        <v>32</v>
      </c>
      <c r="L2460" s="2" t="n">
        <f aca="false">J2460/_xlfn.XLOOKUP(Tabla2[[#This Row],[Unidad de precio]],Tabla3[Medida],Tabla3[Equivalencia en Kg],"ELVIS",0)</f>
        <v>5.152440891829</v>
      </c>
      <c r="M2460" s="3" t="n">
        <v>32851.8013523715</v>
      </c>
      <c r="N2460" s="3" t="n">
        <f aca="false">(Tabla2[[#This Row],[Productividad (kg/TAS)]]*Tabla2[[#This Row],[Precio por kg]]-Tabla2[[#This Row],[Costos (En RD$/Tarea)]])</f>
        <v>-20071.7665668767</v>
      </c>
      <c r="O2460" s="9" t="n">
        <f aca="false">IF(Tabla2[[#This Row],[Costos (En RD$/Tarea)]]=0,0,Tabla2[[#This Row],[Beneficio Neto  (En RD$/Tarea)]]/Tabla2[[#This Row],[Costos (En RD$/Tarea)]])</f>
        <v>-0.610979177415116</v>
      </c>
      <c r="P2460" s="7" t="n">
        <f aca="false">Tabla2[[#This Row],[Rentabilidad (%)]]/12</f>
        <v>-0.0509149314512597</v>
      </c>
    </row>
    <row r="2461" customFormat="false" ht="14.25" hidden="false" customHeight="false" outlineLevel="0" collapsed="false">
      <c r="A2461" s="1" t="n">
        <v>42736</v>
      </c>
      <c r="B2461" s="2" t="s">
        <v>33</v>
      </c>
      <c r="C2461" s="3" t="n">
        <v>697454</v>
      </c>
      <c r="D2461" s="3" t="s">
        <v>31</v>
      </c>
      <c r="E2461" s="3" t="n">
        <f aca="false">IF(Tabla2[[#This Row],[Frecuencia]]="Annual", Tabla2[[#This Row],[Cosecha/Tarea]]/12,Tabla2[[#This Row],[Cosecha/Tarea]])</f>
        <v>58121.1666666667</v>
      </c>
      <c r="F2461" s="3" t="n">
        <v>1248390</v>
      </c>
      <c r="G2461" s="2" t="s">
        <v>18</v>
      </c>
      <c r="H2461" s="2" t="n">
        <f aca="false">F2461/Tabla2[[#This Row],[Cosecha Mensual]]</f>
        <v>21.4790939617523</v>
      </c>
      <c r="I2461" s="2" t="n">
        <f aca="false">H2461*_xlfn.XLOOKUP(Tabla2[[#This Row],[Unidad de producción]],Tabla3[Medida],Tabla3[Equivalencia en Kg],"ELVIS",0)</f>
        <v>974.291702105085</v>
      </c>
      <c r="J2461" s="2" t="n">
        <v>5197.87760416667</v>
      </c>
      <c r="K2461" s="2" t="s">
        <v>34</v>
      </c>
      <c r="L2461" s="2" t="n">
        <f aca="false">J2461/_xlfn.XLOOKUP(Tabla2[[#This Row],[Unidad de precio]],Tabla3[Medida],Tabla3[Equivalencia en Kg],"ELVIS",0)</f>
        <v>12.7352140246641</v>
      </c>
      <c r="M2461" s="3" t="n">
        <v>21460.4838899894</v>
      </c>
      <c r="N2461" s="3" t="n">
        <f aca="false">(Tabla2[[#This Row],[Productividad (kg/TAS)]]*Tabla2[[#This Row],[Precio por kg]]-Tabla2[[#This Row],[Costos (En RD$/Tarea)]])</f>
        <v>-9052.67054122682</v>
      </c>
      <c r="O2461" s="9" t="n">
        <f aca="false">IF(Tabla2[[#This Row],[Costos (En RD$/Tarea)]]=0,0,Tabla2[[#This Row],[Beneficio Neto  (En RD$/Tarea)]]/Tabla2[[#This Row],[Costos (En RD$/Tarea)]])</f>
        <v>-0.4218297493958</v>
      </c>
      <c r="P2461" s="7" t="n">
        <f aca="false">Tabla2[[#This Row],[Rentabilidad (%)]]/12</f>
        <v>-0.0351524791163166</v>
      </c>
    </row>
    <row r="2462" customFormat="false" ht="14.25" hidden="false" customHeight="false" outlineLevel="0" collapsed="false">
      <c r="A2462" s="1" t="n">
        <v>42767</v>
      </c>
      <c r="B2462" s="2" t="s">
        <v>16</v>
      </c>
      <c r="C2462" s="3" t="n">
        <v>3705</v>
      </c>
      <c r="D2462" s="8" t="s">
        <v>17</v>
      </c>
      <c r="E2462" s="3" t="n">
        <f aca="false">IF(Tabla2[[#This Row],[Frecuencia]]="Annual", Tabla2[[#This Row],[Cosecha/Tarea]]/12,Tabla2[[#This Row],[Cosecha/Tarea]])</f>
        <v>3705</v>
      </c>
      <c r="F2462" s="3" t="n">
        <v>11413</v>
      </c>
      <c r="G2462" s="2" t="s">
        <v>18</v>
      </c>
      <c r="H2462" s="2" t="n">
        <f aca="false">F2462/Tabla2[[#This Row],[Cosecha Mensual]]</f>
        <v>3.0804318488529</v>
      </c>
      <c r="I2462" s="2" t="n">
        <f aca="false">H2462*_xlfn.XLOOKUP(Tabla2[[#This Row],[Unidad de producción]],Tabla3[Medida],Tabla3[Equivalencia en Kg],"ELVIS",0)</f>
        <v>139.728388663968</v>
      </c>
      <c r="J2462" s="2" t="n">
        <v>1968.15031971947</v>
      </c>
      <c r="K2462" s="2" t="s">
        <v>19</v>
      </c>
      <c r="L2462" s="2" t="n">
        <f aca="false">J2462/_xlfn.XLOOKUP(Tabla2[[#This Row],[Unidad de precio]],Tabla3[Medida],Tabla3[Equivalencia en Kg],"ELVIS",0)</f>
        <v>17.8922756338134</v>
      </c>
      <c r="M2462" s="2" t="n">
        <v>6064.21649453855</v>
      </c>
      <c r="N2462" s="3" t="n">
        <f aca="false">(Tabla2[[#This Row],[Productividad (kg/TAS)]]*Tabla2[[#This Row],[Precio por kg]]-Tabla2[[#This Row],[Costos (En RD$/Tarea)]])</f>
        <v>-3564.15765069424</v>
      </c>
      <c r="O2462" s="9" t="n">
        <f aca="false">IF(Tabla2[[#This Row],[Costos (En RD$/Tarea)]]=0,0,Tabla2[[#This Row],[Beneficio Neto  (En RD$/Tarea)]]/Tabla2[[#This Row],[Costos (En RD$/Tarea)]])</f>
        <v>-0.587735885403189</v>
      </c>
      <c r="P2462" s="7" t="n">
        <f aca="false">Tabla2[[#This Row],[Rentabilidad (%)]]/12</f>
        <v>-0.0489779904502658</v>
      </c>
    </row>
    <row r="2463" customFormat="false" ht="14.25" hidden="false" customHeight="false" outlineLevel="0" collapsed="false">
      <c r="A2463" s="1" t="n">
        <v>42767</v>
      </c>
      <c r="B2463" s="2" t="s">
        <v>20</v>
      </c>
      <c r="C2463" s="3" t="n">
        <v>30129</v>
      </c>
      <c r="D2463" s="8" t="s">
        <v>17</v>
      </c>
      <c r="E2463" s="3" t="n">
        <f aca="false">IF(Tabla2[[#This Row],[Frecuencia]]="Annual", Tabla2[[#This Row],[Cosecha/Tarea]]/12,Tabla2[[#This Row],[Cosecha/Tarea]])</f>
        <v>30129</v>
      </c>
      <c r="F2463" s="3" t="n">
        <v>73892</v>
      </c>
      <c r="G2463" s="2" t="s">
        <v>18</v>
      </c>
      <c r="H2463" s="2" t="n">
        <f aca="false">F2463/Tabla2[[#This Row],[Cosecha Mensual]]</f>
        <v>2.45252082711009</v>
      </c>
      <c r="I2463" s="2" t="n">
        <f aca="false">H2463*_xlfn.XLOOKUP(Tabla2[[#This Row],[Unidad de producción]],Tabla3[Medida],Tabla3[Equivalencia en Kg],"ELVIS",0)</f>
        <v>111.246344717714</v>
      </c>
      <c r="J2463" s="2" t="n">
        <v>806.5859375</v>
      </c>
      <c r="K2463" s="2" t="s">
        <v>18</v>
      </c>
      <c r="L2463" s="2" t="n">
        <f aca="false">J2463/_xlfn.XLOOKUP(Tabla2[[#This Row],[Unidad de precio]],Tabla3[Medida],Tabla3[Equivalencia en Kg],"ELVIS",0)</f>
        <v>17.7818769290123</v>
      </c>
      <c r="M2463" s="2" t="n">
        <v>2479.0864296156</v>
      </c>
      <c r="N2463" s="3" t="n">
        <f aca="false">(Tabla2[[#This Row],[Productividad (kg/TAS)]]*Tabla2[[#This Row],[Precio por kg]]-Tabla2[[#This Row],[Costos (En RD$/Tarea)]])</f>
        <v>-500.91761904273</v>
      </c>
      <c r="O2463" s="9" t="n">
        <f aca="false">IF(Tabla2[[#This Row],[Costos (En RD$/Tarea)]]=0,0,Tabla2[[#This Row],[Beneficio Neto  (En RD$/Tarea)]]/Tabla2[[#This Row],[Costos (En RD$/Tarea)]])</f>
        <v>-0.202057343809672</v>
      </c>
      <c r="P2463" s="7" t="n">
        <f aca="false">Tabla2[[#This Row],[Rentabilidad (%)]]/12</f>
        <v>-0.0168381119841393</v>
      </c>
    </row>
    <row r="2464" customFormat="false" ht="14.25" hidden="false" customHeight="false" outlineLevel="0" collapsed="false">
      <c r="A2464" s="1" t="n">
        <v>42767</v>
      </c>
      <c r="B2464" s="2" t="s">
        <v>21</v>
      </c>
      <c r="C2464" s="3" t="n">
        <v>9201</v>
      </c>
      <c r="D2464" s="8" t="s">
        <v>17</v>
      </c>
      <c r="E2464" s="3" t="n">
        <f aca="false">IF(Tabla2[[#This Row],[Frecuencia]]="Annual", Tabla2[[#This Row],[Cosecha/Tarea]]/12,Tabla2[[#This Row],[Cosecha/Tarea]])</f>
        <v>9201</v>
      </c>
      <c r="F2464" s="3" t="n">
        <v>86520</v>
      </c>
      <c r="G2464" s="2" t="s">
        <v>18</v>
      </c>
      <c r="H2464" s="2" t="n">
        <f aca="false">F2464/Tabla2[[#This Row],[Cosecha Mensual]]</f>
        <v>9.40332572546462</v>
      </c>
      <c r="I2464" s="2" t="n">
        <f aca="false">H2464*_xlfn.XLOOKUP(Tabla2[[#This Row],[Unidad de producción]],Tabla3[Medida],Tabla3[Equivalencia en Kg],"ELVIS",0)</f>
        <v>426.534854907075</v>
      </c>
      <c r="J2464" s="2" t="n">
        <v>647.109375</v>
      </c>
      <c r="K2464" s="2" t="s">
        <v>18</v>
      </c>
      <c r="L2464" s="2" t="n">
        <f aca="false">J2464/_xlfn.XLOOKUP(Tabla2[[#This Row],[Unidad de precio]],Tabla3[Medida],Tabla3[Equivalencia en Kg],"ELVIS",0)</f>
        <v>14.2660796957672</v>
      </c>
      <c r="M2464" s="2" t="n">
        <v>5064.80450774638</v>
      </c>
      <c r="N2464" s="3" t="n">
        <f aca="false">(Tabla2[[#This Row],[Productividad (kg/TAS)]]*Tabla2[[#This Row],[Precio por kg]]-Tabla2[[#This Row],[Costos (En RD$/Tarea)]])</f>
        <v>1020.17572538045</v>
      </c>
      <c r="O2464" s="9" t="n">
        <f aca="false">IF(Tabla2[[#This Row],[Costos (En RD$/Tarea)]]=0,0,Tabla2[[#This Row],[Beneficio Neto  (En RD$/Tarea)]]/Tabla2[[#This Row],[Costos (En RD$/Tarea)]])</f>
        <v>0.201424501936875</v>
      </c>
      <c r="P2464" s="7" t="n">
        <f aca="false">Tabla2[[#This Row],[Rentabilidad (%)]]/12</f>
        <v>0.0167853751614063</v>
      </c>
    </row>
    <row r="2465" customFormat="false" ht="14.25" hidden="false" customHeight="false" outlineLevel="0" collapsed="false">
      <c r="A2465" s="1" t="n">
        <v>42767</v>
      </c>
      <c r="B2465" s="2" t="s">
        <v>22</v>
      </c>
      <c r="C2465" s="3" t="n">
        <v>9568</v>
      </c>
      <c r="D2465" s="8" t="s">
        <v>17</v>
      </c>
      <c r="E2465" s="3" t="n">
        <f aca="false">IF(Tabla2[[#This Row],[Frecuencia]]="Annual", Tabla2[[#This Row],[Cosecha/Tarea]]/12,Tabla2[[#This Row],[Cosecha/Tarea]])</f>
        <v>9568</v>
      </c>
      <c r="F2465" s="3" t="n">
        <v>85124</v>
      </c>
      <c r="G2465" s="2" t="s">
        <v>18</v>
      </c>
      <c r="H2465" s="2" t="n">
        <f aca="false">F2465/Tabla2[[#This Row],[Cosecha Mensual]]</f>
        <v>8.89673913043478</v>
      </c>
      <c r="I2465" s="2" t="n">
        <f aca="false">H2465*_xlfn.XLOOKUP(Tabla2[[#This Row],[Unidad de producción]],Tabla3[Medida],Tabla3[Equivalencia en Kg],"ELVIS",0)</f>
        <v>403.556086956522</v>
      </c>
      <c r="J2465" s="2" t="n">
        <v>2230.73</v>
      </c>
      <c r="K2465" s="2" t="s">
        <v>18</v>
      </c>
      <c r="L2465" s="2" t="n">
        <f aca="false">J2465/_xlfn.XLOOKUP(Tabla2[[#This Row],[Unidad de precio]],Tabla3[Medida],Tabla3[Equivalencia en Kg],"ELVIS",0)</f>
        <v>49.1783509700176</v>
      </c>
      <c r="M2465" s="2" t="n">
        <v>9358.71441738452</v>
      </c>
      <c r="N2465" s="3" t="n">
        <f aca="false">(Tabla2[[#This Row],[Productividad (kg/TAS)]]*Tabla2[[#This Row],[Precio por kg]]-Tabla2[[#This Row],[Costos (En RD$/Tarea)]])</f>
        <v>10487.5084630503</v>
      </c>
      <c r="O2465" s="9" t="n">
        <f aca="false">IF(Tabla2[[#This Row],[Costos (En RD$/Tarea)]]=0,0,Tabla2[[#This Row],[Beneficio Neto  (En RD$/Tarea)]]/Tabla2[[#This Row],[Costos (En RD$/Tarea)]])</f>
        <v>1.1206142206422</v>
      </c>
      <c r="P2465" s="7" t="n">
        <f aca="false">Tabla2[[#This Row],[Rentabilidad (%)]]/12</f>
        <v>0.0933845183868499</v>
      </c>
    </row>
    <row r="2466" customFormat="false" ht="14.25" hidden="false" customHeight="false" outlineLevel="0" collapsed="false">
      <c r="A2466" s="1" t="n">
        <v>42767</v>
      </c>
      <c r="B2466" s="2" t="s">
        <v>23</v>
      </c>
      <c r="C2466" s="3" t="n">
        <v>5820</v>
      </c>
      <c r="D2466" s="8" t="s">
        <v>17</v>
      </c>
      <c r="E2466" s="3" t="n">
        <f aca="false">IF(Tabla2[[#This Row],[Frecuencia]]="Annual", Tabla2[[#This Row],[Cosecha/Tarea]]/12,Tabla2[[#This Row],[Cosecha/Tarea]])</f>
        <v>5820</v>
      </c>
      <c r="F2466" s="3" t="n">
        <v>198754</v>
      </c>
      <c r="G2466" s="2" t="s">
        <v>18</v>
      </c>
      <c r="H2466" s="2" t="n">
        <f aca="false">F2466/Tabla2[[#This Row],[Cosecha Mensual]]</f>
        <v>34.1501718213058</v>
      </c>
      <c r="I2466" s="2" t="n">
        <f aca="false">H2466*_xlfn.XLOOKUP(Tabla2[[#This Row],[Unidad de producción]],Tabla3[Medida],Tabla3[Equivalencia en Kg],"ELVIS",0)</f>
        <v>1549.05179381443</v>
      </c>
      <c r="J2466" s="2" t="n">
        <v>900</v>
      </c>
      <c r="K2466" s="2" t="s">
        <v>18</v>
      </c>
      <c r="L2466" s="2" t="n">
        <f aca="false">J2466/_xlfn.XLOOKUP(Tabla2[[#This Row],[Unidad de precio]],Tabla3[Medida],Tabla3[Equivalencia en Kg],"ELVIS",0)</f>
        <v>19.8412698412698</v>
      </c>
      <c r="M2466" s="2" t="n">
        <v>23497.6811528187</v>
      </c>
      <c r="N2466" s="3" t="n">
        <f aca="false">(Tabla2[[#This Row],[Productividad (kg/TAS)]]*Tabla2[[#This Row],[Precio por kg]]-Tabla2[[#This Row],[Costos (En RD$/Tarea)]])</f>
        <v>7237.47348635656</v>
      </c>
      <c r="O2466" s="9" t="n">
        <f aca="false">IF(Tabla2[[#This Row],[Costos (En RD$/Tarea)]]=0,0,Tabla2[[#This Row],[Beneficio Neto  (En RD$/Tarea)]]/Tabla2[[#This Row],[Costos (En RD$/Tarea)]])</f>
        <v>0.308007987651512</v>
      </c>
      <c r="P2466" s="7" t="n">
        <f aca="false">Tabla2[[#This Row],[Rentabilidad (%)]]/12</f>
        <v>0.0256673323042927</v>
      </c>
    </row>
    <row r="2467" customFormat="false" ht="14.25" hidden="false" customHeight="false" outlineLevel="0" collapsed="false">
      <c r="A2467" s="1" t="n">
        <v>42767</v>
      </c>
      <c r="B2467" s="2" t="s">
        <v>24</v>
      </c>
      <c r="C2467" s="3" t="n">
        <v>8012</v>
      </c>
      <c r="D2467" s="8" t="s">
        <v>17</v>
      </c>
      <c r="E2467" s="3" t="n">
        <f aca="false">IF(Tabla2[[#This Row],[Frecuencia]]="Annual", Tabla2[[#This Row],[Cosecha/Tarea]]/12,Tabla2[[#This Row],[Cosecha/Tarea]])</f>
        <v>8012</v>
      </c>
      <c r="F2467" s="3" t="n">
        <v>75899</v>
      </c>
      <c r="G2467" s="2" t="s">
        <v>18</v>
      </c>
      <c r="H2467" s="2" t="n">
        <f aca="false">F2467/Tabla2[[#This Row],[Cosecha Mensual]]</f>
        <v>9.47316525212182</v>
      </c>
      <c r="I2467" s="2" t="n">
        <f aca="false">H2467*_xlfn.XLOOKUP(Tabla2[[#This Row],[Unidad de producción]],Tabla3[Medida],Tabla3[Equivalencia en Kg],"ELVIS",0)</f>
        <v>429.702775836246</v>
      </c>
      <c r="J2467" s="2" t="n">
        <v>2164.41964285714</v>
      </c>
      <c r="K2467" s="2" t="s">
        <v>18</v>
      </c>
      <c r="L2467" s="2" t="n">
        <f aca="false">J2467/_xlfn.XLOOKUP(Tabla2[[#This Row],[Unidad de precio]],Tabla3[Medida],Tabla3[Equivalencia en Kg],"ELVIS",0)</f>
        <v>47.7164824263038</v>
      </c>
      <c r="M2467" s="2" t="n">
        <v>9059.4442114896</v>
      </c>
      <c r="N2467" s="3" t="n">
        <f aca="false">(Tabla2[[#This Row],[Productividad (kg/TAS)]]*Tabla2[[#This Row],[Precio por kg]]-Tabla2[[#This Row],[Costos (En RD$/Tarea)]])</f>
        <v>11444.4607402346</v>
      </c>
      <c r="O2467" s="9" t="n">
        <f aca="false">IF(Tabla2[[#This Row],[Costos (En RD$/Tarea)]]=0,0,Tabla2[[#This Row],[Beneficio Neto  (En RD$/Tarea)]]/Tabla2[[#This Row],[Costos (En RD$/Tarea)]])</f>
        <v>1.26326300742822</v>
      </c>
      <c r="P2467" s="7" t="n">
        <f aca="false">Tabla2[[#This Row],[Rentabilidad (%)]]/12</f>
        <v>0.105271917285685</v>
      </c>
    </row>
    <row r="2468" customFormat="false" ht="14.25" hidden="false" customHeight="false" outlineLevel="0" collapsed="false">
      <c r="A2468" s="1" t="n">
        <v>42767</v>
      </c>
      <c r="B2468" s="2" t="s">
        <v>25</v>
      </c>
      <c r="C2468" s="3" t="n">
        <v>41021</v>
      </c>
      <c r="D2468" s="8" t="s">
        <v>17</v>
      </c>
      <c r="E2468" s="3" t="n">
        <f aca="false">IF(Tabla2[[#This Row],[Frecuencia]]="Annual", Tabla2[[#This Row],[Cosecha/Tarea]]/12,Tabla2[[#This Row],[Cosecha/Tarea]])</f>
        <v>41021</v>
      </c>
      <c r="F2468" s="3" t="n">
        <v>444989</v>
      </c>
      <c r="G2468" s="2" t="s">
        <v>18</v>
      </c>
      <c r="H2468" s="2" t="n">
        <f aca="false">F2468/Tabla2[[#This Row],[Cosecha Mensual]]</f>
        <v>10.8478340362253</v>
      </c>
      <c r="I2468" s="2" t="n">
        <f aca="false">H2468*_xlfn.XLOOKUP(Tabla2[[#This Row],[Unidad de producción]],Tabla3[Medida],Tabla3[Equivalencia en Kg],"ELVIS",0)</f>
        <v>492.057751883182</v>
      </c>
      <c r="J2468" s="2" t="n">
        <v>454.7046875</v>
      </c>
      <c r="K2468" s="2" t="s">
        <v>18</v>
      </c>
      <c r="L2468" s="2" t="n">
        <f aca="false">J2468/_xlfn.XLOOKUP(Tabla2[[#This Row],[Unidad de precio]],Tabla3[Medida],Tabla3[Equivalencia en Kg],"ELVIS",0)</f>
        <v>10.0243537808642</v>
      </c>
      <c r="M2468" s="2" t="n">
        <v>4667.26585652655</v>
      </c>
      <c r="N2468" s="3" t="n">
        <f aca="false">(Tabla2[[#This Row],[Productividad (kg/TAS)]]*Tabla2[[#This Row],[Precio por kg]]-Tabla2[[#This Row],[Costos (En RD$/Tarea)]])</f>
        <v>265.295128967161</v>
      </c>
      <c r="O2468" s="9" t="n">
        <f aca="false">IF(Tabla2[[#This Row],[Costos (En RD$/Tarea)]]=0,0,Tabla2[[#This Row],[Beneficio Neto  (En RD$/Tarea)]]/Tabla2[[#This Row],[Costos (En RD$/Tarea)]])</f>
        <v>0.0568416578618895</v>
      </c>
      <c r="P2468" s="7" t="n">
        <f aca="false">Tabla2[[#This Row],[Rentabilidad (%)]]/12</f>
        <v>0.00473680482182413</v>
      </c>
    </row>
    <row r="2469" customFormat="false" ht="14.25" hidden="false" customHeight="false" outlineLevel="0" collapsed="false">
      <c r="A2469" s="1" t="n">
        <v>42767</v>
      </c>
      <c r="B2469" s="2" t="s">
        <v>26</v>
      </c>
      <c r="C2469" s="3" t="n">
        <v>8957</v>
      </c>
      <c r="D2469" s="8" t="s">
        <v>17</v>
      </c>
      <c r="E2469" s="3" t="n">
        <f aca="false">IF(Tabla2[[#This Row],[Frecuencia]]="Annual", Tabla2[[#This Row],[Cosecha/Tarea]]/12,Tabla2[[#This Row],[Cosecha/Tarea]])</f>
        <v>8957</v>
      </c>
      <c r="F2469" s="3" t="n">
        <v>55397</v>
      </c>
      <c r="G2469" s="2" t="s">
        <v>18</v>
      </c>
      <c r="H2469" s="2" t="n">
        <f aca="false">F2469/Tabla2[[#This Row],[Cosecha Mensual]]</f>
        <v>6.18477168694876</v>
      </c>
      <c r="I2469" s="2" t="n">
        <f aca="false">H2469*_xlfn.XLOOKUP(Tabla2[[#This Row],[Unidad de producción]],Tabla3[Medida],Tabla3[Equivalencia en Kg],"ELVIS",0)</f>
        <v>280.541243719996</v>
      </c>
      <c r="J2469" s="2" t="n">
        <v>1250.453125</v>
      </c>
      <c r="K2469" s="2" t="s">
        <v>18</v>
      </c>
      <c r="L2469" s="2" t="n">
        <f aca="false">J2469/_xlfn.XLOOKUP(Tabla2[[#This Row],[Unidad de precio]],Tabla3[Medida],Tabla3[Equivalencia en Kg],"ELVIS",0)</f>
        <v>27.5673087522046</v>
      </c>
      <c r="M2469" s="2" t="n">
        <v>1810.97553022926</v>
      </c>
      <c r="N2469" s="3" t="n">
        <f aca="false">(Tabla2[[#This Row],[Productividad (kg/TAS)]]*Tabla2[[#This Row],[Precio por kg]]-Tabla2[[#This Row],[Costos (En RD$/Tarea)]])</f>
        <v>5922.79155312733</v>
      </c>
      <c r="O2469" s="9" t="n">
        <f aca="false">IF(Tabla2[[#This Row],[Costos (En RD$/Tarea)]]=0,0,Tabla2[[#This Row],[Beneficio Neto  (En RD$/Tarea)]]/Tabla2[[#This Row],[Costos (En RD$/Tarea)]])</f>
        <v>3.27049783625599</v>
      </c>
      <c r="P2469" s="7" t="n">
        <f aca="false">Tabla2[[#This Row],[Rentabilidad (%)]]/12</f>
        <v>0.272541486354666</v>
      </c>
    </row>
    <row r="2470" customFormat="false" ht="14.25" hidden="false" customHeight="false" outlineLevel="0" collapsed="false">
      <c r="A2470" s="1" t="n">
        <v>42767</v>
      </c>
      <c r="B2470" s="2" t="s">
        <v>27</v>
      </c>
      <c r="C2470" s="3" t="n">
        <v>5621</v>
      </c>
      <c r="D2470" s="8" t="s">
        <v>17</v>
      </c>
      <c r="E2470" s="3" t="n">
        <f aca="false">IF(Tabla2[[#This Row],[Frecuencia]]="Annual", Tabla2[[#This Row],[Cosecha/Tarea]]/12,Tabla2[[#This Row],[Cosecha/Tarea]])</f>
        <v>5621</v>
      </c>
      <c r="F2470" s="3" t="n">
        <v>47501</v>
      </c>
      <c r="G2470" s="2" t="s">
        <v>18</v>
      </c>
      <c r="H2470" s="2" t="n">
        <f aca="false">F2470/Tabla2[[#This Row],[Cosecha Mensual]]</f>
        <v>8.4506315602206</v>
      </c>
      <c r="I2470" s="2" t="n">
        <f aca="false">H2470*_xlfn.XLOOKUP(Tabla2[[#This Row],[Unidad de producción]],Tabla3[Medida],Tabla3[Equivalencia en Kg],"ELVIS",0)</f>
        <v>383.320647571607</v>
      </c>
      <c r="J2470" s="2" t="n">
        <v>844.446428571429</v>
      </c>
      <c r="K2470" s="2" t="s">
        <v>18</v>
      </c>
      <c r="L2470" s="2" t="n">
        <f aca="false">J2470/_xlfn.XLOOKUP(Tabla2[[#This Row],[Unidad de precio]],Tabla3[Medida],Tabla3[Equivalencia en Kg],"ELVIS",0)</f>
        <v>18.6165438397581</v>
      </c>
      <c r="M2470" s="2" t="n">
        <v>8788.431876469</v>
      </c>
      <c r="N2470" s="3" t="n">
        <f aca="false">(Tabla2[[#This Row],[Productividad (kg/TAS)]]*Tabla2[[#This Row],[Precio por kg]]-Tabla2[[#This Row],[Costos (En RD$/Tarea)]])</f>
        <v>-1652.32623626771</v>
      </c>
      <c r="O2470" s="9" t="n">
        <f aca="false">IF(Tabla2[[#This Row],[Costos (En RD$/Tarea)]]=0,0,Tabla2[[#This Row],[Beneficio Neto  (En RD$/Tarea)]]/Tabla2[[#This Row],[Costos (En RD$/Tarea)]])</f>
        <v>-0.18801149732887</v>
      </c>
      <c r="P2470" s="7" t="n">
        <f aca="false">Tabla2[[#This Row],[Rentabilidad (%)]]/12</f>
        <v>-0.0156676247774058</v>
      </c>
    </row>
    <row r="2471" customFormat="false" ht="14.25" hidden="false" customHeight="false" outlineLevel="0" collapsed="false">
      <c r="A2471" s="1" t="n">
        <v>42767</v>
      </c>
      <c r="B2471" s="2" t="s">
        <v>28</v>
      </c>
      <c r="C2471" s="3" t="n">
        <v>92144</v>
      </c>
      <c r="D2471" s="8" t="s">
        <v>17</v>
      </c>
      <c r="E2471" s="3" t="n">
        <f aca="false">IF(Tabla2[[#This Row],[Frecuencia]]="Annual", Tabla2[[#This Row],[Cosecha/Tarea]]/12,Tabla2[[#This Row],[Cosecha/Tarea]])</f>
        <v>92144</v>
      </c>
      <c r="F2471" s="3" t="n">
        <v>1918764</v>
      </c>
      <c r="G2471" s="2" t="s">
        <v>18</v>
      </c>
      <c r="H2471" s="2" t="n">
        <f aca="false">F2471/Tabla2[[#This Row],[Cosecha Mensual]]</f>
        <v>20.8235370724084</v>
      </c>
      <c r="I2471" s="2" t="n">
        <f aca="false">H2471*_xlfn.XLOOKUP(Tabla2[[#This Row],[Unidad de producción]],Tabla3[Medida],Tabla3[Equivalencia en Kg],"ELVIS",0)</f>
        <v>944.555641604445</v>
      </c>
      <c r="J2471" s="2" t="n">
        <v>12288.6944444444</v>
      </c>
      <c r="K2471" s="2" t="s">
        <v>29</v>
      </c>
      <c r="L2471" s="2" t="n">
        <f aca="false">J2471/_xlfn.XLOOKUP(Tabla2[[#This Row],[Unidad de precio]],Tabla3[Medida],Tabla3[Equivalencia en Kg],"ELVIS",0)</f>
        <v>21.8527838041832</v>
      </c>
      <c r="M2471" s="2" t="n">
        <v>7106.96492145872</v>
      </c>
      <c r="N2471" s="3" t="n">
        <f aca="false">(Tabla2[[#This Row],[Productividad (kg/TAS)]]*Tabla2[[#This Row],[Precio por kg]]-Tabla2[[#This Row],[Costos (En RD$/Tarea)]])</f>
        <v>13534.2053055448</v>
      </c>
      <c r="O2471" s="9" t="n">
        <f aca="false">IF(Tabla2[[#This Row],[Costos (En RD$/Tarea)]]=0,0,Tabla2[[#This Row],[Beneficio Neto  (En RD$/Tarea)]]/Tabla2[[#This Row],[Costos (En RD$/Tarea)]])</f>
        <v>1.90435797209013</v>
      </c>
      <c r="P2471" s="7" t="n">
        <f aca="false">Tabla2[[#This Row],[Rentabilidad (%)]]/12</f>
        <v>0.158696497674177</v>
      </c>
    </row>
    <row r="2472" customFormat="false" ht="14.25" hidden="false" customHeight="false" outlineLevel="0" collapsed="false">
      <c r="A2472" s="1" t="n">
        <v>42767</v>
      </c>
      <c r="B2472" s="2" t="s">
        <v>30</v>
      </c>
      <c r="C2472" s="3" t="n">
        <v>442104</v>
      </c>
      <c r="D2472" s="3" t="s">
        <v>31</v>
      </c>
      <c r="E2472" s="3" t="n">
        <f aca="false">IF(Tabla2[[#This Row],[Frecuencia]]="Annual", Tabla2[[#This Row],[Cosecha/Tarea]]/12,Tabla2[[#This Row],[Cosecha/Tarea]])</f>
        <v>36842</v>
      </c>
      <c r="F2472" s="3" t="n">
        <v>1980744.6</v>
      </c>
      <c r="G2472" s="2" t="s">
        <v>18</v>
      </c>
      <c r="H2472" s="2" t="n">
        <f aca="false">F2472/Tabla2[[#This Row],[Cosecha Mensual]]</f>
        <v>53.7632213234895</v>
      </c>
      <c r="I2472" s="2" t="n">
        <f aca="false">H2472*_xlfn.XLOOKUP(Tabla2[[#This Row],[Unidad de producción]],Tabla3[Medida],Tabla3[Equivalencia en Kg],"ELVIS",0)</f>
        <v>2438.69971923348</v>
      </c>
      <c r="J2472" s="2" t="n">
        <v>146.838541666667</v>
      </c>
      <c r="K2472" s="2" t="s">
        <v>32</v>
      </c>
      <c r="L2472" s="2" t="n">
        <f aca="false">J2472/_xlfn.XLOOKUP(Tabla2[[#This Row],[Unidad de precio]],Tabla3[Medida],Tabla3[Equivalencia en Kg],"ELVIS",0)</f>
        <v>5.39649179223326</v>
      </c>
      <c r="M2472" s="3" t="n">
        <v>32851.8013523715</v>
      </c>
      <c r="N2472" s="3" t="n">
        <f aca="false">(Tabla2[[#This Row],[Productividad (kg/TAS)]]*Tabla2[[#This Row],[Precio por kg]]-Tabla2[[#This Row],[Costos (En RD$/Tarea)]])</f>
        <v>-19691.3783338065</v>
      </c>
      <c r="O2472" s="9" t="n">
        <f aca="false">IF(Tabla2[[#This Row],[Costos (En RD$/Tarea)]]=0,0,Tabla2[[#This Row],[Beneficio Neto  (En RD$/Tarea)]]/Tabla2[[#This Row],[Costos (En RD$/Tarea)]])</f>
        <v>-0.599400261878942</v>
      </c>
      <c r="P2472" s="7" t="n">
        <f aca="false">Tabla2[[#This Row],[Rentabilidad (%)]]/12</f>
        <v>-0.0499500218232452</v>
      </c>
    </row>
    <row r="2473" customFormat="false" ht="14.25" hidden="false" customHeight="false" outlineLevel="0" collapsed="false">
      <c r="A2473" s="1" t="n">
        <v>42767</v>
      </c>
      <c r="B2473" s="2" t="s">
        <v>33</v>
      </c>
      <c r="C2473" s="3" t="n">
        <v>758411</v>
      </c>
      <c r="D2473" s="3" t="s">
        <v>31</v>
      </c>
      <c r="E2473" s="3" t="n">
        <f aca="false">IF(Tabla2[[#This Row],[Frecuencia]]="Annual", Tabla2[[#This Row],[Cosecha/Tarea]]/12,Tabla2[[#This Row],[Cosecha/Tarea]])</f>
        <v>63200.9166666667</v>
      </c>
      <c r="F2473" s="3" t="n">
        <v>1379223</v>
      </c>
      <c r="G2473" s="2" t="s">
        <v>18</v>
      </c>
      <c r="H2473" s="2" t="n">
        <f aca="false">F2473/Tabla2[[#This Row],[Cosecha Mensual]]</f>
        <v>21.8228322110307</v>
      </c>
      <c r="I2473" s="2" t="n">
        <f aca="false">H2473*_xlfn.XLOOKUP(Tabla2[[#This Row],[Unidad de producción]],Tabla3[Medida],Tabla3[Equivalencia en Kg],"ELVIS",0)</f>
        <v>989.883669092352</v>
      </c>
      <c r="J2473" s="2" t="n">
        <v>5434.63541666667</v>
      </c>
      <c r="K2473" s="2" t="s">
        <v>34</v>
      </c>
      <c r="L2473" s="2" t="n">
        <f aca="false">J2473/_xlfn.XLOOKUP(Tabla2[[#This Row],[Unidad de precio]],Tabla3[Medida],Tabla3[Equivalencia en Kg],"ELVIS",0)</f>
        <v>13.3152895177427</v>
      </c>
      <c r="M2473" s="3" t="n">
        <v>21460.4838899894</v>
      </c>
      <c r="N2473" s="3" t="n">
        <f aca="false">(Tabla2[[#This Row],[Productividad (kg/TAS)]]*Tabla2[[#This Row],[Precio por kg]]-Tabla2[[#This Row],[Costos (En RD$/Tarea)]])</f>
        <v>-8279.89624713935</v>
      </c>
      <c r="O2473" s="9" t="n">
        <f aca="false">IF(Tabla2[[#This Row],[Costos (En RD$/Tarea)]]=0,0,Tabla2[[#This Row],[Beneficio Neto  (En RD$/Tarea)]]/Tabla2[[#This Row],[Costos (En RD$/Tarea)]])</f>
        <v>-0.385820575602288</v>
      </c>
      <c r="P2473" s="7" t="n">
        <f aca="false">Tabla2[[#This Row],[Rentabilidad (%)]]/12</f>
        <v>-0.032151714633524</v>
      </c>
    </row>
    <row r="2474" customFormat="false" ht="14.25" hidden="false" customHeight="false" outlineLevel="0" collapsed="false">
      <c r="A2474" s="1" t="n">
        <v>42795</v>
      </c>
      <c r="B2474" s="2" t="s">
        <v>16</v>
      </c>
      <c r="C2474" s="3" t="n">
        <v>79689</v>
      </c>
      <c r="D2474" s="8" t="s">
        <v>17</v>
      </c>
      <c r="E2474" s="3" t="n">
        <f aca="false">IF(Tabla2[[#This Row],[Frecuencia]]="Annual", Tabla2[[#This Row],[Cosecha/Tarea]]/12,Tabla2[[#This Row],[Cosecha/Tarea]])</f>
        <v>79689</v>
      </c>
      <c r="F2474" s="3" t="n">
        <v>419102</v>
      </c>
      <c r="G2474" s="2" t="s">
        <v>18</v>
      </c>
      <c r="H2474" s="2" t="n">
        <f aca="false">F2474/Tabla2[[#This Row],[Cosecha Mensual]]</f>
        <v>5.25922021859981</v>
      </c>
      <c r="I2474" s="2" t="n">
        <f aca="false">H2474*_xlfn.XLOOKUP(Tabla2[[#This Row],[Unidad de producción]],Tabla3[Medida],Tabla3[Equivalencia en Kg],"ELVIS",0)</f>
        <v>238.558229115687</v>
      </c>
      <c r="J2474" s="2" t="n">
        <v>1891.1935</v>
      </c>
      <c r="K2474" s="2" t="s">
        <v>19</v>
      </c>
      <c r="L2474" s="2" t="n">
        <f aca="false">J2474/_xlfn.XLOOKUP(Tabla2[[#This Row],[Unidad de precio]],Tabla3[Medida],Tabla3[Equivalencia en Kg],"ELVIS",0)</f>
        <v>17.1926681818182</v>
      </c>
      <c r="M2474" s="2" t="n">
        <v>6064.21649453855</v>
      </c>
      <c r="N2474" s="3" t="n">
        <f aca="false">(Tabla2[[#This Row],[Productividad (kg/TAS)]]*Tabla2[[#This Row],[Precio por kg]]-Tabla2[[#This Row],[Costos (En RD$/Tarea)]])</f>
        <v>-1962.76401931038</v>
      </c>
      <c r="O2474" s="9" t="n">
        <f aca="false">IF(Tabla2[[#This Row],[Costos (En RD$/Tarea)]]=0,0,Tabla2[[#This Row],[Beneficio Neto  (En RD$/Tarea)]]/Tabla2[[#This Row],[Costos (En RD$/Tarea)]])</f>
        <v>-0.323663249997432</v>
      </c>
      <c r="P2474" s="7" t="n">
        <f aca="false">Tabla2[[#This Row],[Rentabilidad (%)]]/12</f>
        <v>-0.026971937499786</v>
      </c>
    </row>
    <row r="2475" customFormat="false" ht="14.25" hidden="false" customHeight="false" outlineLevel="0" collapsed="false">
      <c r="A2475" s="1" t="n">
        <v>42795</v>
      </c>
      <c r="B2475" s="2" t="s">
        <v>20</v>
      </c>
      <c r="C2475" s="3" t="n">
        <v>24620</v>
      </c>
      <c r="D2475" s="8" t="s">
        <v>17</v>
      </c>
      <c r="E2475" s="3" t="n">
        <f aca="false">IF(Tabla2[[#This Row],[Frecuencia]]="Annual", Tabla2[[#This Row],[Cosecha/Tarea]]/12,Tabla2[[#This Row],[Cosecha/Tarea]])</f>
        <v>24620</v>
      </c>
      <c r="F2475" s="3" t="n">
        <v>62909</v>
      </c>
      <c r="G2475" s="2" t="s">
        <v>18</v>
      </c>
      <c r="H2475" s="2" t="n">
        <f aca="false">F2475/Tabla2[[#This Row],[Cosecha Mensual]]</f>
        <v>2.55519902518278</v>
      </c>
      <c r="I2475" s="2" t="n">
        <f aca="false">H2475*_xlfn.XLOOKUP(Tabla2[[#This Row],[Unidad de producción]],Tabla3[Medida],Tabla3[Equivalencia en Kg],"ELVIS",0)</f>
        <v>115.903827782291</v>
      </c>
      <c r="J2475" s="2" t="n">
        <v>815.3</v>
      </c>
      <c r="K2475" s="2" t="s">
        <v>18</v>
      </c>
      <c r="L2475" s="2" t="n">
        <f aca="false">J2475/_xlfn.XLOOKUP(Tabla2[[#This Row],[Unidad de precio]],Tabla3[Medida],Tabla3[Equivalencia en Kg],"ELVIS",0)</f>
        <v>17.9739858906526</v>
      </c>
      <c r="M2475" s="2" t="n">
        <v>2479.0864296156</v>
      </c>
      <c r="N2475" s="3" t="n">
        <f aca="false">(Tabla2[[#This Row],[Productividad (kg/TAS)]]*Tabla2[[#This Row],[Precio por kg]]-Tabla2[[#This Row],[Costos (En RD$/Tarea)]])</f>
        <v>-395.832664384081</v>
      </c>
      <c r="O2475" s="9" t="n">
        <f aca="false">IF(Tabla2[[#This Row],[Costos (En RD$/Tarea)]]=0,0,Tabla2[[#This Row],[Beneficio Neto  (En RD$/Tarea)]]/Tabla2[[#This Row],[Costos (En RD$/Tarea)]])</f>
        <v>-0.159668763321599</v>
      </c>
      <c r="P2475" s="7" t="n">
        <f aca="false">Tabla2[[#This Row],[Rentabilidad (%)]]/12</f>
        <v>-0.0133057302767999</v>
      </c>
    </row>
    <row r="2476" customFormat="false" ht="14.25" hidden="false" customHeight="false" outlineLevel="0" collapsed="false">
      <c r="A2476" s="1" t="n">
        <v>42795</v>
      </c>
      <c r="B2476" s="2" t="s">
        <v>21</v>
      </c>
      <c r="C2476" s="3" t="n">
        <v>9201</v>
      </c>
      <c r="D2476" s="8" t="s">
        <v>17</v>
      </c>
      <c r="E2476" s="3" t="n">
        <f aca="false">IF(Tabla2[[#This Row],[Frecuencia]]="Annual", Tabla2[[#This Row],[Cosecha/Tarea]]/12,Tabla2[[#This Row],[Cosecha/Tarea]])</f>
        <v>9201</v>
      </c>
      <c r="F2476" s="3" t="n">
        <v>108245</v>
      </c>
      <c r="G2476" s="2" t="s">
        <v>18</v>
      </c>
      <c r="H2476" s="2" t="n">
        <f aca="false">F2476/Tabla2[[#This Row],[Cosecha Mensual]]</f>
        <v>11.7644821215085</v>
      </c>
      <c r="I2476" s="2" t="n">
        <f aca="false">H2476*_xlfn.XLOOKUP(Tabla2[[#This Row],[Unidad de producción]],Tabla3[Medida],Tabla3[Equivalencia en Kg],"ELVIS",0)</f>
        <v>533.636909031627</v>
      </c>
      <c r="J2476" s="2" t="n">
        <v>836.016666666667</v>
      </c>
      <c r="K2476" s="2" t="s">
        <v>18</v>
      </c>
      <c r="L2476" s="2" t="n">
        <f aca="false">J2476/_xlfn.XLOOKUP(Tabla2[[#This Row],[Unidad de precio]],Tabla3[Medida],Tabla3[Equivalencia en Kg],"ELVIS",0)</f>
        <v>18.4307025279248</v>
      </c>
      <c r="M2476" s="2" t="n">
        <v>5064.80450774638</v>
      </c>
      <c r="N2476" s="3" t="n">
        <f aca="false">(Tabla2[[#This Row],[Productividad (kg/TAS)]]*Tabla2[[#This Row],[Precio por kg]]-Tabla2[[#This Row],[Costos (En RD$/Tarea)]])</f>
        <v>4770.49862053678</v>
      </c>
      <c r="O2476" s="9" t="n">
        <f aca="false">IF(Tabla2[[#This Row],[Costos (En RD$/Tarea)]]=0,0,Tabla2[[#This Row],[Beneficio Neto  (En RD$/Tarea)]]/Tabla2[[#This Row],[Costos (En RD$/Tarea)]])</f>
        <v>0.941891955205878</v>
      </c>
      <c r="P2476" s="7" t="n">
        <f aca="false">Tabla2[[#This Row],[Rentabilidad (%)]]/12</f>
        <v>0.0784909962671565</v>
      </c>
    </row>
    <row r="2477" customFormat="false" ht="14.25" hidden="false" customHeight="false" outlineLevel="0" collapsed="false">
      <c r="A2477" s="1" t="n">
        <v>42795</v>
      </c>
      <c r="B2477" s="2" t="s">
        <v>22</v>
      </c>
      <c r="C2477" s="3" t="n">
        <v>7902</v>
      </c>
      <c r="D2477" s="8" t="s">
        <v>17</v>
      </c>
      <c r="E2477" s="3" t="n">
        <f aca="false">IF(Tabla2[[#This Row],[Frecuencia]]="Annual", Tabla2[[#This Row],[Cosecha/Tarea]]/12,Tabla2[[#This Row],[Cosecha/Tarea]])</f>
        <v>7902</v>
      </c>
      <c r="F2477" s="3" t="n">
        <v>82147</v>
      </c>
      <c r="G2477" s="2" t="s">
        <v>18</v>
      </c>
      <c r="H2477" s="2" t="n">
        <f aca="false">F2477/Tabla2[[#This Row],[Cosecha Mensual]]</f>
        <v>10.3957226018729</v>
      </c>
      <c r="I2477" s="2" t="n">
        <f aca="false">H2477*_xlfn.XLOOKUP(Tabla2[[#This Row],[Unidad de producción]],Tabla3[Medida],Tabla3[Equivalencia en Kg],"ELVIS",0)</f>
        <v>471.549977220957</v>
      </c>
      <c r="J2477" s="2" t="n">
        <v>1888.49833333333</v>
      </c>
      <c r="K2477" s="2" t="s">
        <v>18</v>
      </c>
      <c r="L2477" s="2" t="n">
        <f aca="false">J2477/_xlfn.XLOOKUP(Tabla2[[#This Row],[Unidad de precio]],Tabla3[Medida],Tabla3[Equivalencia en Kg],"ELVIS",0)</f>
        <v>41.6335611405055</v>
      </c>
      <c r="M2477" s="2" t="n">
        <v>9358.71441738452</v>
      </c>
      <c r="N2477" s="3" t="n">
        <f aca="false">(Tabla2[[#This Row],[Productividad (kg/TAS)]]*Tabla2[[#This Row],[Precio por kg]]-Tabla2[[#This Row],[Costos (En RD$/Tarea)]])</f>
        <v>10273.5903900482</v>
      </c>
      <c r="O2477" s="9" t="n">
        <f aca="false">IF(Tabla2[[#This Row],[Costos (En RD$/Tarea)]]=0,0,Tabla2[[#This Row],[Beneficio Neto  (En RD$/Tarea)]]/Tabla2[[#This Row],[Costos (En RD$/Tarea)]])</f>
        <v>1.09775658619994</v>
      </c>
      <c r="P2477" s="7" t="n">
        <f aca="false">Tabla2[[#This Row],[Rentabilidad (%)]]/12</f>
        <v>0.0914797155166614</v>
      </c>
    </row>
    <row r="2478" customFormat="false" ht="14.25" hidden="false" customHeight="false" outlineLevel="0" collapsed="false">
      <c r="A2478" s="1" t="n">
        <v>42795</v>
      </c>
      <c r="B2478" s="2" t="s">
        <v>23</v>
      </c>
      <c r="C2478" s="3" t="n">
        <v>4201</v>
      </c>
      <c r="D2478" s="8" t="s">
        <v>17</v>
      </c>
      <c r="E2478" s="3" t="n">
        <f aca="false">IF(Tabla2[[#This Row],[Frecuencia]]="Annual", Tabla2[[#This Row],[Cosecha/Tarea]]/12,Tabla2[[#This Row],[Cosecha/Tarea]])</f>
        <v>4201</v>
      </c>
      <c r="F2478" s="3" t="n">
        <v>182590</v>
      </c>
      <c r="G2478" s="2" t="s">
        <v>18</v>
      </c>
      <c r="H2478" s="2" t="n">
        <f aca="false">F2478/Tabla2[[#This Row],[Cosecha Mensual]]</f>
        <v>43.4634610806951</v>
      </c>
      <c r="I2478" s="2" t="n">
        <f aca="false">H2478*_xlfn.XLOOKUP(Tabla2[[#This Row],[Unidad de producción]],Tabla3[Medida],Tabla3[Equivalencia en Kg],"ELVIS",0)</f>
        <v>1971.50259462033</v>
      </c>
      <c r="J2478" s="2" t="n">
        <v>959.375</v>
      </c>
      <c r="K2478" s="2" t="s">
        <v>18</v>
      </c>
      <c r="L2478" s="2" t="n">
        <f aca="false">J2478/_xlfn.XLOOKUP(Tabla2[[#This Row],[Unidad de precio]],Tabla3[Medida],Tabla3[Equivalencia en Kg],"ELVIS",0)</f>
        <v>21.1502425044092</v>
      </c>
      <c r="M2478" s="2" t="n">
        <v>23497.6811528187</v>
      </c>
      <c r="N2478" s="3" t="n">
        <f aca="false">(Tabla2[[#This Row],[Productividad (kg/TAS)]]*Tabla2[[#This Row],[Precio por kg]]-Tabla2[[#This Row],[Costos (En RD$/Tarea)]])</f>
        <v>18200.0768214731</v>
      </c>
      <c r="O2478" s="9" t="n">
        <f aca="false">IF(Tabla2[[#This Row],[Costos (En RD$/Tarea)]]=0,0,Tabla2[[#This Row],[Beneficio Neto  (En RD$/Tarea)]]/Tabla2[[#This Row],[Costos (En RD$/Tarea)]])</f>
        <v>0.774547782102743</v>
      </c>
      <c r="P2478" s="7" t="n">
        <f aca="false">Tabla2[[#This Row],[Rentabilidad (%)]]/12</f>
        <v>0.0645456485085619</v>
      </c>
    </row>
    <row r="2479" customFormat="false" ht="14.25" hidden="false" customHeight="false" outlineLevel="0" collapsed="false">
      <c r="A2479" s="1" t="n">
        <v>42795</v>
      </c>
      <c r="B2479" s="2" t="s">
        <v>24</v>
      </c>
      <c r="C2479" s="3" t="n">
        <v>6820</v>
      </c>
      <c r="D2479" s="8" t="s">
        <v>17</v>
      </c>
      <c r="E2479" s="3" t="n">
        <f aca="false">IF(Tabla2[[#This Row],[Frecuencia]]="Annual", Tabla2[[#This Row],[Cosecha/Tarea]]/12,Tabla2[[#This Row],[Cosecha/Tarea]])</f>
        <v>6820</v>
      </c>
      <c r="F2479" s="3" t="n">
        <v>58977</v>
      </c>
      <c r="G2479" s="2" t="s">
        <v>18</v>
      </c>
      <c r="H2479" s="2" t="n">
        <f aca="false">F2479/Tabla2[[#This Row],[Cosecha Mensual]]</f>
        <v>8.64765395894428</v>
      </c>
      <c r="I2479" s="2" t="n">
        <f aca="false">H2479*_xlfn.XLOOKUP(Tabla2[[#This Row],[Unidad de producción]],Tabla3[Medida],Tabla3[Equivalencia en Kg],"ELVIS",0)</f>
        <v>392.257583577713</v>
      </c>
      <c r="J2479" s="2" t="n">
        <v>1842.07</v>
      </c>
      <c r="K2479" s="2" t="s">
        <v>18</v>
      </c>
      <c r="L2479" s="2" t="n">
        <f aca="false">J2479/_xlfn.XLOOKUP(Tabla2[[#This Row],[Unidad de precio]],Tabla3[Medida],Tabla3[Equivalencia en Kg],"ELVIS",0)</f>
        <v>40.6100088183422</v>
      </c>
      <c r="M2479" s="2" t="n">
        <v>9059.4442114896</v>
      </c>
      <c r="N2479" s="3" t="n">
        <f aca="false">(Tabla2[[#This Row],[Productividad (kg/TAS)]]*Tabla2[[#This Row],[Precio por kg]]-Tabla2[[#This Row],[Costos (En RD$/Tarea)]])</f>
        <v>6870.13971666289</v>
      </c>
      <c r="O2479" s="9" t="n">
        <f aca="false">IF(Tabla2[[#This Row],[Costos (En RD$/Tarea)]]=0,0,Tabla2[[#This Row],[Beneficio Neto  (En RD$/Tarea)]]/Tabla2[[#This Row],[Costos (En RD$/Tarea)]])</f>
        <v>0.758340087568492</v>
      </c>
      <c r="P2479" s="7" t="n">
        <f aca="false">Tabla2[[#This Row],[Rentabilidad (%)]]/12</f>
        <v>0.0631950072973744</v>
      </c>
    </row>
    <row r="2480" customFormat="false" ht="14.25" hidden="false" customHeight="false" outlineLevel="0" collapsed="false">
      <c r="A2480" s="1" t="n">
        <v>42795</v>
      </c>
      <c r="B2480" s="2" t="s">
        <v>25</v>
      </c>
      <c r="C2480" s="3" t="n">
        <v>28141</v>
      </c>
      <c r="D2480" s="8" t="s">
        <v>17</v>
      </c>
      <c r="E2480" s="3" t="n">
        <f aca="false">IF(Tabla2[[#This Row],[Frecuencia]]="Annual", Tabla2[[#This Row],[Cosecha/Tarea]]/12,Tabla2[[#This Row],[Cosecha/Tarea]])</f>
        <v>28141</v>
      </c>
      <c r="F2480" s="3" t="n">
        <v>271044</v>
      </c>
      <c r="G2480" s="2" t="s">
        <v>18</v>
      </c>
      <c r="H2480" s="2" t="n">
        <f aca="false">F2480/Tabla2[[#This Row],[Cosecha Mensual]]</f>
        <v>9.63164066664298</v>
      </c>
      <c r="I2480" s="2" t="n">
        <f aca="false">H2480*_xlfn.XLOOKUP(Tabla2[[#This Row],[Unidad de producción]],Tabla3[Medida],Tabla3[Equivalencia en Kg],"ELVIS",0)</f>
        <v>436.891220638925</v>
      </c>
      <c r="J2480" s="2" t="n">
        <v>443.1875</v>
      </c>
      <c r="K2480" s="2" t="s">
        <v>18</v>
      </c>
      <c r="L2480" s="2" t="n">
        <f aca="false">J2480/_xlfn.XLOOKUP(Tabla2[[#This Row],[Unidad de precio]],Tabla3[Medida],Tabla3[Equivalencia en Kg],"ELVIS",0)</f>
        <v>9.7704475308642</v>
      </c>
      <c r="M2480" s="2" t="n">
        <v>4667.26585652655</v>
      </c>
      <c r="N2480" s="3" t="n">
        <f aca="false">(Tabla2[[#This Row],[Productividad (kg/TAS)]]*Tabla2[[#This Row],[Precio por kg]]-Tabla2[[#This Row],[Costos (En RD$/Tarea)]])</f>
        <v>-398.643108578716</v>
      </c>
      <c r="O2480" s="9" t="n">
        <f aca="false">IF(Tabla2[[#This Row],[Costos (En RD$/Tarea)]]=0,0,Tabla2[[#This Row],[Beneficio Neto  (En RD$/Tarea)]]/Tabla2[[#This Row],[Costos (En RD$/Tarea)]])</f>
        <v>-0.0854125564802071</v>
      </c>
      <c r="P2480" s="7" t="n">
        <f aca="false">Tabla2[[#This Row],[Rentabilidad (%)]]/12</f>
        <v>-0.00711771304001726</v>
      </c>
    </row>
    <row r="2481" customFormat="false" ht="14.25" hidden="false" customHeight="false" outlineLevel="0" collapsed="false">
      <c r="A2481" s="1" t="n">
        <v>42795</v>
      </c>
      <c r="B2481" s="2" t="s">
        <v>26</v>
      </c>
      <c r="C2481" s="3" t="n">
        <v>14301</v>
      </c>
      <c r="D2481" s="8" t="s">
        <v>17</v>
      </c>
      <c r="E2481" s="3" t="n">
        <f aca="false">IF(Tabla2[[#This Row],[Frecuencia]]="Annual", Tabla2[[#This Row],[Cosecha/Tarea]]/12,Tabla2[[#This Row],[Cosecha/Tarea]])</f>
        <v>14301</v>
      </c>
      <c r="F2481" s="3" t="n">
        <v>78541</v>
      </c>
      <c r="G2481" s="2" t="s">
        <v>18</v>
      </c>
      <c r="H2481" s="2" t="n">
        <f aca="false">F2481/Tabla2[[#This Row],[Cosecha Mensual]]</f>
        <v>5.49199356688343</v>
      </c>
      <c r="I2481" s="2" t="n">
        <f aca="false">H2481*_xlfn.XLOOKUP(Tabla2[[#This Row],[Unidad de producción]],Tabla3[Medida],Tabla3[Equivalencia en Kg],"ELVIS",0)</f>
        <v>249.116828193833</v>
      </c>
      <c r="J2481" s="2" t="n">
        <v>1231.98</v>
      </c>
      <c r="K2481" s="2" t="s">
        <v>18</v>
      </c>
      <c r="L2481" s="2" t="n">
        <f aca="false">J2481/_xlfn.XLOOKUP(Tabla2[[#This Row],[Unidad de precio]],Tabla3[Medida],Tabla3[Equivalencia en Kg],"ELVIS",0)</f>
        <v>27.1600529100529</v>
      </c>
      <c r="M2481" s="2" t="n">
        <v>1810.97553022926</v>
      </c>
      <c r="N2481" s="3" t="n">
        <f aca="false">(Tabla2[[#This Row],[Productividad (kg/TAS)]]*Tabla2[[#This Row],[Precio por kg]]-Tabla2[[#This Row],[Costos (En RD$/Tarea)]])</f>
        <v>4955.05070429979</v>
      </c>
      <c r="O2481" s="9" t="n">
        <f aca="false">IF(Tabla2[[#This Row],[Costos (En RD$/Tarea)]]=0,0,Tabla2[[#This Row],[Beneficio Neto  (En RD$/Tarea)]]/Tabla2[[#This Row],[Costos (En RD$/Tarea)]])</f>
        <v>2.73612239458173</v>
      </c>
      <c r="P2481" s="7" t="n">
        <f aca="false">Tabla2[[#This Row],[Rentabilidad (%)]]/12</f>
        <v>0.228010199548477</v>
      </c>
    </row>
    <row r="2482" customFormat="false" ht="14.25" hidden="false" customHeight="false" outlineLevel="0" collapsed="false">
      <c r="A2482" s="1" t="n">
        <v>42795</v>
      </c>
      <c r="B2482" s="2" t="s">
        <v>27</v>
      </c>
      <c r="C2482" s="3" t="n">
        <v>5982</v>
      </c>
      <c r="D2482" s="8" t="s">
        <v>17</v>
      </c>
      <c r="E2482" s="3" t="n">
        <f aca="false">IF(Tabla2[[#This Row],[Frecuencia]]="Annual", Tabla2[[#This Row],[Cosecha/Tarea]]/12,Tabla2[[#This Row],[Cosecha/Tarea]])</f>
        <v>5982</v>
      </c>
      <c r="F2482" s="3" t="n">
        <v>56214</v>
      </c>
      <c r="G2482" s="2" t="s">
        <v>18</v>
      </c>
      <c r="H2482" s="2" t="n">
        <f aca="false">F2482/Tabla2[[#This Row],[Cosecha Mensual]]</f>
        <v>9.39719157472417</v>
      </c>
      <c r="I2482" s="2" t="n">
        <f aca="false">H2482*_xlfn.XLOOKUP(Tabla2[[#This Row],[Unidad de producción]],Tabla3[Medida],Tabla3[Equivalencia en Kg],"ELVIS",0)</f>
        <v>426.256609829488</v>
      </c>
      <c r="J2482" s="2" t="n">
        <v>783.966666666667</v>
      </c>
      <c r="K2482" s="2" t="s">
        <v>18</v>
      </c>
      <c r="L2482" s="2" t="n">
        <f aca="false">J2482/_xlfn.XLOOKUP(Tabla2[[#This Row],[Unidad de precio]],Tabla3[Medida],Tabla3[Equivalencia en Kg],"ELVIS",0)</f>
        <v>17.283215755438</v>
      </c>
      <c r="M2482" s="2" t="n">
        <v>8788.431876469</v>
      </c>
      <c r="N2482" s="3" t="n">
        <f aca="false">(Tabla2[[#This Row],[Productividad (kg/TAS)]]*Tabla2[[#This Row],[Precio por kg]]-Tabla2[[#This Row],[Costos (En RD$/Tarea)]])</f>
        <v>-1421.3469216044</v>
      </c>
      <c r="O2482" s="9" t="n">
        <f aca="false">IF(Tabla2[[#This Row],[Costos (En RD$/Tarea)]]=0,0,Tabla2[[#This Row],[Beneficio Neto  (En RD$/Tarea)]]/Tabla2[[#This Row],[Costos (En RD$/Tarea)]])</f>
        <v>-0.161729298421264</v>
      </c>
      <c r="P2482" s="7" t="n">
        <f aca="false">Tabla2[[#This Row],[Rentabilidad (%)]]/12</f>
        <v>-0.0134774415351053</v>
      </c>
    </row>
    <row r="2483" customFormat="false" ht="14.25" hidden="false" customHeight="false" outlineLevel="0" collapsed="false">
      <c r="A2483" s="1" t="n">
        <v>42795</v>
      </c>
      <c r="B2483" s="2" t="s">
        <v>28</v>
      </c>
      <c r="C2483" s="3" t="n">
        <v>70875</v>
      </c>
      <c r="D2483" s="8" t="s">
        <v>17</v>
      </c>
      <c r="E2483" s="3" t="n">
        <f aca="false">IF(Tabla2[[#This Row],[Frecuencia]]="Annual", Tabla2[[#This Row],[Cosecha/Tarea]]/12,Tabla2[[#This Row],[Cosecha/Tarea]])</f>
        <v>70875</v>
      </c>
      <c r="F2483" s="3" t="n">
        <v>1111164</v>
      </c>
      <c r="G2483" s="2" t="s">
        <v>18</v>
      </c>
      <c r="H2483" s="2" t="n">
        <f aca="false">F2483/Tabla2[[#This Row],[Cosecha Mensual]]</f>
        <v>15.6777989417989</v>
      </c>
      <c r="I2483" s="2" t="n">
        <f aca="false">H2483*_xlfn.XLOOKUP(Tabla2[[#This Row],[Unidad de producción]],Tabla3[Medida],Tabla3[Equivalencia en Kg],"ELVIS",0)</f>
        <v>711.14496</v>
      </c>
      <c r="J2483" s="2" t="n">
        <v>21791.6666666667</v>
      </c>
      <c r="K2483" s="2" t="s">
        <v>29</v>
      </c>
      <c r="L2483" s="2" t="n">
        <f aca="false">J2483/_xlfn.XLOOKUP(Tabla2[[#This Row],[Unidad de precio]],Tabla3[Medida],Tabla3[Equivalencia en Kg],"ELVIS",0)</f>
        <v>38.7517634645707</v>
      </c>
      <c r="M2483" s="2" t="n">
        <v>7106.96492145872</v>
      </c>
      <c r="N2483" s="3" t="n">
        <f aca="false">(Tabla2[[#This Row],[Productividad (kg/TAS)]]*Tabla2[[#This Row],[Precio por kg]]-Tabla2[[#This Row],[Costos (En RD$/Tarea)]])</f>
        <v>20451.1563574829</v>
      </c>
      <c r="O2483" s="9" t="n">
        <f aca="false">IF(Tabla2[[#This Row],[Costos (En RD$/Tarea)]]=0,0,Tabla2[[#This Row],[Beneficio Neto  (En RD$/Tarea)]]/Tabla2[[#This Row],[Costos (En RD$/Tarea)]])</f>
        <v>2.87762168288362</v>
      </c>
      <c r="P2483" s="7" t="n">
        <f aca="false">Tabla2[[#This Row],[Rentabilidad (%)]]/12</f>
        <v>0.239801806906968</v>
      </c>
    </row>
    <row r="2484" customFormat="false" ht="14.25" hidden="false" customHeight="false" outlineLevel="0" collapsed="false">
      <c r="A2484" s="1" t="n">
        <v>42795</v>
      </c>
      <c r="B2484" s="2" t="s">
        <v>30</v>
      </c>
      <c r="C2484" s="3" t="n">
        <v>472154</v>
      </c>
      <c r="D2484" s="3" t="s">
        <v>31</v>
      </c>
      <c r="E2484" s="3" t="n">
        <f aca="false">IF(Tabla2[[#This Row],[Frecuencia]]="Annual", Tabla2[[#This Row],[Cosecha/Tarea]]/12,Tabla2[[#This Row],[Cosecha/Tarea]])</f>
        <v>39346.1666666667</v>
      </c>
      <c r="F2484" s="3" t="n">
        <v>2194690.2</v>
      </c>
      <c r="G2484" s="2" t="s">
        <v>18</v>
      </c>
      <c r="H2484" s="2" t="n">
        <f aca="false">F2484/Tabla2[[#This Row],[Cosecha Mensual]]</f>
        <v>55.7790093910038</v>
      </c>
      <c r="I2484" s="2" t="n">
        <f aca="false">H2484*_xlfn.XLOOKUP(Tabla2[[#This Row],[Unidad de producción]],Tabla3[Medida],Tabla3[Equivalencia en Kg],"ELVIS",0)</f>
        <v>2530.13586597593</v>
      </c>
      <c r="J2484" s="2" t="n">
        <v>141.742666666667</v>
      </c>
      <c r="K2484" s="2" t="s">
        <v>32</v>
      </c>
      <c r="L2484" s="2" t="n">
        <f aca="false">J2484/_xlfn.XLOOKUP(Tabla2[[#This Row],[Unidad de precio]],Tabla3[Medida],Tabla3[Equivalencia en Kg],"ELVIS",0)</f>
        <v>5.20921229939974</v>
      </c>
      <c r="M2484" s="3" t="n">
        <v>32851.8013523715</v>
      </c>
      <c r="N2484" s="3" t="n">
        <f aca="false">(Tabla2[[#This Row],[Productividad (kg/TAS)]]*Tabla2[[#This Row],[Precio por kg]]-Tabla2[[#This Row],[Costos (En RD$/Tarea)]])</f>
        <v>-19671.7864801773</v>
      </c>
      <c r="O2484" s="9" t="n">
        <f aca="false">IF(Tabla2[[#This Row],[Costos (En RD$/Tarea)]]=0,0,Tabla2[[#This Row],[Beneficio Neto  (En RD$/Tarea)]]/Tabla2[[#This Row],[Costos (En RD$/Tarea)]])</f>
        <v>-0.598803891122311</v>
      </c>
      <c r="P2484" s="7" t="n">
        <f aca="false">Tabla2[[#This Row],[Rentabilidad (%)]]/12</f>
        <v>-0.0499003242601926</v>
      </c>
    </row>
    <row r="2485" customFormat="false" ht="14.25" hidden="false" customHeight="false" outlineLevel="0" collapsed="false">
      <c r="A2485" s="1" t="n">
        <v>42795</v>
      </c>
      <c r="B2485" s="2" t="s">
        <v>33</v>
      </c>
      <c r="C2485" s="3" t="n">
        <v>735847</v>
      </c>
      <c r="D2485" s="3" t="s">
        <v>31</v>
      </c>
      <c r="E2485" s="3" t="n">
        <f aca="false">IF(Tabla2[[#This Row],[Frecuencia]]="Annual", Tabla2[[#This Row],[Cosecha/Tarea]]/12,Tabla2[[#This Row],[Cosecha/Tarea]])</f>
        <v>61320.5833333333</v>
      </c>
      <c r="F2485" s="3" t="n">
        <v>1691460</v>
      </c>
      <c r="G2485" s="2" t="s">
        <v>18</v>
      </c>
      <c r="H2485" s="2" t="n">
        <f aca="false">F2485/Tabla2[[#This Row],[Cosecha Mensual]]</f>
        <v>27.5838863241951</v>
      </c>
      <c r="I2485" s="2" t="n">
        <f aca="false">H2485*_xlfn.XLOOKUP(Tabla2[[#This Row],[Unidad de producción]],Tabla3[Medida],Tabla3[Equivalencia en Kg],"ELVIS",0)</f>
        <v>1251.20508366549</v>
      </c>
      <c r="J2485" s="2" t="n">
        <v>5630.61333333333</v>
      </c>
      <c r="K2485" s="2" t="s">
        <v>34</v>
      </c>
      <c r="L2485" s="2" t="n">
        <f aca="false">J2485/_xlfn.XLOOKUP(Tabla2[[#This Row],[Unidad de precio]],Tabla3[Medida],Tabla3[Equivalencia en Kg],"ELVIS",0)</f>
        <v>13.7954510188248</v>
      </c>
      <c r="M2485" s="3" t="n">
        <v>21460.4838899894</v>
      </c>
      <c r="N2485" s="3" t="n">
        <f aca="false">(Tabla2[[#This Row],[Productividad (kg/TAS)]]*Tabla2[[#This Row],[Precio por kg]]-Tabla2[[#This Row],[Costos (En RD$/Tarea)]])</f>
        <v>-4199.54544377758</v>
      </c>
      <c r="O2485" s="9" t="n">
        <f aca="false">IF(Tabla2[[#This Row],[Costos (En RD$/Tarea)]]=0,0,Tabla2[[#This Row],[Beneficio Neto  (En RD$/Tarea)]]/Tabla2[[#This Row],[Costos (En RD$/Tarea)]])</f>
        <v>-0.195687360327254</v>
      </c>
      <c r="P2485" s="7" t="n">
        <f aca="false">Tabla2[[#This Row],[Rentabilidad (%)]]/12</f>
        <v>-0.0163072800272711</v>
      </c>
    </row>
    <row r="2486" customFormat="false" ht="14.25" hidden="false" customHeight="false" outlineLevel="0" collapsed="false">
      <c r="A2486" s="1" t="n">
        <v>42826</v>
      </c>
      <c r="B2486" s="2" t="s">
        <v>16</v>
      </c>
      <c r="C2486" s="3" t="n">
        <v>487894</v>
      </c>
      <c r="D2486" s="8" t="s">
        <v>17</v>
      </c>
      <c r="E2486" s="3" t="n">
        <f aca="false">IF(Tabla2[[#This Row],[Frecuencia]]="Annual", Tabla2[[#This Row],[Cosecha/Tarea]]/12,Tabla2[[#This Row],[Cosecha/Tarea]])</f>
        <v>487894</v>
      </c>
      <c r="F2486" s="3" t="n">
        <v>2610245</v>
      </c>
      <c r="G2486" s="2" t="s">
        <v>18</v>
      </c>
      <c r="H2486" s="2" t="n">
        <f aca="false">F2486/Tabla2[[#This Row],[Cosecha Mensual]]</f>
        <v>5.35002480046896</v>
      </c>
      <c r="I2486" s="2" t="n">
        <f aca="false">H2486*_xlfn.XLOOKUP(Tabla2[[#This Row],[Unidad de producción]],Tabla3[Medida],Tabla3[Equivalencia en Kg],"ELVIS",0)</f>
        <v>242.677124949272</v>
      </c>
      <c r="J2486" s="2" t="n">
        <v>2023.9565</v>
      </c>
      <c r="K2486" s="2" t="s">
        <v>19</v>
      </c>
      <c r="L2486" s="2" t="n">
        <f aca="false">J2486/_xlfn.XLOOKUP(Tabla2[[#This Row],[Unidad de precio]],Tabla3[Medida],Tabla3[Equivalencia en Kg],"ELVIS",0)</f>
        <v>18.3996045454545</v>
      </c>
      <c r="M2486" s="2" t="n">
        <v>6064.21649453855</v>
      </c>
      <c r="N2486" s="3" t="n">
        <f aca="false">(Tabla2[[#This Row],[Productividad (kg/TAS)]]*Tabla2[[#This Row],[Precio por kg]]-Tabla2[[#This Row],[Costos (En RD$/Tarea)]])</f>
        <v>-1599.05336324409</v>
      </c>
      <c r="O2486" s="9" t="n">
        <f aca="false">IF(Tabla2[[#This Row],[Costos (En RD$/Tarea)]]=0,0,Tabla2[[#This Row],[Beneficio Neto  (En RD$/Tarea)]]/Tabla2[[#This Row],[Costos (En RD$/Tarea)]])</f>
        <v>-0.263686721060206</v>
      </c>
      <c r="P2486" s="7" t="n">
        <f aca="false">Tabla2[[#This Row],[Rentabilidad (%)]]/12</f>
        <v>-0.0219738934216839</v>
      </c>
    </row>
    <row r="2487" customFormat="false" ht="14.25" hidden="false" customHeight="false" outlineLevel="0" collapsed="false">
      <c r="A2487" s="1" t="n">
        <v>42826</v>
      </c>
      <c r="B2487" s="2" t="s">
        <v>20</v>
      </c>
      <c r="C2487" s="3" t="n">
        <v>26899</v>
      </c>
      <c r="D2487" s="8" t="s">
        <v>17</v>
      </c>
      <c r="E2487" s="3" t="n">
        <f aca="false">IF(Tabla2[[#This Row],[Frecuencia]]="Annual", Tabla2[[#This Row],[Cosecha/Tarea]]/12,Tabla2[[#This Row],[Cosecha/Tarea]])</f>
        <v>26899</v>
      </c>
      <c r="F2487" s="3" t="n">
        <v>65974</v>
      </c>
      <c r="G2487" s="2" t="s">
        <v>18</v>
      </c>
      <c r="H2487" s="2" t="n">
        <f aca="false">F2487/Tabla2[[#This Row],[Cosecha Mensual]]</f>
        <v>2.4526562325737</v>
      </c>
      <c r="I2487" s="2" t="n">
        <f aca="false">H2487*_xlfn.XLOOKUP(Tabla2[[#This Row],[Unidad de producción]],Tabla3[Medida],Tabla3[Equivalencia en Kg],"ELVIS",0)</f>
        <v>111.252486709543</v>
      </c>
      <c r="J2487" s="2" t="n">
        <v>882.138888888889</v>
      </c>
      <c r="K2487" s="2" t="s">
        <v>18</v>
      </c>
      <c r="L2487" s="2" t="n">
        <f aca="false">J2487/_xlfn.XLOOKUP(Tabla2[[#This Row],[Unidad de precio]],Tabla3[Medida],Tabla3[Equivalencia en Kg],"ELVIS",0)</f>
        <v>19.4475063688027</v>
      </c>
      <c r="M2487" s="2" t="n">
        <v>2479.0864296156</v>
      </c>
      <c r="N2487" s="3" t="n">
        <f aca="false">(Tabla2[[#This Row],[Productividad (kg/TAS)]]*Tabla2[[#This Row],[Precio por kg]]-Tabla2[[#This Row],[Costos (En RD$/Tarea)]])</f>
        <v>-315.502985786627</v>
      </c>
      <c r="O2487" s="9" t="n">
        <f aca="false">IF(Tabla2[[#This Row],[Costos (En RD$/Tarea)]]=0,0,Tabla2[[#This Row],[Beneficio Neto  (En RD$/Tarea)]]/Tabla2[[#This Row],[Costos (En RD$/Tarea)]])</f>
        <v>-0.127265827450618</v>
      </c>
      <c r="P2487" s="7" t="n">
        <f aca="false">Tabla2[[#This Row],[Rentabilidad (%)]]/12</f>
        <v>-0.0106054856208848</v>
      </c>
    </row>
    <row r="2488" customFormat="false" ht="14.25" hidden="false" customHeight="false" outlineLevel="0" collapsed="false">
      <c r="A2488" s="1" t="n">
        <v>42826</v>
      </c>
      <c r="B2488" s="2" t="s">
        <v>21</v>
      </c>
      <c r="C2488" s="3" t="n">
        <v>10498</v>
      </c>
      <c r="D2488" s="8" t="s">
        <v>17</v>
      </c>
      <c r="E2488" s="3" t="n">
        <f aca="false">IF(Tabla2[[#This Row],[Frecuencia]]="Annual", Tabla2[[#This Row],[Cosecha/Tarea]]/12,Tabla2[[#This Row],[Cosecha/Tarea]])</f>
        <v>10498</v>
      </c>
      <c r="F2488" s="3" t="n">
        <v>121549</v>
      </c>
      <c r="G2488" s="2" t="s">
        <v>18</v>
      </c>
      <c r="H2488" s="2" t="n">
        <f aca="false">F2488/Tabla2[[#This Row],[Cosecha Mensual]]</f>
        <v>11.5783006286912</v>
      </c>
      <c r="I2488" s="2" t="n">
        <f aca="false">H2488*_xlfn.XLOOKUP(Tabla2[[#This Row],[Unidad de producción]],Tabla3[Medida],Tabla3[Equivalencia en Kg],"ELVIS",0)</f>
        <v>525.191716517432</v>
      </c>
      <c r="J2488" s="2" t="n">
        <v>869.097222222222</v>
      </c>
      <c r="K2488" s="2" t="s">
        <v>18</v>
      </c>
      <c r="L2488" s="2" t="n">
        <f aca="false">J2488/_xlfn.XLOOKUP(Tabla2[[#This Row],[Unidad de precio]],Tabla3[Medida],Tabla3[Equivalencia en Kg],"ELVIS",0)</f>
        <v>19.1599916715657</v>
      </c>
      <c r="M2488" s="2" t="n">
        <v>5064.80450774638</v>
      </c>
      <c r="N2488" s="3" t="n">
        <f aca="false">(Tabla2[[#This Row],[Productividad (kg/TAS)]]*Tabla2[[#This Row],[Precio por kg]]-Tabla2[[#This Row],[Costos (En RD$/Tarea)]])</f>
        <v>4997.86440670293</v>
      </c>
      <c r="O2488" s="9" t="n">
        <f aca="false">IF(Tabla2[[#This Row],[Costos (En RD$/Tarea)]]=0,0,Tabla2[[#This Row],[Beneficio Neto  (En RD$/Tarea)]]/Tabla2[[#This Row],[Costos (En RD$/Tarea)]])</f>
        <v>0.986783280392942</v>
      </c>
      <c r="P2488" s="7" t="n">
        <f aca="false">Tabla2[[#This Row],[Rentabilidad (%)]]/12</f>
        <v>0.0822319400327451</v>
      </c>
    </row>
    <row r="2489" customFormat="false" ht="14.25" hidden="false" customHeight="false" outlineLevel="0" collapsed="false">
      <c r="A2489" s="1" t="n">
        <v>42826</v>
      </c>
      <c r="B2489" s="2" t="s">
        <v>22</v>
      </c>
      <c r="C2489" s="3" t="n">
        <v>9342</v>
      </c>
      <c r="D2489" s="8" t="s">
        <v>17</v>
      </c>
      <c r="E2489" s="3" t="n">
        <f aca="false">IF(Tabla2[[#This Row],[Frecuencia]]="Annual", Tabla2[[#This Row],[Cosecha/Tarea]]/12,Tabla2[[#This Row],[Cosecha/Tarea]])</f>
        <v>9342</v>
      </c>
      <c r="F2489" s="3" t="n">
        <v>91024</v>
      </c>
      <c r="G2489" s="2" t="s">
        <v>18</v>
      </c>
      <c r="H2489" s="2" t="n">
        <f aca="false">F2489/Tabla2[[#This Row],[Cosecha Mensual]]</f>
        <v>9.7435238706915</v>
      </c>
      <c r="I2489" s="2" t="n">
        <f aca="false">H2489*_xlfn.XLOOKUP(Tabla2[[#This Row],[Unidad de producción]],Tabla3[Medida],Tabla3[Equivalencia en Kg],"ELVIS",0)</f>
        <v>441.966242774566</v>
      </c>
      <c r="J2489" s="2" t="n">
        <v>2167.94666666667</v>
      </c>
      <c r="K2489" s="2" t="s">
        <v>18</v>
      </c>
      <c r="L2489" s="2" t="n">
        <f aca="false">J2489/_xlfn.XLOOKUP(Tabla2[[#This Row],[Unidad de precio]],Tabla3[Medida],Tabla3[Equivalencia en Kg],"ELVIS",0)</f>
        <v>47.7942386831276</v>
      </c>
      <c r="M2489" s="2" t="n">
        <v>9358.71441738452</v>
      </c>
      <c r="N2489" s="3" t="n">
        <f aca="false">(Tabla2[[#This Row],[Productividad (kg/TAS)]]*Tabla2[[#This Row],[Precio por kg]]-Tabla2[[#This Row],[Costos (En RD$/Tarea)]])</f>
        <v>11764.7256796682</v>
      </c>
      <c r="O2489" s="9" t="n">
        <f aca="false">IF(Tabla2[[#This Row],[Costos (En RD$/Tarea)]]=0,0,Tabla2[[#This Row],[Beneficio Neto  (En RD$/Tarea)]]/Tabla2[[#This Row],[Costos (En RD$/Tarea)]])</f>
        <v>1.25708779592787</v>
      </c>
      <c r="P2489" s="7" t="n">
        <f aca="false">Tabla2[[#This Row],[Rentabilidad (%)]]/12</f>
        <v>0.104757316327322</v>
      </c>
    </row>
    <row r="2490" customFormat="false" ht="14.25" hidden="false" customHeight="false" outlineLevel="0" collapsed="false">
      <c r="A2490" s="1" t="n">
        <v>42826</v>
      </c>
      <c r="B2490" s="2" t="s">
        <v>23</v>
      </c>
      <c r="C2490" s="3" t="n">
        <v>3120</v>
      </c>
      <c r="D2490" s="8" t="s">
        <v>17</v>
      </c>
      <c r="E2490" s="3" t="n">
        <f aca="false">IF(Tabla2[[#This Row],[Frecuencia]]="Annual", Tabla2[[#This Row],[Cosecha/Tarea]]/12,Tabla2[[#This Row],[Cosecha/Tarea]])</f>
        <v>3120</v>
      </c>
      <c r="F2490" s="3" t="n">
        <v>116898</v>
      </c>
      <c r="G2490" s="2" t="s">
        <v>18</v>
      </c>
      <c r="H2490" s="2" t="n">
        <f aca="false">F2490/Tabla2[[#This Row],[Cosecha Mensual]]</f>
        <v>37.4673076923077</v>
      </c>
      <c r="I2490" s="2" t="n">
        <f aca="false">H2490*_xlfn.XLOOKUP(Tabla2[[#This Row],[Unidad de producción]],Tabla3[Medida],Tabla3[Equivalencia en Kg],"ELVIS",0)</f>
        <v>1699.51707692308</v>
      </c>
      <c r="J2490" s="2" t="n">
        <v>1071.11111111111</v>
      </c>
      <c r="K2490" s="2" t="s">
        <v>18</v>
      </c>
      <c r="L2490" s="2" t="n">
        <f aca="false">J2490/_xlfn.XLOOKUP(Tabla2[[#This Row],[Unidad de precio]],Tabla3[Medida],Tabla3[Equivalencia en Kg],"ELVIS",0)</f>
        <v>23.6135606505977</v>
      </c>
      <c r="M2490" s="2" t="n">
        <v>23497.6811528187</v>
      </c>
      <c r="N2490" s="3" t="n">
        <f aca="false">(Tabla2[[#This Row],[Productividad (kg/TAS)]]*Tabla2[[#This Row],[Precio por kg]]-Tabla2[[#This Row],[Costos (En RD$/Tarea)]])</f>
        <v>16633.9684198308</v>
      </c>
      <c r="O2490" s="9" t="n">
        <f aca="false">IF(Tabla2[[#This Row],[Costos (En RD$/Tarea)]]=0,0,Tabla2[[#This Row],[Beneficio Neto  (En RD$/Tarea)]]/Tabla2[[#This Row],[Costos (En RD$/Tarea)]])</f>
        <v>0.707898294799846</v>
      </c>
      <c r="P2490" s="7" t="n">
        <f aca="false">Tabla2[[#This Row],[Rentabilidad (%)]]/12</f>
        <v>0.0589915245666538</v>
      </c>
    </row>
    <row r="2491" customFormat="false" ht="14.25" hidden="false" customHeight="false" outlineLevel="0" collapsed="false">
      <c r="A2491" s="1" t="n">
        <v>42826</v>
      </c>
      <c r="B2491" s="2" t="s">
        <v>24</v>
      </c>
      <c r="C2491" s="3" t="n">
        <v>7102</v>
      </c>
      <c r="D2491" s="8" t="s">
        <v>17</v>
      </c>
      <c r="E2491" s="3" t="n">
        <f aca="false">IF(Tabla2[[#This Row],[Frecuencia]]="Annual", Tabla2[[#This Row],[Cosecha/Tarea]]/12,Tabla2[[#This Row],[Cosecha/Tarea]])</f>
        <v>7102</v>
      </c>
      <c r="F2491" s="3" t="n">
        <v>68214</v>
      </c>
      <c r="G2491" s="2" t="s">
        <v>18</v>
      </c>
      <c r="H2491" s="2" t="n">
        <f aca="false">F2491/Tabla2[[#This Row],[Cosecha Mensual]]</f>
        <v>9.60490002816108</v>
      </c>
      <c r="I2491" s="2" t="n">
        <f aca="false">H2491*_xlfn.XLOOKUP(Tabla2[[#This Row],[Unidad de producción]],Tabla3[Medida],Tabla3[Equivalencia en Kg],"ELVIS",0)</f>
        <v>435.678265277387</v>
      </c>
      <c r="J2491" s="2" t="n">
        <v>1762.6</v>
      </c>
      <c r="K2491" s="2" t="s">
        <v>18</v>
      </c>
      <c r="L2491" s="2" t="n">
        <f aca="false">J2491/_xlfn.XLOOKUP(Tabla2[[#This Row],[Unidad de precio]],Tabla3[Medida],Tabla3[Equivalencia en Kg],"ELVIS",0)</f>
        <v>38.858024691358</v>
      </c>
      <c r="M2491" s="2" t="n">
        <v>9059.4442114896</v>
      </c>
      <c r="N2491" s="3" t="n">
        <f aca="false">(Tabla2[[#This Row],[Productividad (kg/TAS)]]*Tabla2[[#This Row],[Precio por kg]]-Tabla2[[#This Row],[Costos (En RD$/Tarea)]])</f>
        <v>7870.15257814712</v>
      </c>
      <c r="O2491" s="9" t="n">
        <f aca="false">IF(Tabla2[[#This Row],[Costos (En RD$/Tarea)]]=0,0,Tabla2[[#This Row],[Beneficio Neto  (En RD$/Tarea)]]/Tabla2[[#This Row],[Costos (En RD$/Tarea)]])</f>
        <v>0.868723554604579</v>
      </c>
      <c r="P2491" s="7" t="n">
        <f aca="false">Tabla2[[#This Row],[Rentabilidad (%)]]/12</f>
        <v>0.0723936295503816</v>
      </c>
    </row>
    <row r="2492" customFormat="false" ht="14.25" hidden="false" customHeight="false" outlineLevel="0" collapsed="false">
      <c r="A2492" s="1" t="n">
        <v>42826</v>
      </c>
      <c r="B2492" s="2" t="s">
        <v>25</v>
      </c>
      <c r="C2492" s="3" t="n">
        <v>28214</v>
      </c>
      <c r="D2492" s="8" t="s">
        <v>17</v>
      </c>
      <c r="E2492" s="3" t="n">
        <f aca="false">IF(Tabla2[[#This Row],[Frecuencia]]="Annual", Tabla2[[#This Row],[Cosecha/Tarea]]/12,Tabla2[[#This Row],[Cosecha/Tarea]])</f>
        <v>28214</v>
      </c>
      <c r="F2492" s="3" t="n">
        <v>274512</v>
      </c>
      <c r="G2492" s="2" t="s">
        <v>18</v>
      </c>
      <c r="H2492" s="2" t="n">
        <f aca="false">F2492/Tabla2[[#This Row],[Cosecha Mensual]]</f>
        <v>9.72963776848373</v>
      </c>
      <c r="I2492" s="2" t="n">
        <f aca="false">H2492*_xlfn.XLOOKUP(Tabla2[[#This Row],[Unidad de producción]],Tabla3[Medida],Tabla3[Equivalencia en Kg],"ELVIS",0)</f>
        <v>441.336369178422</v>
      </c>
      <c r="J2492" s="2" t="n">
        <v>460.006944444444</v>
      </c>
      <c r="K2492" s="2" t="s">
        <v>18</v>
      </c>
      <c r="L2492" s="2" t="n">
        <f aca="false">J2492/_xlfn.XLOOKUP(Tabla2[[#This Row],[Unidad de precio]],Tabla3[Medida],Tabla3[Equivalencia en Kg],"ELVIS",0)</f>
        <v>10.1412465706447</v>
      </c>
      <c r="M2492" s="2" t="n">
        <v>4667.26585652655</v>
      </c>
      <c r="N2492" s="3" t="n">
        <f aca="false">(Tabla2[[#This Row],[Productividad (kg/TAS)]]*Tabla2[[#This Row],[Precio por kg]]-Tabla2[[#This Row],[Costos (En RD$/Tarea)]])</f>
        <v>-191.56491609509</v>
      </c>
      <c r="O2492" s="9" t="n">
        <f aca="false">IF(Tabla2[[#This Row],[Costos (En RD$/Tarea)]]=0,0,Tabla2[[#This Row],[Beneficio Neto  (En RD$/Tarea)]]/Tabla2[[#This Row],[Costos (En RD$/Tarea)]])</f>
        <v>-0.0410443548715383</v>
      </c>
      <c r="P2492" s="7" t="n">
        <f aca="false">Tabla2[[#This Row],[Rentabilidad (%)]]/12</f>
        <v>-0.00342036290596152</v>
      </c>
    </row>
    <row r="2493" customFormat="false" ht="14.25" hidden="false" customHeight="false" outlineLevel="0" collapsed="false">
      <c r="A2493" s="1" t="n">
        <v>42826</v>
      </c>
      <c r="B2493" s="2" t="s">
        <v>26</v>
      </c>
      <c r="C2493" s="3" t="n">
        <v>6989</v>
      </c>
      <c r="D2493" s="8" t="s">
        <v>17</v>
      </c>
      <c r="E2493" s="3" t="n">
        <f aca="false">IF(Tabla2[[#This Row],[Frecuencia]]="Annual", Tabla2[[#This Row],[Cosecha/Tarea]]/12,Tabla2[[#This Row],[Cosecha/Tarea]])</f>
        <v>6989</v>
      </c>
      <c r="F2493" s="3" t="n">
        <v>47998</v>
      </c>
      <c r="G2493" s="2" t="s">
        <v>18</v>
      </c>
      <c r="H2493" s="2" t="n">
        <f aca="false">F2493/Tabla2[[#This Row],[Cosecha Mensual]]</f>
        <v>6.86764916297038</v>
      </c>
      <c r="I2493" s="2" t="n">
        <f aca="false">H2493*_xlfn.XLOOKUP(Tabla2[[#This Row],[Unidad de producción]],Tabla3[Medida],Tabla3[Equivalencia en Kg],"ELVIS",0)</f>
        <v>311.516566032337</v>
      </c>
      <c r="J2493" s="2" t="n">
        <v>1204.72222222222</v>
      </c>
      <c r="K2493" s="2" t="s">
        <v>18</v>
      </c>
      <c r="L2493" s="2" t="n">
        <f aca="false">J2493/_xlfn.XLOOKUP(Tabla2[[#This Row],[Unidad de precio]],Tabla3[Medida],Tabla3[Equivalencia en Kg],"ELVIS",0)</f>
        <v>26.5591318832059</v>
      </c>
      <c r="M2493" s="2" t="n">
        <v>1810.97553022926</v>
      </c>
      <c r="N2493" s="3" t="n">
        <f aca="false">(Tabla2[[#This Row],[Productividad (kg/TAS)]]*Tabla2[[#This Row],[Precio por kg]]-Tabla2[[#This Row],[Costos (En RD$/Tarea)]])</f>
        <v>6462.63403082699</v>
      </c>
      <c r="O2493" s="9" t="n">
        <f aca="false">IF(Tabla2[[#This Row],[Costos (En RD$/Tarea)]]=0,0,Tabla2[[#This Row],[Beneficio Neto  (En RD$/Tarea)]]/Tabla2[[#This Row],[Costos (En RD$/Tarea)]])</f>
        <v>3.56859268551732</v>
      </c>
      <c r="P2493" s="7" t="n">
        <f aca="false">Tabla2[[#This Row],[Rentabilidad (%)]]/12</f>
        <v>0.29738272379311</v>
      </c>
    </row>
    <row r="2494" customFormat="false" ht="14.25" hidden="false" customHeight="false" outlineLevel="0" collapsed="false">
      <c r="A2494" s="1" t="n">
        <v>42826</v>
      </c>
      <c r="B2494" s="2" t="s">
        <v>27</v>
      </c>
      <c r="C2494" s="3" t="n">
        <v>4752</v>
      </c>
      <c r="D2494" s="8" t="s">
        <v>17</v>
      </c>
      <c r="E2494" s="3" t="n">
        <f aca="false">IF(Tabla2[[#This Row],[Frecuencia]]="Annual", Tabla2[[#This Row],[Cosecha/Tarea]]/12,Tabla2[[#This Row],[Cosecha/Tarea]])</f>
        <v>4752</v>
      </c>
      <c r="F2494" s="3" t="n">
        <v>47012</v>
      </c>
      <c r="G2494" s="2" t="s">
        <v>18</v>
      </c>
      <c r="H2494" s="2" t="n">
        <f aca="false">F2494/Tabla2[[#This Row],[Cosecha Mensual]]</f>
        <v>9.89309764309764</v>
      </c>
      <c r="I2494" s="2" t="n">
        <f aca="false">H2494*_xlfn.XLOOKUP(Tabla2[[#This Row],[Unidad de producción]],Tabla3[Medida],Tabla3[Equivalencia en Kg],"ELVIS",0)</f>
        <v>448.750909090909</v>
      </c>
      <c r="J2494" s="2" t="n">
        <v>594.334</v>
      </c>
      <c r="K2494" s="2" t="s">
        <v>18</v>
      </c>
      <c r="L2494" s="2" t="n">
        <f aca="false">J2494/_xlfn.XLOOKUP(Tabla2[[#This Row],[Unidad de precio]],Tabla3[Medida],Tabla3[Equivalencia en Kg],"ELVIS",0)</f>
        <v>13.1026014109347</v>
      </c>
      <c r="M2494" s="2" t="n">
        <v>8788.431876469</v>
      </c>
      <c r="N2494" s="3" t="n">
        <f aca="false">(Tabla2[[#This Row],[Productividad (kg/TAS)]]*Tabla2[[#This Row],[Precio por kg]]-Tabla2[[#This Row],[Costos (En RD$/Tarea)]])</f>
        <v>-2908.62758185621</v>
      </c>
      <c r="O2494" s="9" t="n">
        <f aca="false">IF(Tabla2[[#This Row],[Costos (En RD$/Tarea)]]=0,0,Tabla2[[#This Row],[Beneficio Neto  (En RD$/Tarea)]]/Tabla2[[#This Row],[Costos (En RD$/Tarea)]])</f>
        <v>-0.330960929405853</v>
      </c>
      <c r="P2494" s="7" t="n">
        <f aca="false">Tabla2[[#This Row],[Rentabilidad (%)]]/12</f>
        <v>-0.0275800774504878</v>
      </c>
    </row>
    <row r="2495" customFormat="false" ht="14.25" hidden="false" customHeight="false" outlineLevel="0" collapsed="false">
      <c r="A2495" s="1" t="n">
        <v>42826</v>
      </c>
      <c r="B2495" s="2" t="s">
        <v>28</v>
      </c>
      <c r="C2495" s="3" t="n">
        <v>13895</v>
      </c>
      <c r="D2495" s="8" t="s">
        <v>17</v>
      </c>
      <c r="E2495" s="3" t="n">
        <f aca="false">IF(Tabla2[[#This Row],[Frecuencia]]="Annual", Tabla2[[#This Row],[Cosecha/Tarea]]/12,Tabla2[[#This Row],[Cosecha/Tarea]])</f>
        <v>13895</v>
      </c>
      <c r="F2495" s="3" t="n">
        <v>179856</v>
      </c>
      <c r="G2495" s="2" t="s">
        <v>18</v>
      </c>
      <c r="H2495" s="2" t="n">
        <f aca="false">F2495/Tabla2[[#This Row],[Cosecha Mensual]]</f>
        <v>12.9439366678661</v>
      </c>
      <c r="I2495" s="2" t="n">
        <f aca="false">H2495*_xlfn.XLOOKUP(Tabla2[[#This Row],[Unidad de producción]],Tabla3[Medida],Tabla3[Equivalencia en Kg],"ELVIS",0)</f>
        <v>587.136967254408</v>
      </c>
      <c r="J2495" s="2" t="n">
        <v>22651.67</v>
      </c>
      <c r="K2495" s="2" t="s">
        <v>29</v>
      </c>
      <c r="L2495" s="2" t="n">
        <f aca="false">J2495/_xlfn.XLOOKUP(Tabla2[[#This Row],[Unidad de precio]],Tabla3[Medida],Tabla3[Equivalencia en Kg],"ELVIS",0)</f>
        <v>40.2810932887577</v>
      </c>
      <c r="M2495" s="2" t="n">
        <v>7106.96492145872</v>
      </c>
      <c r="N2495" s="3" t="n">
        <f aca="false">(Tabla2[[#This Row],[Productividad (kg/TAS)]]*Tabla2[[#This Row],[Precio por kg]]-Tabla2[[#This Row],[Costos (En RD$/Tarea)]])</f>
        <v>16543.5540297944</v>
      </c>
      <c r="O2495" s="9" t="n">
        <f aca="false">IF(Tabla2[[#This Row],[Costos (En RD$/Tarea)]]=0,0,Tabla2[[#This Row],[Beneficio Neto  (En RD$/Tarea)]]/Tabla2[[#This Row],[Costos (En RD$/Tarea)]])</f>
        <v>2.32779452447315</v>
      </c>
      <c r="P2495" s="7" t="n">
        <f aca="false">Tabla2[[#This Row],[Rentabilidad (%)]]/12</f>
        <v>0.193982877039429</v>
      </c>
    </row>
    <row r="2496" customFormat="false" ht="14.25" hidden="false" customHeight="false" outlineLevel="0" collapsed="false">
      <c r="A2496" s="1" t="n">
        <v>42826</v>
      </c>
      <c r="B2496" s="2" t="s">
        <v>30</v>
      </c>
      <c r="C2496" s="3" t="n">
        <v>462511</v>
      </c>
      <c r="D2496" s="3" t="s">
        <v>31</v>
      </c>
      <c r="E2496" s="3" t="n">
        <f aca="false">IF(Tabla2[[#This Row],[Frecuencia]]="Annual", Tabla2[[#This Row],[Cosecha/Tarea]]/12,Tabla2[[#This Row],[Cosecha/Tarea]])</f>
        <v>38542.5833333333</v>
      </c>
      <c r="F2496" s="3" t="n">
        <v>2259251.4</v>
      </c>
      <c r="G2496" s="2" t="s">
        <v>18</v>
      </c>
      <c r="H2496" s="2" t="n">
        <f aca="false">F2496/Tabla2[[#This Row],[Cosecha Mensual]]</f>
        <v>58.6170205681595</v>
      </c>
      <c r="I2496" s="2" t="n">
        <f aca="false">H2496*_xlfn.XLOOKUP(Tabla2[[#This Row],[Unidad de producción]],Tabla3[Medida],Tabla3[Equivalencia en Kg],"ELVIS",0)</f>
        <v>2658.86805297171</v>
      </c>
      <c r="J2496" s="2" t="n">
        <v>139.716666666667</v>
      </c>
      <c r="K2496" s="2" t="s">
        <v>32</v>
      </c>
      <c r="L2496" s="2" t="n">
        <f aca="false">J2496/_xlfn.XLOOKUP(Tabla2[[#This Row],[Unidad de precio]],Tabla3[Medida],Tabla3[Equivalencia en Kg],"ELVIS",0)</f>
        <v>5.13475437951735</v>
      </c>
      <c r="M2496" s="3" t="n">
        <v>32851.8013523715</v>
      </c>
      <c r="N2496" s="3" t="n">
        <f aca="false">(Tabla2[[#This Row],[Productividad (kg/TAS)]]*Tabla2[[#This Row],[Precio por kg]]-Tabla2[[#This Row],[Costos (En RD$/Tarea)]])</f>
        <v>-19199.1669728162</v>
      </c>
      <c r="O2496" s="9" t="n">
        <f aca="false">IF(Tabla2[[#This Row],[Costos (En RD$/Tarea)]]=0,0,Tabla2[[#This Row],[Beneficio Neto  (En RD$/Tarea)]]/Tabla2[[#This Row],[Costos (En RD$/Tarea)]])</f>
        <v>-0.584417480395799</v>
      </c>
      <c r="P2496" s="7" t="n">
        <f aca="false">Tabla2[[#This Row],[Rentabilidad (%)]]/12</f>
        <v>-0.0487014566996499</v>
      </c>
    </row>
    <row r="2497" customFormat="false" ht="14.25" hidden="false" customHeight="false" outlineLevel="0" collapsed="false">
      <c r="A2497" s="1" t="n">
        <v>42826</v>
      </c>
      <c r="B2497" s="2" t="s">
        <v>33</v>
      </c>
      <c r="C2497" s="3" t="n">
        <v>765489</v>
      </c>
      <c r="D2497" s="3" t="s">
        <v>31</v>
      </c>
      <c r="E2497" s="11" t="n">
        <f aca="false">IF(Tabla2[[#This Row],[Frecuencia]]="Annual", Tabla2[[#This Row],[Cosecha/Tarea]]/12,Tabla2[[#This Row],[Cosecha/Tarea]])</f>
        <v>63790.75</v>
      </c>
      <c r="F2497" s="3" t="n">
        <v>3151116</v>
      </c>
      <c r="G2497" s="2" t="s">
        <v>18</v>
      </c>
      <c r="H2497" s="2" t="n">
        <f aca="false">F2497/Tabla2[[#This Row],[Cosecha Mensual]]</f>
        <v>49.397694806849</v>
      </c>
      <c r="I2497" s="2" t="n">
        <f aca="false">H2497*_xlfn.XLOOKUP(Tabla2[[#This Row],[Unidad de producción]],Tabla3[Medida],Tabla3[Equivalencia en Kg],"ELVIS",0)</f>
        <v>2240.67943643867</v>
      </c>
      <c r="J2497" s="2" t="n">
        <v>5668.19444444444</v>
      </c>
      <c r="K2497" s="2" t="s">
        <v>34</v>
      </c>
      <c r="L2497" s="2" t="n">
        <f aca="false">J2497/_xlfn.XLOOKUP(Tabla2[[#This Row],[Unidad de precio]],Tabla3[Medida],Tabla3[Equivalencia en Kg],"ELVIS",0)</f>
        <v>13.8875277335402</v>
      </c>
      <c r="M2497" s="3" t="n">
        <v>21460.4838899894</v>
      </c>
      <c r="N2497" s="3" t="n">
        <f aca="false">(Tabla2[[#This Row],[Productividad (kg/TAS)]]*Tabla2[[#This Row],[Precio por kg]]-Tabla2[[#This Row],[Costos (En RD$/Tarea)]])</f>
        <v>9657.01392552588</v>
      </c>
      <c r="O2497" s="9" t="n">
        <f aca="false">IF(Tabla2[[#This Row],[Costos (En RD$/Tarea)]]=0,0,Tabla2[[#This Row],[Beneficio Neto  (En RD$/Tarea)]]/Tabla2[[#This Row],[Costos (En RD$/Tarea)]])</f>
        <v>0.449990502312511</v>
      </c>
      <c r="P2497" s="7" t="n">
        <f aca="false">Tabla2[[#This Row],[Rentabilidad (%)]]/12</f>
        <v>0.0374992085260426</v>
      </c>
    </row>
    <row r="2498" customFormat="false" ht="14.25" hidden="false" customHeight="false" outlineLevel="0" collapsed="false">
      <c r="A2498" s="1" t="n">
        <v>42856</v>
      </c>
      <c r="B2498" s="2" t="s">
        <v>16</v>
      </c>
      <c r="C2498" s="3" t="n">
        <v>426855</v>
      </c>
      <c r="D2498" s="8" t="s">
        <v>17</v>
      </c>
      <c r="E2498" s="3" t="n">
        <f aca="false">IF(Tabla2[[#This Row],[Frecuencia]]="Annual", Tabla2[[#This Row],[Cosecha/Tarea]]/12,Tabla2[[#This Row],[Cosecha/Tarea]])</f>
        <v>426855</v>
      </c>
      <c r="F2498" s="3" t="n">
        <v>2342112</v>
      </c>
      <c r="G2498" s="2" t="s">
        <v>18</v>
      </c>
      <c r="H2498" s="2" t="n">
        <f aca="false">F2498/Tabla2[[#This Row],[Cosecha Mensual]]</f>
        <v>5.48690304670204</v>
      </c>
      <c r="I2498" s="2" t="n">
        <f aca="false">H2498*_xlfn.XLOOKUP(Tabla2[[#This Row],[Unidad de producción]],Tabla3[Medida],Tabla3[Equivalencia en Kg],"ELVIS",0)</f>
        <v>248.885922198405</v>
      </c>
      <c r="J2498" s="2" t="n">
        <v>1958.22855555556</v>
      </c>
      <c r="K2498" s="2" t="s">
        <v>19</v>
      </c>
      <c r="L2498" s="2" t="n">
        <f aca="false">J2498/_xlfn.XLOOKUP(Tabla2[[#This Row],[Unidad de precio]],Tabla3[Medida],Tabla3[Equivalencia en Kg],"ELVIS",0)</f>
        <v>17.8020777777778</v>
      </c>
      <c r="M2498" s="2" t="n">
        <v>6064.21649453855</v>
      </c>
      <c r="N2498" s="3" t="n">
        <f aca="false">(Tabla2[[#This Row],[Productividad (kg/TAS)]]*Tabla2[[#This Row],[Precio por kg]]-Tabla2[[#This Row],[Costos (En RD$/Tarea)]])</f>
        <v>-1633.52994976859</v>
      </c>
      <c r="O2498" s="9" t="n">
        <f aca="false">IF(Tabla2[[#This Row],[Costos (En RD$/Tarea)]]=0,0,Tabla2[[#This Row],[Beneficio Neto  (En RD$/Tarea)]]/Tabla2[[#This Row],[Costos (En RD$/Tarea)]])</f>
        <v>-0.269371971010559</v>
      </c>
      <c r="P2498" s="7" t="n">
        <f aca="false">Tabla2[[#This Row],[Rentabilidad (%)]]/12</f>
        <v>-0.0224476642508799</v>
      </c>
    </row>
    <row r="2499" customFormat="false" ht="14.25" hidden="false" customHeight="false" outlineLevel="0" collapsed="false">
      <c r="A2499" s="1" t="n">
        <v>42856</v>
      </c>
      <c r="B2499" s="2" t="s">
        <v>20</v>
      </c>
      <c r="C2499" s="3" t="n">
        <v>21229</v>
      </c>
      <c r="D2499" s="8" t="s">
        <v>17</v>
      </c>
      <c r="E2499" s="3" t="n">
        <f aca="false">IF(Tabla2[[#This Row],[Frecuencia]]="Annual", Tabla2[[#This Row],[Cosecha/Tarea]]/12,Tabla2[[#This Row],[Cosecha/Tarea]])</f>
        <v>21229</v>
      </c>
      <c r="F2499" s="3" t="n">
        <v>76768</v>
      </c>
      <c r="G2499" s="2" t="s">
        <v>18</v>
      </c>
      <c r="H2499" s="2" t="n">
        <f aca="false">F2499/Tabla2[[#This Row],[Cosecha Mensual]]</f>
        <v>3.61618540675491</v>
      </c>
      <c r="I2499" s="2" t="n">
        <f aca="false">H2499*_xlfn.XLOOKUP(Tabla2[[#This Row],[Unidad de producción]],Tabla3[Medida],Tabla3[Equivalencia en Kg],"ELVIS",0)</f>
        <v>164.030170050403</v>
      </c>
      <c r="J2499" s="2" t="n">
        <v>921.316666666667</v>
      </c>
      <c r="K2499" s="2" t="s">
        <v>18</v>
      </c>
      <c r="L2499" s="2" t="n">
        <f aca="false">J2499/_xlfn.XLOOKUP(Tabla2[[#This Row],[Unidad de precio]],Tabla3[Medida],Tabla3[Equivalencia en Kg],"ELVIS",0)</f>
        <v>20.3112139917696</v>
      </c>
      <c r="M2499" s="2" t="n">
        <v>2479.0864296156</v>
      </c>
      <c r="N2499" s="3" t="n">
        <f aca="false">(Tabla2[[#This Row],[Productividad (kg/TAS)]]*Tabla2[[#This Row],[Precio por kg]]-Tabla2[[#This Row],[Costos (En RD$/Tarea)]])</f>
        <v>852.565455384479</v>
      </c>
      <c r="O2499" s="9" t="n">
        <f aca="false">IF(Tabla2[[#This Row],[Costos (En RD$/Tarea)]]=0,0,Tabla2[[#This Row],[Beneficio Neto  (En RD$/Tarea)]]/Tabla2[[#This Row],[Costos (En RD$/Tarea)]])</f>
        <v>0.343903078650096</v>
      </c>
      <c r="P2499" s="7" t="n">
        <f aca="false">Tabla2[[#This Row],[Rentabilidad (%)]]/12</f>
        <v>0.028658589887508</v>
      </c>
    </row>
    <row r="2500" customFormat="false" ht="14.25" hidden="false" customHeight="false" outlineLevel="0" collapsed="false">
      <c r="A2500" s="1" t="n">
        <v>42856</v>
      </c>
      <c r="B2500" s="2" t="s">
        <v>21</v>
      </c>
      <c r="C2500" s="3" t="n">
        <v>7854</v>
      </c>
      <c r="D2500" s="8" t="s">
        <v>17</v>
      </c>
      <c r="E2500" s="3" t="n">
        <f aca="false">IF(Tabla2[[#This Row],[Frecuencia]]="Annual", Tabla2[[#This Row],[Cosecha/Tarea]]/12,Tabla2[[#This Row],[Cosecha/Tarea]])</f>
        <v>7854</v>
      </c>
      <c r="F2500" s="3" t="n">
        <v>89998</v>
      </c>
      <c r="G2500" s="2" t="s">
        <v>18</v>
      </c>
      <c r="H2500" s="2" t="n">
        <f aca="false">F2500/Tabla2[[#This Row],[Cosecha Mensual]]</f>
        <v>11.4588744588745</v>
      </c>
      <c r="I2500" s="2" t="n">
        <f aca="false">H2500*_xlfn.XLOOKUP(Tabla2[[#This Row],[Unidad de producción]],Tabla3[Medida],Tabla3[Equivalencia en Kg],"ELVIS",0)</f>
        <v>519.774545454545</v>
      </c>
      <c r="J2500" s="2" t="n">
        <v>548.0825</v>
      </c>
      <c r="K2500" s="2" t="s">
        <v>18</v>
      </c>
      <c r="L2500" s="2" t="n">
        <f aca="false">J2500/_xlfn.XLOOKUP(Tabla2[[#This Row],[Unidad de precio]],Tabla3[Medida],Tabla3[Equivalencia en Kg],"ELVIS",0)</f>
        <v>12.0829475308642</v>
      </c>
      <c r="M2500" s="2" t="n">
        <v>5064.80450774638</v>
      </c>
      <c r="N2500" s="3" t="n">
        <f aca="false">(Tabla2[[#This Row],[Productividad (kg/TAS)]]*Tabla2[[#This Row],[Precio por kg]]-Tabla2[[#This Row],[Costos (En RD$/Tarea)]])</f>
        <v>1215.60405285968</v>
      </c>
      <c r="O2500" s="9" t="n">
        <f aca="false">IF(Tabla2[[#This Row],[Costos (En RD$/Tarea)]]=0,0,Tabla2[[#This Row],[Beneficio Neto  (En RD$/Tarea)]]/Tabla2[[#This Row],[Costos (En RD$/Tarea)]])</f>
        <v>0.240010063764647</v>
      </c>
      <c r="P2500" s="7" t="n">
        <f aca="false">Tabla2[[#This Row],[Rentabilidad (%)]]/12</f>
        <v>0.0200008386470539</v>
      </c>
    </row>
    <row r="2501" customFormat="false" ht="14.25" hidden="false" customHeight="false" outlineLevel="0" collapsed="false">
      <c r="A2501" s="1" t="n">
        <v>42856</v>
      </c>
      <c r="B2501" s="2" t="s">
        <v>22</v>
      </c>
      <c r="C2501" s="3" t="n">
        <v>4521</v>
      </c>
      <c r="D2501" s="8" t="s">
        <v>17</v>
      </c>
      <c r="E2501" s="3" t="n">
        <f aca="false">IF(Tabla2[[#This Row],[Frecuencia]]="Annual", Tabla2[[#This Row],[Cosecha/Tarea]]/12,Tabla2[[#This Row],[Cosecha/Tarea]])</f>
        <v>4521</v>
      </c>
      <c r="F2501" s="3" t="n">
        <v>45215</v>
      </c>
      <c r="G2501" s="2" t="s">
        <v>18</v>
      </c>
      <c r="H2501" s="2" t="n">
        <f aca="false">F2501/Tabla2[[#This Row],[Cosecha Mensual]]</f>
        <v>10.0011059500111</v>
      </c>
      <c r="I2501" s="2" t="n">
        <f aca="false">H2501*_xlfn.XLOOKUP(Tabla2[[#This Row],[Unidad de producción]],Tabla3[Medida],Tabla3[Equivalencia en Kg],"ELVIS",0)</f>
        <v>453.650165892502</v>
      </c>
      <c r="J2501" s="2" t="n">
        <v>2030.16</v>
      </c>
      <c r="K2501" s="2" t="s">
        <v>18</v>
      </c>
      <c r="L2501" s="2" t="n">
        <f aca="false">J2501/_xlfn.XLOOKUP(Tabla2[[#This Row],[Unidad de precio]],Tabla3[Medida],Tabla3[Equivalencia en Kg],"ELVIS",0)</f>
        <v>44.7566137566138</v>
      </c>
      <c r="M2501" s="2" t="n">
        <v>9358.71441738452</v>
      </c>
      <c r="N2501" s="3" t="n">
        <f aca="false">(Tabla2[[#This Row],[Productividad (kg/TAS)]]*Tabla2[[#This Row],[Precio por kg]]-Tabla2[[#This Row],[Costos (En RD$/Tarea)]])</f>
        <v>10945.1308380899</v>
      </c>
      <c r="O2501" s="9" t="n">
        <f aca="false">IF(Tabla2[[#This Row],[Costos (En RD$/Tarea)]]=0,0,Tabla2[[#This Row],[Beneficio Neto  (En RD$/Tarea)]]/Tabla2[[#This Row],[Costos (En RD$/Tarea)]])</f>
        <v>1.16951221609653</v>
      </c>
      <c r="P2501" s="7" t="n">
        <f aca="false">Tabla2[[#This Row],[Rentabilidad (%)]]/12</f>
        <v>0.0974593513413777</v>
      </c>
    </row>
    <row r="2502" customFormat="false" ht="14.25" hidden="false" customHeight="false" outlineLevel="0" collapsed="false">
      <c r="A2502" s="1" t="n">
        <v>42856</v>
      </c>
      <c r="B2502" s="2" t="s">
        <v>23</v>
      </c>
      <c r="C2502" s="3" t="n">
        <v>4251</v>
      </c>
      <c r="D2502" s="8" t="s">
        <v>17</v>
      </c>
      <c r="E2502" s="3" t="n">
        <f aca="false">IF(Tabla2[[#This Row],[Frecuencia]]="Annual", Tabla2[[#This Row],[Cosecha/Tarea]]/12,Tabla2[[#This Row],[Cosecha/Tarea]])</f>
        <v>4251</v>
      </c>
      <c r="F2502" s="3" t="n">
        <v>165899</v>
      </c>
      <c r="G2502" s="2" t="s">
        <v>18</v>
      </c>
      <c r="H2502" s="2" t="n">
        <f aca="false">F2502/Tabla2[[#This Row],[Cosecha Mensual]]</f>
        <v>39.0258762644084</v>
      </c>
      <c r="I2502" s="2" t="n">
        <f aca="false">H2502*_xlfn.XLOOKUP(Tabla2[[#This Row],[Unidad de producción]],Tabla3[Medida],Tabla3[Equivalencia en Kg],"ELVIS",0)</f>
        <v>1770.21374735356</v>
      </c>
      <c r="J2502" s="2" t="n">
        <v>875</v>
      </c>
      <c r="K2502" s="2" t="s">
        <v>18</v>
      </c>
      <c r="L2502" s="2" t="n">
        <f aca="false">J2502/_xlfn.XLOOKUP(Tabla2[[#This Row],[Unidad de precio]],Tabla3[Medida],Tabla3[Equivalencia en Kg],"ELVIS",0)</f>
        <v>19.2901234567901</v>
      </c>
      <c r="M2502" s="2" t="n">
        <v>23497.6811528187</v>
      </c>
      <c r="N2502" s="3" t="n">
        <f aca="false">(Tabla2[[#This Row],[Productividad (kg/TAS)]]*Tabla2[[#This Row],[Precio por kg]]-Tabla2[[#This Row],[Costos (En RD$/Tarea)]])</f>
        <v>10649.9605785386</v>
      </c>
      <c r="O2502" s="9" t="n">
        <f aca="false">IF(Tabla2[[#This Row],[Costos (En RD$/Tarea)]]=0,0,Tabla2[[#This Row],[Beneficio Neto  (En RD$/Tarea)]]/Tabla2[[#This Row],[Costos (En RD$/Tarea)]])</f>
        <v>0.453234534474952</v>
      </c>
      <c r="P2502" s="7" t="n">
        <f aca="false">Tabla2[[#This Row],[Rentabilidad (%)]]/12</f>
        <v>0.0377695445395793</v>
      </c>
    </row>
    <row r="2503" customFormat="false" ht="14.25" hidden="false" customHeight="false" outlineLevel="0" collapsed="false">
      <c r="A2503" s="1" t="n">
        <v>42856</v>
      </c>
      <c r="B2503" s="2" t="s">
        <v>24</v>
      </c>
      <c r="C2503" s="3" t="n">
        <v>6412</v>
      </c>
      <c r="D2503" s="8" t="s">
        <v>17</v>
      </c>
      <c r="E2503" s="3" t="n">
        <f aca="false">IF(Tabla2[[#This Row],[Frecuencia]]="Annual", Tabla2[[#This Row],[Cosecha/Tarea]]/12,Tabla2[[#This Row],[Cosecha/Tarea]])</f>
        <v>6412</v>
      </c>
      <c r="F2503" s="3" t="n">
        <v>42014</v>
      </c>
      <c r="G2503" s="2" t="s">
        <v>18</v>
      </c>
      <c r="H2503" s="2" t="n">
        <f aca="false">F2503/Tabla2[[#This Row],[Cosecha Mensual]]</f>
        <v>6.55240174672489</v>
      </c>
      <c r="I2503" s="2" t="n">
        <f aca="false">H2503*_xlfn.XLOOKUP(Tabla2[[#This Row],[Unidad de producción]],Tabla3[Medida],Tabla3[Equivalencia en Kg],"ELVIS",0)</f>
        <v>297.216943231441</v>
      </c>
      <c r="J2503" s="2" t="n">
        <v>1591.825</v>
      </c>
      <c r="K2503" s="2" t="s">
        <v>18</v>
      </c>
      <c r="L2503" s="2" t="n">
        <f aca="false">J2503/_xlfn.XLOOKUP(Tabla2[[#This Row],[Unidad de precio]],Tabla3[Medida],Tabla3[Equivalencia en Kg],"ELVIS",0)</f>
        <v>35.0931437389771</v>
      </c>
      <c r="M2503" s="2" t="n">
        <v>9059.4442114896</v>
      </c>
      <c r="N2503" s="3" t="n">
        <f aca="false">(Tabla2[[#This Row],[Productividad (kg/TAS)]]*Tabla2[[#This Row],[Precio por kg]]-Tabla2[[#This Row],[Costos (En RD$/Tarea)]])</f>
        <v>1370.83269899075</v>
      </c>
      <c r="O2503" s="9" t="n">
        <f aca="false">IF(Tabla2[[#This Row],[Costos (En RD$/Tarea)]]=0,0,Tabla2[[#This Row],[Beneficio Neto  (En RD$/Tarea)]]/Tabla2[[#This Row],[Costos (En RD$/Tarea)]])</f>
        <v>0.151315319901435</v>
      </c>
      <c r="P2503" s="7" t="n">
        <f aca="false">Tabla2[[#This Row],[Rentabilidad (%)]]/12</f>
        <v>0.0126096099917862</v>
      </c>
    </row>
    <row r="2504" customFormat="false" ht="14.25" hidden="false" customHeight="false" outlineLevel="0" collapsed="false">
      <c r="A2504" s="1" t="n">
        <v>42856</v>
      </c>
      <c r="B2504" s="2" t="s">
        <v>25</v>
      </c>
      <c r="C2504" s="3" t="n">
        <v>31402</v>
      </c>
      <c r="D2504" s="8" t="s">
        <v>17</v>
      </c>
      <c r="E2504" s="3" t="n">
        <f aca="false">IF(Tabla2[[#This Row],[Frecuencia]]="Annual", Tabla2[[#This Row],[Cosecha/Tarea]]/12,Tabla2[[#This Row],[Cosecha/Tarea]])</f>
        <v>31402</v>
      </c>
      <c r="F2504" s="3" t="n">
        <v>292789</v>
      </c>
      <c r="G2504" s="2" t="s">
        <v>18</v>
      </c>
      <c r="H2504" s="2" t="n">
        <f aca="false">F2504/Tabla2[[#This Row],[Cosecha Mensual]]</f>
        <v>9.32389656709764</v>
      </c>
      <c r="I2504" s="2" t="n">
        <f aca="false">H2504*_xlfn.XLOOKUP(Tabla2[[#This Row],[Unidad de producción]],Tabla3[Medida],Tabla3[Equivalencia en Kg],"ELVIS",0)</f>
        <v>422.931948283549</v>
      </c>
      <c r="J2504" s="2" t="n">
        <v>662.858333333333</v>
      </c>
      <c r="K2504" s="2" t="s">
        <v>18</v>
      </c>
      <c r="L2504" s="2" t="n">
        <f aca="false">J2504/_xlfn.XLOOKUP(Tabla2[[#This Row],[Unidad de precio]],Tabla3[Medida],Tabla3[Equivalencia en Kg],"ELVIS",0)</f>
        <v>14.6132789535567</v>
      </c>
      <c r="M2504" s="2" t="n">
        <v>4667.26585652655</v>
      </c>
      <c r="N2504" s="3" t="n">
        <f aca="false">(Tabla2[[#This Row],[Productividad (kg/TAS)]]*Tabla2[[#This Row],[Precio por kg]]-Tabla2[[#This Row],[Costos (En RD$/Tarea)]])</f>
        <v>1513.15668211218</v>
      </c>
      <c r="O2504" s="9" t="n">
        <f aca="false">IF(Tabla2[[#This Row],[Costos (En RD$/Tarea)]]=0,0,Tabla2[[#This Row],[Beneficio Neto  (En RD$/Tarea)]]/Tabla2[[#This Row],[Costos (En RD$/Tarea)]])</f>
        <v>0.324206233076744</v>
      </c>
      <c r="P2504" s="7" t="n">
        <f aca="false">Tabla2[[#This Row],[Rentabilidad (%)]]/12</f>
        <v>0.0270171860897287</v>
      </c>
    </row>
    <row r="2505" customFormat="false" ht="14.25" hidden="false" customHeight="false" outlineLevel="0" collapsed="false">
      <c r="A2505" s="1" t="n">
        <v>42856</v>
      </c>
      <c r="B2505" s="2" t="s">
        <v>26</v>
      </c>
      <c r="C2505" s="3" t="n">
        <v>7854</v>
      </c>
      <c r="D2505" s="8" t="s">
        <v>17</v>
      </c>
      <c r="E2505" s="3" t="n">
        <f aca="false">IF(Tabla2[[#This Row],[Frecuencia]]="Annual", Tabla2[[#This Row],[Cosecha/Tarea]]/12,Tabla2[[#This Row],[Cosecha/Tarea]])</f>
        <v>7854</v>
      </c>
      <c r="F2505" s="3" t="n">
        <v>53479</v>
      </c>
      <c r="G2505" s="2" t="s">
        <v>18</v>
      </c>
      <c r="H2505" s="2" t="n">
        <f aca="false">F2505/Tabla2[[#This Row],[Cosecha Mensual]]</f>
        <v>6.8091418385536</v>
      </c>
      <c r="I2505" s="2" t="n">
        <f aca="false">H2505*_xlfn.XLOOKUP(Tabla2[[#This Row],[Unidad de producción]],Tabla3[Medida],Tabla3[Equivalencia en Kg],"ELVIS",0)</f>
        <v>308.862673796791</v>
      </c>
      <c r="J2505" s="2" t="n">
        <v>913.966666666667</v>
      </c>
      <c r="K2505" s="2" t="s">
        <v>18</v>
      </c>
      <c r="L2505" s="2" t="n">
        <f aca="false">J2505/_xlfn.XLOOKUP(Tabla2[[#This Row],[Unidad de precio]],Tabla3[Medida],Tabla3[Equivalencia en Kg],"ELVIS",0)</f>
        <v>20.1491769547325</v>
      </c>
      <c r="M2505" s="2" t="n">
        <v>1810.97553022926</v>
      </c>
      <c r="N2505" s="3" t="n">
        <f aca="false">(Tabla2[[#This Row],[Productividad (kg/TAS)]]*Tabla2[[#This Row],[Precio por kg]]-Tabla2[[#This Row],[Costos (En RD$/Tarea)]])</f>
        <v>4412.35313881412</v>
      </c>
      <c r="O2505" s="9" t="n">
        <f aca="false">IF(Tabla2[[#This Row],[Costos (En RD$/Tarea)]]=0,0,Tabla2[[#This Row],[Beneficio Neto  (En RD$/Tarea)]]/Tabla2[[#This Row],[Costos (En RD$/Tarea)]])</f>
        <v>2.43645099846023</v>
      </c>
      <c r="P2505" s="7" t="n">
        <f aca="false">Tabla2[[#This Row],[Rentabilidad (%)]]/12</f>
        <v>0.203037583205019</v>
      </c>
    </row>
    <row r="2506" customFormat="false" ht="14.25" hidden="false" customHeight="false" outlineLevel="0" collapsed="false">
      <c r="A2506" s="1" t="n">
        <v>42856</v>
      </c>
      <c r="B2506" s="2" t="s">
        <v>27</v>
      </c>
      <c r="C2506" s="3" t="n">
        <v>4215</v>
      </c>
      <c r="D2506" s="8" t="s">
        <v>17</v>
      </c>
      <c r="E2506" s="3" t="n">
        <f aca="false">IF(Tabla2[[#This Row],[Frecuencia]]="Annual", Tabla2[[#This Row],[Cosecha/Tarea]]/12,Tabla2[[#This Row],[Cosecha/Tarea]])</f>
        <v>4215</v>
      </c>
      <c r="F2506" s="3" t="n">
        <v>48124</v>
      </c>
      <c r="G2506" s="2" t="s">
        <v>18</v>
      </c>
      <c r="H2506" s="2" t="n">
        <f aca="false">F2506/Tabla2[[#This Row],[Cosecha Mensual]]</f>
        <v>11.4173190984579</v>
      </c>
      <c r="I2506" s="2" t="n">
        <f aca="false">H2506*_xlfn.XLOOKUP(Tabla2[[#This Row],[Unidad de producción]],Tabla3[Medida],Tabla3[Equivalencia en Kg],"ELVIS",0)</f>
        <v>517.88959430605</v>
      </c>
      <c r="J2506" s="2" t="n">
        <v>567.913333333333</v>
      </c>
      <c r="K2506" s="2" t="s">
        <v>18</v>
      </c>
      <c r="L2506" s="2" t="n">
        <f aca="false">J2506/_xlfn.XLOOKUP(Tabla2[[#This Row],[Unidad de precio]],Tabla3[Medida],Tabla3[Equivalencia en Kg],"ELVIS",0)</f>
        <v>12.5201352145797</v>
      </c>
      <c r="M2506" s="2" t="n">
        <v>8788.431876469</v>
      </c>
      <c r="N2506" s="3" t="n">
        <f aca="false">(Tabla2[[#This Row],[Productividad (kg/TAS)]]*Tabla2[[#This Row],[Precio por kg]]-Tabla2[[#This Row],[Costos (En RD$/Tarea)]])</f>
        <v>-2304.38412953346</v>
      </c>
      <c r="O2506" s="9" t="n">
        <f aca="false">IF(Tabla2[[#This Row],[Costos (En RD$/Tarea)]]=0,0,Tabla2[[#This Row],[Beneficio Neto  (En RD$/Tarea)]]/Tabla2[[#This Row],[Costos (En RD$/Tarea)]])</f>
        <v>-0.262206518969947</v>
      </c>
      <c r="P2506" s="7" t="n">
        <f aca="false">Tabla2[[#This Row],[Rentabilidad (%)]]/12</f>
        <v>-0.0218505432474956</v>
      </c>
    </row>
    <row r="2507" customFormat="false" ht="14.25" hidden="false" customHeight="false" outlineLevel="0" collapsed="false">
      <c r="A2507" s="1" t="n">
        <v>42856</v>
      </c>
      <c r="B2507" s="2" t="s">
        <v>28</v>
      </c>
      <c r="C2507" s="3" t="n">
        <v>11547</v>
      </c>
      <c r="D2507" s="8" t="s">
        <v>17</v>
      </c>
      <c r="E2507" s="3" t="n">
        <f aca="false">IF(Tabla2[[#This Row],[Frecuencia]]="Annual", Tabla2[[#This Row],[Cosecha/Tarea]]/12,Tabla2[[#This Row],[Cosecha/Tarea]])</f>
        <v>11547</v>
      </c>
      <c r="F2507" s="3" t="n">
        <v>334752</v>
      </c>
      <c r="G2507" s="2" t="s">
        <v>18</v>
      </c>
      <c r="H2507" s="2" t="n">
        <f aca="false">F2507/Tabla2[[#This Row],[Cosecha Mensual]]</f>
        <v>28.990387113536</v>
      </c>
      <c r="I2507" s="2" t="n">
        <f aca="false">H2507*_xlfn.XLOOKUP(Tabla2[[#This Row],[Unidad de producción]],Tabla3[Medida],Tabla3[Equivalencia en Kg],"ELVIS",0)</f>
        <v>1315.00395946999</v>
      </c>
      <c r="J2507" s="2" t="n">
        <v>2812.5</v>
      </c>
      <c r="K2507" s="2" t="s">
        <v>29</v>
      </c>
      <c r="L2507" s="2" t="n">
        <f aca="false">J2507/_xlfn.XLOOKUP(Tabla2[[#This Row],[Unidad de precio]],Tabla3[Medida],Tabla3[Equivalencia en Kg],"ELVIS",0)</f>
        <v>5.00142262688054</v>
      </c>
      <c r="M2507" s="2" t="n">
        <v>7106.96492145872</v>
      </c>
      <c r="N2507" s="3" t="n">
        <f aca="false">(Tabla2[[#This Row],[Productividad (kg/TAS)]]*Tabla2[[#This Row],[Precio por kg]]-Tabla2[[#This Row],[Costos (En RD$/Tarea)]])</f>
        <v>-530.074364128007</v>
      </c>
      <c r="O2507" s="9" t="n">
        <f aca="false">IF(Tabla2[[#This Row],[Costos (En RD$/Tarea)]]=0,0,Tabla2[[#This Row],[Beneficio Neto  (En RD$/Tarea)]]/Tabla2[[#This Row],[Costos (En RD$/Tarea)]])</f>
        <v>-0.074585194944118</v>
      </c>
      <c r="P2507" s="7" t="n">
        <f aca="false">Tabla2[[#This Row],[Rentabilidad (%)]]/12</f>
        <v>-0.00621543291200983</v>
      </c>
    </row>
    <row r="2508" customFormat="false" ht="14.25" hidden="false" customHeight="false" outlineLevel="0" collapsed="false">
      <c r="A2508" s="1" t="n">
        <v>42856</v>
      </c>
      <c r="B2508" s="2" t="s">
        <v>30</v>
      </c>
      <c r="C2508" s="3" t="n">
        <v>485124</v>
      </c>
      <c r="D2508" s="3" t="s">
        <v>31</v>
      </c>
      <c r="E2508" s="3" t="n">
        <f aca="false">IF(Tabla2[[#This Row],[Frecuencia]]="Annual", Tabla2[[#This Row],[Cosecha/Tarea]]/12,Tabla2[[#This Row],[Cosecha/Tarea]])</f>
        <v>40427</v>
      </c>
      <c r="F2508" s="3" t="n">
        <v>2185533</v>
      </c>
      <c r="G2508" s="2" t="s">
        <v>18</v>
      </c>
      <c r="H2508" s="2" t="n">
        <f aca="false">F2508/Tabla2[[#This Row],[Cosecha Mensual]]</f>
        <v>54.0612214609048</v>
      </c>
      <c r="I2508" s="2" t="n">
        <f aca="false">H2508*_xlfn.XLOOKUP(Tabla2[[#This Row],[Unidad de producción]],Tabla3[Medida],Tabla3[Equivalencia en Kg],"ELVIS",0)</f>
        <v>2452.21700546664</v>
      </c>
      <c r="J2508" s="2" t="n">
        <v>156.879166666667</v>
      </c>
      <c r="K2508" s="2" t="s">
        <v>32</v>
      </c>
      <c r="L2508" s="2" t="n">
        <f aca="false">J2508/_xlfn.XLOOKUP(Tabla2[[#This Row],[Unidad de precio]],Tabla3[Medida],Tabla3[Equivalencia en Kg],"ELVIS",0)</f>
        <v>5.76549675364451</v>
      </c>
      <c r="M2508" s="3" t="n">
        <v>32851.8013523715</v>
      </c>
      <c r="N2508" s="3" t="n">
        <f aca="false">(Tabla2[[#This Row],[Productividad (kg/TAS)]]*Tabla2[[#This Row],[Precio por kg]]-Tabla2[[#This Row],[Costos (En RD$/Tarea)]])</f>
        <v>-18713.5521681217</v>
      </c>
      <c r="O2508" s="9" t="n">
        <f aca="false">IF(Tabla2[[#This Row],[Costos (En RD$/Tarea)]]=0,0,Tabla2[[#This Row],[Beneficio Neto  (En RD$/Tarea)]]/Tabla2[[#This Row],[Costos (En RD$/Tarea)]])</f>
        <v>-0.569635496312619</v>
      </c>
      <c r="P2508" s="7" t="n">
        <f aca="false">Tabla2[[#This Row],[Rentabilidad (%)]]/12</f>
        <v>-0.0474696246927183</v>
      </c>
    </row>
    <row r="2509" customFormat="false" ht="14.25" hidden="false" customHeight="false" outlineLevel="0" collapsed="false">
      <c r="A2509" s="1" t="n">
        <v>42856</v>
      </c>
      <c r="B2509" s="2" t="s">
        <v>33</v>
      </c>
      <c r="C2509" s="3" t="n">
        <v>784518</v>
      </c>
      <c r="D2509" s="3" t="s">
        <v>31</v>
      </c>
      <c r="E2509" s="11" t="n">
        <f aca="false">IF(Tabla2[[#This Row],[Frecuencia]]="Annual", Tabla2[[#This Row],[Cosecha/Tarea]]/12,Tabla2[[#This Row],[Cosecha/Tarea]])</f>
        <v>65376.5</v>
      </c>
      <c r="F2509" s="3" t="n">
        <v>2698839</v>
      </c>
      <c r="G2509" s="2" t="s">
        <v>18</v>
      </c>
      <c r="H2509" s="2" t="n">
        <f aca="false">F2509/Tabla2[[#This Row],[Cosecha Mensual]]</f>
        <v>41.2814849372481</v>
      </c>
      <c r="I2509" s="2" t="n">
        <f aca="false">H2509*_xlfn.XLOOKUP(Tabla2[[#This Row],[Unidad de producción]],Tabla3[Medida],Tabla3[Equivalencia en Kg],"ELVIS",0)</f>
        <v>1872.52815675357</v>
      </c>
      <c r="J2509" s="2" t="n">
        <v>5525.29166666667</v>
      </c>
      <c r="K2509" s="2" t="s">
        <v>34</v>
      </c>
      <c r="L2509" s="2" t="n">
        <f aca="false">J2509/_xlfn.XLOOKUP(Tabla2[[#This Row],[Unidad de precio]],Tabla3[Medida],Tabla3[Equivalencia en Kg],"ELVIS",0)</f>
        <v>13.5374045489812</v>
      </c>
      <c r="M2509" s="3" t="n">
        <v>21460.4838899894</v>
      </c>
      <c r="N2509" s="3" t="n">
        <f aca="false">(Tabla2[[#This Row],[Productividad (kg/TAS)]]*Tabla2[[#This Row],[Precio por kg]]-Tabla2[[#This Row],[Costos (En RD$/Tarea)]])</f>
        <v>3888.68729734178</v>
      </c>
      <c r="O2509" s="9" t="n">
        <f aca="false">IF(Tabla2[[#This Row],[Costos (En RD$/Tarea)]]=0,0,Tabla2[[#This Row],[Beneficio Neto  (En RD$/Tarea)]]/Tabla2[[#This Row],[Costos (En RD$/Tarea)]])</f>
        <v>0.181202218797859</v>
      </c>
      <c r="P2509" s="7" t="n">
        <f aca="false">Tabla2[[#This Row],[Rentabilidad (%)]]/12</f>
        <v>0.0151001848998215</v>
      </c>
    </row>
    <row r="2510" customFormat="false" ht="14.25" hidden="false" customHeight="false" outlineLevel="0" collapsed="false">
      <c r="A2510" s="1" t="n">
        <v>42887</v>
      </c>
      <c r="B2510" s="2" t="s">
        <v>16</v>
      </c>
      <c r="C2510" s="3" t="n">
        <v>185421</v>
      </c>
      <c r="D2510" s="8" t="s">
        <v>17</v>
      </c>
      <c r="E2510" s="3" t="n">
        <f aca="false">IF(Tabla2[[#This Row],[Frecuencia]]="Annual", Tabla2[[#This Row],[Cosecha/Tarea]]/12,Tabla2[[#This Row],[Cosecha/Tarea]])</f>
        <v>185421</v>
      </c>
      <c r="F2510" s="3" t="n">
        <v>1011302</v>
      </c>
      <c r="G2510" s="2" t="s">
        <v>18</v>
      </c>
      <c r="H2510" s="2" t="n">
        <f aca="false">F2510/Tabla2[[#This Row],[Cosecha Mensual]]</f>
        <v>5.45408556743842</v>
      </c>
      <c r="I2510" s="2" t="n">
        <f aca="false">H2510*_xlfn.XLOOKUP(Tabla2[[#This Row],[Unidad de producción]],Tabla3[Medida],Tabla3[Equivalencia en Kg],"ELVIS",0)</f>
        <v>247.397321339007</v>
      </c>
      <c r="J2510" s="2" t="n">
        <v>2034.89187220389</v>
      </c>
      <c r="K2510" s="2" t="s">
        <v>19</v>
      </c>
      <c r="L2510" s="2" t="n">
        <f aca="false">J2510/_xlfn.XLOOKUP(Tabla2[[#This Row],[Unidad de precio]],Tabla3[Medida],Tabla3[Equivalencia en Kg],"ELVIS",0)</f>
        <v>18.4990170200354</v>
      </c>
      <c r="M2510" s="2" t="n">
        <v>6064.21649453855</v>
      </c>
      <c r="N2510" s="3" t="n">
        <f aca="false">(Tabla2[[#This Row],[Productividad (kg/TAS)]]*Tabla2[[#This Row],[Precio por kg]]-Tabla2[[#This Row],[Costos (En RD$/Tarea)]])</f>
        <v>-1487.6092363771</v>
      </c>
      <c r="O2510" s="9" t="n">
        <f aca="false">IF(Tabla2[[#This Row],[Costos (En RD$/Tarea)]]=0,0,Tabla2[[#This Row],[Beneficio Neto  (En RD$/Tarea)]]/Tabla2[[#This Row],[Costos (En RD$/Tarea)]])</f>
        <v>-0.245309387901446</v>
      </c>
      <c r="P2510" s="7" t="n">
        <f aca="false">Tabla2[[#This Row],[Rentabilidad (%)]]/12</f>
        <v>-0.0204424489917872</v>
      </c>
    </row>
    <row r="2511" customFormat="false" ht="14.25" hidden="false" customHeight="false" outlineLevel="0" collapsed="false">
      <c r="A2511" s="1" t="n">
        <v>42887</v>
      </c>
      <c r="B2511" s="2" t="s">
        <v>20</v>
      </c>
      <c r="C2511" s="3" t="n">
        <v>33102</v>
      </c>
      <c r="D2511" s="8" t="s">
        <v>17</v>
      </c>
      <c r="E2511" s="3" t="n">
        <f aca="false">IF(Tabla2[[#This Row],[Frecuencia]]="Annual", Tabla2[[#This Row],[Cosecha/Tarea]]/12,Tabla2[[#This Row],[Cosecha/Tarea]])</f>
        <v>33102</v>
      </c>
      <c r="F2511" s="3" t="n">
        <v>89487</v>
      </c>
      <c r="G2511" s="2" t="s">
        <v>18</v>
      </c>
      <c r="H2511" s="2" t="n">
        <f aca="false">F2511/Tabla2[[#This Row],[Cosecha Mensual]]</f>
        <v>2.70337139749864</v>
      </c>
      <c r="I2511" s="2" t="n">
        <f aca="false">H2511*_xlfn.XLOOKUP(Tabla2[[#This Row],[Unidad de producción]],Tabla3[Medida],Tabla3[Equivalencia en Kg],"ELVIS",0)</f>
        <v>122.624926590538</v>
      </c>
      <c r="J2511" s="2" t="n">
        <v>904.092261904762</v>
      </c>
      <c r="K2511" s="2" t="s">
        <v>18</v>
      </c>
      <c r="L2511" s="2" t="n">
        <f aca="false">J2511/_xlfn.XLOOKUP(Tabla2[[#This Row],[Unidad de precio]],Tabla3[Medida],Tabla3[Equivalencia en Kg],"ELVIS",0)</f>
        <v>19.931487255396</v>
      </c>
      <c r="M2511" s="2" t="n">
        <v>2479.0864296156</v>
      </c>
      <c r="N2511" s="3" t="n">
        <f aca="false">(Tabla2[[#This Row],[Productividad (kg/TAS)]]*Tabla2[[#This Row],[Precio por kg]]-Tabla2[[#This Row],[Costos (En RD$/Tarea)]])</f>
        <v>-34.9892680824169</v>
      </c>
      <c r="O2511" s="9" t="n">
        <f aca="false">IF(Tabla2[[#This Row],[Costos (En RD$/Tarea)]]=0,0,Tabla2[[#This Row],[Beneficio Neto  (En RD$/Tarea)]]/Tabla2[[#This Row],[Costos (En RD$/Tarea)]])</f>
        <v>-0.0141137750037389</v>
      </c>
      <c r="P2511" s="7" t="n">
        <f aca="false">Tabla2[[#This Row],[Rentabilidad (%)]]/12</f>
        <v>-0.00117614791697824</v>
      </c>
    </row>
    <row r="2512" customFormat="false" ht="14.25" hidden="false" customHeight="false" outlineLevel="0" collapsed="false">
      <c r="A2512" s="1" t="n">
        <v>42887</v>
      </c>
      <c r="B2512" s="2" t="s">
        <v>21</v>
      </c>
      <c r="C2512" s="3" t="n">
        <v>6857</v>
      </c>
      <c r="D2512" s="8" t="s">
        <v>17</v>
      </c>
      <c r="E2512" s="3" t="n">
        <f aca="false">IF(Tabla2[[#This Row],[Frecuencia]]="Annual", Tabla2[[#This Row],[Cosecha/Tarea]]/12,Tabla2[[#This Row],[Cosecha/Tarea]])</f>
        <v>6857</v>
      </c>
      <c r="F2512" s="3" t="n">
        <v>79699</v>
      </c>
      <c r="G2512" s="2" t="s">
        <v>18</v>
      </c>
      <c r="H2512" s="2" t="n">
        <f aca="false">F2512/Tabla2[[#This Row],[Cosecha Mensual]]</f>
        <v>11.6230129794371</v>
      </c>
      <c r="I2512" s="2" t="n">
        <f aca="false">H2512*_xlfn.XLOOKUP(Tabla2[[#This Row],[Unidad de producción]],Tabla3[Medida],Tabla3[Equivalencia en Kg],"ELVIS",0)</f>
        <v>527.219868747266</v>
      </c>
      <c r="J2512" s="2" t="n">
        <v>424.524005208333</v>
      </c>
      <c r="K2512" s="2" t="s">
        <v>18</v>
      </c>
      <c r="L2512" s="2" t="n">
        <f aca="false">J2512/_xlfn.XLOOKUP(Tabla2[[#This Row],[Unidad de precio]],Tabla3[Medida],Tabla3[Equivalencia en Kg],"ELVIS",0)</f>
        <v>9.35899482381687</v>
      </c>
      <c r="M2512" s="2" t="n">
        <v>5064.80450774638</v>
      </c>
      <c r="N2512" s="3" t="n">
        <f aca="false">(Tabla2[[#This Row],[Productividad (kg/TAS)]]*Tabla2[[#This Row],[Precio por kg]]-Tabla2[[#This Row],[Costos (En RD$/Tarea)]])</f>
        <v>-130.556485127316</v>
      </c>
      <c r="O2512" s="9" t="n">
        <f aca="false">IF(Tabla2[[#This Row],[Costos (En RD$/Tarea)]]=0,0,Tabla2[[#This Row],[Beneficio Neto  (En RD$/Tarea)]]/Tabla2[[#This Row],[Costos (En RD$/Tarea)]])</f>
        <v>-0.0257772012577456</v>
      </c>
      <c r="P2512" s="7" t="n">
        <f aca="false">Tabla2[[#This Row],[Rentabilidad (%)]]/12</f>
        <v>-0.00214810010481214</v>
      </c>
    </row>
    <row r="2513" customFormat="false" ht="14.25" hidden="false" customHeight="false" outlineLevel="0" collapsed="false">
      <c r="A2513" s="1" t="n">
        <v>42887</v>
      </c>
      <c r="B2513" s="2" t="s">
        <v>22</v>
      </c>
      <c r="C2513" s="3" t="n">
        <v>7612</v>
      </c>
      <c r="D2513" s="8" t="s">
        <v>17</v>
      </c>
      <c r="E2513" s="3" t="n">
        <f aca="false">IF(Tabla2[[#This Row],[Frecuencia]]="Annual", Tabla2[[#This Row],[Cosecha/Tarea]]/12,Tabla2[[#This Row],[Cosecha/Tarea]])</f>
        <v>7612</v>
      </c>
      <c r="F2513" s="3" t="n">
        <v>56128</v>
      </c>
      <c r="G2513" s="2" t="s">
        <v>18</v>
      </c>
      <c r="H2513" s="2" t="n">
        <f aca="false">F2513/Tabla2[[#This Row],[Cosecha Mensual]]</f>
        <v>7.37362059905413</v>
      </c>
      <c r="I2513" s="2" t="n">
        <f aca="false">H2513*_xlfn.XLOOKUP(Tabla2[[#This Row],[Unidad de producción]],Tabla3[Medida],Tabla3[Equivalencia en Kg],"ELVIS",0)</f>
        <v>334.467430373095</v>
      </c>
      <c r="J2513" s="2" t="n">
        <v>1849.90166666667</v>
      </c>
      <c r="K2513" s="2" t="s">
        <v>18</v>
      </c>
      <c r="L2513" s="2" t="n">
        <f aca="false">J2513/_xlfn.XLOOKUP(Tabla2[[#This Row],[Unidad de precio]],Tabla3[Medida],Tabla3[Equivalencia en Kg],"ELVIS",0)</f>
        <v>40.7826646090536</v>
      </c>
      <c r="M2513" s="2" t="n">
        <v>9358.71441738452</v>
      </c>
      <c r="N2513" s="3" t="n">
        <f aca="false">(Tabla2[[#This Row],[Productividad (kg/TAS)]]*Tabla2[[#This Row],[Precio por kg]]-Tabla2[[#This Row],[Costos (En RD$/Tarea)]])</f>
        <v>4281.7586181734</v>
      </c>
      <c r="O2513" s="9" t="n">
        <f aca="false">IF(Tabla2[[#This Row],[Costos (En RD$/Tarea)]]=0,0,Tabla2[[#This Row],[Beneficio Neto  (En RD$/Tarea)]]/Tabla2[[#This Row],[Costos (En RD$/Tarea)]])</f>
        <v>0.457515682946763</v>
      </c>
      <c r="P2513" s="7" t="n">
        <f aca="false">Tabla2[[#This Row],[Rentabilidad (%)]]/12</f>
        <v>0.0381263069122303</v>
      </c>
    </row>
    <row r="2514" customFormat="false" ht="14.25" hidden="false" customHeight="false" outlineLevel="0" collapsed="false">
      <c r="A2514" s="1" t="n">
        <v>42887</v>
      </c>
      <c r="B2514" s="2" t="s">
        <v>23</v>
      </c>
      <c r="C2514" s="3" t="n">
        <v>3998</v>
      </c>
      <c r="D2514" s="8" t="s">
        <v>17</v>
      </c>
      <c r="E2514" s="3" t="n">
        <f aca="false">IF(Tabla2[[#This Row],[Frecuencia]]="Annual", Tabla2[[#This Row],[Cosecha/Tarea]]/12,Tabla2[[#This Row],[Cosecha/Tarea]])</f>
        <v>3998</v>
      </c>
      <c r="F2514" s="3" t="n">
        <v>152122</v>
      </c>
      <c r="G2514" s="2" t="s">
        <v>18</v>
      </c>
      <c r="H2514" s="2" t="n">
        <f aca="false">F2514/Tabla2[[#This Row],[Cosecha Mensual]]</f>
        <v>38.0495247623812</v>
      </c>
      <c r="I2514" s="2" t="n">
        <f aca="false">H2514*_xlfn.XLOOKUP(Tabla2[[#This Row],[Unidad de producción]],Tabla3[Medida],Tabla3[Equivalencia en Kg],"ELVIS",0)</f>
        <v>1725.92644322161</v>
      </c>
      <c r="J2514" s="2" t="n">
        <v>1053.33333333333</v>
      </c>
      <c r="K2514" s="2" t="s">
        <v>18</v>
      </c>
      <c r="L2514" s="2" t="n">
        <f aca="false">J2514/_xlfn.XLOOKUP(Tabla2[[#This Row],[Unidad de precio]],Tabla3[Medida],Tabla3[Equivalencia en Kg],"ELVIS",0)</f>
        <v>23.2216343327454</v>
      </c>
      <c r="M2514" s="2" t="n">
        <v>23497.6811528187</v>
      </c>
      <c r="N2514" s="3" t="n">
        <f aca="false">(Tabla2[[#This Row],[Productividad (kg/TAS)]]*Tabla2[[#This Row],[Precio por kg]]-Tabla2[[#This Row],[Costos (En RD$/Tarea)]])</f>
        <v>16581.1515968894</v>
      </c>
      <c r="O2514" s="9" t="n">
        <f aca="false">IF(Tabla2[[#This Row],[Costos (En RD$/Tarea)]]=0,0,Tabla2[[#This Row],[Beneficio Neto  (En RD$/Tarea)]]/Tabla2[[#This Row],[Costos (En RD$/Tarea)]])</f>
        <v>0.705650548624469</v>
      </c>
      <c r="P2514" s="7" t="n">
        <f aca="false">Tabla2[[#This Row],[Rentabilidad (%)]]/12</f>
        <v>0.0588042123853724</v>
      </c>
    </row>
    <row r="2515" customFormat="false" ht="14.25" hidden="false" customHeight="false" outlineLevel="0" collapsed="false">
      <c r="A2515" s="1" t="n">
        <v>42887</v>
      </c>
      <c r="B2515" s="2" t="s">
        <v>24</v>
      </c>
      <c r="C2515" s="3" t="n">
        <v>6785</v>
      </c>
      <c r="D2515" s="8" t="s">
        <v>17</v>
      </c>
      <c r="E2515" s="3" t="n">
        <f aca="false">IF(Tabla2[[#This Row],[Frecuencia]]="Annual", Tabla2[[#This Row],[Cosecha/Tarea]]/12,Tabla2[[#This Row],[Cosecha/Tarea]])</f>
        <v>6785</v>
      </c>
      <c r="F2515" s="3" t="n">
        <v>64124</v>
      </c>
      <c r="G2515" s="2" t="s">
        <v>18</v>
      </c>
      <c r="H2515" s="2" t="n">
        <f aca="false">F2515/Tabla2[[#This Row],[Cosecha Mensual]]</f>
        <v>9.45084745762712</v>
      </c>
      <c r="I2515" s="2" t="n">
        <f aca="false">H2515*_xlfn.XLOOKUP(Tabla2[[#This Row],[Unidad de producción]],Tabla3[Medida],Tabla3[Equivalencia en Kg],"ELVIS",0)</f>
        <v>428.690440677966</v>
      </c>
      <c r="J2515" s="2" t="n">
        <v>1539.88779761905</v>
      </c>
      <c r="K2515" s="2" t="s">
        <v>18</v>
      </c>
      <c r="L2515" s="2" t="n">
        <f aca="false">J2515/_xlfn.XLOOKUP(Tabla2[[#This Row],[Unidad de precio]],Tabla3[Medida],Tabla3[Equivalencia en Kg],"ELVIS",0)</f>
        <v>33.948143686487</v>
      </c>
      <c r="M2515" s="2" t="n">
        <v>9059.4442114896</v>
      </c>
      <c r="N2515" s="3" t="n">
        <f aca="false">(Tabla2[[#This Row],[Productividad (kg/TAS)]]*Tabla2[[#This Row],[Precio por kg]]-Tabla2[[#This Row],[Costos (En RD$/Tarea)]])</f>
        <v>5493.80046566942</v>
      </c>
      <c r="O2515" s="9" t="n">
        <f aca="false">IF(Tabla2[[#This Row],[Costos (En RD$/Tarea)]]=0,0,Tabla2[[#This Row],[Beneficio Neto  (En RD$/Tarea)]]/Tabla2[[#This Row],[Costos (En RD$/Tarea)]])</f>
        <v>0.606416943183108</v>
      </c>
      <c r="P2515" s="7" t="n">
        <f aca="false">Tabla2[[#This Row],[Rentabilidad (%)]]/12</f>
        <v>0.050534745265259</v>
      </c>
    </row>
    <row r="2516" customFormat="false" ht="14.25" hidden="false" customHeight="false" outlineLevel="0" collapsed="false">
      <c r="A2516" s="1" t="n">
        <v>42887</v>
      </c>
      <c r="B2516" s="2" t="s">
        <v>25</v>
      </c>
      <c r="C2516" s="3" t="n">
        <v>28745</v>
      </c>
      <c r="D2516" s="8" t="s">
        <v>17</v>
      </c>
      <c r="E2516" s="3" t="n">
        <f aca="false">IF(Tabla2[[#This Row],[Frecuencia]]="Annual", Tabla2[[#This Row],[Cosecha/Tarea]]/12,Tabla2[[#This Row],[Cosecha/Tarea]])</f>
        <v>28745</v>
      </c>
      <c r="F2516" s="3" t="n">
        <v>275422</v>
      </c>
      <c r="G2516" s="2" t="s">
        <v>18</v>
      </c>
      <c r="H2516" s="2" t="n">
        <f aca="false">F2516/Tabla2[[#This Row],[Cosecha Mensual]]</f>
        <v>9.58156201078448</v>
      </c>
      <c r="I2516" s="2" t="n">
        <f aca="false">H2516*_xlfn.XLOOKUP(Tabla2[[#This Row],[Unidad de producción]],Tabla3[Medida],Tabla3[Equivalencia en Kg],"ELVIS",0)</f>
        <v>434.619652809184</v>
      </c>
      <c r="J2516" s="2" t="n">
        <v>439.0640625</v>
      </c>
      <c r="K2516" s="2" t="s">
        <v>18</v>
      </c>
      <c r="L2516" s="2" t="n">
        <f aca="false">J2516/_xlfn.XLOOKUP(Tabla2[[#This Row],[Unidad de precio]],Tabla3[Medida],Tabla3[Equivalencia en Kg],"ELVIS",0)</f>
        <v>9.67954282407407</v>
      </c>
      <c r="M2516" s="2" t="n">
        <v>4667.26585652655</v>
      </c>
      <c r="N2516" s="3" t="n">
        <f aca="false">(Tabla2[[#This Row],[Productividad (kg/TAS)]]*Tabla2[[#This Row],[Precio por kg]]-Tabla2[[#This Row],[Costos (En RD$/Tarea)]])</f>
        <v>-460.346314975845</v>
      </c>
      <c r="O2516" s="9" t="n">
        <f aca="false">IF(Tabla2[[#This Row],[Costos (En RD$/Tarea)]]=0,0,Tabla2[[#This Row],[Beneficio Neto  (En RD$/Tarea)]]/Tabla2[[#This Row],[Costos (En RD$/Tarea)]])</f>
        <v>-0.0986329746637664</v>
      </c>
      <c r="P2516" s="7" t="n">
        <f aca="false">Tabla2[[#This Row],[Rentabilidad (%)]]/12</f>
        <v>-0.00821941455531387</v>
      </c>
    </row>
    <row r="2517" customFormat="false" ht="14.25" hidden="false" customHeight="false" outlineLevel="0" collapsed="false">
      <c r="A2517" s="1" t="n">
        <v>42887</v>
      </c>
      <c r="B2517" s="2" t="s">
        <v>26</v>
      </c>
      <c r="C2517" s="3" t="n">
        <v>11420</v>
      </c>
      <c r="D2517" s="8" t="s">
        <v>17</v>
      </c>
      <c r="E2517" s="3" t="n">
        <f aca="false">IF(Tabla2[[#This Row],[Frecuencia]]="Annual", Tabla2[[#This Row],[Cosecha/Tarea]]/12,Tabla2[[#This Row],[Cosecha/Tarea]])</f>
        <v>11420</v>
      </c>
      <c r="F2517" s="3" t="n">
        <v>68954</v>
      </c>
      <c r="G2517" s="2" t="s">
        <v>18</v>
      </c>
      <c r="H2517" s="2" t="n">
        <f aca="false">F2517/Tabla2[[#This Row],[Cosecha Mensual]]</f>
        <v>6.03800350262697</v>
      </c>
      <c r="I2517" s="2" t="n">
        <f aca="false">H2517*_xlfn.XLOOKUP(Tabla2[[#This Row],[Unidad de producción]],Tabla3[Medida],Tabla3[Equivalencia en Kg],"ELVIS",0)</f>
        <v>273.883838879159</v>
      </c>
      <c r="J2517" s="2" t="n">
        <v>889.671875</v>
      </c>
      <c r="K2517" s="2" t="s">
        <v>18</v>
      </c>
      <c r="L2517" s="2" t="n">
        <f aca="false">J2517/_xlfn.XLOOKUP(Tabla2[[#This Row],[Unidad de precio]],Tabla3[Medida],Tabla3[Equivalencia en Kg],"ELVIS",0)</f>
        <v>19.6135774911817</v>
      </c>
      <c r="M2517" s="2" t="n">
        <v>1810.97553022926</v>
      </c>
      <c r="N2517" s="3" t="n">
        <f aca="false">(Tabla2[[#This Row],[Productividad (kg/TAS)]]*Tabla2[[#This Row],[Precio por kg]]-Tabla2[[#This Row],[Costos (En RD$/Tarea)]])</f>
        <v>3560.86636720944</v>
      </c>
      <c r="O2517" s="9" t="n">
        <f aca="false">IF(Tabla2[[#This Row],[Costos (En RD$/Tarea)]]=0,0,Tabla2[[#This Row],[Beneficio Neto  (En RD$/Tarea)]]/Tabla2[[#This Row],[Costos (En RD$/Tarea)]])</f>
        <v>1.96626973019269</v>
      </c>
      <c r="P2517" s="7" t="n">
        <f aca="false">Tabla2[[#This Row],[Rentabilidad (%)]]/12</f>
        <v>0.163855810849391</v>
      </c>
    </row>
    <row r="2518" customFormat="false" ht="14.25" hidden="false" customHeight="false" outlineLevel="0" collapsed="false">
      <c r="A2518" s="1" t="n">
        <v>42887</v>
      </c>
      <c r="B2518" s="2" t="s">
        <v>27</v>
      </c>
      <c r="C2518" s="3" t="n">
        <v>8012</v>
      </c>
      <c r="D2518" s="8" t="s">
        <v>17</v>
      </c>
      <c r="E2518" s="3" t="n">
        <f aca="false">IF(Tabla2[[#This Row],[Frecuencia]]="Annual", Tabla2[[#This Row],[Cosecha/Tarea]]/12,Tabla2[[#This Row],[Cosecha/Tarea]])</f>
        <v>8012</v>
      </c>
      <c r="F2518" s="3" t="n">
        <v>54211</v>
      </c>
      <c r="G2518" s="2" t="s">
        <v>18</v>
      </c>
      <c r="H2518" s="2" t="n">
        <f aca="false">F2518/Tabla2[[#This Row],[Cosecha Mensual]]</f>
        <v>6.76622566150774</v>
      </c>
      <c r="I2518" s="2" t="n">
        <f aca="false">H2518*_xlfn.XLOOKUP(Tabla2[[#This Row],[Unidad de producción]],Tabla3[Medida],Tabla3[Equivalencia en Kg],"ELVIS",0)</f>
        <v>306.915996005991</v>
      </c>
      <c r="J2518" s="2" t="n">
        <v>704.083333333333</v>
      </c>
      <c r="K2518" s="2" t="s">
        <v>18</v>
      </c>
      <c r="L2518" s="2" t="n">
        <f aca="false">J2518/_xlfn.XLOOKUP(Tabla2[[#This Row],[Unidad de precio]],Tabla3[Medida],Tabla3[Equivalencia en Kg],"ELVIS",0)</f>
        <v>15.5221193415638</v>
      </c>
      <c r="M2518" s="2" t="n">
        <v>8788.431876469</v>
      </c>
      <c r="N2518" s="3" t="n">
        <f aca="false">(Tabla2[[#This Row],[Productividad (kg/TAS)]]*Tabla2[[#This Row],[Precio por kg]]-Tabla2[[#This Row],[Costos (En RD$/Tarea)]])</f>
        <v>-4024.44515862909</v>
      </c>
      <c r="O2518" s="9" t="n">
        <f aca="false">IF(Tabla2[[#This Row],[Costos (En RD$/Tarea)]]=0,0,Tabla2[[#This Row],[Beneficio Neto  (En RD$/Tarea)]]/Tabla2[[#This Row],[Costos (En RD$/Tarea)]])</f>
        <v>-0.457925283508715</v>
      </c>
      <c r="P2518" s="7" t="n">
        <f aca="false">Tabla2[[#This Row],[Rentabilidad (%)]]/12</f>
        <v>-0.0381604402923929</v>
      </c>
    </row>
    <row r="2519" customFormat="false" ht="14.25" hidden="false" customHeight="false" outlineLevel="0" collapsed="false">
      <c r="A2519" s="1" t="n">
        <v>42887</v>
      </c>
      <c r="B2519" s="2" t="s">
        <v>28</v>
      </c>
      <c r="C2519" s="3" t="n">
        <v>42514</v>
      </c>
      <c r="D2519" s="8" t="s">
        <v>17</v>
      </c>
      <c r="E2519" s="3" t="n">
        <f aca="false">IF(Tabla2[[#This Row],[Frecuencia]]="Annual", Tabla2[[#This Row],[Cosecha/Tarea]]/12,Tabla2[[#This Row],[Cosecha/Tarea]])</f>
        <v>42514</v>
      </c>
      <c r="F2519" s="3" t="n">
        <v>1125504</v>
      </c>
      <c r="G2519" s="2" t="s">
        <v>18</v>
      </c>
      <c r="H2519" s="2" t="n">
        <f aca="false">F2519/Tabla2[[#This Row],[Cosecha Mensual]]</f>
        <v>26.4737263019241</v>
      </c>
      <c r="I2519" s="2" t="n">
        <f aca="false">H2519*_xlfn.XLOOKUP(Tabla2[[#This Row],[Unidad de producción]],Tabla3[Medida],Tabla3[Equivalencia en Kg],"ELVIS",0)</f>
        <v>1200.84822505528</v>
      </c>
      <c r="J2519" s="2" t="n">
        <v>15590.025</v>
      </c>
      <c r="K2519" s="2" t="s">
        <v>29</v>
      </c>
      <c r="L2519" s="2" t="n">
        <f aca="false">J2519/_xlfn.XLOOKUP(Tabla2[[#This Row],[Unidad de precio]],Tabla3[Medida],Tabla3[Equivalencia en Kg],"ELVIS",0)</f>
        <v>27.723485791514</v>
      </c>
      <c r="M2519" s="2" t="n">
        <v>7106.96492145872</v>
      </c>
      <c r="N2519" s="3" t="n">
        <f aca="false">(Tabla2[[#This Row],[Productividad (kg/TAS)]]*Tabla2[[#This Row],[Precio por kg]]-Tabla2[[#This Row],[Costos (En RD$/Tarea)]])</f>
        <v>26184.7337836261</v>
      </c>
      <c r="O2519" s="9" t="n">
        <f aca="false">IF(Tabla2[[#This Row],[Costos (En RD$/Tarea)]]=0,0,Tabla2[[#This Row],[Beneficio Neto  (En RD$/Tarea)]]/Tabla2[[#This Row],[Costos (En RD$/Tarea)]])</f>
        <v>3.68437639315822</v>
      </c>
      <c r="P2519" s="7" t="n">
        <f aca="false">Tabla2[[#This Row],[Rentabilidad (%)]]/12</f>
        <v>0.307031366096518</v>
      </c>
    </row>
    <row r="2520" customFormat="false" ht="14.25" hidden="false" customHeight="false" outlineLevel="0" collapsed="false">
      <c r="A2520" s="1" t="n">
        <v>42887</v>
      </c>
      <c r="B2520" s="2" t="s">
        <v>30</v>
      </c>
      <c r="C2520" s="3" t="n">
        <v>458788</v>
      </c>
      <c r="D2520" s="3" t="s">
        <v>31</v>
      </c>
      <c r="E2520" s="3" t="n">
        <f aca="false">IF(Tabla2[[#This Row],[Frecuencia]]="Annual", Tabla2[[#This Row],[Cosecha/Tarea]]/12,Tabla2[[#This Row],[Cosecha/Tarea]])</f>
        <v>38232.3333333333</v>
      </c>
      <c r="F2520" s="3" t="n">
        <v>2339907</v>
      </c>
      <c r="G2520" s="2" t="s">
        <v>18</v>
      </c>
      <c r="H2520" s="2" t="n">
        <f aca="false">F2520/Tabla2[[#This Row],[Cosecha Mensual]]</f>
        <v>61.2023069478713</v>
      </c>
      <c r="I2520" s="2" t="n">
        <f aca="false">H2520*_xlfn.XLOOKUP(Tabla2[[#This Row],[Unidad de producción]],Tabla3[Medida],Tabla3[Equivalencia en Kg],"ELVIS",0)</f>
        <v>2776.13664315544</v>
      </c>
      <c r="J2520" s="2" t="n">
        <v>158.3203125</v>
      </c>
      <c r="K2520" s="2" t="s">
        <v>32</v>
      </c>
      <c r="L2520" s="2" t="n">
        <f aca="false">J2520/_xlfn.XLOOKUP(Tabla2[[#This Row],[Unidad de precio]],Tabla3[Medida],Tabla3[Equivalencia en Kg],"ELVIS",0)</f>
        <v>5.81846058434399</v>
      </c>
      <c r="M2520" s="3" t="n">
        <v>32851.8013523715</v>
      </c>
      <c r="N2520" s="3" t="n">
        <f aca="false">(Tabla2[[#This Row],[Productividad (kg/TAS)]]*Tabla2[[#This Row],[Precio por kg]]-Tabla2[[#This Row],[Costos (En RD$/Tarea)]])</f>
        <v>-16698.9597174185</v>
      </c>
      <c r="O2520" s="9" t="n">
        <f aca="false">IF(Tabla2[[#This Row],[Costos (En RD$/Tarea)]]=0,0,Tabla2[[#This Row],[Beneficio Neto  (En RD$/Tarea)]]/Tabla2[[#This Row],[Costos (En RD$/Tarea)]])</f>
        <v>-0.508311843795228</v>
      </c>
      <c r="P2520" s="7" t="n">
        <f aca="false">Tabla2[[#This Row],[Rentabilidad (%)]]/12</f>
        <v>-0.042359320316269</v>
      </c>
    </row>
    <row r="2521" customFormat="false" ht="14.25" hidden="false" customHeight="false" outlineLevel="0" collapsed="false">
      <c r="A2521" s="1" t="n">
        <v>42887</v>
      </c>
      <c r="B2521" s="2" t="s">
        <v>33</v>
      </c>
      <c r="C2521" s="3" t="n">
        <v>798124</v>
      </c>
      <c r="D2521" s="3" t="s">
        <v>31</v>
      </c>
      <c r="E2521" s="3" t="n">
        <f aca="false">IF(Tabla2[[#This Row],[Frecuencia]]="Annual", Tabla2[[#This Row],[Cosecha/Tarea]]/12,Tabla2[[#This Row],[Cosecha/Tarea]])</f>
        <v>66510.3333333333</v>
      </c>
      <c r="F2521" s="3" t="n">
        <v>1852101</v>
      </c>
      <c r="G2521" s="2" t="s">
        <v>18</v>
      </c>
      <c r="H2521" s="2" t="n">
        <f aca="false">F2521/Tabla2[[#This Row],[Cosecha Mensual]]</f>
        <v>27.8468157830112</v>
      </c>
      <c r="I2521" s="2" t="n">
        <f aca="false">H2521*_xlfn.XLOOKUP(Tabla2[[#This Row],[Unidad de producción]],Tabla3[Medida],Tabla3[Equivalencia en Kg],"ELVIS",0)</f>
        <v>1263.13156391739</v>
      </c>
      <c r="J2521" s="2" t="n">
        <v>5407.4140625</v>
      </c>
      <c r="K2521" s="2" t="s">
        <v>34</v>
      </c>
      <c r="L2521" s="2" t="n">
        <f aca="false">J2521/_xlfn.XLOOKUP(Tabla2[[#This Row],[Unidad de precio]],Tabla3[Medida],Tabla3[Equivalencia en Kg],"ELVIS",0)</f>
        <v>13.2485950324636</v>
      </c>
      <c r="M2521" s="3" t="n">
        <v>21460.4838899894</v>
      </c>
      <c r="N2521" s="3" t="n">
        <f aca="false">(Tabla2[[#This Row],[Productividad (kg/TAS)]]*Tabla2[[#This Row],[Precio por kg]]-Tabla2[[#This Row],[Costos (En RD$/Tarea)]])</f>
        <v>-4725.76532692559</v>
      </c>
      <c r="O2521" s="9" t="n">
        <f aca="false">IF(Tabla2[[#This Row],[Costos (En RD$/Tarea)]]=0,0,Tabla2[[#This Row],[Beneficio Neto  (En RD$/Tarea)]]/Tabla2[[#This Row],[Costos (En RD$/Tarea)]])</f>
        <v>-0.220207771229707</v>
      </c>
      <c r="P2521" s="7" t="n">
        <f aca="false">Tabla2[[#This Row],[Rentabilidad (%)]]/12</f>
        <v>-0.0183506476024756</v>
      </c>
    </row>
    <row r="2522" customFormat="false" ht="14.25" hidden="false" customHeight="false" outlineLevel="0" collapsed="false">
      <c r="A2522" s="1" t="n">
        <v>42917</v>
      </c>
      <c r="B2522" s="2" t="s">
        <v>16</v>
      </c>
      <c r="C2522" s="3" t="n">
        <v>80214</v>
      </c>
      <c r="D2522" s="8" t="s">
        <v>17</v>
      </c>
      <c r="E2522" s="3" t="n">
        <f aca="false">IF(Tabla2[[#This Row],[Frecuencia]]="Annual", Tabla2[[#This Row],[Cosecha/Tarea]]/12,Tabla2[[#This Row],[Cosecha/Tarea]])</f>
        <v>80214</v>
      </c>
      <c r="F2522" s="3" t="n">
        <v>342158</v>
      </c>
      <c r="G2522" s="2" t="s">
        <v>18</v>
      </c>
      <c r="H2522" s="2" t="n">
        <f aca="false">F2522/Tabla2[[#This Row],[Cosecha Mensual]]</f>
        <v>4.2655646146558</v>
      </c>
      <c r="I2522" s="2" t="n">
        <f aca="false">H2522*_xlfn.XLOOKUP(Tabla2[[#This Row],[Unidad de producción]],Tabla3[Medida],Tabla3[Equivalencia en Kg],"ELVIS",0)</f>
        <v>193.486010920787</v>
      </c>
      <c r="J2522" s="2" t="n">
        <v>2011.69497158049</v>
      </c>
      <c r="K2522" s="2" t="s">
        <v>19</v>
      </c>
      <c r="L2522" s="2" t="n">
        <f aca="false">J2522/_xlfn.XLOOKUP(Tabla2[[#This Row],[Unidad de precio]],Tabla3[Medida],Tabla3[Equivalencia en Kg],"ELVIS",0)</f>
        <v>18.2881361052772</v>
      </c>
      <c r="M2522" s="2" t="n">
        <v>6064.21649453855</v>
      </c>
      <c r="N2522" s="3" t="n">
        <f aca="false">(Tabla2[[#This Row],[Productividad (kg/TAS)]]*Tabla2[[#This Row],[Precio por kg]]-Tabla2[[#This Row],[Costos (En RD$/Tarea)]])</f>
        <v>-2525.71799235205</v>
      </c>
      <c r="O2522" s="9" t="n">
        <f aca="false">IF(Tabla2[[#This Row],[Costos (En RD$/Tarea)]]=0,0,Tabla2[[#This Row],[Beneficio Neto  (En RD$/Tarea)]]/Tabla2[[#This Row],[Costos (En RD$/Tarea)]])</f>
        <v>-0.416495353460207</v>
      </c>
      <c r="P2522" s="7" t="n">
        <f aca="false">Tabla2[[#This Row],[Rentabilidad (%)]]/12</f>
        <v>-0.0347079461216839</v>
      </c>
    </row>
    <row r="2523" customFormat="false" ht="14.25" hidden="false" customHeight="false" outlineLevel="0" collapsed="false">
      <c r="A2523" s="1" t="n">
        <v>42917</v>
      </c>
      <c r="B2523" s="2" t="s">
        <v>20</v>
      </c>
      <c r="C2523" s="3" t="n">
        <v>36521</v>
      </c>
      <c r="D2523" s="8" t="s">
        <v>17</v>
      </c>
      <c r="E2523" s="3" t="n">
        <f aca="false">IF(Tabla2[[#This Row],[Frecuencia]]="Annual", Tabla2[[#This Row],[Cosecha/Tarea]]/12,Tabla2[[#This Row],[Cosecha/Tarea]])</f>
        <v>36521</v>
      </c>
      <c r="F2523" s="3" t="n">
        <v>104480</v>
      </c>
      <c r="G2523" s="2" t="s">
        <v>18</v>
      </c>
      <c r="H2523" s="2" t="n">
        <f aca="false">F2523/Tabla2[[#This Row],[Cosecha Mensual]]</f>
        <v>2.86081980230552</v>
      </c>
      <c r="I2523" s="2" t="n">
        <f aca="false">H2523*_xlfn.XLOOKUP(Tabla2[[#This Row],[Unidad de producción]],Tabla3[Medida],Tabla3[Equivalencia en Kg],"ELVIS",0)</f>
        <v>129.766786232579</v>
      </c>
      <c r="J2523" s="2" t="n">
        <v>895.908854166667</v>
      </c>
      <c r="K2523" s="2" t="s">
        <v>18</v>
      </c>
      <c r="L2523" s="2" t="n">
        <f aca="false">J2523/_xlfn.XLOOKUP(Tabla2[[#This Row],[Unidad de precio]],Tabla3[Medida],Tabla3[Equivalencia en Kg],"ELVIS",0)</f>
        <v>19.751077031893</v>
      </c>
      <c r="M2523" s="2" t="n">
        <v>2479.0864296156</v>
      </c>
      <c r="N2523" s="3" t="n">
        <f aca="false">(Tabla2[[#This Row],[Productividad (kg/TAS)]]*Tabla2[[#This Row],[Precio por kg]]-Tabla2[[#This Row],[Costos (En RD$/Tarea)]])</f>
        <v>83.9473614452518</v>
      </c>
      <c r="O2523" s="9" t="n">
        <f aca="false">IF(Tabla2[[#This Row],[Costos (En RD$/Tarea)]]=0,0,Tabla2[[#This Row],[Beneficio Neto  (En RD$/Tarea)]]/Tabla2[[#This Row],[Costos (En RD$/Tarea)]])</f>
        <v>0.033862216517505</v>
      </c>
      <c r="P2523" s="7" t="n">
        <f aca="false">Tabla2[[#This Row],[Rentabilidad (%)]]/12</f>
        <v>0.00282185137645875</v>
      </c>
    </row>
    <row r="2524" customFormat="false" ht="14.25" hidden="false" customHeight="false" outlineLevel="0" collapsed="false">
      <c r="A2524" s="1" t="n">
        <v>42917</v>
      </c>
      <c r="B2524" s="2" t="s">
        <v>21</v>
      </c>
      <c r="C2524" s="3" t="n">
        <v>7421</v>
      </c>
      <c r="D2524" s="8" t="s">
        <v>17</v>
      </c>
      <c r="E2524" s="3" t="n">
        <f aca="false">IF(Tabla2[[#This Row],[Frecuencia]]="Annual", Tabla2[[#This Row],[Cosecha/Tarea]]/12,Tabla2[[#This Row],[Cosecha/Tarea]])</f>
        <v>7421</v>
      </c>
      <c r="F2524" s="3" t="n">
        <v>89898</v>
      </c>
      <c r="G2524" s="2" t="s">
        <v>18</v>
      </c>
      <c r="H2524" s="2" t="n">
        <f aca="false">F2524/Tabla2[[#This Row],[Cosecha Mensual]]</f>
        <v>12.1140008085164</v>
      </c>
      <c r="I2524" s="2" t="n">
        <f aca="false">H2524*_xlfn.XLOOKUP(Tabla2[[#This Row],[Unidad de producción]],Tabla3[Medida],Tabla3[Equivalencia en Kg],"ELVIS",0)</f>
        <v>549.491076674303</v>
      </c>
      <c r="J2524" s="2" t="n">
        <v>443.994010416667</v>
      </c>
      <c r="K2524" s="2" t="s">
        <v>18</v>
      </c>
      <c r="L2524" s="2" t="n">
        <f aca="false">J2524/_xlfn.XLOOKUP(Tabla2[[#This Row],[Unidad de precio]],Tabla3[Medida],Tabla3[Equivalencia en Kg],"ELVIS",0)</f>
        <v>9.78822774287185</v>
      </c>
      <c r="M2524" s="2" t="n">
        <v>5064.80450774638</v>
      </c>
      <c r="N2524" s="3" t="n">
        <f aca="false">(Tabla2[[#This Row],[Productividad (kg/TAS)]]*Tabla2[[#This Row],[Precio por kg]]-Tabla2[[#This Row],[Costos (En RD$/Tarea)]])</f>
        <v>313.73929341755</v>
      </c>
      <c r="O2524" s="9" t="n">
        <f aca="false">IF(Tabla2[[#This Row],[Costos (En RD$/Tarea)]]=0,0,Tabla2[[#This Row],[Beneficio Neto  (En RD$/Tarea)]]/Tabla2[[#This Row],[Costos (En RD$/Tarea)]])</f>
        <v>0.0619449956928645</v>
      </c>
      <c r="P2524" s="7" t="n">
        <f aca="false">Tabla2[[#This Row],[Rentabilidad (%)]]/12</f>
        <v>0.00516208297440538</v>
      </c>
    </row>
    <row r="2525" customFormat="false" ht="14.25" hidden="false" customHeight="false" outlineLevel="0" collapsed="false">
      <c r="A2525" s="1" t="n">
        <v>42917</v>
      </c>
      <c r="B2525" s="2" t="s">
        <v>22</v>
      </c>
      <c r="C2525" s="3" t="n">
        <v>6012</v>
      </c>
      <c r="D2525" s="8" t="s">
        <v>17</v>
      </c>
      <c r="E2525" s="3" t="n">
        <f aca="false">IF(Tabla2[[#This Row],[Frecuencia]]="Annual", Tabla2[[#This Row],[Cosecha/Tarea]]/12,Tabla2[[#This Row],[Cosecha/Tarea]])</f>
        <v>6012</v>
      </c>
      <c r="F2525" s="3" t="n">
        <v>60215</v>
      </c>
      <c r="G2525" s="2" t="s">
        <v>18</v>
      </c>
      <c r="H2525" s="2" t="n">
        <f aca="false">F2525/Tabla2[[#This Row],[Cosecha Mensual]]</f>
        <v>10.0158017298736</v>
      </c>
      <c r="I2525" s="2" t="n">
        <f aca="false">H2525*_xlfn.XLOOKUP(Tabla2[[#This Row],[Unidad de producción]],Tabla3[Medida],Tabla3[Equivalencia en Kg],"ELVIS",0)</f>
        <v>454.316766467066</v>
      </c>
      <c r="J2525" s="2" t="n">
        <v>1735.9055952381</v>
      </c>
      <c r="K2525" s="2" t="s">
        <v>18</v>
      </c>
      <c r="L2525" s="2" t="n">
        <f aca="false">J2525/_xlfn.XLOOKUP(Tabla2[[#This Row],[Unidad de precio]],Tabla3[Medida],Tabla3[Equivalencia en Kg],"ELVIS",0)</f>
        <v>38.2695237045437</v>
      </c>
      <c r="M2525" s="2" t="n">
        <v>9358.71441738452</v>
      </c>
      <c r="N2525" s="3" t="n">
        <f aca="false">(Tabla2[[#This Row],[Productividad (kg/TAS)]]*Tabla2[[#This Row],[Precio por kg]]-Tabla2[[#This Row],[Costos (En RD$/Tarea)]])</f>
        <v>8027.77184629848</v>
      </c>
      <c r="O2525" s="9" t="n">
        <f aca="false">IF(Tabla2[[#This Row],[Costos (En RD$/Tarea)]]=0,0,Tabla2[[#This Row],[Beneficio Neto  (En RD$/Tarea)]]/Tabla2[[#This Row],[Costos (En RD$/Tarea)]])</f>
        <v>0.857785747942718</v>
      </c>
      <c r="P2525" s="7" t="n">
        <f aca="false">Tabla2[[#This Row],[Rentabilidad (%)]]/12</f>
        <v>0.0714821456618931</v>
      </c>
    </row>
    <row r="2526" customFormat="false" ht="14.25" hidden="false" customHeight="false" outlineLevel="0" collapsed="false">
      <c r="A2526" s="1" t="n">
        <v>42917</v>
      </c>
      <c r="B2526" s="2" t="s">
        <v>23</v>
      </c>
      <c r="C2526" s="3" t="n">
        <v>2745</v>
      </c>
      <c r="D2526" s="8" t="s">
        <v>17</v>
      </c>
      <c r="E2526" s="3" t="n">
        <f aca="false">IF(Tabla2[[#This Row],[Frecuencia]]="Annual", Tabla2[[#This Row],[Cosecha/Tarea]]/12,Tabla2[[#This Row],[Cosecha/Tarea]])</f>
        <v>2745</v>
      </c>
      <c r="F2526" s="3" t="n">
        <v>103495</v>
      </c>
      <c r="G2526" s="2" t="s">
        <v>18</v>
      </c>
      <c r="H2526" s="2" t="n">
        <f aca="false">F2526/Tabla2[[#This Row],[Cosecha Mensual]]</f>
        <v>37.7030965391621</v>
      </c>
      <c r="I2526" s="2" t="n">
        <f aca="false">H2526*_xlfn.XLOOKUP(Tabla2[[#This Row],[Unidad de producción]],Tabla3[Medida],Tabla3[Equivalencia en Kg],"ELVIS",0)</f>
        <v>1710.21245901639</v>
      </c>
      <c r="J2526" s="2" t="n">
        <v>1120.83333333333</v>
      </c>
      <c r="K2526" s="2" t="s">
        <v>18</v>
      </c>
      <c r="L2526" s="2" t="n">
        <f aca="false">J2526/_xlfn.XLOOKUP(Tabla2[[#This Row],[Unidad de precio]],Tabla3[Medida],Tabla3[Equivalencia en Kg],"ELVIS",0)</f>
        <v>24.7097295708406</v>
      </c>
      <c r="M2526" s="2" t="n">
        <v>23497.6811528187</v>
      </c>
      <c r="N2526" s="3" t="n">
        <f aca="false">(Tabla2[[#This Row],[Productividad (kg/TAS)]]*Tabla2[[#This Row],[Precio por kg]]-Tabla2[[#This Row],[Costos (En RD$/Tarea)]])</f>
        <v>18761.2062181587</v>
      </c>
      <c r="O2526" s="9" t="n">
        <f aca="false">IF(Tabla2[[#This Row],[Costos (En RD$/Tarea)]]=0,0,Tabla2[[#This Row],[Beneficio Neto  (En RD$/Tarea)]]/Tabla2[[#This Row],[Costos (En RD$/Tarea)]])</f>
        <v>0.798427985133681</v>
      </c>
      <c r="P2526" s="7" t="n">
        <f aca="false">Tabla2[[#This Row],[Rentabilidad (%)]]/12</f>
        <v>0.0665356654278068</v>
      </c>
    </row>
    <row r="2527" customFormat="false" ht="14.25" hidden="false" customHeight="false" outlineLevel="0" collapsed="false">
      <c r="A2527" s="1" t="n">
        <v>42917</v>
      </c>
      <c r="B2527" s="2" t="s">
        <v>24</v>
      </c>
      <c r="C2527" s="3" t="n">
        <v>5721</v>
      </c>
      <c r="D2527" s="8" t="s">
        <v>17</v>
      </c>
      <c r="E2527" s="3" t="n">
        <f aca="false">IF(Tabla2[[#This Row],[Frecuencia]]="Annual", Tabla2[[#This Row],[Cosecha/Tarea]]/12,Tabla2[[#This Row],[Cosecha/Tarea]])</f>
        <v>5721</v>
      </c>
      <c r="F2527" s="3" t="n">
        <v>54589</v>
      </c>
      <c r="G2527" s="2" t="s">
        <v>18</v>
      </c>
      <c r="H2527" s="2" t="n">
        <f aca="false">F2527/Tabla2[[#This Row],[Cosecha Mensual]]</f>
        <v>9.54186331061003</v>
      </c>
      <c r="I2527" s="2" t="n">
        <f aca="false">H2527*_xlfn.XLOOKUP(Tabla2[[#This Row],[Unidad de producción]],Tabla3[Medida],Tabla3[Equivalencia en Kg],"ELVIS",0)</f>
        <v>432.818919769271</v>
      </c>
      <c r="J2527" s="2" t="n">
        <v>1393.28502604167</v>
      </c>
      <c r="K2527" s="2" t="s">
        <v>18</v>
      </c>
      <c r="L2527" s="2" t="n">
        <f aca="false">J2527/_xlfn.XLOOKUP(Tabla2[[#This Row],[Unidad de precio]],Tabla3[Medida],Tabla3[Equivalencia en Kg],"ELVIS",0)</f>
        <v>30.7161601861038</v>
      </c>
      <c r="M2527" s="2" t="n">
        <v>9059.4442114896</v>
      </c>
      <c r="N2527" s="3" t="n">
        <f aca="false">(Tabla2[[#This Row],[Productividad (kg/TAS)]]*Tabla2[[#This Row],[Precio por kg]]-Tabla2[[#This Row],[Costos (En RD$/Tarea)]])</f>
        <v>4235.09105971976</v>
      </c>
      <c r="O2527" s="9" t="n">
        <f aca="false">IF(Tabla2[[#This Row],[Costos (En RD$/Tarea)]]=0,0,Tabla2[[#This Row],[Beneficio Neto  (En RD$/Tarea)]]/Tabla2[[#This Row],[Costos (En RD$/Tarea)]])</f>
        <v>0.467478021924195</v>
      </c>
      <c r="P2527" s="7" t="n">
        <f aca="false">Tabla2[[#This Row],[Rentabilidad (%)]]/12</f>
        <v>0.0389565018270162</v>
      </c>
    </row>
    <row r="2528" customFormat="false" ht="14.25" hidden="false" customHeight="false" outlineLevel="0" collapsed="false">
      <c r="A2528" s="1" t="n">
        <v>42917</v>
      </c>
      <c r="B2528" s="2" t="s">
        <v>25</v>
      </c>
      <c r="C2528" s="3" t="n">
        <v>25987</v>
      </c>
      <c r="D2528" s="8" t="s">
        <v>17</v>
      </c>
      <c r="E2528" s="3" t="n">
        <f aca="false">IF(Tabla2[[#This Row],[Frecuencia]]="Annual", Tabla2[[#This Row],[Cosecha/Tarea]]/12,Tabla2[[#This Row],[Cosecha/Tarea]])</f>
        <v>25987</v>
      </c>
      <c r="F2528" s="3" t="n">
        <v>261245</v>
      </c>
      <c r="G2528" s="2" t="s">
        <v>18</v>
      </c>
      <c r="H2528" s="2" t="n">
        <f aca="false">F2528/Tabla2[[#This Row],[Cosecha Mensual]]</f>
        <v>10.0529110709201</v>
      </c>
      <c r="I2528" s="2" t="n">
        <f aca="false">H2528*_xlfn.XLOOKUP(Tabla2[[#This Row],[Unidad de producción]],Tabla3[Medida],Tabla3[Equivalencia en Kg],"ELVIS",0)</f>
        <v>456.000046176935</v>
      </c>
      <c r="J2528" s="2" t="n">
        <v>431.05234375</v>
      </c>
      <c r="K2528" s="2" t="s">
        <v>18</v>
      </c>
      <c r="L2528" s="2" t="n">
        <f aca="false">J2528/_xlfn.XLOOKUP(Tabla2[[#This Row],[Unidad de precio]],Tabla3[Medida],Tabla3[Equivalencia en Kg],"ELVIS",0)</f>
        <v>9.50291763117284</v>
      </c>
      <c r="M2528" s="2" t="n">
        <v>4667.26585652655</v>
      </c>
      <c r="N2528" s="3" t="n">
        <f aca="false">(Tabla2[[#This Row],[Productividad (kg/TAS)]]*Tabla2[[#This Row],[Precio por kg]]-Tabla2[[#This Row],[Costos (En RD$/Tarea)]])</f>
        <v>-333.934977896131</v>
      </c>
      <c r="O2528" s="9" t="n">
        <f aca="false">IF(Tabla2[[#This Row],[Costos (En RD$/Tarea)]]=0,0,Tabla2[[#This Row],[Beneficio Neto  (En RD$/Tarea)]]/Tabla2[[#This Row],[Costos (En RD$/Tarea)]])</f>
        <v>-0.0715483086160963</v>
      </c>
      <c r="P2528" s="7" t="n">
        <f aca="false">Tabla2[[#This Row],[Rentabilidad (%)]]/12</f>
        <v>-0.00596235905134136</v>
      </c>
    </row>
    <row r="2529" customFormat="false" ht="14.25" hidden="false" customHeight="false" outlineLevel="0" collapsed="false">
      <c r="A2529" s="1" t="n">
        <v>42917</v>
      </c>
      <c r="B2529" s="2" t="s">
        <v>26</v>
      </c>
      <c r="C2529" s="3" t="n">
        <v>9256</v>
      </c>
      <c r="D2529" s="8" t="s">
        <v>17</v>
      </c>
      <c r="E2529" s="3" t="n">
        <f aca="false">IF(Tabla2[[#This Row],[Frecuencia]]="Annual", Tabla2[[#This Row],[Cosecha/Tarea]]/12,Tabla2[[#This Row],[Cosecha/Tarea]])</f>
        <v>9256</v>
      </c>
      <c r="F2529" s="3" t="n">
        <v>49521</v>
      </c>
      <c r="G2529" s="2" t="s">
        <v>18</v>
      </c>
      <c r="H2529" s="2" t="n">
        <f aca="false">F2529/Tabla2[[#This Row],[Cosecha Mensual]]</f>
        <v>5.35015125324114</v>
      </c>
      <c r="I2529" s="2" t="n">
        <f aca="false">H2529*_xlfn.XLOOKUP(Tabla2[[#This Row],[Unidad de producción]],Tabla3[Medida],Tabla3[Equivalencia en Kg],"ELVIS",0)</f>
        <v>242.682860847018</v>
      </c>
      <c r="J2529" s="2" t="n">
        <v>895.294642857143</v>
      </c>
      <c r="K2529" s="2" t="s">
        <v>18</v>
      </c>
      <c r="L2529" s="2" t="n">
        <f aca="false">J2529/_xlfn.XLOOKUP(Tabla2[[#This Row],[Unidad de precio]],Tabla3[Medida],Tabla3[Equivalencia en Kg],"ELVIS",0)</f>
        <v>19.737536218191</v>
      </c>
      <c r="M2529" s="2" t="n">
        <v>1810.97553022926</v>
      </c>
      <c r="N2529" s="3" t="n">
        <f aca="false">(Tabla2[[#This Row],[Productividad (kg/TAS)]]*Tabla2[[#This Row],[Precio por kg]]-Tabla2[[#This Row],[Costos (En RD$/Tarea)]])</f>
        <v>2978.98622527296</v>
      </c>
      <c r="O2529" s="9" t="n">
        <f aca="false">IF(Tabla2[[#This Row],[Costos (En RD$/Tarea)]]=0,0,Tabla2[[#This Row],[Beneficio Neto  (En RD$/Tarea)]]/Tabla2[[#This Row],[Costos (En RD$/Tarea)]])</f>
        <v>1.64496216295967</v>
      </c>
      <c r="P2529" s="7" t="n">
        <f aca="false">Tabla2[[#This Row],[Rentabilidad (%)]]/12</f>
        <v>0.137080180246639</v>
      </c>
    </row>
    <row r="2530" customFormat="false" ht="14.25" hidden="false" customHeight="false" outlineLevel="0" collapsed="false">
      <c r="A2530" s="1" t="n">
        <v>42917</v>
      </c>
      <c r="B2530" s="2" t="s">
        <v>27</v>
      </c>
      <c r="C2530" s="3" t="n">
        <v>4852</v>
      </c>
      <c r="D2530" s="8" t="s">
        <v>17</v>
      </c>
      <c r="E2530" s="3" t="n">
        <f aca="false">IF(Tabla2[[#This Row],[Frecuencia]]="Annual", Tabla2[[#This Row],[Cosecha/Tarea]]/12,Tabla2[[#This Row],[Cosecha/Tarea]])</f>
        <v>4852</v>
      </c>
      <c r="F2530" s="3" t="n">
        <v>47899</v>
      </c>
      <c r="G2530" s="2" t="s">
        <v>18</v>
      </c>
      <c r="H2530" s="2" t="n">
        <f aca="false">F2530/Tabla2[[#This Row],[Cosecha Mensual]]</f>
        <v>9.87201154163232</v>
      </c>
      <c r="I2530" s="2" t="n">
        <f aca="false">H2530*_xlfn.XLOOKUP(Tabla2[[#This Row],[Unidad de producción]],Tabla3[Medida],Tabla3[Equivalencia en Kg],"ELVIS",0)</f>
        <v>447.794443528442</v>
      </c>
      <c r="J2530" s="2" t="n">
        <v>733.428571428571</v>
      </c>
      <c r="K2530" s="2" t="s">
        <v>18</v>
      </c>
      <c r="L2530" s="2" t="n">
        <f aca="false">J2530/_xlfn.XLOOKUP(Tabla2[[#This Row],[Unidad de precio]],Tabla3[Medida],Tabla3[Equivalencia en Kg],"ELVIS",0)</f>
        <v>16.1690602166793</v>
      </c>
      <c r="M2530" s="2" t="n">
        <v>8788.431876469</v>
      </c>
      <c r="N2530" s="3" t="n">
        <f aca="false">(Tabla2[[#This Row],[Productividad (kg/TAS)]]*Tabla2[[#This Row],[Precio por kg]]-Tabla2[[#This Row],[Costos (En RD$/Tarea)]])</f>
        <v>-1548.01655436324</v>
      </c>
      <c r="O2530" s="9" t="n">
        <f aca="false">IF(Tabla2[[#This Row],[Costos (En RD$/Tarea)]]=0,0,Tabla2[[#This Row],[Beneficio Neto  (En RD$/Tarea)]]/Tabla2[[#This Row],[Costos (En RD$/Tarea)]])</f>
        <v>-0.176142521910883</v>
      </c>
      <c r="P2530" s="7" t="n">
        <f aca="false">Tabla2[[#This Row],[Rentabilidad (%)]]/12</f>
        <v>-0.0146785434925736</v>
      </c>
    </row>
    <row r="2531" customFormat="false" ht="14.25" hidden="false" customHeight="false" outlineLevel="0" collapsed="false">
      <c r="A2531" s="1" t="n">
        <v>42917</v>
      </c>
      <c r="B2531" s="2" t="s">
        <v>28</v>
      </c>
      <c r="C2531" s="3" t="n">
        <v>31245</v>
      </c>
      <c r="D2531" s="8" t="s">
        <v>17</v>
      </c>
      <c r="E2531" s="3" t="n">
        <f aca="false">IF(Tabla2[[#This Row],[Frecuencia]]="Annual", Tabla2[[#This Row],[Cosecha/Tarea]]/12,Tabla2[[#This Row],[Cosecha/Tarea]])</f>
        <v>31245</v>
      </c>
      <c r="F2531" s="3" t="n">
        <v>1090308</v>
      </c>
      <c r="G2531" s="2" t="s">
        <v>18</v>
      </c>
      <c r="H2531" s="2" t="n">
        <f aca="false">F2531/Tabla2[[#This Row],[Cosecha Mensual]]</f>
        <v>34.8954392702833</v>
      </c>
      <c r="I2531" s="2" t="n">
        <f aca="false">H2531*_xlfn.XLOOKUP(Tabla2[[#This Row],[Unidad de producción]],Tabla3[Medida],Tabla3[Equivalencia en Kg],"ELVIS",0)</f>
        <v>1582.85712530005</v>
      </c>
      <c r="J2531" s="2" t="n">
        <v>10420.227</v>
      </c>
      <c r="K2531" s="2" t="s">
        <v>29</v>
      </c>
      <c r="L2531" s="2" t="n">
        <f aca="false">J2531/_xlfn.XLOOKUP(Tabla2[[#This Row],[Unidad de precio]],Tabla3[Medida],Tabla3[Equivalencia en Kg],"ELVIS",0)</f>
        <v>18.5301187893445</v>
      </c>
      <c r="M2531" s="2" t="n">
        <v>7106.96492145872</v>
      </c>
      <c r="N2531" s="3" t="n">
        <f aca="false">(Tabla2[[#This Row],[Productividad (kg/TAS)]]*Tabla2[[#This Row],[Precio por kg]]-Tabla2[[#This Row],[Costos (En RD$/Tarea)]])</f>
        <v>22223.5656369116</v>
      </c>
      <c r="O2531" s="9" t="n">
        <f aca="false">IF(Tabla2[[#This Row],[Costos (En RD$/Tarea)]]=0,0,Tabla2[[#This Row],[Beneficio Neto  (En RD$/Tarea)]]/Tabla2[[#This Row],[Costos (En RD$/Tarea)]])</f>
        <v>3.12701214688845</v>
      </c>
      <c r="P2531" s="7" t="n">
        <f aca="false">Tabla2[[#This Row],[Rentabilidad (%)]]/12</f>
        <v>0.260584345574038</v>
      </c>
    </row>
    <row r="2532" customFormat="false" ht="14.25" hidden="false" customHeight="false" outlineLevel="0" collapsed="false">
      <c r="A2532" s="1" t="n">
        <v>42917</v>
      </c>
      <c r="B2532" s="2" t="s">
        <v>30</v>
      </c>
      <c r="C2532" s="3" t="n">
        <v>456245</v>
      </c>
      <c r="D2532" s="3" t="s">
        <v>31</v>
      </c>
      <c r="E2532" s="3" t="n">
        <f aca="false">IF(Tabla2[[#This Row],[Frecuencia]]="Annual", Tabla2[[#This Row],[Cosecha/Tarea]]/12,Tabla2[[#This Row],[Cosecha/Tarea]])</f>
        <v>38020.4166666667</v>
      </c>
      <c r="F2532" s="3" t="n">
        <v>2399251.2</v>
      </c>
      <c r="G2532" s="2" t="s">
        <v>18</v>
      </c>
      <c r="H2532" s="2" t="n">
        <f aca="false">F2532/Tabla2[[#This Row],[Cosecha Mensual]]</f>
        <v>63.104284759285</v>
      </c>
      <c r="I2532" s="2" t="n">
        <f aca="false">H2532*_xlfn.XLOOKUP(Tabla2[[#This Row],[Unidad de producción]],Tabla3[Medida],Tabla3[Equivalencia en Kg],"ELVIS",0)</f>
        <v>2862.41035668117</v>
      </c>
      <c r="J2532" s="2" t="n">
        <v>147.904761904762</v>
      </c>
      <c r="K2532" s="2" t="s">
        <v>32</v>
      </c>
      <c r="L2532" s="2" t="n">
        <f aca="false">J2532/_xlfn.XLOOKUP(Tabla2[[#This Row],[Unidad de precio]],Tabla3[Medida],Tabla3[Equivalencia en Kg],"ELVIS",0)</f>
        <v>5.43567665949144</v>
      </c>
      <c r="M2532" s="3" t="n">
        <v>32851.8013523715</v>
      </c>
      <c r="N2532" s="3" t="n">
        <f aca="false">(Tabla2[[#This Row],[Productividad (kg/TAS)]]*Tabla2[[#This Row],[Precio por kg]]-Tabla2[[#This Row],[Costos (En RD$/Tarea)]])</f>
        <v>-17292.6641866731</v>
      </c>
      <c r="O2532" s="9" t="n">
        <f aca="false">IF(Tabla2[[#This Row],[Costos (En RD$/Tarea)]]=0,0,Tabla2[[#This Row],[Beneficio Neto  (En RD$/Tarea)]]/Tabla2[[#This Row],[Costos (En RD$/Tarea)]])</f>
        <v>-0.526384048204553</v>
      </c>
      <c r="P2532" s="7" t="n">
        <f aca="false">Tabla2[[#This Row],[Rentabilidad (%)]]/12</f>
        <v>-0.0438653373503794</v>
      </c>
    </row>
    <row r="2533" customFormat="false" ht="14.25" hidden="false" customHeight="false" outlineLevel="0" collapsed="false">
      <c r="A2533" s="1" t="n">
        <v>42917</v>
      </c>
      <c r="B2533" s="2" t="s">
        <v>33</v>
      </c>
      <c r="C2533" s="3" t="n">
        <v>795210</v>
      </c>
      <c r="D2533" s="3" t="s">
        <v>31</v>
      </c>
      <c r="E2533" s="3" t="n">
        <f aca="false">IF(Tabla2[[#This Row],[Frecuencia]]="Annual", Tabla2[[#This Row],[Cosecha/Tarea]]/12,Tabla2[[#This Row],[Cosecha/Tarea]])</f>
        <v>66267.5</v>
      </c>
      <c r="F2533" s="3" t="n">
        <v>2069091</v>
      </c>
      <c r="G2533" s="2" t="s">
        <v>18</v>
      </c>
      <c r="H2533" s="2" t="n">
        <f aca="false">F2533/Tabla2[[#This Row],[Cosecha Mensual]]</f>
        <v>31.2233145961444</v>
      </c>
      <c r="I2533" s="2" t="n">
        <f aca="false">H2533*_xlfn.XLOOKUP(Tabla2[[#This Row],[Unidad de producción]],Tabla3[Medida],Tabla3[Equivalencia en Kg],"ELVIS",0)</f>
        <v>1416.28955008111</v>
      </c>
      <c r="J2533" s="2" t="n">
        <v>5581.60677083333</v>
      </c>
      <c r="K2533" s="2" t="s">
        <v>34</v>
      </c>
      <c r="L2533" s="2" t="n">
        <f aca="false">J2533/_xlfn.XLOOKUP(Tabla2[[#This Row],[Unidad de precio]],Tabla3[Medida],Tabla3[Equivalencia en Kg],"ELVIS",0)</f>
        <v>13.6753810384254</v>
      </c>
      <c r="M2533" s="3" t="n">
        <v>21460.4838899894</v>
      </c>
      <c r="N2533" s="3" t="n">
        <f aca="false">(Tabla2[[#This Row],[Productividad (kg/TAS)]]*Tabla2[[#This Row],[Precio por kg]]-Tabla2[[#This Row],[Costos (En RD$/Tarea)]])</f>
        <v>-2092.18463189012</v>
      </c>
      <c r="O2533" s="9" t="n">
        <f aca="false">IF(Tabla2[[#This Row],[Costos (En RD$/Tarea)]]=0,0,Tabla2[[#This Row],[Beneficio Neto  (En RD$/Tarea)]]/Tabla2[[#This Row],[Costos (En RD$/Tarea)]])</f>
        <v>-0.0974900958717924</v>
      </c>
      <c r="P2533" s="7" t="n">
        <f aca="false">Tabla2[[#This Row],[Rentabilidad (%)]]/12</f>
        <v>-0.0081241746559827</v>
      </c>
    </row>
    <row r="2534" customFormat="false" ht="14.25" hidden="false" customHeight="false" outlineLevel="0" collapsed="false">
      <c r="A2534" s="1" t="n">
        <v>42948</v>
      </c>
      <c r="B2534" s="2" t="s">
        <v>16</v>
      </c>
      <c r="C2534" s="3" t="n">
        <v>140756</v>
      </c>
      <c r="D2534" s="8" t="s">
        <v>17</v>
      </c>
      <c r="E2534" s="3" t="n">
        <f aca="false">IF(Tabla2[[#This Row],[Frecuencia]]="Annual", Tabla2[[#This Row],[Cosecha/Tarea]]/12,Tabla2[[#This Row],[Cosecha/Tarea]])</f>
        <v>140756</v>
      </c>
      <c r="F2534" s="3" t="n">
        <v>568997</v>
      </c>
      <c r="G2534" s="2" t="s">
        <v>18</v>
      </c>
      <c r="H2534" s="2" t="n">
        <f aca="false">F2534/Tabla2[[#This Row],[Cosecha Mensual]]</f>
        <v>4.04243513597999</v>
      </c>
      <c r="I2534" s="2" t="n">
        <f aca="false">H2534*_xlfn.XLOOKUP(Tabla2[[#This Row],[Unidad de producción]],Tabla3[Medida],Tabla3[Equivalencia en Kg],"ELVIS",0)</f>
        <v>183.364857768053</v>
      </c>
      <c r="J2534" s="2" t="n">
        <v>2005.09813586359</v>
      </c>
      <c r="K2534" s="2" t="s">
        <v>19</v>
      </c>
      <c r="L2534" s="2" t="n">
        <f aca="false">J2534/_xlfn.XLOOKUP(Tabla2[[#This Row],[Unidad de precio]],Tabla3[Medida],Tabla3[Equivalencia en Kg],"ELVIS",0)</f>
        <v>18.2281648714872</v>
      </c>
      <c r="M2534" s="2" t="n">
        <v>6064.21649453855</v>
      </c>
      <c r="N2534" s="3" t="n">
        <f aca="false">(Tabla2[[#This Row],[Productividad (kg/TAS)]]*Tabla2[[#This Row],[Precio por kg]]-Tabla2[[#This Row],[Costos (En RD$/Tarea)]])</f>
        <v>-2721.81163550569</v>
      </c>
      <c r="O2534" s="9" t="n">
        <f aca="false">IF(Tabla2[[#This Row],[Costos (En RD$/Tarea)]]=0,0,Tabla2[[#This Row],[Beneficio Neto  (En RD$/Tarea)]]/Tabla2[[#This Row],[Costos (En RD$/Tarea)]])</f>
        <v>-0.448831541215087</v>
      </c>
      <c r="P2534" s="7" t="n">
        <f aca="false">Tabla2[[#This Row],[Rentabilidad (%)]]/12</f>
        <v>-0.0374026284345906</v>
      </c>
    </row>
    <row r="2535" customFormat="false" ht="14.25" hidden="false" customHeight="false" outlineLevel="0" collapsed="false">
      <c r="A2535" s="1" t="n">
        <v>42948</v>
      </c>
      <c r="B2535" s="2" t="s">
        <v>20</v>
      </c>
      <c r="C2535" s="3" t="n">
        <v>38958</v>
      </c>
      <c r="D2535" s="8" t="s">
        <v>17</v>
      </c>
      <c r="E2535" s="3" t="n">
        <f aca="false">IF(Tabla2[[#This Row],[Frecuencia]]="Annual", Tabla2[[#This Row],[Cosecha/Tarea]]/12,Tabla2[[#This Row],[Cosecha/Tarea]])</f>
        <v>38958</v>
      </c>
      <c r="F2535" s="3" t="n">
        <v>81245</v>
      </c>
      <c r="G2535" s="2" t="s">
        <v>18</v>
      </c>
      <c r="H2535" s="2" t="n">
        <f aca="false">F2535/Tabla2[[#This Row],[Cosecha Mensual]]</f>
        <v>2.08545099851122</v>
      </c>
      <c r="I2535" s="2" t="n">
        <f aca="false">H2535*_xlfn.XLOOKUP(Tabla2[[#This Row],[Unidad de producción]],Tabla3[Medida],Tabla3[Equivalencia en Kg],"ELVIS",0)</f>
        <v>94.5960572924688</v>
      </c>
      <c r="J2535" s="2" t="n">
        <v>831.116145833333</v>
      </c>
      <c r="K2535" s="2" t="s">
        <v>18</v>
      </c>
      <c r="L2535" s="2" t="n">
        <f aca="false">J2535/_xlfn.XLOOKUP(Tabla2[[#This Row],[Unidad de precio]],Tabla3[Medida],Tabla3[Equivalencia en Kg],"ELVIS",0)</f>
        <v>18.3226663543504</v>
      </c>
      <c r="M2535" s="2" t="n">
        <v>2479.0864296156</v>
      </c>
      <c r="N2535" s="3" t="n">
        <f aca="false">(Tabla2[[#This Row],[Productividad (kg/TAS)]]*Tabla2[[#This Row],[Precio por kg]]-Tabla2[[#This Row],[Costos (En RD$/Tarea)]])</f>
        <v>-745.834433408682</v>
      </c>
      <c r="O2535" s="9" t="n">
        <f aca="false">IF(Tabla2[[#This Row],[Costos (En RD$/Tarea)]]=0,0,Tabla2[[#This Row],[Beneficio Neto  (En RD$/Tarea)]]/Tabla2[[#This Row],[Costos (En RD$/Tarea)]])</f>
        <v>-0.300850516746336</v>
      </c>
      <c r="P2535" s="7" t="n">
        <f aca="false">Tabla2[[#This Row],[Rentabilidad (%)]]/12</f>
        <v>-0.025070876395528</v>
      </c>
    </row>
    <row r="2536" customFormat="false" ht="14.25" hidden="false" customHeight="false" outlineLevel="0" collapsed="false">
      <c r="A2536" s="1" t="n">
        <v>42948</v>
      </c>
      <c r="B2536" s="2" t="s">
        <v>21</v>
      </c>
      <c r="C2536" s="3" t="n">
        <v>7021</v>
      </c>
      <c r="D2536" s="8" t="s">
        <v>17</v>
      </c>
      <c r="E2536" s="3" t="n">
        <f aca="false">IF(Tabla2[[#This Row],[Frecuencia]]="Annual", Tabla2[[#This Row],[Cosecha/Tarea]]/12,Tabla2[[#This Row],[Cosecha/Tarea]])</f>
        <v>7021</v>
      </c>
      <c r="F2536" s="3" t="n">
        <v>82822</v>
      </c>
      <c r="G2536" s="2" t="s">
        <v>18</v>
      </c>
      <c r="H2536" s="2" t="n">
        <f aca="false">F2536/Tabla2[[#This Row],[Cosecha Mensual]]</f>
        <v>11.7963253097849</v>
      </c>
      <c r="I2536" s="2" t="n">
        <f aca="false">H2536*_xlfn.XLOOKUP(Tabla2[[#This Row],[Unidad de producción]],Tabla3[Medida],Tabla3[Equivalencia en Kg],"ELVIS",0)</f>
        <v>535.081316051845</v>
      </c>
      <c r="J2536" s="2" t="n">
        <v>402.19369047619</v>
      </c>
      <c r="K2536" s="2" t="s">
        <v>18</v>
      </c>
      <c r="L2536" s="2" t="n">
        <f aca="false">J2536/_xlfn.XLOOKUP(Tabla2[[#This Row],[Unidad de precio]],Tabla3[Medida],Tabla3[Equivalencia en Kg],"ELVIS",0)</f>
        <v>8.86670393466027</v>
      </c>
      <c r="M2536" s="2" t="n">
        <v>5064.80450774638</v>
      </c>
      <c r="N2536" s="3" t="n">
        <f aca="false">(Tabla2[[#This Row],[Productividad (kg/TAS)]]*Tabla2[[#This Row],[Precio por kg]]-Tabla2[[#This Row],[Costos (En RD$/Tarea)]])</f>
        <v>-320.396897346293</v>
      </c>
      <c r="O2536" s="9" t="n">
        <f aca="false">IF(Tabla2[[#This Row],[Costos (En RD$/Tarea)]]=0,0,Tabla2[[#This Row],[Beneficio Neto  (En RD$/Tarea)]]/Tabla2[[#This Row],[Costos (En RD$/Tarea)]])</f>
        <v>-0.0632594795823336</v>
      </c>
      <c r="P2536" s="7" t="n">
        <f aca="false">Tabla2[[#This Row],[Rentabilidad (%)]]/12</f>
        <v>-0.0052716232985278</v>
      </c>
    </row>
    <row r="2537" customFormat="false" ht="14.25" hidden="false" customHeight="false" outlineLevel="0" collapsed="false">
      <c r="A2537" s="1" t="n">
        <v>42948</v>
      </c>
      <c r="B2537" s="2" t="s">
        <v>22</v>
      </c>
      <c r="C2537" s="3" t="n">
        <v>4101</v>
      </c>
      <c r="D2537" s="8" t="s">
        <v>17</v>
      </c>
      <c r="E2537" s="3" t="n">
        <f aca="false">IF(Tabla2[[#This Row],[Frecuencia]]="Annual", Tabla2[[#This Row],[Cosecha/Tarea]]/12,Tabla2[[#This Row],[Cosecha/Tarea]])</f>
        <v>4101</v>
      </c>
      <c r="F2537" s="3" t="n">
        <v>31298</v>
      </c>
      <c r="G2537" s="2" t="s">
        <v>18</v>
      </c>
      <c r="H2537" s="2" t="n">
        <f aca="false">F2537/Tabla2[[#This Row],[Cosecha Mensual]]</f>
        <v>7.63179712265301</v>
      </c>
      <c r="I2537" s="2" t="n">
        <f aca="false">H2537*_xlfn.XLOOKUP(Tabla2[[#This Row],[Unidad de producción]],Tabla3[Medida],Tabla3[Equivalencia en Kg],"ELVIS",0)</f>
        <v>346.178317483541</v>
      </c>
      <c r="J2537" s="2" t="n">
        <v>1906.97083333333</v>
      </c>
      <c r="K2537" s="2" t="s">
        <v>18</v>
      </c>
      <c r="L2537" s="2" t="n">
        <f aca="false">J2537/_xlfn.XLOOKUP(Tabla2[[#This Row],[Unidad de precio]],Tabla3[Medida],Tabla3[Equivalencia en Kg],"ELVIS",0)</f>
        <v>42.0408032039976</v>
      </c>
      <c r="M2537" s="2" t="n">
        <v>9358.71441738452</v>
      </c>
      <c r="N2537" s="3" t="n">
        <f aca="false">(Tabla2[[#This Row],[Productividad (kg/TAS)]]*Tabla2[[#This Row],[Precio por kg]]-Tabla2[[#This Row],[Costos (En RD$/Tarea)]])</f>
        <v>5194.900101432</v>
      </c>
      <c r="O2537" s="9" t="n">
        <f aca="false">IF(Tabla2[[#This Row],[Costos (En RD$/Tarea)]]=0,0,Tabla2[[#This Row],[Beneficio Neto  (En RD$/Tarea)]]/Tabla2[[#This Row],[Costos (En RD$/Tarea)]])</f>
        <v>0.5550869349942</v>
      </c>
      <c r="P2537" s="7" t="n">
        <f aca="false">Tabla2[[#This Row],[Rentabilidad (%)]]/12</f>
        <v>0.04625724458285</v>
      </c>
    </row>
    <row r="2538" customFormat="false" ht="14.25" hidden="false" customHeight="false" outlineLevel="0" collapsed="false">
      <c r="A2538" s="1" t="n">
        <v>42948</v>
      </c>
      <c r="B2538" s="2" t="s">
        <v>23</v>
      </c>
      <c r="C2538" s="3" t="n">
        <v>3042</v>
      </c>
      <c r="D2538" s="8" t="s">
        <v>17</v>
      </c>
      <c r="E2538" s="3" t="n">
        <f aca="false">IF(Tabla2[[#This Row],[Frecuencia]]="Annual", Tabla2[[#This Row],[Cosecha/Tarea]]/12,Tabla2[[#This Row],[Cosecha/Tarea]])</f>
        <v>3042</v>
      </c>
      <c r="F2538" s="3" t="n">
        <v>117210</v>
      </c>
      <c r="G2538" s="2" t="s">
        <v>18</v>
      </c>
      <c r="H2538" s="2" t="n">
        <f aca="false">F2538/Tabla2[[#This Row],[Cosecha Mensual]]</f>
        <v>38.5305719921105</v>
      </c>
      <c r="I2538" s="2" t="n">
        <f aca="false">H2538*_xlfn.XLOOKUP(Tabla2[[#This Row],[Unidad de producción]],Tabla3[Medida],Tabla3[Equivalencia en Kg],"ELVIS",0)</f>
        <v>1747.74674556213</v>
      </c>
      <c r="J2538" s="2" t="n">
        <v>927.5</v>
      </c>
      <c r="K2538" s="2" t="s">
        <v>18</v>
      </c>
      <c r="L2538" s="2" t="n">
        <f aca="false">J2538/_xlfn.XLOOKUP(Tabla2[[#This Row],[Unidad de precio]],Tabla3[Medida],Tabla3[Equivalencia en Kg],"ELVIS",0)</f>
        <v>20.4475308641975</v>
      </c>
      <c r="M2538" s="2" t="n">
        <v>23497.6811528187</v>
      </c>
      <c r="N2538" s="3" t="n">
        <f aca="false">(Tabla2[[#This Row],[Productividad (kg/TAS)]]*Tabla2[[#This Row],[Precio por kg]]-Tabla2[[#This Row],[Costos (En RD$/Tarea)]])</f>
        <v>12239.4243698637</v>
      </c>
      <c r="O2538" s="9" t="n">
        <f aca="false">IF(Tabla2[[#This Row],[Costos (En RD$/Tarea)]]=0,0,Tabla2[[#This Row],[Beneficio Neto  (En RD$/Tarea)]]/Tabla2[[#This Row],[Costos (En RD$/Tarea)]])</f>
        <v>0.52087796622415</v>
      </c>
      <c r="P2538" s="7" t="n">
        <f aca="false">Tabla2[[#This Row],[Rentabilidad (%)]]/12</f>
        <v>0.0434064971853458</v>
      </c>
    </row>
    <row r="2539" customFormat="false" ht="14.25" hidden="false" customHeight="false" outlineLevel="0" collapsed="false">
      <c r="A2539" s="1" t="n">
        <v>42948</v>
      </c>
      <c r="B2539" s="2" t="s">
        <v>24</v>
      </c>
      <c r="C2539" s="3" t="n">
        <v>5201</v>
      </c>
      <c r="D2539" s="8" t="s">
        <v>17</v>
      </c>
      <c r="E2539" s="3" t="n">
        <f aca="false">IF(Tabla2[[#This Row],[Frecuencia]]="Annual", Tabla2[[#This Row],[Cosecha/Tarea]]/12,Tabla2[[#This Row],[Cosecha/Tarea]])</f>
        <v>5201</v>
      </c>
      <c r="F2539" s="3" t="n">
        <v>55654</v>
      </c>
      <c r="G2539" s="2" t="s">
        <v>18</v>
      </c>
      <c r="H2539" s="2" t="n">
        <f aca="false">F2539/Tabla2[[#This Row],[Cosecha Mensual]]</f>
        <v>10.7006344933667</v>
      </c>
      <c r="I2539" s="2" t="n">
        <f aca="false">H2539*_xlfn.XLOOKUP(Tabla2[[#This Row],[Unidad de producción]],Tabla3[Medida],Tabla3[Equivalencia en Kg],"ELVIS",0)</f>
        <v>485.380780619112</v>
      </c>
      <c r="J2539" s="2" t="n">
        <v>1416.2646875</v>
      </c>
      <c r="K2539" s="2" t="s">
        <v>18</v>
      </c>
      <c r="L2539" s="2" t="n">
        <f aca="false">J2539/_xlfn.XLOOKUP(Tabla2[[#This Row],[Unidad de precio]],Tabla3[Medida],Tabla3[Equivalencia en Kg],"ELVIS",0)</f>
        <v>31.2227664792769</v>
      </c>
      <c r="M2539" s="2" t="n">
        <v>9059.4442114896</v>
      </c>
      <c r="N2539" s="3" t="n">
        <f aca="false">(Tabla2[[#This Row],[Productividad (kg/TAS)]]*Tabla2[[#This Row],[Precio por kg]]-Tabla2[[#This Row],[Costos (En RD$/Tarea)]])</f>
        <v>6095.48655531005</v>
      </c>
      <c r="O2539" s="9" t="n">
        <f aca="false">IF(Tabla2[[#This Row],[Costos (En RD$/Tarea)]]=0,0,Tabla2[[#This Row],[Beneficio Neto  (En RD$/Tarea)]]/Tabla2[[#This Row],[Costos (En RD$/Tarea)]])</f>
        <v>0.672832285625147</v>
      </c>
      <c r="P2539" s="7" t="n">
        <f aca="false">Tabla2[[#This Row],[Rentabilidad (%)]]/12</f>
        <v>0.0560693571354289</v>
      </c>
    </row>
    <row r="2540" customFormat="false" ht="14.25" hidden="false" customHeight="false" outlineLevel="0" collapsed="false">
      <c r="A2540" s="1" t="n">
        <v>42948</v>
      </c>
      <c r="B2540" s="2" t="s">
        <v>25</v>
      </c>
      <c r="C2540" s="3" t="n">
        <v>28542</v>
      </c>
      <c r="D2540" s="8" t="s">
        <v>17</v>
      </c>
      <c r="E2540" s="3" t="n">
        <f aca="false">IF(Tabla2[[#This Row],[Frecuencia]]="Annual", Tabla2[[#This Row],[Cosecha/Tarea]]/12,Tabla2[[#This Row],[Cosecha/Tarea]])</f>
        <v>28542</v>
      </c>
      <c r="F2540" s="3" t="n">
        <v>312024</v>
      </c>
      <c r="G2540" s="2" t="s">
        <v>18</v>
      </c>
      <c r="H2540" s="2" t="n">
        <f aca="false">F2540/Tabla2[[#This Row],[Cosecha Mensual]]</f>
        <v>10.932100063065</v>
      </c>
      <c r="I2540" s="2" t="n">
        <f aca="false">H2540*_xlfn.XLOOKUP(Tabla2[[#This Row],[Unidad de producción]],Tabla3[Medida],Tabla3[Equivalencia en Kg],"ELVIS",0)</f>
        <v>495.880058860626</v>
      </c>
      <c r="J2540" s="2" t="n">
        <v>424.470520833333</v>
      </c>
      <c r="K2540" s="2" t="s">
        <v>18</v>
      </c>
      <c r="L2540" s="2" t="n">
        <f aca="false">J2540/_xlfn.XLOOKUP(Tabla2[[#This Row],[Unidad de precio]],Tabla3[Medida],Tabla3[Equivalencia en Kg],"ELVIS",0)</f>
        <v>9.35781571502057</v>
      </c>
      <c r="M2540" s="2" t="n">
        <v>4667.26585652655</v>
      </c>
      <c r="N2540" s="3" t="n">
        <f aca="false">(Tabla2[[#This Row],[Productividad (kg/TAS)]]*Tabla2[[#This Row],[Precio por kg]]-Tabla2[[#This Row],[Costos (En RD$/Tarea)]])</f>
        <v>-26.9116489552553</v>
      </c>
      <c r="O2540" s="9" t="n">
        <f aca="false">IF(Tabla2[[#This Row],[Costos (En RD$/Tarea)]]=0,0,Tabla2[[#This Row],[Beneficio Neto  (En RD$/Tarea)]]/Tabla2[[#This Row],[Costos (En RD$/Tarea)]])</f>
        <v>-0.00576604157177438</v>
      </c>
      <c r="P2540" s="7" t="n">
        <f aca="false">Tabla2[[#This Row],[Rentabilidad (%)]]/12</f>
        <v>-0.000480503464314532</v>
      </c>
    </row>
    <row r="2541" customFormat="false" ht="14.25" hidden="false" customHeight="false" outlineLevel="0" collapsed="false">
      <c r="A2541" s="1" t="n">
        <v>42948</v>
      </c>
      <c r="B2541" s="2" t="s">
        <v>26</v>
      </c>
      <c r="C2541" s="3" t="n">
        <v>8759</v>
      </c>
      <c r="D2541" s="8" t="s">
        <v>17</v>
      </c>
      <c r="E2541" s="3" t="n">
        <f aca="false">IF(Tabla2[[#This Row],[Frecuencia]]="Annual", Tabla2[[#This Row],[Cosecha/Tarea]]/12,Tabla2[[#This Row],[Cosecha/Tarea]])</f>
        <v>8759</v>
      </c>
      <c r="F2541" s="3" t="n">
        <v>75989</v>
      </c>
      <c r="G2541" s="2" t="s">
        <v>18</v>
      </c>
      <c r="H2541" s="2" t="n">
        <f aca="false">F2541/Tabla2[[#This Row],[Cosecha Mensual]]</f>
        <v>8.67553373672794</v>
      </c>
      <c r="I2541" s="2" t="n">
        <f aca="false">H2541*_xlfn.XLOOKUP(Tabla2[[#This Row],[Unidad de producción]],Tabla3[Medida],Tabla3[Equivalencia en Kg],"ELVIS",0)</f>
        <v>393.522210297979</v>
      </c>
      <c r="J2541" s="2" t="n">
        <v>878.875</v>
      </c>
      <c r="K2541" s="2" t="s">
        <v>18</v>
      </c>
      <c r="L2541" s="2" t="n">
        <f aca="false">J2541/_xlfn.XLOOKUP(Tabla2[[#This Row],[Unidad de precio]],Tabla3[Medida],Tabla3[Equivalencia en Kg],"ELVIS",0)</f>
        <v>19.3755511463845</v>
      </c>
      <c r="M2541" s="2" t="n">
        <v>1810.97553022926</v>
      </c>
      <c r="N2541" s="3" t="n">
        <f aca="false">(Tabla2[[#This Row],[Productividad (kg/TAS)]]*Tabla2[[#This Row],[Precio por kg]]-Tabla2[[#This Row],[Costos (En RD$/Tarea)]])</f>
        <v>5813.73418263751</v>
      </c>
      <c r="O2541" s="9" t="n">
        <f aca="false">IF(Tabla2[[#This Row],[Costos (En RD$/Tarea)]]=0,0,Tabla2[[#This Row],[Beneficio Neto  (En RD$/Tarea)]]/Tabla2[[#This Row],[Costos (En RD$/Tarea)]])</f>
        <v>3.21027760209522</v>
      </c>
      <c r="P2541" s="7" t="n">
        <f aca="false">Tabla2[[#This Row],[Rentabilidad (%)]]/12</f>
        <v>0.267523133507935</v>
      </c>
    </row>
    <row r="2542" customFormat="false" ht="14.25" hidden="false" customHeight="false" outlineLevel="0" collapsed="false">
      <c r="A2542" s="1" t="n">
        <v>42948</v>
      </c>
      <c r="B2542" s="2" t="s">
        <v>27</v>
      </c>
      <c r="C2542" s="3" t="n">
        <v>4562</v>
      </c>
      <c r="D2542" s="8" t="s">
        <v>17</v>
      </c>
      <c r="E2542" s="3" t="n">
        <f aca="false">IF(Tabla2[[#This Row],[Frecuencia]]="Annual", Tabla2[[#This Row],[Cosecha/Tarea]]/12,Tabla2[[#This Row],[Cosecha/Tarea]])</f>
        <v>4562</v>
      </c>
      <c r="F2542" s="3" t="n">
        <v>45210</v>
      </c>
      <c r="G2542" s="2" t="s">
        <v>18</v>
      </c>
      <c r="H2542" s="2" t="n">
        <f aca="false">F2542/Tabla2[[#This Row],[Cosecha Mensual]]</f>
        <v>9.91012713722052</v>
      </c>
      <c r="I2542" s="2" t="n">
        <f aca="false">H2542*_xlfn.XLOOKUP(Tabla2[[#This Row],[Unidad de producción]],Tabla3[Medida],Tabla3[Equivalencia en Kg],"ELVIS",0)</f>
        <v>449.523366944323</v>
      </c>
      <c r="J2542" s="2" t="n">
        <v>833.379464285714</v>
      </c>
      <c r="K2542" s="2" t="s">
        <v>18</v>
      </c>
      <c r="L2542" s="2" t="n">
        <f aca="false">J2542/_xlfn.XLOOKUP(Tabla2[[#This Row],[Unidad de precio]],Tabla3[Medida],Tabla3[Equivalencia en Kg],"ELVIS",0)</f>
        <v>18.3725631456286</v>
      </c>
      <c r="M2542" s="2" t="n">
        <v>8788.431876469</v>
      </c>
      <c r="N2542" s="3" t="n">
        <f aca="false">(Tabla2[[#This Row],[Productividad (kg/TAS)]]*Tabla2[[#This Row],[Precio por kg]]-Tabla2[[#This Row],[Costos (En RD$/Tarea)]])</f>
        <v>-529.53543184885</v>
      </c>
      <c r="O2542" s="9" t="n">
        <f aca="false">IF(Tabla2[[#This Row],[Costos (En RD$/Tarea)]]=0,0,Tabla2[[#This Row],[Beneficio Neto  (En RD$/Tarea)]]/Tabla2[[#This Row],[Costos (En RD$/Tarea)]])</f>
        <v>-0.0602536879493462</v>
      </c>
      <c r="P2542" s="7" t="n">
        <f aca="false">Tabla2[[#This Row],[Rentabilidad (%)]]/12</f>
        <v>-0.00502114066244551</v>
      </c>
    </row>
    <row r="2543" customFormat="false" ht="14.25" hidden="false" customHeight="false" outlineLevel="0" collapsed="false">
      <c r="A2543" s="1" t="n">
        <v>42948</v>
      </c>
      <c r="B2543" s="2" t="s">
        <v>28</v>
      </c>
      <c r="C2543" s="3" t="n">
        <v>51024</v>
      </c>
      <c r="D2543" s="8" t="s">
        <v>17</v>
      </c>
      <c r="E2543" s="3" t="n">
        <f aca="false">IF(Tabla2[[#This Row],[Frecuencia]]="Annual", Tabla2[[#This Row],[Cosecha/Tarea]]/12,Tabla2[[#This Row],[Cosecha/Tarea]])</f>
        <v>51024</v>
      </c>
      <c r="F2543" s="3" t="n">
        <v>1358940</v>
      </c>
      <c r="G2543" s="2" t="s">
        <v>18</v>
      </c>
      <c r="H2543" s="2" t="n">
        <f aca="false">F2543/Tabla2[[#This Row],[Cosecha Mensual]]</f>
        <v>26.6333490122295</v>
      </c>
      <c r="I2543" s="2" t="n">
        <f aca="false">H2543*_xlfn.XLOOKUP(Tabla2[[#This Row],[Unidad de producción]],Tabla3[Medida],Tabla3[Equivalencia en Kg],"ELVIS",0)</f>
        <v>1208.08871119473</v>
      </c>
      <c r="J2543" s="2" t="n">
        <v>6800</v>
      </c>
      <c r="K2543" s="2" t="s">
        <v>29</v>
      </c>
      <c r="L2543" s="2" t="n">
        <f aca="false">J2543/_xlfn.XLOOKUP(Tabla2[[#This Row],[Unidad de precio]],Tabla3[Medida],Tabla3[Equivalencia en Kg],"ELVIS",0)</f>
        <v>12.0923284845467</v>
      </c>
      <c r="M2543" s="2" t="n">
        <v>7106.96492145872</v>
      </c>
      <c r="N2543" s="3" t="n">
        <f aca="false">(Tabla2[[#This Row],[Productividad (kg/TAS)]]*Tabla2[[#This Row],[Precio por kg]]-Tabla2[[#This Row],[Costos (En RD$/Tarea)]])</f>
        <v>7501.64061278067</v>
      </c>
      <c r="O2543" s="9" t="n">
        <f aca="false">IF(Tabla2[[#This Row],[Costos (En RD$/Tarea)]]=0,0,Tabla2[[#This Row],[Beneficio Neto  (En RD$/Tarea)]]/Tabla2[[#This Row],[Costos (En RD$/Tarea)]])</f>
        <v>1.05553364842568</v>
      </c>
      <c r="P2543" s="7" t="n">
        <f aca="false">Tabla2[[#This Row],[Rentabilidad (%)]]/12</f>
        <v>0.0879611373688069</v>
      </c>
    </row>
    <row r="2544" customFormat="false" ht="14.25" hidden="false" customHeight="false" outlineLevel="0" collapsed="false">
      <c r="A2544" s="1" t="n">
        <v>42948</v>
      </c>
      <c r="B2544" s="2" t="s">
        <v>30</v>
      </c>
      <c r="C2544" s="3" t="n">
        <v>445891</v>
      </c>
      <c r="D2544" s="3" t="s">
        <v>31</v>
      </c>
      <c r="E2544" s="3" t="n">
        <f aca="false">IF(Tabla2[[#This Row],[Frecuencia]]="Annual", Tabla2[[#This Row],[Cosecha/Tarea]]/12,Tabla2[[#This Row],[Cosecha/Tarea]])</f>
        <v>37157.5833333333</v>
      </c>
      <c r="F2544" s="3" t="n">
        <v>2339399.4</v>
      </c>
      <c r="G2544" s="2" t="s">
        <v>18</v>
      </c>
      <c r="H2544" s="2" t="n">
        <f aca="false">F2544/Tabla2[[#This Row],[Cosecha Mensual]]</f>
        <v>62.9588684230002</v>
      </c>
      <c r="I2544" s="2" t="n">
        <f aca="false">H2544*_xlfn.XLOOKUP(Tabla2[[#This Row],[Unidad de producción]],Tabla3[Medida],Tabla3[Equivalencia en Kg],"ELVIS",0)</f>
        <v>2855.81427166729</v>
      </c>
      <c r="J2544" s="2" t="n">
        <v>149.690625</v>
      </c>
      <c r="K2544" s="2" t="s">
        <v>32</v>
      </c>
      <c r="L2544" s="2" t="n">
        <f aca="false">J2544/_xlfn.XLOOKUP(Tabla2[[#This Row],[Unidad de precio]],Tabla3[Medida],Tabla3[Equivalencia en Kg],"ELVIS",0)</f>
        <v>5.50130926130099</v>
      </c>
      <c r="M2544" s="3" t="n">
        <v>32851.8013523715</v>
      </c>
      <c r="N2544" s="3" t="n">
        <f aca="false">(Tabla2[[#This Row],[Productividad (kg/TAS)]]*Tabla2[[#This Row],[Precio por kg]]-Tabla2[[#This Row],[Costos (En RD$/Tarea)]])</f>
        <v>-17141.0838510927</v>
      </c>
      <c r="O2544" s="9" t="n">
        <f aca="false">IF(Tabla2[[#This Row],[Costos (En RD$/Tarea)]]=0,0,Tabla2[[#This Row],[Beneficio Neto  (En RD$/Tarea)]]/Tabla2[[#This Row],[Costos (En RD$/Tarea)]])</f>
        <v>-0.521769983546285</v>
      </c>
      <c r="P2544" s="7" t="n">
        <f aca="false">Tabla2[[#This Row],[Rentabilidad (%)]]/12</f>
        <v>-0.0434808319621904</v>
      </c>
    </row>
    <row r="2545" customFormat="false" ht="14.25" hidden="false" customHeight="false" outlineLevel="0" collapsed="false">
      <c r="A2545" s="1" t="n">
        <v>42948</v>
      </c>
      <c r="B2545" s="2" t="s">
        <v>33</v>
      </c>
      <c r="C2545" s="3" t="n">
        <v>789542</v>
      </c>
      <c r="D2545" s="3" t="s">
        <v>31</v>
      </c>
      <c r="E2545" s="11" t="n">
        <f aca="false">IF(Tabla2[[#This Row],[Frecuencia]]="Annual", Tabla2[[#This Row],[Cosecha/Tarea]]/12,Tabla2[[#This Row],[Cosecha/Tarea]])</f>
        <v>65795.1666666667</v>
      </c>
      <c r="F2545" s="3" t="n">
        <v>2359305</v>
      </c>
      <c r="G2545" s="2" t="s">
        <v>18</v>
      </c>
      <c r="H2545" s="2" t="n">
        <f aca="false">F2545/Tabla2[[#This Row],[Cosecha Mensual]]</f>
        <v>35.8583330589126</v>
      </c>
      <c r="I2545" s="2" t="n">
        <f aca="false">H2545*_xlfn.XLOOKUP(Tabla2[[#This Row],[Unidad de producción]],Tabla3[Medida],Tabla3[Equivalencia en Kg],"ELVIS",0)</f>
        <v>1626.53398755228</v>
      </c>
      <c r="J2545" s="2" t="n">
        <v>5624.21145833333</v>
      </c>
      <c r="K2545" s="2" t="s">
        <v>34</v>
      </c>
      <c r="L2545" s="2" t="n">
        <f aca="false">J2545/_xlfn.XLOOKUP(Tabla2[[#This Row],[Unidad de precio]],Tabla3[Medida],Tabla3[Equivalencia en Kg],"ELVIS",0)</f>
        <v>13.7797659153089</v>
      </c>
      <c r="M2545" s="3" t="n">
        <v>21460.4838899894</v>
      </c>
      <c r="N2545" s="3" t="n">
        <f aca="false">(Tabla2[[#This Row],[Productividad (kg/TAS)]]*Tabla2[[#This Row],[Precio por kg]]-Tabla2[[#This Row],[Costos (En RD$/Tarea)]])</f>
        <v>952.773711774949</v>
      </c>
      <c r="O2545" s="9" t="n">
        <f aca="false">IF(Tabla2[[#This Row],[Costos (En RD$/Tarea)]]=0,0,Tabla2[[#This Row],[Beneficio Neto  (En RD$/Tarea)]]/Tabla2[[#This Row],[Costos (En RD$/Tarea)]])</f>
        <v>0.0443966555767825</v>
      </c>
      <c r="P2545" s="7" t="n">
        <f aca="false">Tabla2[[#This Row],[Rentabilidad (%)]]/12</f>
        <v>0.00369972129806521</v>
      </c>
    </row>
    <row r="2546" customFormat="false" ht="14.25" hidden="false" customHeight="false" outlineLevel="0" collapsed="false">
      <c r="A2546" s="1" t="n">
        <v>42979</v>
      </c>
      <c r="B2546" s="2" t="s">
        <v>16</v>
      </c>
      <c r="C2546" s="3" t="n">
        <v>262105</v>
      </c>
      <c r="D2546" s="8" t="s">
        <v>17</v>
      </c>
      <c r="E2546" s="3" t="n">
        <f aca="false">IF(Tabla2[[#This Row],[Frecuencia]]="Annual", Tabla2[[#This Row],[Cosecha/Tarea]]/12,Tabla2[[#This Row],[Cosecha/Tarea]])</f>
        <v>262105</v>
      </c>
      <c r="F2546" s="3" t="n">
        <v>1256616</v>
      </c>
      <c r="G2546" s="2" t="s">
        <v>18</v>
      </c>
      <c r="H2546" s="2" t="n">
        <f aca="false">F2546/Tabla2[[#This Row],[Cosecha Mensual]]</f>
        <v>4.79432288586635</v>
      </c>
      <c r="I2546" s="2" t="n">
        <f aca="false">H2546*_xlfn.XLOOKUP(Tabla2[[#This Row],[Unidad de producción]],Tabla3[Medida],Tabla3[Equivalencia en Kg],"ELVIS",0)</f>
        <v>217.470486102898</v>
      </c>
      <c r="J2546" s="2" t="n">
        <v>2028.67702227723</v>
      </c>
      <c r="K2546" s="2" t="s">
        <v>19</v>
      </c>
      <c r="L2546" s="2" t="n">
        <f aca="false">J2546/_xlfn.XLOOKUP(Tabla2[[#This Row],[Unidad de precio]],Tabla3[Medida],Tabla3[Equivalencia en Kg],"ELVIS",0)</f>
        <v>18.4425183843385</v>
      </c>
      <c r="M2546" s="2" t="n">
        <v>6064.21649453855</v>
      </c>
      <c r="N2546" s="3" t="n">
        <f aca="false">(Tabla2[[#This Row],[Productividad (kg/TAS)]]*Tabla2[[#This Row],[Precio por kg]]-Tabla2[[#This Row],[Costos (En RD$/Tarea)]])</f>
        <v>-2053.51305653484</v>
      </c>
      <c r="O2546" s="9" t="n">
        <f aca="false">IF(Tabla2[[#This Row],[Costos (En RD$/Tarea)]]=0,0,Tabla2[[#This Row],[Beneficio Neto  (En RD$/Tarea)]]/Tabla2[[#This Row],[Costos (En RD$/Tarea)]])</f>
        <v>-0.338627926358539</v>
      </c>
      <c r="P2546" s="7" t="n">
        <f aca="false">Tabla2[[#This Row],[Rentabilidad (%)]]/12</f>
        <v>-0.0282189938632116</v>
      </c>
    </row>
    <row r="2547" customFormat="false" ht="14.25" hidden="false" customHeight="false" outlineLevel="0" collapsed="false">
      <c r="A2547" s="1" t="n">
        <v>42979</v>
      </c>
      <c r="B2547" s="2" t="s">
        <v>20</v>
      </c>
      <c r="C2547" s="3" t="n">
        <v>50045</v>
      </c>
      <c r="D2547" s="8" t="s">
        <v>17</v>
      </c>
      <c r="E2547" s="3" t="n">
        <f aca="false">IF(Tabla2[[#This Row],[Frecuencia]]="Annual", Tabla2[[#This Row],[Cosecha/Tarea]]/12,Tabla2[[#This Row],[Cosecha/Tarea]])</f>
        <v>50045</v>
      </c>
      <c r="F2547" s="3" t="n">
        <v>127048</v>
      </c>
      <c r="G2547" s="2" t="s">
        <v>18</v>
      </c>
      <c r="H2547" s="2" t="n">
        <f aca="false">F2547/Tabla2[[#This Row],[Cosecha Mensual]]</f>
        <v>2.53867519232691</v>
      </c>
      <c r="I2547" s="2" t="n">
        <f aca="false">H2547*_xlfn.XLOOKUP(Tabla2[[#This Row],[Unidad de producción]],Tabla3[Medida],Tabla3[Equivalencia en Kg],"ELVIS",0)</f>
        <v>115.154306723948</v>
      </c>
      <c r="J2547" s="2" t="n">
        <v>831.463541666667</v>
      </c>
      <c r="K2547" s="2" t="s">
        <v>18</v>
      </c>
      <c r="L2547" s="2" t="n">
        <f aca="false">J2547/_xlfn.XLOOKUP(Tabla2[[#This Row],[Unidad de precio]],Tabla3[Medida],Tabla3[Equivalencia en Kg],"ELVIS",0)</f>
        <v>18.3303249926514</v>
      </c>
      <c r="M2547" s="2" t="n">
        <v>2479.0864296156</v>
      </c>
      <c r="N2547" s="3" t="n">
        <f aca="false">(Tabla2[[#This Row],[Productividad (kg/TAS)]]*Tabla2[[#This Row],[Precio por kg]]-Tabla2[[#This Row],[Costos (En RD$/Tarea)]])</f>
        <v>-368.270563062164</v>
      </c>
      <c r="O2547" s="9" t="n">
        <f aca="false">IF(Tabla2[[#This Row],[Costos (En RD$/Tarea)]]=0,0,Tabla2[[#This Row],[Beneficio Neto  (En RD$/Tarea)]]/Tabla2[[#This Row],[Costos (En RD$/Tarea)]])</f>
        <v>-0.148550917250298</v>
      </c>
      <c r="P2547" s="7" t="n">
        <f aca="false">Tabla2[[#This Row],[Rentabilidad (%)]]/12</f>
        <v>-0.0123792431041915</v>
      </c>
    </row>
    <row r="2548" customFormat="false" ht="14.25" hidden="false" customHeight="false" outlineLevel="0" collapsed="false">
      <c r="A2548" s="1" t="n">
        <v>42979</v>
      </c>
      <c r="B2548" s="2" t="s">
        <v>21</v>
      </c>
      <c r="C2548" s="3" t="n">
        <v>7524</v>
      </c>
      <c r="D2548" s="8" t="s">
        <v>17</v>
      </c>
      <c r="E2548" s="3" t="n">
        <f aca="false">IF(Tabla2[[#This Row],[Frecuencia]]="Annual", Tabla2[[#This Row],[Cosecha/Tarea]]/12,Tabla2[[#This Row],[Cosecha/Tarea]])</f>
        <v>7524</v>
      </c>
      <c r="F2548" s="3" t="n">
        <v>79854</v>
      </c>
      <c r="G2548" s="2" t="s">
        <v>18</v>
      </c>
      <c r="H2548" s="2" t="n">
        <f aca="false">F2548/Tabla2[[#This Row],[Cosecha Mensual]]</f>
        <v>10.6132376395534</v>
      </c>
      <c r="I2548" s="2" t="n">
        <f aca="false">H2548*_xlfn.XLOOKUP(Tabla2[[#This Row],[Unidad de producción]],Tabla3[Medida],Tabla3[Equivalencia en Kg],"ELVIS",0)</f>
        <v>481.416459330144</v>
      </c>
      <c r="J2548" s="2" t="n">
        <v>406.108779761905</v>
      </c>
      <c r="K2548" s="2" t="s">
        <v>18</v>
      </c>
      <c r="L2548" s="2" t="n">
        <f aca="false">J2548/_xlfn.XLOOKUP(Tabla2[[#This Row],[Unidad de precio]],Tabla3[Medida],Tabla3[Equivalencia en Kg],"ELVIS",0)</f>
        <v>8.95301542684976</v>
      </c>
      <c r="M2548" s="2" t="n">
        <v>5064.80450774638</v>
      </c>
      <c r="N2548" s="3" t="n">
        <f aca="false">(Tabla2[[#This Row],[Productividad (kg/TAS)]]*Tabla2[[#This Row],[Precio por kg]]-Tabla2[[#This Row],[Costos (En RD$/Tarea)]])</f>
        <v>-754.675520624216</v>
      </c>
      <c r="O2548" s="9" t="n">
        <f aca="false">IF(Tabla2[[#This Row],[Costos (En RD$/Tarea)]]=0,0,Tabla2[[#This Row],[Beneficio Neto  (En RD$/Tarea)]]/Tabla2[[#This Row],[Costos (En RD$/Tarea)]])</f>
        <v>-0.149003879512028</v>
      </c>
      <c r="P2548" s="7" t="n">
        <f aca="false">Tabla2[[#This Row],[Rentabilidad (%)]]/12</f>
        <v>-0.0124169899593356</v>
      </c>
    </row>
    <row r="2549" customFormat="false" ht="14.25" hidden="false" customHeight="false" outlineLevel="0" collapsed="false">
      <c r="A2549" s="1" t="n">
        <v>42979</v>
      </c>
      <c r="B2549" s="2" t="s">
        <v>22</v>
      </c>
      <c r="C2549" s="3" t="n">
        <v>5012</v>
      </c>
      <c r="D2549" s="8" t="s">
        <v>17</v>
      </c>
      <c r="E2549" s="3" t="n">
        <f aca="false">IF(Tabla2[[#This Row],[Frecuencia]]="Annual", Tabla2[[#This Row],[Cosecha/Tarea]]/12,Tabla2[[#This Row],[Cosecha/Tarea]])</f>
        <v>5012</v>
      </c>
      <c r="F2549" s="3" t="n">
        <v>45100</v>
      </c>
      <c r="G2549" s="2" t="s">
        <v>18</v>
      </c>
      <c r="H2549" s="2" t="n">
        <f aca="false">F2549/Tabla2[[#This Row],[Cosecha Mensual]]</f>
        <v>8.99840383080607</v>
      </c>
      <c r="I2549" s="2" t="n">
        <f aca="false">H2549*_xlfn.XLOOKUP(Tabla2[[#This Row],[Unidad de producción]],Tabla3[Medida],Tabla3[Equivalencia en Kg],"ELVIS",0)</f>
        <v>408.167597765363</v>
      </c>
      <c r="J2549" s="2" t="n">
        <v>1968.12319444444</v>
      </c>
      <c r="K2549" s="2" t="s">
        <v>18</v>
      </c>
      <c r="L2549" s="2" t="n">
        <f aca="false">J2549/_xlfn.XLOOKUP(Tabla2[[#This Row],[Unidad de precio]],Tabla3[Medida],Tabla3[Equivalencia en Kg],"ELVIS",0)</f>
        <v>43.388959313149</v>
      </c>
      <c r="M2549" s="2" t="n">
        <v>9358.71441738452</v>
      </c>
      <c r="N2549" s="3" t="n">
        <f aca="false">(Tabla2[[#This Row],[Productividad (kg/TAS)]]*Tabla2[[#This Row],[Precio por kg]]-Tabla2[[#This Row],[Costos (En RD$/Tarea)]])</f>
        <v>8351.2528750026</v>
      </c>
      <c r="O2549" s="9" t="n">
        <f aca="false">IF(Tabla2[[#This Row],[Costos (En RD$/Tarea)]]=0,0,Tabla2[[#This Row],[Beneficio Neto  (En RD$/Tarea)]]/Tabla2[[#This Row],[Costos (En RD$/Tarea)]])</f>
        <v>0.89235043431708</v>
      </c>
      <c r="P2549" s="7" t="n">
        <f aca="false">Tabla2[[#This Row],[Rentabilidad (%)]]/12</f>
        <v>0.07436253619309</v>
      </c>
    </row>
    <row r="2550" customFormat="false" ht="14.25" hidden="false" customHeight="false" outlineLevel="0" collapsed="false">
      <c r="A2550" s="1" t="n">
        <v>42979</v>
      </c>
      <c r="B2550" s="2" t="s">
        <v>23</v>
      </c>
      <c r="C2550" s="3" t="n">
        <v>4425</v>
      </c>
      <c r="D2550" s="8" t="s">
        <v>17</v>
      </c>
      <c r="E2550" s="3" t="n">
        <f aca="false">IF(Tabla2[[#This Row],[Frecuencia]]="Annual", Tabla2[[#This Row],[Cosecha/Tarea]]/12,Tabla2[[#This Row],[Cosecha/Tarea]])</f>
        <v>4425</v>
      </c>
      <c r="F2550" s="3" t="n">
        <v>185485</v>
      </c>
      <c r="G2550" s="2" t="s">
        <v>18</v>
      </c>
      <c r="H2550" s="2" t="n">
        <f aca="false">F2550/Tabla2[[#This Row],[Cosecha Mensual]]</f>
        <v>41.9175141242938</v>
      </c>
      <c r="I2550" s="2" t="n">
        <f aca="false">H2550*_xlfn.XLOOKUP(Tabla2[[#This Row],[Unidad de producción]],Tabla3[Medida],Tabla3[Equivalencia en Kg],"ELVIS",0)</f>
        <v>1901.37844067797</v>
      </c>
      <c r="J2550" s="2" t="n">
        <v>903.125</v>
      </c>
      <c r="K2550" s="2" t="s">
        <v>18</v>
      </c>
      <c r="L2550" s="2" t="n">
        <f aca="false">J2550/_xlfn.XLOOKUP(Tabla2[[#This Row],[Unidad de precio]],Tabla3[Medida],Tabla3[Equivalencia en Kg],"ELVIS",0)</f>
        <v>19.9101631393298</v>
      </c>
      <c r="M2550" s="2" t="n">
        <v>23497.6811528187</v>
      </c>
      <c r="N2550" s="3" t="n">
        <f aca="false">(Tabla2[[#This Row],[Productividad (kg/TAS)]]*Tabla2[[#This Row],[Precio por kg]]-Tabla2[[#This Row],[Costos (En RD$/Tarea)]])</f>
        <v>14359.0737906841</v>
      </c>
      <c r="O2550" s="9" t="n">
        <f aca="false">IF(Tabla2[[#This Row],[Costos (En RD$/Tarea)]]=0,0,Tabla2[[#This Row],[Beneficio Neto  (En RD$/Tarea)]]/Tabla2[[#This Row],[Costos (En RD$/Tarea)]])</f>
        <v>0.611084715010769</v>
      </c>
      <c r="P2550" s="7" t="n">
        <f aca="false">Tabla2[[#This Row],[Rentabilidad (%)]]/12</f>
        <v>0.0509237262508974</v>
      </c>
    </row>
    <row r="2551" customFormat="false" ht="14.25" hidden="false" customHeight="false" outlineLevel="0" collapsed="false">
      <c r="A2551" s="1" t="n">
        <v>42979</v>
      </c>
      <c r="B2551" s="2" t="s">
        <v>24</v>
      </c>
      <c r="C2551" s="3" t="n">
        <v>5003</v>
      </c>
      <c r="D2551" s="8" t="s">
        <v>17</v>
      </c>
      <c r="E2551" s="3" t="n">
        <f aca="false">IF(Tabla2[[#This Row],[Frecuencia]]="Annual", Tabla2[[#This Row],[Cosecha/Tarea]]/12,Tabla2[[#This Row],[Cosecha/Tarea]])</f>
        <v>5003</v>
      </c>
      <c r="F2551" s="3" t="n">
        <v>49164</v>
      </c>
      <c r="G2551" s="2" t="s">
        <v>18</v>
      </c>
      <c r="H2551" s="2" t="n">
        <f aca="false">F2551/Tabla2[[#This Row],[Cosecha Mensual]]</f>
        <v>9.82690385768539</v>
      </c>
      <c r="I2551" s="2" t="n">
        <f aca="false">H2551*_xlfn.XLOOKUP(Tabla2[[#This Row],[Unidad de producción]],Tabla3[Medida],Tabla3[Equivalencia en Kg],"ELVIS",0)</f>
        <v>445.748358984609</v>
      </c>
      <c r="J2551" s="2" t="n">
        <v>1556.86666666667</v>
      </c>
      <c r="K2551" s="2" t="s">
        <v>18</v>
      </c>
      <c r="L2551" s="2" t="n">
        <f aca="false">J2551/_xlfn.XLOOKUP(Tabla2[[#This Row],[Unidad de precio]],Tabla3[Medida],Tabla3[Equivalencia en Kg],"ELVIS",0)</f>
        <v>34.322457378013</v>
      </c>
      <c r="M2551" s="2" t="n">
        <v>9059.4442114896</v>
      </c>
      <c r="N2551" s="3" t="n">
        <f aca="false">(Tabla2[[#This Row],[Productividad (kg/TAS)]]*Tabla2[[#This Row],[Precio por kg]]-Tabla2[[#This Row],[Costos (En RD$/Tarea)]])</f>
        <v>6239.73484107889</v>
      </c>
      <c r="O2551" s="9" t="n">
        <f aca="false">IF(Tabla2[[#This Row],[Costos (En RD$/Tarea)]]=0,0,Tabla2[[#This Row],[Beneficio Neto  (En RD$/Tarea)]]/Tabla2[[#This Row],[Costos (En RD$/Tarea)]])</f>
        <v>0.688754706736356</v>
      </c>
      <c r="P2551" s="7" t="n">
        <f aca="false">Tabla2[[#This Row],[Rentabilidad (%)]]/12</f>
        <v>0.057396225561363</v>
      </c>
    </row>
    <row r="2552" customFormat="false" ht="14.25" hidden="false" customHeight="false" outlineLevel="0" collapsed="false">
      <c r="A2552" s="1" t="n">
        <v>42979</v>
      </c>
      <c r="B2552" s="2" t="s">
        <v>25</v>
      </c>
      <c r="C2552" s="3" t="n">
        <v>30124</v>
      </c>
      <c r="D2552" s="8" t="s">
        <v>17</v>
      </c>
      <c r="E2552" s="3" t="n">
        <f aca="false">IF(Tabla2[[#This Row],[Frecuencia]]="Annual", Tabla2[[#This Row],[Cosecha/Tarea]]/12,Tabla2[[#This Row],[Cosecha/Tarea]])</f>
        <v>30124</v>
      </c>
      <c r="F2552" s="3" t="n">
        <v>325488</v>
      </c>
      <c r="G2552" s="2" t="s">
        <v>18</v>
      </c>
      <c r="H2552" s="2" t="n">
        <f aca="false">F2552/Tabla2[[#This Row],[Cosecha Mensual]]</f>
        <v>10.8049395830567</v>
      </c>
      <c r="I2552" s="2" t="n">
        <f aca="false">H2552*_xlfn.XLOOKUP(Tabla2[[#This Row],[Unidad de producción]],Tabla3[Medida],Tabla3[Equivalencia en Kg],"ELVIS",0)</f>
        <v>490.112059487452</v>
      </c>
      <c r="J2552" s="2" t="n">
        <v>463.0390625</v>
      </c>
      <c r="K2552" s="2" t="s">
        <v>18</v>
      </c>
      <c r="L2552" s="2" t="n">
        <f aca="false">J2552/_xlfn.XLOOKUP(Tabla2[[#This Row],[Unidad de precio]],Tabla3[Medida],Tabla3[Equivalencia en Kg],"ELVIS",0)</f>
        <v>10.2080922067901</v>
      </c>
      <c r="M2552" s="2" t="n">
        <v>4667.26585652655</v>
      </c>
      <c r="N2552" s="3" t="n">
        <f aca="false">(Tabla2[[#This Row],[Productividad (kg/TAS)]]*Tabla2[[#This Row],[Precio por kg]]-Tabla2[[#This Row],[Costos (En RD$/Tarea)]])</f>
        <v>335.843238381164</v>
      </c>
      <c r="O2552" s="9" t="n">
        <f aca="false">IF(Tabla2[[#This Row],[Costos (En RD$/Tarea)]]=0,0,Tabla2[[#This Row],[Beneficio Neto  (En RD$/Tarea)]]/Tabla2[[#This Row],[Costos (En RD$/Tarea)]])</f>
        <v>0.0719571690803797</v>
      </c>
      <c r="P2552" s="7" t="n">
        <f aca="false">Tabla2[[#This Row],[Rentabilidad (%)]]/12</f>
        <v>0.00599643075669831</v>
      </c>
    </row>
    <row r="2553" customFormat="false" ht="14.25" hidden="false" customHeight="false" outlineLevel="0" collapsed="false">
      <c r="A2553" s="1" t="n">
        <v>42979</v>
      </c>
      <c r="B2553" s="2" t="s">
        <v>26</v>
      </c>
      <c r="C2553" s="3" t="n">
        <v>10214</v>
      </c>
      <c r="D2553" s="8" t="s">
        <v>17</v>
      </c>
      <c r="E2553" s="3" t="n">
        <f aca="false">IF(Tabla2[[#This Row],[Frecuencia]]="Annual", Tabla2[[#This Row],[Cosecha/Tarea]]/12,Tabla2[[#This Row],[Cosecha/Tarea]])</f>
        <v>10214</v>
      </c>
      <c r="F2553" s="3" t="n">
        <v>62154</v>
      </c>
      <c r="G2553" s="2" t="s">
        <v>18</v>
      </c>
      <c r="H2553" s="2" t="n">
        <f aca="false">F2553/Tabla2[[#This Row],[Cosecha Mensual]]</f>
        <v>6.08517720775406</v>
      </c>
      <c r="I2553" s="2" t="n">
        <f aca="false">H2553*_xlfn.XLOOKUP(Tabla2[[#This Row],[Unidad de producción]],Tabla3[Medida],Tabla3[Equivalencia en Kg],"ELVIS",0)</f>
        <v>276.023638143724</v>
      </c>
      <c r="J2553" s="2" t="n">
        <v>779.667525</v>
      </c>
      <c r="K2553" s="2" t="s">
        <v>18</v>
      </c>
      <c r="L2553" s="2" t="n">
        <f aca="false">J2553/_xlfn.XLOOKUP(Tabla2[[#This Row],[Unidad de precio]],Tabla3[Medida],Tabla3[Equivalencia en Kg],"ELVIS",0)</f>
        <v>17.1884375</v>
      </c>
      <c r="M2553" s="2" t="n">
        <v>1810.97553022926</v>
      </c>
      <c r="N2553" s="3" t="n">
        <f aca="false">(Tabla2[[#This Row],[Productividad (kg/TAS)]]*Tabla2[[#This Row],[Precio por kg]]-Tabla2[[#This Row],[Costos (En RD$/Tarea)]])</f>
        <v>2933.43952252676</v>
      </c>
      <c r="O2553" s="9" t="n">
        <f aca="false">IF(Tabla2[[#This Row],[Costos (En RD$/Tarea)]]=0,0,Tabla2[[#This Row],[Beneficio Neto  (En RD$/Tarea)]]/Tabla2[[#This Row],[Costos (En RD$/Tarea)]])</f>
        <v>1.61981179400884</v>
      </c>
      <c r="P2553" s="7" t="n">
        <f aca="false">Tabla2[[#This Row],[Rentabilidad (%)]]/12</f>
        <v>0.134984316167403</v>
      </c>
    </row>
    <row r="2554" customFormat="false" ht="14.25" hidden="false" customHeight="false" outlineLevel="0" collapsed="false">
      <c r="A2554" s="1" t="n">
        <v>42979</v>
      </c>
      <c r="B2554" s="2" t="s">
        <v>27</v>
      </c>
      <c r="C2554" s="3" t="n">
        <v>3925</v>
      </c>
      <c r="D2554" s="8" t="s">
        <v>17</v>
      </c>
      <c r="E2554" s="3" t="n">
        <f aca="false">IF(Tabla2[[#This Row],[Frecuencia]]="Annual", Tabla2[[#This Row],[Cosecha/Tarea]]/12,Tabla2[[#This Row],[Cosecha/Tarea]])</f>
        <v>3925</v>
      </c>
      <c r="F2554" s="3" t="n">
        <v>36214</v>
      </c>
      <c r="G2554" s="2" t="s">
        <v>18</v>
      </c>
      <c r="H2554" s="2" t="n">
        <f aca="false">F2554/Tabla2[[#This Row],[Cosecha Mensual]]</f>
        <v>9.22649681528663</v>
      </c>
      <c r="I2554" s="2" t="n">
        <f aca="false">H2554*_xlfn.XLOOKUP(Tabla2[[#This Row],[Unidad de producción]],Tabla3[Medida],Tabla3[Equivalencia en Kg],"ELVIS",0)</f>
        <v>418.513895541401</v>
      </c>
      <c r="J2554" s="2" t="n">
        <v>766.725297619048</v>
      </c>
      <c r="K2554" s="2" t="s">
        <v>18</v>
      </c>
      <c r="L2554" s="2" t="n">
        <f aca="false">J2554/_xlfn.XLOOKUP(Tabla2[[#This Row],[Unidad de precio]],Tabla3[Medida],Tabla3[Equivalencia en Kg],"ELVIS",0)</f>
        <v>16.903115026875</v>
      </c>
      <c r="M2554" s="2" t="n">
        <v>8788.431876469</v>
      </c>
      <c r="N2554" s="3" t="n">
        <f aca="false">(Tabla2[[#This Row],[Productividad (kg/TAS)]]*Tabla2[[#This Row],[Precio por kg]]-Tabla2[[#This Row],[Costos (En RD$/Tarea)]])</f>
        <v>-1714.24335978716</v>
      </c>
      <c r="O2554" s="9" t="n">
        <f aca="false">IF(Tabla2[[#This Row],[Costos (En RD$/Tarea)]]=0,0,Tabla2[[#This Row],[Beneficio Neto  (En RD$/Tarea)]]/Tabla2[[#This Row],[Costos (En RD$/Tarea)]])</f>
        <v>-0.195056795556104</v>
      </c>
      <c r="P2554" s="7" t="n">
        <f aca="false">Tabla2[[#This Row],[Rentabilidad (%)]]/12</f>
        <v>-0.0162547329630087</v>
      </c>
    </row>
    <row r="2555" customFormat="false" ht="14.25" hidden="false" customHeight="false" outlineLevel="0" collapsed="false">
      <c r="A2555" s="1" t="n">
        <v>42979</v>
      </c>
      <c r="B2555" s="2" t="s">
        <v>28</v>
      </c>
      <c r="C2555" s="3" t="n">
        <v>72144</v>
      </c>
      <c r="D2555" s="8" t="s">
        <v>17</v>
      </c>
      <c r="E2555" s="3" t="n">
        <f aca="false">IF(Tabla2[[#This Row],[Frecuencia]]="Annual", Tabla2[[#This Row],[Cosecha/Tarea]]/12,Tabla2[[#This Row],[Cosecha/Tarea]])</f>
        <v>72144</v>
      </c>
      <c r="F2555" s="3" t="n">
        <v>1625844</v>
      </c>
      <c r="G2555" s="2" t="s">
        <v>18</v>
      </c>
      <c r="H2555" s="2" t="n">
        <f aca="false">F2555/Tabla2[[#This Row],[Cosecha Mensual]]</f>
        <v>22.5360944777112</v>
      </c>
      <c r="I2555" s="2" t="n">
        <f aca="false">H2555*_xlfn.XLOOKUP(Tabla2[[#This Row],[Unidad de producción]],Tabla3[Medida],Tabla3[Equivalencia en Kg],"ELVIS",0)</f>
        <v>1022.23724550898</v>
      </c>
      <c r="J2555" s="2" t="n">
        <v>6349.941</v>
      </c>
      <c r="K2555" s="2" t="s">
        <v>29</v>
      </c>
      <c r="L2555" s="2" t="n">
        <f aca="false">J2555/_xlfn.XLOOKUP(Tabla2[[#This Row],[Unidad de precio]],Tabla3[Medida],Tabla3[Equivalencia en Kg],"ELVIS",0)</f>
        <v>11.2919959455134</v>
      </c>
      <c r="M2555" s="2" t="n">
        <v>7106.96492145872</v>
      </c>
      <c r="N2555" s="3" t="n">
        <f aca="false">(Tabla2[[#This Row],[Productividad (kg/TAS)]]*Tabla2[[#This Row],[Precio por kg]]-Tabla2[[#This Row],[Costos (En RD$/Tarea)]])</f>
        <v>4436.13391018148</v>
      </c>
      <c r="O2555" s="9" t="n">
        <f aca="false">IF(Tabla2[[#This Row],[Costos (En RD$/Tarea)]]=0,0,Tabla2[[#This Row],[Beneficio Neto  (En RD$/Tarea)]]/Tabla2[[#This Row],[Costos (En RD$/Tarea)]])</f>
        <v>0.624195273116806</v>
      </c>
      <c r="P2555" s="7" t="n">
        <f aca="false">Tabla2[[#This Row],[Rentabilidad (%)]]/12</f>
        <v>0.0520162727597338</v>
      </c>
    </row>
    <row r="2556" customFormat="false" ht="14.25" hidden="false" customHeight="false" outlineLevel="0" collapsed="false">
      <c r="A2556" s="1" t="n">
        <v>42979</v>
      </c>
      <c r="B2556" s="2" t="s">
        <v>30</v>
      </c>
      <c r="C2556" s="3" t="n">
        <v>415125</v>
      </c>
      <c r="D2556" s="3" t="s">
        <v>31</v>
      </c>
      <c r="E2556" s="3" t="n">
        <f aca="false">IF(Tabla2[[#This Row],[Frecuencia]]="Annual", Tabla2[[#This Row],[Cosecha/Tarea]]/12,Tabla2[[#This Row],[Cosecha/Tarea]])</f>
        <v>34593.75</v>
      </c>
      <c r="F2556" s="3" t="n">
        <v>1980612.6</v>
      </c>
      <c r="G2556" s="2" t="s">
        <v>18</v>
      </c>
      <c r="H2556" s="2" t="n">
        <f aca="false">F2556/Tabla2[[#This Row],[Cosecha Mensual]]</f>
        <v>57.2534807588076</v>
      </c>
      <c r="I2556" s="2" t="n">
        <f aca="false">H2556*_xlfn.XLOOKUP(Tabla2[[#This Row],[Unidad de producción]],Tabla3[Medida],Tabla3[Equivalencia en Kg],"ELVIS",0)</f>
        <v>2597.01788721951</v>
      </c>
      <c r="J2556" s="2" t="n">
        <v>142.964880952381</v>
      </c>
      <c r="K2556" s="2" t="s">
        <v>32</v>
      </c>
      <c r="L2556" s="2" t="n">
        <f aca="false">J2556/_xlfn.XLOOKUP(Tabla2[[#This Row],[Unidad de precio]],Tabla3[Medida],Tabla3[Equivalencia en Kg],"ELVIS",0)</f>
        <v>5.25413013422936</v>
      </c>
      <c r="M2556" s="3" t="n">
        <v>32851.8013523715</v>
      </c>
      <c r="N2556" s="3" t="n">
        <f aca="false">(Tabla2[[#This Row],[Productividad (kg/TAS)]]*Tabla2[[#This Row],[Precio por kg]]-Tabla2[[#This Row],[Costos (En RD$/Tarea)]])</f>
        <v>-19206.7314119988</v>
      </c>
      <c r="O2556" s="9" t="n">
        <f aca="false">IF(Tabla2[[#This Row],[Costos (En RD$/Tarea)]]=0,0,Tabla2[[#This Row],[Beneficio Neto  (En RD$/Tarea)]]/Tabla2[[#This Row],[Costos (En RD$/Tarea)]])</f>
        <v>-0.584647739890595</v>
      </c>
      <c r="P2556" s="7" t="n">
        <f aca="false">Tabla2[[#This Row],[Rentabilidad (%)]]/12</f>
        <v>-0.0487206449908829</v>
      </c>
    </row>
    <row r="2557" customFormat="false" ht="14.25" hidden="false" customHeight="false" outlineLevel="0" collapsed="false">
      <c r="A2557" s="1" t="n">
        <v>42979</v>
      </c>
      <c r="B2557" s="2" t="s">
        <v>33</v>
      </c>
      <c r="C2557" s="3" t="n">
        <v>710245</v>
      </c>
      <c r="D2557" s="3" t="s">
        <v>31</v>
      </c>
      <c r="E2557" s="3" t="n">
        <f aca="false">IF(Tabla2[[#This Row],[Frecuencia]]="Annual", Tabla2[[#This Row],[Cosecha/Tarea]]/12,Tabla2[[#This Row],[Cosecha/Tarea]])</f>
        <v>59187.0833333333</v>
      </c>
      <c r="F2557" s="3" t="n">
        <v>1786932</v>
      </c>
      <c r="G2557" s="2" t="s">
        <v>18</v>
      </c>
      <c r="H2557" s="2" t="n">
        <f aca="false">F2557/Tabla2[[#This Row],[Cosecha Mensual]]</f>
        <v>30.1912494984125</v>
      </c>
      <c r="I2557" s="2" t="n">
        <f aca="false">H2557*_xlfn.XLOOKUP(Tabla2[[#This Row],[Unidad de producción]],Tabla3[Medida],Tabla3[Equivalencia en Kg],"ELVIS",0)</f>
        <v>1369.47507724799</v>
      </c>
      <c r="J2557" s="2" t="n">
        <v>5034.16071428572</v>
      </c>
      <c r="K2557" s="2" t="s">
        <v>34</v>
      </c>
      <c r="L2557" s="2" t="n">
        <f aca="false">J2557/_xlfn.XLOOKUP(Tabla2[[#This Row],[Unidad de precio]],Tabla3[Medida],Tabla3[Equivalencia en Kg],"ELVIS",0)</f>
        <v>12.3340946080748</v>
      </c>
      <c r="M2557" s="3" t="n">
        <v>21460.4838899894</v>
      </c>
      <c r="N2557" s="3" t="n">
        <f aca="false">(Tabla2[[#This Row],[Productividad (kg/TAS)]]*Tabla2[[#This Row],[Precio por kg]]-Tabla2[[#This Row],[Costos (En RD$/Tarea)]])</f>
        <v>-4569.24872381215</v>
      </c>
      <c r="O2557" s="9" t="n">
        <f aca="false">IF(Tabla2[[#This Row],[Costos (En RD$/Tarea)]]=0,0,Tabla2[[#This Row],[Beneficio Neto  (En RD$/Tarea)]]/Tabla2[[#This Row],[Costos (En RD$/Tarea)]])</f>
        <v>-0.212914524538916</v>
      </c>
      <c r="P2557" s="7" t="n">
        <f aca="false">Tabla2[[#This Row],[Rentabilidad (%)]]/12</f>
        <v>-0.0177428770449096</v>
      </c>
    </row>
    <row r="2558" customFormat="false" ht="14.25" hidden="false" customHeight="false" outlineLevel="0" collapsed="false">
      <c r="A2558" s="1" t="n">
        <v>43009</v>
      </c>
      <c r="B2558" s="2" t="s">
        <v>16</v>
      </c>
      <c r="C2558" s="3" t="n">
        <v>521044</v>
      </c>
      <c r="D2558" s="8" t="s">
        <v>17</v>
      </c>
      <c r="E2558" s="3" t="n">
        <f aca="false">IF(Tabla2[[#This Row],[Frecuencia]]="Annual", Tabla2[[#This Row],[Cosecha/Tarea]]/12,Tabla2[[#This Row],[Cosecha/Tarea]])</f>
        <v>521044</v>
      </c>
      <c r="F2558" s="3" t="n">
        <v>2159650</v>
      </c>
      <c r="G2558" s="2" t="s">
        <v>18</v>
      </c>
      <c r="H2558" s="2" t="n">
        <f aca="false">F2558/Tabla2[[#This Row],[Cosecha Mensual]]</f>
        <v>4.14485149046914</v>
      </c>
      <c r="I2558" s="2" t="n">
        <f aca="false">H2558*_xlfn.XLOOKUP(Tabla2[[#This Row],[Unidad de producción]],Tabla3[Medida],Tabla3[Equivalencia en Kg],"ELVIS",0)</f>
        <v>188.01046360768</v>
      </c>
      <c r="J2558" s="2" t="n">
        <v>2018.92202511918</v>
      </c>
      <c r="K2558" s="2" t="s">
        <v>19</v>
      </c>
      <c r="L2558" s="2" t="n">
        <f aca="false">J2558/_xlfn.XLOOKUP(Tabla2[[#This Row],[Unidad de precio]],Tabla3[Medida],Tabla3[Equivalencia en Kg],"ELVIS",0)</f>
        <v>18.3538365919925</v>
      </c>
      <c r="M2558" s="2" t="n">
        <v>6064.21649453855</v>
      </c>
      <c r="N2558" s="3" t="n">
        <f aca="false">(Tabla2[[#This Row],[Productividad (kg/TAS)]]*Tabla2[[#This Row],[Precio por kg]]-Tabla2[[#This Row],[Costos (En RD$/Tarea)]])</f>
        <v>-2613.50316789843</v>
      </c>
      <c r="O2558" s="9" t="n">
        <f aca="false">IF(Tabla2[[#This Row],[Costos (En RD$/Tarea)]]=0,0,Tabla2[[#This Row],[Beneficio Neto  (En RD$/Tarea)]]/Tabla2[[#This Row],[Costos (En RD$/Tarea)]])</f>
        <v>-0.430971283800992</v>
      </c>
      <c r="P2558" s="7" t="n">
        <f aca="false">Tabla2[[#This Row],[Rentabilidad (%)]]/12</f>
        <v>-0.0359142736500827</v>
      </c>
    </row>
    <row r="2559" customFormat="false" ht="14.25" hidden="false" customHeight="false" outlineLevel="0" collapsed="false">
      <c r="A2559" s="1" t="n">
        <v>43009</v>
      </c>
      <c r="B2559" s="2" t="s">
        <v>20</v>
      </c>
      <c r="C2559" s="3" t="n">
        <v>31204</v>
      </c>
      <c r="D2559" s="8" t="s">
        <v>17</v>
      </c>
      <c r="E2559" s="3" t="n">
        <f aca="false">IF(Tabla2[[#This Row],[Frecuencia]]="Annual", Tabla2[[#This Row],[Cosecha/Tarea]]/12,Tabla2[[#This Row],[Cosecha/Tarea]])</f>
        <v>31204</v>
      </c>
      <c r="F2559" s="3" t="n">
        <v>79584</v>
      </c>
      <c r="G2559" s="2" t="s">
        <v>18</v>
      </c>
      <c r="H2559" s="2" t="n">
        <f aca="false">F2559/Tabla2[[#This Row],[Cosecha Mensual]]</f>
        <v>2.55044225099346</v>
      </c>
      <c r="I2559" s="2" t="n">
        <f aca="false">H2559*_xlfn.XLOOKUP(Tabla2[[#This Row],[Unidad de producción]],Tabla3[Medida],Tabla3[Equivalencia en Kg],"ELVIS",0)</f>
        <v>115.688060505063</v>
      </c>
      <c r="J2559" s="2" t="n">
        <v>809.692708333333</v>
      </c>
      <c r="K2559" s="2" t="s">
        <v>18</v>
      </c>
      <c r="L2559" s="2" t="n">
        <f aca="false">J2559/_xlfn.XLOOKUP(Tabla2[[#This Row],[Unidad de precio]],Tabla3[Medida],Tabla3[Equivalencia en Kg],"ELVIS",0)</f>
        <v>17.8503683495003</v>
      </c>
      <c r="M2559" s="2" t="n">
        <v>2479.0864296156</v>
      </c>
      <c r="N2559" s="3" t="n">
        <f aca="false">(Tabla2[[#This Row],[Productividad (kg/TAS)]]*Tabla2[[#This Row],[Precio por kg]]-Tabla2[[#This Row],[Costos (En RD$/Tarea)]])</f>
        <v>-414.011935960942</v>
      </c>
      <c r="O2559" s="9" t="n">
        <f aca="false">IF(Tabla2[[#This Row],[Costos (En RD$/Tarea)]]=0,0,Tabla2[[#This Row],[Beneficio Neto  (En RD$/Tarea)]]/Tabla2[[#This Row],[Costos (En RD$/Tarea)]])</f>
        <v>-0.167001816078327</v>
      </c>
      <c r="P2559" s="7" t="n">
        <f aca="false">Tabla2[[#This Row],[Rentabilidad (%)]]/12</f>
        <v>-0.0139168180065273</v>
      </c>
    </row>
    <row r="2560" customFormat="false" ht="14.25" hidden="false" customHeight="false" outlineLevel="0" collapsed="false">
      <c r="A2560" s="1" t="n">
        <v>43009</v>
      </c>
      <c r="B2560" s="2" t="s">
        <v>21</v>
      </c>
      <c r="C2560" s="3" t="n">
        <v>6672</v>
      </c>
      <c r="D2560" s="8" t="s">
        <v>17</v>
      </c>
      <c r="E2560" s="3" t="n">
        <f aca="false">IF(Tabla2[[#This Row],[Frecuencia]]="Annual", Tabla2[[#This Row],[Cosecha/Tarea]]/12,Tabla2[[#This Row],[Cosecha/Tarea]])</f>
        <v>6672</v>
      </c>
      <c r="F2560" s="3" t="n">
        <v>85886</v>
      </c>
      <c r="G2560" s="2" t="s">
        <v>18</v>
      </c>
      <c r="H2560" s="2" t="n">
        <f aca="false">F2560/Tabla2[[#This Row],[Cosecha Mensual]]</f>
        <v>12.8726019184652</v>
      </c>
      <c r="I2560" s="2" t="n">
        <f aca="false">H2560*_xlfn.XLOOKUP(Tabla2[[#This Row],[Unidad de producción]],Tabla3[Medida],Tabla3[Equivalencia en Kg],"ELVIS",0)</f>
        <v>583.901223021583</v>
      </c>
      <c r="J2560" s="2" t="n">
        <v>420.656398809524</v>
      </c>
      <c r="K2560" s="2" t="s">
        <v>18</v>
      </c>
      <c r="L2560" s="2" t="n">
        <f aca="false">J2560/_xlfn.XLOOKUP(Tabla2[[#This Row],[Unidad de precio]],Tabla3[Medida],Tabla3[Equivalencia en Kg],"ELVIS",0)</f>
        <v>9.2737301324851</v>
      </c>
      <c r="M2560" s="2" t="n">
        <v>5064.80450774638</v>
      </c>
      <c r="N2560" s="3" t="n">
        <f aca="false">(Tabla2[[#This Row],[Productividad (kg/TAS)]]*Tabla2[[#This Row],[Precio por kg]]-Tabla2[[#This Row],[Costos (En RD$/Tarea)]])</f>
        <v>350.137858583772</v>
      </c>
      <c r="O2560" s="9" t="n">
        <f aca="false">IF(Tabla2[[#This Row],[Costos (En RD$/Tarea)]]=0,0,Tabla2[[#This Row],[Beneficio Neto  (En RD$/Tarea)]]/Tabla2[[#This Row],[Costos (En RD$/Tarea)]])</f>
        <v>0.0691315643176854</v>
      </c>
      <c r="P2560" s="7" t="n">
        <f aca="false">Tabla2[[#This Row],[Rentabilidad (%)]]/12</f>
        <v>0.00576096369314045</v>
      </c>
    </row>
    <row r="2561" customFormat="false" ht="14.25" hidden="false" customHeight="false" outlineLevel="0" collapsed="false">
      <c r="A2561" s="1" t="n">
        <v>43009</v>
      </c>
      <c r="B2561" s="2" t="s">
        <v>22</v>
      </c>
      <c r="C2561" s="3" t="n">
        <v>3501</v>
      </c>
      <c r="D2561" s="8" t="s">
        <v>17</v>
      </c>
      <c r="E2561" s="3" t="n">
        <f aca="false">IF(Tabla2[[#This Row],[Frecuencia]]="Annual", Tabla2[[#This Row],[Cosecha/Tarea]]/12,Tabla2[[#This Row],[Cosecha/Tarea]])</f>
        <v>3501</v>
      </c>
      <c r="F2561" s="3" t="n">
        <v>37895</v>
      </c>
      <c r="G2561" s="2" t="s">
        <v>18</v>
      </c>
      <c r="H2561" s="2" t="n">
        <f aca="false">F2561/Tabla2[[#This Row],[Cosecha Mensual]]</f>
        <v>10.824050271351</v>
      </c>
      <c r="I2561" s="2" t="n">
        <f aca="false">H2561*_xlfn.XLOOKUP(Tabla2[[#This Row],[Unidad de producción]],Tabla3[Medida],Tabla3[Equivalencia en Kg],"ELVIS",0)</f>
        <v>490.978920308483</v>
      </c>
      <c r="J2561" s="2" t="n">
        <v>1903.95875</v>
      </c>
      <c r="K2561" s="2" t="s">
        <v>18</v>
      </c>
      <c r="L2561" s="2" t="n">
        <f aca="false">J2561/_xlfn.XLOOKUP(Tabla2[[#This Row],[Unidad de precio]],Tabla3[Medida],Tabla3[Equivalencia en Kg],"ELVIS",0)</f>
        <v>41.9743992504409</v>
      </c>
      <c r="M2561" s="2" t="n">
        <v>9358.71441738452</v>
      </c>
      <c r="N2561" s="3" t="n">
        <f aca="false">(Tabla2[[#This Row],[Productividad (kg/TAS)]]*Tabla2[[#This Row],[Precio por kg]]-Tabla2[[#This Row],[Costos (En RD$/Tarea)]])</f>
        <v>11249.8308071942</v>
      </c>
      <c r="O2561" s="9" t="n">
        <f aca="false">IF(Tabla2[[#This Row],[Costos (En RD$/Tarea)]]=0,0,Tabla2[[#This Row],[Beneficio Neto  (En RD$/Tarea)]]/Tabla2[[#This Row],[Costos (En RD$/Tarea)]])</f>
        <v>1.20207010337838</v>
      </c>
      <c r="P2561" s="7" t="n">
        <f aca="false">Tabla2[[#This Row],[Rentabilidad (%)]]/12</f>
        <v>0.100172508614865</v>
      </c>
    </row>
    <row r="2562" customFormat="false" ht="14.25" hidden="false" customHeight="false" outlineLevel="0" collapsed="false">
      <c r="A2562" s="1" t="n">
        <v>43009</v>
      </c>
      <c r="B2562" s="2" t="s">
        <v>23</v>
      </c>
      <c r="C2562" s="3" t="n">
        <v>3799</v>
      </c>
      <c r="D2562" s="8" t="s">
        <v>17</v>
      </c>
      <c r="E2562" s="3" t="n">
        <f aca="false">IF(Tabla2[[#This Row],[Frecuencia]]="Annual", Tabla2[[#This Row],[Cosecha/Tarea]]/12,Tabla2[[#This Row],[Cosecha/Tarea]])</f>
        <v>3799</v>
      </c>
      <c r="F2562" s="3" t="n">
        <v>152989</v>
      </c>
      <c r="G2562" s="2" t="s">
        <v>18</v>
      </c>
      <c r="H2562" s="2" t="n">
        <f aca="false">F2562/Tabla2[[#This Row],[Cosecha Mensual]]</f>
        <v>40.2708607528297</v>
      </c>
      <c r="I2562" s="2" t="n">
        <f aca="false">H2562*_xlfn.XLOOKUP(Tabla2[[#This Row],[Unidad de producción]],Tabla3[Medida],Tabla3[Equivalencia en Kg],"ELVIS",0)</f>
        <v>1826.68624374835</v>
      </c>
      <c r="J2562" s="2" t="n">
        <v>906.25</v>
      </c>
      <c r="K2562" s="2" t="s">
        <v>18</v>
      </c>
      <c r="L2562" s="2" t="n">
        <f aca="false">J2562/_xlfn.XLOOKUP(Tabla2[[#This Row],[Unidad de precio]],Tabla3[Medida],Tabla3[Equivalencia en Kg],"ELVIS",0)</f>
        <v>19.9790564373898</v>
      </c>
      <c r="M2562" s="2" t="n">
        <v>23497.6811528187</v>
      </c>
      <c r="N2562" s="3" t="n">
        <f aca="false">(Tabla2[[#This Row],[Productividad (kg/TAS)]]*Tabla2[[#This Row],[Precio por kg]]-Tabla2[[#This Row],[Costos (En RD$/Tarea)]])</f>
        <v>12997.7864044332</v>
      </c>
      <c r="O2562" s="9" t="n">
        <f aca="false">IF(Tabla2[[#This Row],[Costos (En RD$/Tarea)]]=0,0,Tabla2[[#This Row],[Beneficio Neto  (En RD$/Tarea)]]/Tabla2[[#This Row],[Costos (En RD$/Tarea)]])</f>
        <v>0.553151875706427</v>
      </c>
      <c r="P2562" s="7" t="n">
        <f aca="false">Tabla2[[#This Row],[Rentabilidad (%)]]/12</f>
        <v>0.0460959896422022</v>
      </c>
    </row>
    <row r="2563" customFormat="false" ht="14.25" hidden="false" customHeight="false" outlineLevel="0" collapsed="false">
      <c r="A2563" s="1" t="n">
        <v>43009</v>
      </c>
      <c r="B2563" s="2" t="s">
        <v>24</v>
      </c>
      <c r="C2563" s="3" t="n">
        <v>5499</v>
      </c>
      <c r="D2563" s="8" t="s">
        <v>17</v>
      </c>
      <c r="E2563" s="3" t="n">
        <f aca="false">IF(Tabla2[[#This Row],[Frecuencia]]="Annual", Tabla2[[#This Row],[Cosecha/Tarea]]/12,Tabla2[[#This Row],[Cosecha/Tarea]])</f>
        <v>5499</v>
      </c>
      <c r="F2563" s="3" t="n">
        <v>56987</v>
      </c>
      <c r="G2563" s="2" t="s">
        <v>18</v>
      </c>
      <c r="H2563" s="2" t="n">
        <f aca="false">F2563/Tabla2[[#This Row],[Cosecha Mensual]]</f>
        <v>10.363156937625</v>
      </c>
      <c r="I2563" s="2" t="n">
        <f aca="false">H2563*_xlfn.XLOOKUP(Tabla2[[#This Row],[Unidad de producción]],Tabla3[Medida],Tabla3[Equivalencia en Kg],"ELVIS",0)</f>
        <v>470.072798690671</v>
      </c>
      <c r="J2563" s="2" t="n">
        <v>2014.84027777778</v>
      </c>
      <c r="K2563" s="2" t="s">
        <v>18</v>
      </c>
      <c r="L2563" s="2" t="n">
        <f aca="false">J2563/_xlfn.XLOOKUP(Tabla2[[#This Row],[Unidad de precio]],Tabla3[Medida],Tabla3[Equivalencia en Kg],"ELVIS",0)</f>
        <v>44.4188773760534</v>
      </c>
      <c r="M2563" s="2" t="n">
        <v>9059.4442114896</v>
      </c>
      <c r="N2563" s="3" t="n">
        <f aca="false">(Tabla2[[#This Row],[Productividad (kg/TAS)]]*Tabla2[[#This Row],[Precio por kg]]-Tabla2[[#This Row],[Costos (En RD$/Tarea)]])</f>
        <v>11820.6617913695</v>
      </c>
      <c r="O2563" s="9" t="n">
        <f aca="false">IF(Tabla2[[#This Row],[Costos (En RD$/Tarea)]]=0,0,Tabla2[[#This Row],[Beneficio Neto  (En RD$/Tarea)]]/Tabla2[[#This Row],[Costos (En RD$/Tarea)]])</f>
        <v>1.30478884967116</v>
      </c>
      <c r="P2563" s="7" t="n">
        <f aca="false">Tabla2[[#This Row],[Rentabilidad (%)]]/12</f>
        <v>0.108732404139263</v>
      </c>
    </row>
    <row r="2564" customFormat="false" ht="14.25" hidden="false" customHeight="false" outlineLevel="0" collapsed="false">
      <c r="A2564" s="1" t="n">
        <v>43009</v>
      </c>
      <c r="B2564" s="2" t="s">
        <v>25</v>
      </c>
      <c r="C2564" s="3" t="n">
        <v>32545</v>
      </c>
      <c r="D2564" s="8" t="s">
        <v>17</v>
      </c>
      <c r="E2564" s="3" t="n">
        <f aca="false">IF(Tabla2[[#This Row],[Frecuencia]]="Annual", Tabla2[[#This Row],[Cosecha/Tarea]]/12,Tabla2[[#This Row],[Cosecha/Tarea]])</f>
        <v>32545</v>
      </c>
      <c r="F2564" s="3" t="n">
        <v>342014</v>
      </c>
      <c r="G2564" s="2" t="s">
        <v>18</v>
      </c>
      <c r="H2564" s="2" t="n">
        <f aca="false">F2564/Tabla2[[#This Row],[Cosecha Mensual]]</f>
        <v>10.508956829006</v>
      </c>
      <c r="I2564" s="2" t="n">
        <f aca="false">H2564*_xlfn.XLOOKUP(Tabla2[[#This Row],[Unidad de producción]],Tabla3[Medida],Tabla3[Equivalencia en Kg],"ELVIS",0)</f>
        <v>476.686281763712</v>
      </c>
      <c r="J2564" s="2" t="n">
        <v>509.373046875</v>
      </c>
      <c r="K2564" s="2" t="s">
        <v>18</v>
      </c>
      <c r="L2564" s="2" t="n">
        <f aca="false">J2564/_xlfn.XLOOKUP(Tabla2[[#This Row],[Unidad de precio]],Tabla3[Medida],Tabla3[Equivalencia en Kg],"ELVIS",0)</f>
        <v>11.229564525463</v>
      </c>
      <c r="M2564" s="2" t="n">
        <v>4667.26585652655</v>
      </c>
      <c r="N2564" s="3" t="n">
        <f aca="false">(Tabla2[[#This Row],[Productividad (kg/TAS)]]*Tabla2[[#This Row],[Precio por kg]]-Tabla2[[#This Row],[Costos (En RD$/Tarea)]])</f>
        <v>685.713502942071</v>
      </c>
      <c r="O2564" s="9" t="n">
        <f aca="false">IF(Tabla2[[#This Row],[Costos (En RD$/Tarea)]]=0,0,Tabla2[[#This Row],[Beneficio Neto  (En RD$/Tarea)]]/Tabla2[[#This Row],[Costos (En RD$/Tarea)]])</f>
        <v>0.146919743597462</v>
      </c>
      <c r="P2564" s="7" t="n">
        <f aca="false">Tabla2[[#This Row],[Rentabilidad (%)]]/12</f>
        <v>0.0122433119664552</v>
      </c>
    </row>
    <row r="2565" customFormat="false" ht="14.25" hidden="false" customHeight="false" outlineLevel="0" collapsed="false">
      <c r="A2565" s="1" t="n">
        <v>43009</v>
      </c>
      <c r="B2565" s="2" t="s">
        <v>26</v>
      </c>
      <c r="C2565" s="3" t="n">
        <v>9521</v>
      </c>
      <c r="D2565" s="8" t="s">
        <v>17</v>
      </c>
      <c r="E2565" s="3" t="n">
        <f aca="false">IF(Tabla2[[#This Row],[Frecuencia]]="Annual", Tabla2[[#This Row],[Cosecha/Tarea]]/12,Tabla2[[#This Row],[Cosecha/Tarea]])</f>
        <v>9521</v>
      </c>
      <c r="F2565" s="3" t="n">
        <v>60124</v>
      </c>
      <c r="G2565" s="2" t="s">
        <v>18</v>
      </c>
      <c r="H2565" s="2" t="n">
        <f aca="false">F2565/Tabla2[[#This Row],[Cosecha Mensual]]</f>
        <v>6.31488289045268</v>
      </c>
      <c r="I2565" s="2" t="n">
        <f aca="false">H2565*_xlfn.XLOOKUP(Tabla2[[#This Row],[Unidad de producción]],Tabla3[Medida],Tabla3[Equivalencia en Kg],"ELVIS",0)</f>
        <v>286.443087910934</v>
      </c>
      <c r="J2565" s="2" t="n">
        <v>828.364583333333</v>
      </c>
      <c r="K2565" s="2" t="s">
        <v>18</v>
      </c>
      <c r="L2565" s="2" t="n">
        <f aca="false">J2565/_xlfn.XLOOKUP(Tabla2[[#This Row],[Unidad de precio]],Tabla3[Medida],Tabla3[Equivalencia en Kg],"ELVIS",0)</f>
        <v>18.2620058054086</v>
      </c>
      <c r="M2565" s="2" t="n">
        <v>1810.97553022926</v>
      </c>
      <c r="N2565" s="3" t="n">
        <f aca="false">(Tabla2[[#This Row],[Productividad (kg/TAS)]]*Tabla2[[#This Row],[Precio por kg]]-Tabla2[[#This Row],[Costos (En RD$/Tarea)]])</f>
        <v>3420.04980411937</v>
      </c>
      <c r="O2565" s="9" t="n">
        <f aca="false">IF(Tabla2[[#This Row],[Costos (En RD$/Tarea)]]=0,0,Tabla2[[#This Row],[Beneficio Neto  (En RD$/Tarea)]]/Tabla2[[#This Row],[Costos (En RD$/Tarea)]])</f>
        <v>1.88851243268119</v>
      </c>
      <c r="P2565" s="7" t="n">
        <f aca="false">Tabla2[[#This Row],[Rentabilidad (%)]]/12</f>
        <v>0.157376036056766</v>
      </c>
    </row>
    <row r="2566" customFormat="false" ht="14.25" hidden="false" customHeight="false" outlineLevel="0" collapsed="false">
      <c r="A2566" s="1" t="n">
        <v>43009</v>
      </c>
      <c r="B2566" s="2" t="s">
        <v>27</v>
      </c>
      <c r="C2566" s="3" t="n">
        <v>3214</v>
      </c>
      <c r="D2566" s="8" t="s">
        <v>17</v>
      </c>
      <c r="E2566" s="3" t="n">
        <f aca="false">IF(Tabla2[[#This Row],[Frecuencia]]="Annual", Tabla2[[#This Row],[Cosecha/Tarea]]/12,Tabla2[[#This Row],[Cosecha/Tarea]])</f>
        <v>3214</v>
      </c>
      <c r="F2566" s="3" t="n">
        <v>32547</v>
      </c>
      <c r="G2566" s="2" t="s">
        <v>18</v>
      </c>
      <c r="H2566" s="2" t="n">
        <f aca="false">F2566/Tabla2[[#This Row],[Cosecha Mensual]]</f>
        <v>10.1266334785314</v>
      </c>
      <c r="I2566" s="2" t="n">
        <f aca="false">H2566*_xlfn.XLOOKUP(Tabla2[[#This Row],[Unidad de producción]],Tabla3[Medida],Tabla3[Equivalencia en Kg],"ELVIS",0)</f>
        <v>459.344094586185</v>
      </c>
      <c r="J2566" s="2" t="n">
        <v>798.238541666667</v>
      </c>
      <c r="K2566" s="2" t="s">
        <v>18</v>
      </c>
      <c r="L2566" s="2" t="n">
        <f aca="false">J2566/_xlfn.XLOOKUP(Tabla2[[#This Row],[Unidad de precio]],Tabla3[Medida],Tabla3[Equivalencia en Kg],"ELVIS",0)</f>
        <v>17.5978514476778</v>
      </c>
      <c r="M2566" s="2" t="n">
        <v>8788.431876469</v>
      </c>
      <c r="N2566" s="3" t="n">
        <f aca="false">(Tabla2[[#This Row],[Productividad (kg/TAS)]]*Tabla2[[#This Row],[Precio por kg]]-Tabla2[[#This Row],[Costos (En RD$/Tarea)]])</f>
        <v>-704.962736573229</v>
      </c>
      <c r="O2566" s="9" t="n">
        <f aca="false">IF(Tabla2[[#This Row],[Costos (En RD$/Tarea)]]=0,0,Tabla2[[#This Row],[Beneficio Neto  (En RD$/Tarea)]]/Tabla2[[#This Row],[Costos (En RD$/Tarea)]])</f>
        <v>-0.0802148490745845</v>
      </c>
      <c r="P2566" s="7" t="n">
        <f aca="false">Tabla2[[#This Row],[Rentabilidad (%)]]/12</f>
        <v>-0.00668457075621538</v>
      </c>
    </row>
    <row r="2567" customFormat="false" ht="14.25" hidden="false" customHeight="false" outlineLevel="0" collapsed="false">
      <c r="A2567" s="1" t="n">
        <v>43009</v>
      </c>
      <c r="B2567" s="2" t="s">
        <v>28</v>
      </c>
      <c r="C2567" s="3" t="n">
        <v>79854</v>
      </c>
      <c r="D2567" s="8" t="s">
        <v>17</v>
      </c>
      <c r="E2567" s="3" t="n">
        <f aca="false">IF(Tabla2[[#This Row],[Frecuencia]]="Annual", Tabla2[[#This Row],[Cosecha/Tarea]]/12,Tabla2[[#This Row],[Cosecha/Tarea]])</f>
        <v>79854</v>
      </c>
      <c r="F2567" s="3" t="n">
        <v>1850892</v>
      </c>
      <c r="G2567" s="2" t="s">
        <v>18</v>
      </c>
      <c r="H2567" s="2" t="n">
        <f aca="false">F2567/Tabla2[[#This Row],[Cosecha Mensual]]</f>
        <v>23.1784506724773</v>
      </c>
      <c r="I2567" s="2" t="n">
        <f aca="false">H2567*_xlfn.XLOOKUP(Tabla2[[#This Row],[Unidad de producción]],Tabla3[Medida],Tabla3[Equivalencia en Kg],"ELVIS",0)</f>
        <v>1051.37452250357</v>
      </c>
      <c r="J2567" s="2" t="n">
        <v>6469.767</v>
      </c>
      <c r="K2567" s="2" t="s">
        <v>29</v>
      </c>
      <c r="L2567" s="2" t="n">
        <f aca="false">J2567/_xlfn.XLOOKUP(Tabla2[[#This Row],[Unidad de precio]],Tabla3[Medida],Tabla3[Equivalencia en Kg],"ELVIS",0)</f>
        <v>11.5050805562471</v>
      </c>
      <c r="M2567" s="2" t="n">
        <v>7106.96492145872</v>
      </c>
      <c r="N2567" s="3" t="n">
        <f aca="false">(Tabla2[[#This Row],[Productividad (kg/TAS)]]*Tabla2[[#This Row],[Precio por kg]]-Tabla2[[#This Row],[Costos (En RD$/Tarea)]])</f>
        <v>4989.18365473068</v>
      </c>
      <c r="O2567" s="9" t="n">
        <f aca="false">IF(Tabla2[[#This Row],[Costos (En RD$/Tarea)]]=0,0,Tabla2[[#This Row],[Beneficio Neto  (En RD$/Tarea)]]/Tabla2[[#This Row],[Costos (En RD$/Tarea)]])</f>
        <v>0.702013265841003</v>
      </c>
      <c r="P2567" s="7" t="n">
        <f aca="false">Tabla2[[#This Row],[Rentabilidad (%)]]/12</f>
        <v>0.0585011054867502</v>
      </c>
    </row>
    <row r="2568" customFormat="false" ht="14.25" hidden="false" customHeight="false" outlineLevel="0" collapsed="false">
      <c r="A2568" s="1" t="n">
        <v>43009</v>
      </c>
      <c r="B2568" s="2" t="s">
        <v>30</v>
      </c>
      <c r="C2568" s="3" t="n">
        <v>418587</v>
      </c>
      <c r="D2568" s="3" t="s">
        <v>31</v>
      </c>
      <c r="E2568" s="3" t="n">
        <f aca="false">IF(Tabla2[[#This Row],[Frecuencia]]="Annual", Tabla2[[#This Row],[Cosecha/Tarea]]/12,Tabla2[[#This Row],[Cosecha/Tarea]])</f>
        <v>34882.25</v>
      </c>
      <c r="F2568" s="3" t="n">
        <v>2292627</v>
      </c>
      <c r="G2568" s="2" t="s">
        <v>18</v>
      </c>
      <c r="H2568" s="2" t="n">
        <f aca="false">F2568/Tabla2[[#This Row],[Cosecha Mensual]]</f>
        <v>65.7247453934308</v>
      </c>
      <c r="I2568" s="2" t="n">
        <f aca="false">H2568*_xlfn.XLOOKUP(Tabla2[[#This Row],[Unidad de producción]],Tabla3[Medida],Tabla3[Equivalencia en Kg],"ELVIS",0)</f>
        <v>2981.27445104602</v>
      </c>
      <c r="J2568" s="2" t="n">
        <v>150.770833333333</v>
      </c>
      <c r="K2568" s="2" t="s">
        <v>32</v>
      </c>
      <c r="L2568" s="2" t="n">
        <f aca="false">J2568/_xlfn.XLOOKUP(Tabla2[[#This Row],[Unidad de precio]],Tabla3[Medida],Tabla3[Equivalencia en Kg],"ELVIS",0)</f>
        <v>5.54100820776674</v>
      </c>
      <c r="M2568" s="3" t="n">
        <v>32851.8013523715</v>
      </c>
      <c r="N2568" s="3" t="n">
        <f aca="false">(Tabla2[[#This Row],[Productividad (kg/TAS)]]*Tabla2[[#This Row],[Precio por kg]]-Tabla2[[#This Row],[Costos (En RD$/Tarea)]])</f>
        <v>-16332.5351495202</v>
      </c>
      <c r="O2568" s="9" t="n">
        <f aca="false">IF(Tabla2[[#This Row],[Costos (En RD$/Tarea)]]=0,0,Tabla2[[#This Row],[Beneficio Neto  (En RD$/Tarea)]]/Tabla2[[#This Row],[Costos (En RD$/Tarea)]])</f>
        <v>-0.49715797847235</v>
      </c>
      <c r="P2568" s="7" t="n">
        <f aca="false">Tabla2[[#This Row],[Rentabilidad (%)]]/12</f>
        <v>-0.0414298315393625</v>
      </c>
    </row>
    <row r="2569" customFormat="false" ht="14.25" hidden="false" customHeight="false" outlineLevel="0" collapsed="false">
      <c r="A2569" s="1" t="n">
        <v>43009</v>
      </c>
      <c r="B2569" s="2" t="s">
        <v>33</v>
      </c>
      <c r="C2569" s="3" t="n">
        <v>751022</v>
      </c>
      <c r="D2569" s="3" t="s">
        <v>31</v>
      </c>
      <c r="E2569" s="3" t="n">
        <f aca="false">IF(Tabla2[[#This Row],[Frecuencia]]="Annual", Tabla2[[#This Row],[Cosecha/Tarea]]/12,Tabla2[[#This Row],[Cosecha/Tarea]])</f>
        <v>62585.1666666667</v>
      </c>
      <c r="F2569" s="3" t="n">
        <v>1431918</v>
      </c>
      <c r="G2569" s="2" t="s">
        <v>18</v>
      </c>
      <c r="H2569" s="2" t="n">
        <f aca="false">F2569/Tabla2[[#This Row],[Cosecha Mensual]]</f>
        <v>22.8795108532107</v>
      </c>
      <c r="I2569" s="2" t="n">
        <f aca="false">H2569*_xlfn.XLOOKUP(Tabla2[[#This Row],[Unidad de producción]],Tabla3[Medida],Tabla3[Equivalencia en Kg],"ELVIS",0)</f>
        <v>1037.81461230164</v>
      </c>
      <c r="J2569" s="2" t="n">
        <v>6070.72916666667</v>
      </c>
      <c r="K2569" s="2" t="s">
        <v>34</v>
      </c>
      <c r="L2569" s="2" t="n">
        <f aca="false">J2569/_xlfn.XLOOKUP(Tabla2[[#This Row],[Unidad de precio]],Tabla3[Medida],Tabla3[Equivalencia en Kg],"ELVIS",0)</f>
        <v>14.8737698558537</v>
      </c>
      <c r="M2569" s="3" t="n">
        <v>21460.4838899894</v>
      </c>
      <c r="N2569" s="3" t="n">
        <f aca="false">(Tabla2[[#This Row],[Productividad (kg/TAS)]]*Tabla2[[#This Row],[Precio por kg]]-Tabla2[[#This Row],[Costos (En RD$/Tarea)]])</f>
        <v>-6024.26819357286</v>
      </c>
      <c r="O2569" s="9" t="n">
        <f aca="false">IF(Tabla2[[#This Row],[Costos (En RD$/Tarea)]]=0,0,Tabla2[[#This Row],[Beneficio Neto  (En RD$/Tarea)]]/Tabla2[[#This Row],[Costos (En RD$/Tarea)]])</f>
        <v>-0.280714462192671</v>
      </c>
      <c r="P2569" s="7" t="n">
        <f aca="false">Tabla2[[#This Row],[Rentabilidad (%)]]/12</f>
        <v>-0.0233928718493893</v>
      </c>
    </row>
    <row r="2570" customFormat="false" ht="14.25" hidden="false" customHeight="false" outlineLevel="0" collapsed="false">
      <c r="A2570" s="1" t="n">
        <v>43040</v>
      </c>
      <c r="B2570" s="2" t="s">
        <v>16</v>
      </c>
      <c r="C2570" s="3" t="n">
        <v>465898</v>
      </c>
      <c r="D2570" s="8" t="s">
        <v>17</v>
      </c>
      <c r="E2570" s="3" t="n">
        <f aca="false">IF(Tabla2[[#This Row],[Frecuencia]]="Annual", Tabla2[[#This Row],[Cosecha/Tarea]]/12,Tabla2[[#This Row],[Cosecha/Tarea]])</f>
        <v>465898</v>
      </c>
      <c r="F2570" s="3" t="n">
        <v>1789989</v>
      </c>
      <c r="G2570" s="2" t="s">
        <v>18</v>
      </c>
      <c r="H2570" s="2" t="n">
        <f aca="false">F2570/Tabla2[[#This Row],[Cosecha Mensual]]</f>
        <v>3.84201906855149</v>
      </c>
      <c r="I2570" s="2" t="n">
        <f aca="false">H2570*_xlfn.XLOOKUP(Tabla2[[#This Row],[Unidad de producción]],Tabla3[Medida],Tabla3[Equivalencia en Kg],"ELVIS",0)</f>
        <v>174.273984949495</v>
      </c>
      <c r="J2570" s="2" t="n">
        <v>2051.477059956</v>
      </c>
      <c r="K2570" s="2" t="s">
        <v>19</v>
      </c>
      <c r="L2570" s="2" t="n">
        <f aca="false">J2570/_xlfn.XLOOKUP(Tabla2[[#This Row],[Unidad de precio]],Tabla3[Medida],Tabla3[Equivalencia en Kg],"ELVIS",0)</f>
        <v>18.6497914541455</v>
      </c>
      <c r="M2570" s="2" t="n">
        <v>6064.21649453855</v>
      </c>
      <c r="N2570" s="3" t="n">
        <f aca="false">(Tabla2[[#This Row],[Productividad (kg/TAS)]]*Tabla2[[#This Row],[Precio por kg]]-Tabla2[[#This Row],[Costos (En RD$/Tarea)]])</f>
        <v>-2814.04301934758</v>
      </c>
      <c r="O2570" s="9" t="n">
        <f aca="false">IF(Tabla2[[#This Row],[Costos (En RD$/Tarea)]]=0,0,Tabla2[[#This Row],[Beneficio Neto  (En RD$/Tarea)]]/Tabla2[[#This Row],[Costos (En RD$/Tarea)]])</f>
        <v>-0.464040659148946</v>
      </c>
      <c r="P2570" s="7" t="n">
        <f aca="false">Tabla2[[#This Row],[Rentabilidad (%)]]/12</f>
        <v>-0.0386700549290788</v>
      </c>
    </row>
    <row r="2571" customFormat="false" ht="14.25" hidden="false" customHeight="false" outlineLevel="0" collapsed="false">
      <c r="A2571" s="1" t="n">
        <v>43040</v>
      </c>
      <c r="B2571" s="2" t="s">
        <v>20</v>
      </c>
      <c r="C2571" s="3" t="n">
        <v>36987</v>
      </c>
      <c r="D2571" s="8" t="s">
        <v>17</v>
      </c>
      <c r="E2571" s="3" t="n">
        <f aca="false">IF(Tabla2[[#This Row],[Frecuencia]]="Annual", Tabla2[[#This Row],[Cosecha/Tarea]]/12,Tabla2[[#This Row],[Cosecha/Tarea]])</f>
        <v>36987</v>
      </c>
      <c r="F2571" s="3" t="n">
        <v>62169</v>
      </c>
      <c r="G2571" s="2" t="s">
        <v>18</v>
      </c>
      <c r="H2571" s="2" t="n">
        <f aca="false">F2571/Tabla2[[#This Row],[Cosecha Mensual]]</f>
        <v>1.68083380647254</v>
      </c>
      <c r="I2571" s="2" t="n">
        <f aca="false">H2571*_xlfn.XLOOKUP(Tabla2[[#This Row],[Unidad de producción]],Tabla3[Medida],Tabla3[Equivalencia en Kg],"ELVIS",0)</f>
        <v>76.2426214615946</v>
      </c>
      <c r="J2571" s="2" t="n">
        <v>824.888541666667</v>
      </c>
      <c r="K2571" s="2" t="s">
        <v>18</v>
      </c>
      <c r="L2571" s="2" t="n">
        <f aca="false">J2571/_xlfn.XLOOKUP(Tabla2[[#This Row],[Unidad de precio]],Tabla3[Medida],Tabla3[Equivalencia en Kg],"ELVIS",0)</f>
        <v>18.1853734935332</v>
      </c>
      <c r="M2571" s="2" t="n">
        <v>2479.0864296156</v>
      </c>
      <c r="N2571" s="3" t="n">
        <f aca="false">(Tabla2[[#This Row],[Productividad (kg/TAS)]]*Tabla2[[#This Row],[Precio por kg]]-Tabla2[[#This Row],[Costos (En RD$/Tarea)]])</f>
        <v>-1092.58588221043</v>
      </c>
      <c r="O2571" s="9" t="n">
        <f aca="false">IF(Tabla2[[#This Row],[Costos (En RD$/Tarea)]]=0,0,Tabla2[[#This Row],[Beneficio Neto  (En RD$/Tarea)]]/Tabla2[[#This Row],[Costos (En RD$/Tarea)]])</f>
        <v>-0.440721174202806</v>
      </c>
      <c r="P2571" s="7" t="n">
        <f aca="false">Tabla2[[#This Row],[Rentabilidad (%)]]/12</f>
        <v>-0.0367267645169005</v>
      </c>
    </row>
    <row r="2572" customFormat="false" ht="14.25" hidden="false" customHeight="false" outlineLevel="0" collapsed="false">
      <c r="A2572" s="1" t="n">
        <v>43040</v>
      </c>
      <c r="B2572" s="2" t="s">
        <v>21</v>
      </c>
      <c r="C2572" s="3" t="n">
        <v>12345</v>
      </c>
      <c r="D2572" s="8" t="s">
        <v>17</v>
      </c>
      <c r="E2572" s="3" t="n">
        <f aca="false">IF(Tabla2[[#This Row],[Frecuencia]]="Annual", Tabla2[[#This Row],[Cosecha/Tarea]]/12,Tabla2[[#This Row],[Cosecha/Tarea]])</f>
        <v>12345</v>
      </c>
      <c r="F2572" s="3" t="n">
        <v>91851</v>
      </c>
      <c r="G2572" s="2" t="s">
        <v>18</v>
      </c>
      <c r="H2572" s="2" t="n">
        <f aca="false">F2572/Tabla2[[#This Row],[Cosecha Mensual]]</f>
        <v>7.44034021871203</v>
      </c>
      <c r="I2572" s="2" t="n">
        <f aca="false">H2572*_xlfn.XLOOKUP(Tabla2[[#This Row],[Unidad de producción]],Tabla3[Medida],Tabla3[Equivalencia en Kg],"ELVIS",0)</f>
        <v>337.493832320778</v>
      </c>
      <c r="J2572" s="2" t="n">
        <v>428.969821428571</v>
      </c>
      <c r="K2572" s="2" t="s">
        <v>18</v>
      </c>
      <c r="L2572" s="2" t="n">
        <f aca="false">J2572/_xlfn.XLOOKUP(Tabla2[[#This Row],[Unidad de precio]],Tabla3[Medida],Tabla3[Equivalencia en Kg],"ELVIS",0)</f>
        <v>9.45700664525068</v>
      </c>
      <c r="M2572" s="2" t="n">
        <v>5064.80450774638</v>
      </c>
      <c r="N2572" s="3" t="n">
        <f aca="false">(Tabla2[[#This Row],[Productividad (kg/TAS)]]*Tabla2[[#This Row],[Precio por kg]]-Tabla2[[#This Row],[Costos (En RD$/Tarea)]])</f>
        <v>-1873.12309275767</v>
      </c>
      <c r="O2572" s="9" t="n">
        <f aca="false">IF(Tabla2[[#This Row],[Costos (En RD$/Tarea)]]=0,0,Tabla2[[#This Row],[Beneficio Neto  (En RD$/Tarea)]]/Tabla2[[#This Row],[Costos (En RD$/Tarea)]])</f>
        <v>-0.369831271847277</v>
      </c>
      <c r="P2572" s="7" t="n">
        <f aca="false">Tabla2[[#This Row],[Rentabilidad (%)]]/12</f>
        <v>-0.0308192726539398</v>
      </c>
    </row>
    <row r="2573" customFormat="false" ht="14.25" hidden="false" customHeight="false" outlineLevel="0" collapsed="false">
      <c r="A2573" s="1" t="n">
        <v>43040</v>
      </c>
      <c r="B2573" s="2" t="s">
        <v>22</v>
      </c>
      <c r="C2573" s="3" t="n">
        <v>5698</v>
      </c>
      <c r="D2573" s="8" t="s">
        <v>17</v>
      </c>
      <c r="E2573" s="3" t="n">
        <f aca="false">IF(Tabla2[[#This Row],[Frecuencia]]="Annual", Tabla2[[#This Row],[Cosecha/Tarea]]/12,Tabla2[[#This Row],[Cosecha/Tarea]])</f>
        <v>5698</v>
      </c>
      <c r="F2573" s="3" t="n">
        <v>51202</v>
      </c>
      <c r="G2573" s="2" t="s">
        <v>18</v>
      </c>
      <c r="H2573" s="2" t="n">
        <f aca="false">F2573/Tabla2[[#This Row],[Cosecha Mensual]]</f>
        <v>8.98595998595999</v>
      </c>
      <c r="I2573" s="2" t="n">
        <f aca="false">H2573*_xlfn.XLOOKUP(Tabla2[[#This Row],[Unidad de producción]],Tabla3[Medida],Tabla3[Equivalencia en Kg],"ELVIS",0)</f>
        <v>407.603144963145</v>
      </c>
      <c r="J2573" s="2" t="n">
        <v>1755.14416666667</v>
      </c>
      <c r="K2573" s="2" t="s">
        <v>18</v>
      </c>
      <c r="L2573" s="2" t="n">
        <f aca="false">J2573/_xlfn.XLOOKUP(Tabla2[[#This Row],[Unidad de precio]],Tabla3[Medida],Tabla3[Equivalencia en Kg],"ELVIS",0)</f>
        <v>38.6936544679601</v>
      </c>
      <c r="M2573" s="2" t="n">
        <v>9358.71441738452</v>
      </c>
      <c r="N2573" s="3" t="n">
        <f aca="false">(Tabla2[[#This Row],[Productividad (kg/TAS)]]*Tabla2[[#This Row],[Precio por kg]]-Tabla2[[#This Row],[Costos (En RD$/Tarea)]])</f>
        <v>6412.94083387326</v>
      </c>
      <c r="O2573" s="9" t="n">
        <f aca="false">IF(Tabla2[[#This Row],[Costos (En RD$/Tarea)]]=0,0,Tabla2[[#This Row],[Beneficio Neto  (En RD$/Tarea)]]/Tabla2[[#This Row],[Costos (En RD$/Tarea)]])</f>
        <v>0.685237367854792</v>
      </c>
      <c r="P2573" s="7" t="n">
        <f aca="false">Tabla2[[#This Row],[Rentabilidad (%)]]/12</f>
        <v>0.0571031139878993</v>
      </c>
    </row>
    <row r="2574" customFormat="false" ht="14.25" hidden="false" customHeight="false" outlineLevel="0" collapsed="false">
      <c r="A2574" s="1" t="n">
        <v>43040</v>
      </c>
      <c r="B2574" s="2" t="s">
        <v>23</v>
      </c>
      <c r="C2574" s="3" t="n">
        <v>5202</v>
      </c>
      <c r="D2574" s="8" t="s">
        <v>17</v>
      </c>
      <c r="E2574" s="3" t="n">
        <f aca="false">IF(Tabla2[[#This Row],[Frecuencia]]="Annual", Tabla2[[#This Row],[Cosecha/Tarea]]/12,Tabla2[[#This Row],[Cosecha/Tarea]])</f>
        <v>5202</v>
      </c>
      <c r="F2574" s="3" t="n">
        <v>175620</v>
      </c>
      <c r="G2574" s="2" t="s">
        <v>18</v>
      </c>
      <c r="H2574" s="2" t="n">
        <f aca="false">F2574/Tabla2[[#This Row],[Cosecha Mensual]]</f>
        <v>33.760092272203</v>
      </c>
      <c r="I2574" s="2" t="n">
        <f aca="false">H2574*_xlfn.XLOOKUP(Tabla2[[#This Row],[Unidad de producción]],Tabla3[Medida],Tabla3[Equivalencia en Kg],"ELVIS",0)</f>
        <v>1531.35778546713</v>
      </c>
      <c r="J2574" s="2" t="n">
        <v>1065</v>
      </c>
      <c r="K2574" s="2" t="s">
        <v>18</v>
      </c>
      <c r="L2574" s="2" t="n">
        <f aca="false">J2574/_xlfn.XLOOKUP(Tabla2[[#This Row],[Unidad de precio]],Tabla3[Medida],Tabla3[Equivalencia en Kg],"ELVIS",0)</f>
        <v>23.478835978836</v>
      </c>
      <c r="M2574" s="2" t="n">
        <v>23497.6811528187</v>
      </c>
      <c r="N2574" s="3" t="n">
        <f aca="false">(Tabla2[[#This Row],[Productividad (kg/TAS)]]*Tabla2[[#This Row],[Precio por kg]]-Tabla2[[#This Row],[Costos (En RD$/Tarea)]])</f>
        <v>12456.8171170775</v>
      </c>
      <c r="O2574" s="9" t="n">
        <f aca="false">IF(Tabla2[[#This Row],[Costos (En RD$/Tarea)]]=0,0,Tabla2[[#This Row],[Beneficio Neto  (En RD$/Tarea)]]/Tabla2[[#This Row],[Costos (En RD$/Tarea)]])</f>
        <v>0.530129634327054</v>
      </c>
      <c r="P2574" s="7" t="n">
        <f aca="false">Tabla2[[#This Row],[Rentabilidad (%)]]/12</f>
        <v>0.0441774695272545</v>
      </c>
    </row>
    <row r="2575" customFormat="false" ht="14.25" hidden="false" customHeight="false" outlineLevel="0" collapsed="false">
      <c r="A2575" s="1" t="n">
        <v>43040</v>
      </c>
      <c r="B2575" s="2" t="s">
        <v>24</v>
      </c>
      <c r="C2575" s="3" t="n">
        <v>6958</v>
      </c>
      <c r="D2575" s="8" t="s">
        <v>17</v>
      </c>
      <c r="E2575" s="3" t="n">
        <f aca="false">IF(Tabla2[[#This Row],[Frecuencia]]="Annual", Tabla2[[#This Row],[Cosecha/Tarea]]/12,Tabla2[[#This Row],[Cosecha/Tarea]])</f>
        <v>6958</v>
      </c>
      <c r="F2575" s="3" t="n">
        <v>51029</v>
      </c>
      <c r="G2575" s="2" t="s">
        <v>18</v>
      </c>
      <c r="H2575" s="2" t="n">
        <f aca="false">F2575/Tabla2[[#This Row],[Cosecha Mensual]]</f>
        <v>7.33386030468525</v>
      </c>
      <c r="I2575" s="2" t="n">
        <f aca="false">H2575*_xlfn.XLOOKUP(Tabla2[[#This Row],[Unidad de producción]],Tabla3[Medida],Tabla3[Equivalencia en Kg],"ELVIS",0)</f>
        <v>332.663903420523</v>
      </c>
      <c r="J2575" s="2" t="n">
        <v>1847.13802083333</v>
      </c>
      <c r="K2575" s="2" t="s">
        <v>18</v>
      </c>
      <c r="L2575" s="2" t="n">
        <f aca="false">J2575/_xlfn.XLOOKUP(Tabla2[[#This Row],[Unidad de precio]],Tabla3[Medida],Tabla3[Equivalencia en Kg],"ELVIS",0)</f>
        <v>40.7217376726925</v>
      </c>
      <c r="M2575" s="2" t="n">
        <v>9059.4442114896</v>
      </c>
      <c r="N2575" s="3" t="n">
        <f aca="false">(Tabla2[[#This Row],[Productividad (kg/TAS)]]*Tabla2[[#This Row],[Precio por kg]]-Tabla2[[#This Row],[Costos (En RD$/Tarea)]])</f>
        <v>4487.20799677485</v>
      </c>
      <c r="O2575" s="9" t="n">
        <f aca="false">IF(Tabla2[[#This Row],[Costos (En RD$/Tarea)]]=0,0,Tabla2[[#This Row],[Beneficio Neto  (En RD$/Tarea)]]/Tabla2[[#This Row],[Costos (En RD$/Tarea)]])</f>
        <v>0.495307205610247</v>
      </c>
      <c r="P2575" s="7" t="n">
        <f aca="false">Tabla2[[#This Row],[Rentabilidad (%)]]/12</f>
        <v>0.0412756004675206</v>
      </c>
    </row>
    <row r="2576" customFormat="false" ht="14.25" hidden="false" customHeight="false" outlineLevel="0" collapsed="false">
      <c r="A2576" s="1" t="n">
        <v>43040</v>
      </c>
      <c r="B2576" s="2" t="s">
        <v>25</v>
      </c>
      <c r="C2576" s="3" t="n">
        <v>46987</v>
      </c>
      <c r="D2576" s="8" t="s">
        <v>17</v>
      </c>
      <c r="E2576" s="3" t="n">
        <f aca="false">IF(Tabla2[[#This Row],[Frecuencia]]="Annual", Tabla2[[#This Row],[Cosecha/Tarea]]/12,Tabla2[[#This Row],[Cosecha/Tarea]])</f>
        <v>46987</v>
      </c>
      <c r="F2576" s="3" t="n">
        <v>423541</v>
      </c>
      <c r="G2576" s="2" t="s">
        <v>18</v>
      </c>
      <c r="H2576" s="2" t="n">
        <f aca="false">F2576/Tabla2[[#This Row],[Cosecha Mensual]]</f>
        <v>9.0140038734118</v>
      </c>
      <c r="I2576" s="2" t="n">
        <f aca="false">H2576*_xlfn.XLOOKUP(Tabla2[[#This Row],[Unidad de producción]],Tabla3[Medida],Tabla3[Equivalencia en Kg],"ELVIS",0)</f>
        <v>408.875215697959</v>
      </c>
      <c r="J2576" s="2" t="n">
        <v>710.113541666667</v>
      </c>
      <c r="K2576" s="2" t="s">
        <v>18</v>
      </c>
      <c r="L2576" s="2" t="n">
        <f aca="false">J2576/_xlfn.XLOOKUP(Tabla2[[#This Row],[Unidad de precio]],Tabla3[Medida],Tabla3[Equivalencia en Kg],"ELVIS",0)</f>
        <v>15.6550604423868</v>
      </c>
      <c r="M2576" s="2" t="n">
        <v>4667.26585652655</v>
      </c>
      <c r="N2576" s="3" t="n">
        <f aca="false">(Tabla2[[#This Row],[Productividad (kg/TAS)]]*Tabla2[[#This Row],[Precio por kg]]-Tabla2[[#This Row],[Costos (En RD$/Tarea)]])</f>
        <v>1733.70035861895</v>
      </c>
      <c r="O2576" s="9" t="n">
        <f aca="false">IF(Tabla2[[#This Row],[Costos (En RD$/Tarea)]]=0,0,Tabla2[[#This Row],[Beneficio Neto  (En RD$/Tarea)]]/Tabla2[[#This Row],[Costos (En RD$/Tarea)]])</f>
        <v>0.371459525108175</v>
      </c>
      <c r="P2576" s="7" t="n">
        <f aca="false">Tabla2[[#This Row],[Rentabilidad (%)]]/12</f>
        <v>0.0309549604256813</v>
      </c>
    </row>
    <row r="2577" customFormat="false" ht="14.25" hidden="false" customHeight="false" outlineLevel="0" collapsed="false">
      <c r="A2577" s="1" t="n">
        <v>43040</v>
      </c>
      <c r="B2577" s="2" t="s">
        <v>26</v>
      </c>
      <c r="C2577" s="3" t="n">
        <v>11569</v>
      </c>
      <c r="D2577" s="8" t="s">
        <v>17</v>
      </c>
      <c r="E2577" s="3" t="n">
        <f aca="false">IF(Tabla2[[#This Row],[Frecuencia]]="Annual", Tabla2[[#This Row],[Cosecha/Tarea]]/12,Tabla2[[#This Row],[Cosecha/Tarea]])</f>
        <v>11569</v>
      </c>
      <c r="F2577" s="3" t="n">
        <v>75019</v>
      </c>
      <c r="G2577" s="2" t="s">
        <v>18</v>
      </c>
      <c r="H2577" s="2" t="n">
        <f aca="false">F2577/Tabla2[[#This Row],[Cosecha Mensual]]</f>
        <v>6.48448439796007</v>
      </c>
      <c r="I2577" s="2" t="n">
        <f aca="false">H2577*_xlfn.XLOOKUP(Tabla2[[#This Row],[Unidad de producción]],Tabla3[Medida],Tabla3[Equivalencia en Kg],"ELVIS",0)</f>
        <v>294.136212291469</v>
      </c>
      <c r="J2577" s="2" t="n">
        <v>905.759375</v>
      </c>
      <c r="K2577" s="2" t="s">
        <v>18</v>
      </c>
      <c r="L2577" s="2" t="n">
        <f aca="false">J2577/_xlfn.XLOOKUP(Tabla2[[#This Row],[Unidad de precio]],Tabla3[Medida],Tabla3[Equivalencia en Kg],"ELVIS",0)</f>
        <v>19.9682401895944</v>
      </c>
      <c r="M2577" s="2" t="n">
        <v>1810.97553022926</v>
      </c>
      <c r="N2577" s="3" t="n">
        <f aca="false">(Tabla2[[#This Row],[Productividad (kg/TAS)]]*Tabla2[[#This Row],[Precio por kg]]-Tabla2[[#This Row],[Costos (En RD$/Tarea)]])</f>
        <v>4062.4070052643</v>
      </c>
      <c r="O2577" s="9" t="n">
        <f aca="false">IF(Tabla2[[#This Row],[Costos (En RD$/Tarea)]]=0,0,Tabla2[[#This Row],[Beneficio Neto  (En RD$/Tarea)]]/Tabla2[[#This Row],[Costos (En RD$/Tarea)]])</f>
        <v>2.24321474114563</v>
      </c>
      <c r="P2577" s="7" t="n">
        <f aca="false">Tabla2[[#This Row],[Rentabilidad (%)]]/12</f>
        <v>0.186934561762136</v>
      </c>
    </row>
    <row r="2578" customFormat="false" ht="14.25" hidden="false" customHeight="false" outlineLevel="0" collapsed="false">
      <c r="A2578" s="1" t="n">
        <v>43040</v>
      </c>
      <c r="B2578" s="2" t="s">
        <v>27</v>
      </c>
      <c r="C2578" s="3" t="n">
        <v>6021</v>
      </c>
      <c r="D2578" s="8" t="s">
        <v>17</v>
      </c>
      <c r="E2578" s="3" t="n">
        <f aca="false">IF(Tabla2[[#This Row],[Frecuencia]]="Annual", Tabla2[[#This Row],[Cosecha/Tarea]]/12,Tabla2[[#This Row],[Cosecha/Tarea]])</f>
        <v>6021</v>
      </c>
      <c r="F2578" s="3" t="n">
        <v>34526</v>
      </c>
      <c r="G2578" s="2" t="s">
        <v>18</v>
      </c>
      <c r="H2578" s="2" t="n">
        <f aca="false">F2578/Tabla2[[#This Row],[Cosecha Mensual]]</f>
        <v>5.73426341139346</v>
      </c>
      <c r="I2578" s="2" t="n">
        <f aca="false">H2578*_xlfn.XLOOKUP(Tabla2[[#This Row],[Unidad de producción]],Tabla3[Medida],Tabla3[Equivalencia en Kg],"ELVIS",0)</f>
        <v>260.106188340807</v>
      </c>
      <c r="J2578" s="2" t="n">
        <v>703.992666666667</v>
      </c>
      <c r="K2578" s="2" t="s">
        <v>18</v>
      </c>
      <c r="L2578" s="2" t="n">
        <f aca="false">J2578/_xlfn.XLOOKUP(Tabla2[[#This Row],[Unidad de precio]],Tabla3[Medida],Tabla3[Equivalencia en Kg],"ELVIS",0)</f>
        <v>15.5201205173427</v>
      </c>
      <c r="M2578" s="2" t="n">
        <v>8788.431876469</v>
      </c>
      <c r="N2578" s="3" t="n">
        <f aca="false">(Tabla2[[#This Row],[Productividad (kg/TAS)]]*Tabla2[[#This Row],[Precio por kg]]-Tabla2[[#This Row],[Costos (En RD$/Tarea)]])</f>
        <v>-4751.55248611302</v>
      </c>
      <c r="O2578" s="9" t="n">
        <f aca="false">IF(Tabla2[[#This Row],[Costos (En RD$/Tarea)]]=0,0,Tabla2[[#This Row],[Beneficio Neto  (En RD$/Tarea)]]/Tabla2[[#This Row],[Costos (En RD$/Tarea)]])</f>
        <v>-0.540659875720866</v>
      </c>
      <c r="P2578" s="7" t="n">
        <f aca="false">Tabla2[[#This Row],[Rentabilidad (%)]]/12</f>
        <v>-0.0450549896434055</v>
      </c>
    </row>
    <row r="2579" customFormat="false" ht="14.25" hidden="false" customHeight="false" outlineLevel="0" collapsed="false">
      <c r="A2579" s="1" t="n">
        <v>43040</v>
      </c>
      <c r="B2579" s="2" t="s">
        <v>28</v>
      </c>
      <c r="C2579" s="3" t="n">
        <v>64251</v>
      </c>
      <c r="D2579" s="8" t="s">
        <v>17</v>
      </c>
      <c r="E2579" s="3" t="n">
        <f aca="false">IF(Tabla2[[#This Row],[Frecuencia]]="Annual", Tabla2[[#This Row],[Cosecha/Tarea]]/12,Tabla2[[#This Row],[Cosecha/Tarea]])</f>
        <v>64251</v>
      </c>
      <c r="F2579" s="3" t="n">
        <v>947820</v>
      </c>
      <c r="G2579" s="2" t="s">
        <v>18</v>
      </c>
      <c r="H2579" s="2" t="n">
        <f aca="false">F2579/Tabla2[[#This Row],[Cosecha Mensual]]</f>
        <v>14.7518326563011</v>
      </c>
      <c r="I2579" s="2" t="n">
        <f aca="false">H2579*_xlfn.XLOOKUP(Tabla2[[#This Row],[Unidad de producción]],Tabla3[Medida],Tabla3[Equivalencia en Kg],"ELVIS",0)</f>
        <v>669.143129289816</v>
      </c>
      <c r="J2579" s="2" t="n">
        <v>7564.87490079365</v>
      </c>
      <c r="K2579" s="2" t="s">
        <v>29</v>
      </c>
      <c r="L2579" s="2" t="n">
        <f aca="false">J2579/_xlfn.XLOOKUP(Tabla2[[#This Row],[Unidad de precio]],Tabla3[Medida],Tabla3[Equivalencia en Kg],"ELVIS",0)</f>
        <v>13.4524929771911</v>
      </c>
      <c r="M2579" s="2" t="n">
        <v>7106.96492145872</v>
      </c>
      <c r="N2579" s="3" t="n">
        <f aca="false">(Tabla2[[#This Row],[Productividad (kg/TAS)]]*Tabla2[[#This Row],[Precio por kg]]-Tabla2[[#This Row],[Costos (En RD$/Tarea)]])</f>
        <v>1894.67832604822</v>
      </c>
      <c r="O2579" s="9" t="n">
        <f aca="false">IF(Tabla2[[#This Row],[Costos (En RD$/Tarea)]]=0,0,Tabla2[[#This Row],[Beneficio Neto  (En RD$/Tarea)]]/Tabla2[[#This Row],[Costos (En RD$/Tarea)]])</f>
        <v>0.266594579681608</v>
      </c>
      <c r="P2579" s="7" t="n">
        <f aca="false">Tabla2[[#This Row],[Rentabilidad (%)]]/12</f>
        <v>0.0222162149734673</v>
      </c>
    </row>
    <row r="2580" customFormat="false" ht="14.25" hidden="false" customHeight="false" outlineLevel="0" collapsed="false">
      <c r="A2580" s="1" t="n">
        <v>43040</v>
      </c>
      <c r="B2580" s="2" t="s">
        <v>30</v>
      </c>
      <c r="C2580" s="3" t="n">
        <v>365487</v>
      </c>
      <c r="D2580" s="3" t="s">
        <v>31</v>
      </c>
      <c r="E2580" s="3" t="n">
        <f aca="false">IF(Tabla2[[#This Row],[Frecuencia]]="Annual", Tabla2[[#This Row],[Cosecha/Tarea]]/12,Tabla2[[#This Row],[Cosecha/Tarea]])</f>
        <v>30457.25</v>
      </c>
      <c r="F2580" s="3" t="n">
        <v>1506147.6</v>
      </c>
      <c r="G2580" s="2" t="s">
        <v>18</v>
      </c>
      <c r="H2580" s="2" t="n">
        <f aca="false">F2580/Tabla2[[#This Row],[Cosecha Mensual]]</f>
        <v>49.4512012739167</v>
      </c>
      <c r="I2580" s="2" t="n">
        <f aca="false">H2580*_xlfn.XLOOKUP(Tabla2[[#This Row],[Unidad de producción]],Tabla3[Medida],Tabla3[Equivalencia en Kg],"ELVIS",0)</f>
        <v>2243.10648978486</v>
      </c>
      <c r="J2580" s="2" t="n">
        <v>171.097395833333</v>
      </c>
      <c r="K2580" s="2" t="s">
        <v>32</v>
      </c>
      <c r="L2580" s="2" t="n">
        <f aca="false">J2580/_xlfn.XLOOKUP(Tabla2[[#This Row],[Unidad de precio]],Tabla3[Medida],Tabla3[Equivalencia en Kg],"ELVIS",0)</f>
        <v>6.28803365796887</v>
      </c>
      <c r="M2580" s="3" t="n">
        <v>32851.8013523715</v>
      </c>
      <c r="N2580" s="3" t="n">
        <f aca="false">(Tabla2[[#This Row],[Productividad (kg/TAS)]]*Tabla2[[#This Row],[Precio por kg]]-Tabla2[[#This Row],[Costos (En RD$/Tarea)]])</f>
        <v>-18747.0722461959</v>
      </c>
      <c r="O2580" s="9" t="n">
        <f aca="false">IF(Tabla2[[#This Row],[Costos (En RD$/Tarea)]]=0,0,Tabla2[[#This Row],[Beneficio Neto  (En RD$/Tarea)]]/Tabla2[[#This Row],[Costos (En RD$/Tarea)]])</f>
        <v>-0.570655838476345</v>
      </c>
      <c r="P2580" s="7" t="n">
        <f aca="false">Tabla2[[#This Row],[Rentabilidad (%)]]/12</f>
        <v>-0.0475546532063621</v>
      </c>
    </row>
    <row r="2581" customFormat="false" ht="14.25" hidden="false" customHeight="false" outlineLevel="0" collapsed="false">
      <c r="A2581" s="1" t="n">
        <v>43040</v>
      </c>
      <c r="B2581" s="2" t="s">
        <v>33</v>
      </c>
      <c r="C2581" s="3" t="n">
        <v>734985</v>
      </c>
      <c r="D2581" s="3" t="s">
        <v>31</v>
      </c>
      <c r="E2581" s="3" t="n">
        <f aca="false">IF(Tabla2[[#This Row],[Frecuencia]]="Annual", Tabla2[[#This Row],[Cosecha/Tarea]]/12,Tabla2[[#This Row],[Cosecha/Tarea]])</f>
        <v>61248.75</v>
      </c>
      <c r="F2581" s="3" t="n">
        <v>1205901</v>
      </c>
      <c r="G2581" s="2" t="s">
        <v>18</v>
      </c>
      <c r="H2581" s="2" t="n">
        <f aca="false">F2581/Tabla2[[#This Row],[Cosecha Mensual]]</f>
        <v>19.6885813996204</v>
      </c>
      <c r="I2581" s="2" t="n">
        <f aca="false">H2581*_xlfn.XLOOKUP(Tabla2[[#This Row],[Unidad de producción]],Tabla3[Medida],Tabla3[Equivalencia en Kg],"ELVIS",0)</f>
        <v>893.074052286781</v>
      </c>
      <c r="J2581" s="2" t="n">
        <v>8039.78541666667</v>
      </c>
      <c r="K2581" s="2" t="s">
        <v>34</v>
      </c>
      <c r="L2581" s="2" t="n">
        <f aca="false">J2581/_xlfn.XLOOKUP(Tabla2[[#This Row],[Unidad de precio]],Tabla3[Medida],Tabla3[Equivalencia en Kg],"ELVIS",0)</f>
        <v>19.6981144595533</v>
      </c>
      <c r="M2581" s="3" t="n">
        <v>21460.4838899894</v>
      </c>
      <c r="N2581" s="3" t="n">
        <f aca="false">(Tabla2[[#This Row],[Productividad (kg/TAS)]]*Tabla2[[#This Row],[Precio por kg]]-Tabla2[[#This Row],[Costos (En RD$/Tarea)]])</f>
        <v>-3868.60898718731</v>
      </c>
      <c r="O2581" s="9" t="n">
        <f aca="false">IF(Tabla2[[#This Row],[Costos (En RD$/Tarea)]]=0,0,Tabla2[[#This Row],[Beneficio Neto  (En RD$/Tarea)]]/Tabla2[[#This Row],[Costos (En RD$/Tarea)]])</f>
        <v>-0.180266624323037</v>
      </c>
      <c r="P2581" s="7" t="n">
        <f aca="false">Tabla2[[#This Row],[Rentabilidad (%)]]/12</f>
        <v>-0.0150222186935864</v>
      </c>
    </row>
    <row r="2582" customFormat="false" ht="14.25" hidden="false" customHeight="false" outlineLevel="0" collapsed="false">
      <c r="A2582" s="1" t="n">
        <v>43070</v>
      </c>
      <c r="B2582" s="2" t="s">
        <v>16</v>
      </c>
      <c r="C2582" s="3" t="n">
        <v>101989</v>
      </c>
      <c r="D2582" s="8" t="s">
        <v>17</v>
      </c>
      <c r="E2582" s="3" t="n">
        <f aca="false">IF(Tabla2[[#This Row],[Frecuencia]]="Annual", Tabla2[[#This Row],[Cosecha/Tarea]]/12,Tabla2[[#This Row],[Cosecha/Tarea]])</f>
        <v>101989</v>
      </c>
      <c r="F2582" s="3" t="n">
        <v>401245</v>
      </c>
      <c r="G2582" s="2" t="s">
        <v>18</v>
      </c>
      <c r="H2582" s="2" t="n">
        <f aca="false">F2582/Tabla2[[#This Row],[Cosecha Mensual]]</f>
        <v>3.9341987861436</v>
      </c>
      <c r="I2582" s="2" t="n">
        <f aca="false">H2582*_xlfn.XLOOKUP(Tabla2[[#This Row],[Unidad de producción]],Tabla3[Medida],Tabla3[Equivalencia en Kg],"ELVIS",0)</f>
        <v>178.455256939474</v>
      </c>
      <c r="J2582" s="2" t="n">
        <v>2059.39523744041</v>
      </c>
      <c r="K2582" s="2" t="s">
        <v>19</v>
      </c>
      <c r="L2582" s="2" t="n">
        <f aca="false">J2582/_xlfn.XLOOKUP(Tabla2[[#This Row],[Unidad de precio]],Tabla3[Medida],Tabla3[Equivalencia en Kg],"ELVIS",0)</f>
        <v>18.7217748858219</v>
      </c>
      <c r="M2582" s="2" t="n">
        <v>6064.21649453855</v>
      </c>
      <c r="N2582" s="3" t="n">
        <f aca="false">(Tabla2[[#This Row],[Productividad (kg/TAS)]]*Tabla2[[#This Row],[Precio por kg]]-Tabla2[[#This Row],[Costos (En RD$/Tarea)]])</f>
        <v>-2723.21734692621</v>
      </c>
      <c r="O2582" s="9" t="n">
        <f aca="false">IF(Tabla2[[#This Row],[Costos (En RD$/Tarea)]]=0,0,Tabla2[[#This Row],[Beneficio Neto  (En RD$/Tarea)]]/Tabla2[[#This Row],[Costos (En RD$/Tarea)]])</f>
        <v>-0.449063345508649</v>
      </c>
      <c r="P2582" s="7" t="n">
        <f aca="false">Tabla2[[#This Row],[Rentabilidad (%)]]/12</f>
        <v>-0.0374219454590541</v>
      </c>
    </row>
    <row r="2583" customFormat="false" ht="14.25" hidden="false" customHeight="false" outlineLevel="0" collapsed="false">
      <c r="A2583" s="1" t="n">
        <v>43070</v>
      </c>
      <c r="B2583" s="2" t="s">
        <v>20</v>
      </c>
      <c r="C2583" s="3" t="n">
        <v>50214</v>
      </c>
      <c r="D2583" s="8" t="s">
        <v>17</v>
      </c>
      <c r="E2583" s="3" t="n">
        <f aca="false">IF(Tabla2[[#This Row],[Frecuencia]]="Annual", Tabla2[[#This Row],[Cosecha/Tarea]]/12,Tabla2[[#This Row],[Cosecha/Tarea]])</f>
        <v>50214</v>
      </c>
      <c r="F2583" s="3" t="n">
        <v>94218</v>
      </c>
      <c r="G2583" s="2" t="s">
        <v>18</v>
      </c>
      <c r="H2583" s="2" t="n">
        <f aca="false">F2583/Tabla2[[#This Row],[Cosecha Mensual]]</f>
        <v>1.87632931055084</v>
      </c>
      <c r="I2583" s="2" t="n">
        <f aca="false">H2583*_xlfn.XLOOKUP(Tabla2[[#This Row],[Unidad de producción]],Tabla3[Medida],Tabla3[Equivalencia en Kg],"ELVIS",0)</f>
        <v>85.1102975265862</v>
      </c>
      <c r="J2583" s="2" t="n">
        <v>848.286458333333</v>
      </c>
      <c r="K2583" s="2" t="s">
        <v>18</v>
      </c>
      <c r="L2583" s="2" t="n">
        <f aca="false">J2583/_xlfn.XLOOKUP(Tabla2[[#This Row],[Unidad de precio]],Tabla3[Medida],Tabla3[Equivalencia en Kg],"ELVIS",0)</f>
        <v>18.7012005805409</v>
      </c>
      <c r="M2583" s="2" t="n">
        <v>2479.0864296156</v>
      </c>
      <c r="N2583" s="3" t="n">
        <f aca="false">(Tabla2[[#This Row],[Productividad (kg/TAS)]]*Tabla2[[#This Row],[Precio por kg]]-Tabla2[[#This Row],[Costos (En RD$/Tarea)]])</f>
        <v>-887.421684101401</v>
      </c>
      <c r="O2583" s="9" t="n">
        <f aca="false">IF(Tabla2[[#This Row],[Costos (En RD$/Tarea)]]=0,0,Tabla2[[#This Row],[Beneficio Neto  (En RD$/Tarea)]]/Tabla2[[#This Row],[Costos (En RD$/Tarea)]])</f>
        <v>-0.357963188979661</v>
      </c>
      <c r="P2583" s="7" t="n">
        <f aca="false">Tabla2[[#This Row],[Rentabilidad (%)]]/12</f>
        <v>-0.0298302657483051</v>
      </c>
    </row>
    <row r="2584" customFormat="false" ht="14.25" hidden="false" customHeight="false" outlineLevel="0" collapsed="false">
      <c r="A2584" s="1" t="n">
        <v>43070</v>
      </c>
      <c r="B2584" s="2" t="s">
        <v>21</v>
      </c>
      <c r="C2584" s="3" t="n">
        <v>8965</v>
      </c>
      <c r="D2584" s="8" t="s">
        <v>17</v>
      </c>
      <c r="E2584" s="3" t="n">
        <f aca="false">IF(Tabla2[[#This Row],[Frecuencia]]="Annual", Tabla2[[#This Row],[Cosecha/Tarea]]/12,Tabla2[[#This Row],[Cosecha/Tarea]])</f>
        <v>8965</v>
      </c>
      <c r="F2584" s="3" t="n">
        <v>95498</v>
      </c>
      <c r="G2584" s="2" t="s">
        <v>18</v>
      </c>
      <c r="H2584" s="2" t="n">
        <f aca="false">F2584/Tabla2[[#This Row],[Cosecha Mensual]]</f>
        <v>10.652314556609</v>
      </c>
      <c r="I2584" s="2" t="n">
        <f aca="false">H2584*_xlfn.XLOOKUP(Tabla2[[#This Row],[Unidad de producción]],Tabla3[Medida],Tabla3[Equivalencia en Kg],"ELVIS",0)</f>
        <v>483.188988287786</v>
      </c>
      <c r="J2584" s="2" t="n">
        <v>707.053571428571</v>
      </c>
      <c r="K2584" s="2" t="s">
        <v>18</v>
      </c>
      <c r="L2584" s="2" t="n">
        <f aca="false">J2584/_xlfn.XLOOKUP(Tabla2[[#This Row],[Unidad de precio]],Tabla3[Medida],Tabla3[Equivalencia en Kg],"ELVIS",0)</f>
        <v>15.5876007810532</v>
      </c>
      <c r="M2584" s="2" t="n">
        <v>5064.80450774638</v>
      </c>
      <c r="N2584" s="3" t="n">
        <f aca="false">(Tabla2[[#This Row],[Productividad (kg/TAS)]]*Tabla2[[#This Row],[Precio por kg]]-Tabla2[[#This Row],[Costos (En RD$/Tarea)]])</f>
        <v>2466.95254348459</v>
      </c>
      <c r="O2584" s="9" t="n">
        <f aca="false">IF(Tabla2[[#This Row],[Costos (En RD$/Tarea)]]=0,0,Tabla2[[#This Row],[Beneficio Neto  (En RD$/Tarea)]]/Tabla2[[#This Row],[Costos (En RD$/Tarea)]])</f>
        <v>0.487077544594565</v>
      </c>
      <c r="P2584" s="7" t="n">
        <f aca="false">Tabla2[[#This Row],[Rentabilidad (%)]]/12</f>
        <v>0.0405897953828804</v>
      </c>
    </row>
    <row r="2585" customFormat="false" ht="14.25" hidden="false" customHeight="false" outlineLevel="0" collapsed="false">
      <c r="A2585" s="1" t="n">
        <v>43070</v>
      </c>
      <c r="B2585" s="2" t="s">
        <v>22</v>
      </c>
      <c r="C2585" s="3" t="n">
        <v>7098</v>
      </c>
      <c r="D2585" s="8" t="s">
        <v>17</v>
      </c>
      <c r="E2585" s="3" t="n">
        <f aca="false">IF(Tabla2[[#This Row],[Frecuencia]]="Annual", Tabla2[[#This Row],[Cosecha/Tarea]]/12,Tabla2[[#This Row],[Cosecha/Tarea]])</f>
        <v>7098</v>
      </c>
      <c r="F2585" s="3" t="n">
        <v>61024</v>
      </c>
      <c r="G2585" s="2" t="s">
        <v>18</v>
      </c>
      <c r="H2585" s="2" t="n">
        <f aca="false">F2585/Tabla2[[#This Row],[Cosecha Mensual]]</f>
        <v>8.59735136658214</v>
      </c>
      <c r="I2585" s="2" t="n">
        <f aca="false">H2585*_xlfn.XLOOKUP(Tabla2[[#This Row],[Unidad de producción]],Tabla3[Medida],Tabla3[Equivalencia en Kg],"ELVIS",0)</f>
        <v>389.975857988166</v>
      </c>
      <c r="J2585" s="2" t="n">
        <v>1875.92083333333</v>
      </c>
      <c r="K2585" s="2" t="s">
        <v>18</v>
      </c>
      <c r="L2585" s="2" t="n">
        <f aca="false">J2585/_xlfn.XLOOKUP(Tabla2[[#This Row],[Unidad de precio]],Tabla3[Medida],Tabla3[Equivalencia en Kg],"ELVIS",0)</f>
        <v>41.3562793944738</v>
      </c>
      <c r="M2585" s="2" t="n">
        <v>9358.71441738452</v>
      </c>
      <c r="N2585" s="3" t="n">
        <f aca="false">(Tabla2[[#This Row],[Productividad (kg/TAS)]]*Tabla2[[#This Row],[Precio por kg]]-Tabla2[[#This Row],[Costos (En RD$/Tarea)]])</f>
        <v>6769.23612267368</v>
      </c>
      <c r="O2585" s="9" t="n">
        <f aca="false">IF(Tabla2[[#This Row],[Costos (En RD$/Tarea)]]=0,0,Tabla2[[#This Row],[Beneficio Neto  (En RD$/Tarea)]]/Tabla2[[#This Row],[Costos (En RD$/Tarea)]])</f>
        <v>0.723308332830342</v>
      </c>
      <c r="P2585" s="7" t="n">
        <f aca="false">Tabla2[[#This Row],[Rentabilidad (%)]]/12</f>
        <v>0.0602756944025285</v>
      </c>
    </row>
    <row r="2586" customFormat="false" ht="14.25" hidden="false" customHeight="false" outlineLevel="0" collapsed="false">
      <c r="A2586" s="1" t="n">
        <v>43070</v>
      </c>
      <c r="B2586" s="2" t="s">
        <v>23</v>
      </c>
      <c r="C2586" s="3" t="n">
        <v>4490</v>
      </c>
      <c r="D2586" s="8" t="s">
        <v>17</v>
      </c>
      <c r="E2586" s="3" t="n">
        <f aca="false">IF(Tabla2[[#This Row],[Frecuencia]]="Annual", Tabla2[[#This Row],[Cosecha/Tarea]]/12,Tabla2[[#This Row],[Cosecha/Tarea]])</f>
        <v>4490</v>
      </c>
      <c r="F2586" s="3" t="n">
        <v>161397</v>
      </c>
      <c r="G2586" s="2" t="s">
        <v>18</v>
      </c>
      <c r="H2586" s="2" t="n">
        <f aca="false">F2586/Tabla2[[#This Row],[Cosecha Mensual]]</f>
        <v>35.9458797327394</v>
      </c>
      <c r="I2586" s="2" t="n">
        <f aca="false">H2586*_xlfn.XLOOKUP(Tabla2[[#This Row],[Unidad de producción]],Tabla3[Medida],Tabla3[Equivalencia en Kg],"ELVIS",0)</f>
        <v>1630.50510467706</v>
      </c>
      <c r="J2586" s="2" t="n">
        <v>1456.25</v>
      </c>
      <c r="K2586" s="2" t="s">
        <v>18</v>
      </c>
      <c r="L2586" s="2" t="n">
        <f aca="false">J2586/_xlfn.XLOOKUP(Tabla2[[#This Row],[Unidad de precio]],Tabla3[Medida],Tabla3[Equivalencia en Kg],"ELVIS",0)</f>
        <v>32.1042768959436</v>
      </c>
      <c r="M2586" s="2" t="n">
        <v>23497.6811528187</v>
      </c>
      <c r="N2586" s="3" t="n">
        <f aca="false">(Tabla2[[#This Row],[Productividad (kg/TAS)]]*Tabla2[[#This Row],[Precio por kg]]-Tabla2[[#This Row],[Costos (En RD$/Tarea)]])</f>
        <v>28848.5062079831</v>
      </c>
      <c r="O2586" s="9" t="n">
        <f aca="false">IF(Tabla2[[#This Row],[Costos (En RD$/Tarea)]]=0,0,Tabla2[[#This Row],[Beneficio Neto  (En RD$/Tarea)]]/Tabla2[[#This Row],[Costos (En RD$/Tarea)]])</f>
        <v>1.22771715304012</v>
      </c>
      <c r="P2586" s="7" t="n">
        <f aca="false">Tabla2[[#This Row],[Rentabilidad (%)]]/12</f>
        <v>0.102309762753343</v>
      </c>
    </row>
    <row r="2587" customFormat="false" ht="14.25" hidden="false" customHeight="false" outlineLevel="0" collapsed="false">
      <c r="A2587" s="1" t="n">
        <v>43070</v>
      </c>
      <c r="B2587" s="2" t="s">
        <v>24</v>
      </c>
      <c r="C2587" s="3" t="n">
        <v>8452</v>
      </c>
      <c r="D2587" s="8" t="s">
        <v>17</v>
      </c>
      <c r="E2587" s="3" t="n">
        <f aca="false">IF(Tabla2[[#This Row],[Frecuencia]]="Annual", Tabla2[[#This Row],[Cosecha/Tarea]]/12,Tabla2[[#This Row],[Cosecha/Tarea]])</f>
        <v>8452</v>
      </c>
      <c r="F2587" s="3" t="n">
        <v>84578</v>
      </c>
      <c r="G2587" s="2" t="s">
        <v>18</v>
      </c>
      <c r="H2587" s="2" t="n">
        <f aca="false">F2587/Tabla2[[#This Row],[Cosecha Mensual]]</f>
        <v>10.0068622811169</v>
      </c>
      <c r="I2587" s="2" t="n">
        <f aca="false">H2587*_xlfn.XLOOKUP(Tabla2[[#This Row],[Unidad de producción]],Tabla3[Medida],Tabla3[Equivalencia en Kg],"ELVIS",0)</f>
        <v>453.911273071462</v>
      </c>
      <c r="J2587" s="2" t="n">
        <v>1809.80357142857</v>
      </c>
      <c r="K2587" s="2" t="s">
        <v>18</v>
      </c>
      <c r="L2587" s="2" t="n">
        <f aca="false">J2587/_xlfn.XLOOKUP(Tabla2[[#This Row],[Unidad de precio]],Tabla3[Medida],Tabla3[Equivalencia en Kg],"ELVIS",0)</f>
        <v>39.8986678004535</v>
      </c>
      <c r="M2587" s="2" t="n">
        <v>9059.4442114896</v>
      </c>
      <c r="N2587" s="3" t="n">
        <f aca="false">(Tabla2[[#This Row],[Productividad (kg/TAS)]]*Tabla2[[#This Row],[Precio por kg]]-Tabla2[[#This Row],[Costos (En RD$/Tarea)]])</f>
        <v>9051.0108836696</v>
      </c>
      <c r="O2587" s="9" t="n">
        <f aca="false">IF(Tabla2[[#This Row],[Costos (En RD$/Tarea)]]=0,0,Tabla2[[#This Row],[Beneficio Neto  (En RD$/Tarea)]]/Tabla2[[#This Row],[Costos (En RD$/Tarea)]])</f>
        <v>0.999069112009178</v>
      </c>
      <c r="P2587" s="7" t="n">
        <f aca="false">Tabla2[[#This Row],[Rentabilidad (%)]]/12</f>
        <v>0.0832557593340982</v>
      </c>
    </row>
    <row r="2588" customFormat="false" ht="14.25" hidden="false" customHeight="false" outlineLevel="0" collapsed="false">
      <c r="A2588" s="1" t="n">
        <v>43070</v>
      </c>
      <c r="B2588" s="2" t="s">
        <v>25</v>
      </c>
      <c r="C2588" s="3" t="n">
        <v>29412</v>
      </c>
      <c r="D2588" s="8" t="s">
        <v>17</v>
      </c>
      <c r="E2588" s="3" t="n">
        <f aca="false">IF(Tabla2[[#This Row],[Frecuencia]]="Annual", Tabla2[[#This Row],[Cosecha/Tarea]]/12,Tabla2[[#This Row],[Cosecha/Tarea]])</f>
        <v>29412</v>
      </c>
      <c r="F2588" s="3" t="n">
        <v>338547</v>
      </c>
      <c r="G2588" s="2" t="s">
        <v>18</v>
      </c>
      <c r="H2588" s="2" t="n">
        <f aca="false">F2588/Tabla2[[#This Row],[Cosecha Mensual]]</f>
        <v>11.5105059159527</v>
      </c>
      <c r="I2588" s="2" t="n">
        <f aca="false">H2588*_xlfn.XLOOKUP(Tabla2[[#This Row],[Unidad de producción]],Tabla3[Medida],Tabla3[Equivalencia en Kg],"ELVIS",0)</f>
        <v>522.116548347613</v>
      </c>
      <c r="J2588" s="2" t="n">
        <v>755.222222222222</v>
      </c>
      <c r="K2588" s="2" t="s">
        <v>18</v>
      </c>
      <c r="L2588" s="2" t="n">
        <f aca="false">J2588/_xlfn.XLOOKUP(Tabla2[[#This Row],[Unidad de precio]],Tabla3[Medida],Tabla3[Equivalencia en Kg],"ELVIS",0)</f>
        <v>16.6495198902606</v>
      </c>
      <c r="M2588" s="2" t="n">
        <v>4667.26585652655</v>
      </c>
      <c r="N2588" s="3" t="n">
        <f aca="false">(Tabla2[[#This Row],[Productividad (kg/TAS)]]*Tabla2[[#This Row],[Precio por kg]]-Tabla2[[#This Row],[Costos (En RD$/Tarea)]])</f>
        <v>4025.72400022126</v>
      </c>
      <c r="O2588" s="9" t="n">
        <f aca="false">IF(Tabla2[[#This Row],[Costos (En RD$/Tarea)]]=0,0,Tabla2[[#This Row],[Beneficio Neto  (En RD$/Tarea)]]/Tabla2[[#This Row],[Costos (En RD$/Tarea)]])</f>
        <v>0.862544394078563</v>
      </c>
      <c r="P2588" s="7" t="n">
        <f aca="false">Tabla2[[#This Row],[Rentabilidad (%)]]/12</f>
        <v>0.0718786995065469</v>
      </c>
    </row>
    <row r="2589" customFormat="false" ht="14.25" hidden="false" customHeight="false" outlineLevel="0" collapsed="false">
      <c r="A2589" s="1" t="n">
        <v>43070</v>
      </c>
      <c r="B2589" s="2" t="s">
        <v>26</v>
      </c>
      <c r="C2589" s="3" t="n">
        <v>13452</v>
      </c>
      <c r="D2589" s="8" t="s">
        <v>17</v>
      </c>
      <c r="E2589" s="3" t="n">
        <f aca="false">IF(Tabla2[[#This Row],[Frecuencia]]="Annual", Tabla2[[#This Row],[Cosecha/Tarea]]/12,Tabla2[[#This Row],[Cosecha/Tarea]])</f>
        <v>13452</v>
      </c>
      <c r="F2589" s="3" t="n">
        <v>95478</v>
      </c>
      <c r="G2589" s="2" t="s">
        <v>18</v>
      </c>
      <c r="H2589" s="2" t="n">
        <f aca="false">F2589/Tabla2[[#This Row],[Cosecha Mensual]]</f>
        <v>7.09768064228368</v>
      </c>
      <c r="I2589" s="2" t="n">
        <f aca="false">H2589*_xlfn.XLOOKUP(Tabla2[[#This Row],[Unidad de producción]],Tabla3[Medida],Tabla3[Equivalencia en Kg],"ELVIS",0)</f>
        <v>321.950793933988</v>
      </c>
      <c r="J2589" s="2" t="n">
        <v>952.25</v>
      </c>
      <c r="K2589" s="2" t="s">
        <v>18</v>
      </c>
      <c r="L2589" s="2" t="n">
        <f aca="false">J2589/_xlfn.XLOOKUP(Tabla2[[#This Row],[Unidad de precio]],Tabla3[Medida],Tabla3[Equivalencia en Kg],"ELVIS",0)</f>
        <v>20.9931657848325</v>
      </c>
      <c r="M2589" s="2" t="n">
        <v>1810.97553022926</v>
      </c>
      <c r="N2589" s="3" t="n">
        <f aca="false">(Tabla2[[#This Row],[Productividad (kg/TAS)]]*Tabla2[[#This Row],[Precio por kg]]-Tabla2[[#This Row],[Costos (En RD$/Tarea)]])</f>
        <v>4947.79086138537</v>
      </c>
      <c r="O2589" s="9" t="n">
        <f aca="false">IF(Tabla2[[#This Row],[Costos (En RD$/Tarea)]]=0,0,Tabla2[[#This Row],[Beneficio Neto  (En RD$/Tarea)]]/Tabla2[[#This Row],[Costos (En RD$/Tarea)]])</f>
        <v>2.73211359225765</v>
      </c>
      <c r="P2589" s="7" t="n">
        <f aca="false">Tabla2[[#This Row],[Rentabilidad (%)]]/12</f>
        <v>0.227676132688138</v>
      </c>
    </row>
    <row r="2590" customFormat="false" ht="14.25" hidden="false" customHeight="false" outlineLevel="0" collapsed="false">
      <c r="A2590" s="1" t="n">
        <v>43070</v>
      </c>
      <c r="B2590" s="2" t="s">
        <v>27</v>
      </c>
      <c r="C2590" s="3" t="n">
        <v>7412</v>
      </c>
      <c r="D2590" s="8" t="s">
        <v>17</v>
      </c>
      <c r="E2590" s="3" t="n">
        <f aca="false">IF(Tabla2[[#This Row],[Frecuencia]]="Annual", Tabla2[[#This Row],[Cosecha/Tarea]]/12,Tabla2[[#This Row],[Cosecha/Tarea]])</f>
        <v>7412</v>
      </c>
      <c r="F2590" s="3" t="n">
        <v>45221</v>
      </c>
      <c r="G2590" s="2" t="s">
        <v>18</v>
      </c>
      <c r="H2590" s="2" t="n">
        <f aca="false">F2590/Tabla2[[#This Row],[Cosecha Mensual]]</f>
        <v>6.10105234754452</v>
      </c>
      <c r="I2590" s="2" t="n">
        <f aca="false">H2590*_xlfn.XLOOKUP(Tabla2[[#This Row],[Unidad de producción]],Tabla3[Medida],Tabla3[Equivalencia en Kg],"ELVIS",0)</f>
        <v>276.74373448462</v>
      </c>
      <c r="J2590" s="2" t="n">
        <v>692.572916666667</v>
      </c>
      <c r="K2590" s="2" t="s">
        <v>18</v>
      </c>
      <c r="L2590" s="2" t="n">
        <f aca="false">J2590/_xlfn.XLOOKUP(Tabla2[[#This Row],[Unidad de precio]],Tabla3[Medida],Tabla3[Equivalencia en Kg],"ELVIS",0)</f>
        <v>15.2683623603763</v>
      </c>
      <c r="M2590" s="2" t="n">
        <v>8788.431876469</v>
      </c>
      <c r="N2590" s="3" t="n">
        <f aca="false">(Tabla2[[#This Row],[Productividad (kg/TAS)]]*Tabla2[[#This Row],[Precio por kg]]-Tabla2[[#This Row],[Costos (En RD$/Tarea)]])</f>
        <v>-4563.00825739407</v>
      </c>
      <c r="O2590" s="9" t="n">
        <f aca="false">IF(Tabla2[[#This Row],[Costos (En RD$/Tarea)]]=0,0,Tabla2[[#This Row],[Beneficio Neto  (En RD$/Tarea)]]/Tabla2[[#This Row],[Costos (En RD$/Tarea)]])</f>
        <v>-0.519206193042415</v>
      </c>
      <c r="P2590" s="7" t="n">
        <f aca="false">Tabla2[[#This Row],[Rentabilidad (%)]]/12</f>
        <v>-0.0432671827535346</v>
      </c>
    </row>
    <row r="2591" customFormat="false" ht="14.25" hidden="false" customHeight="false" outlineLevel="0" collapsed="false">
      <c r="A2591" s="1" t="n">
        <v>43070</v>
      </c>
      <c r="B2591" s="2" t="s">
        <v>28</v>
      </c>
      <c r="C2591" s="3" t="n">
        <v>66498</v>
      </c>
      <c r="D2591" s="8" t="s">
        <v>17</v>
      </c>
      <c r="E2591" s="3" t="n">
        <f aca="false">IF(Tabla2[[#This Row],[Frecuencia]]="Annual", Tabla2[[#This Row],[Cosecha/Tarea]]/12,Tabla2[[#This Row],[Cosecha/Tarea]])</f>
        <v>66498</v>
      </c>
      <c r="F2591" s="3" t="n">
        <v>1330776</v>
      </c>
      <c r="G2591" s="2" t="s">
        <v>18</v>
      </c>
      <c r="H2591" s="2" t="n">
        <f aca="false">F2591/Tabla2[[#This Row],[Cosecha Mensual]]</f>
        <v>20.0122710457457</v>
      </c>
      <c r="I2591" s="2" t="n">
        <f aca="false">H2591*_xlfn.XLOOKUP(Tabla2[[#This Row],[Unidad de producción]],Tabla3[Medida],Tabla3[Equivalencia en Kg],"ELVIS",0)</f>
        <v>907.756614635027</v>
      </c>
      <c r="J2591" s="2" t="n">
        <v>8422.83333333333</v>
      </c>
      <c r="K2591" s="2" t="s">
        <v>29</v>
      </c>
      <c r="L2591" s="2" t="n">
        <f aca="false">J2591/_xlfn.XLOOKUP(Tabla2[[#This Row],[Unidad de precio]],Tabla3[Medida],Tabla3[Equivalencia en Kg],"ELVIS",0)</f>
        <v>14.9781863878318</v>
      </c>
      <c r="M2591" s="2" t="n">
        <v>7106.96492145872</v>
      </c>
      <c r="N2591" s="3" t="n">
        <f aca="false">(Tabla2[[#This Row],[Productividad (kg/TAS)]]*Tabla2[[#This Row],[Precio por kg]]-Tabla2[[#This Row],[Costos (En RD$/Tarea)]])</f>
        <v>6489.58284733191</v>
      </c>
      <c r="O2591" s="9" t="n">
        <f aca="false">IF(Tabla2[[#This Row],[Costos (En RD$/Tarea)]]=0,0,Tabla2[[#This Row],[Beneficio Neto  (En RD$/Tarea)]]/Tabla2[[#This Row],[Costos (En RD$/Tarea)]])</f>
        <v>0.913129995581842</v>
      </c>
      <c r="P2591" s="7" t="n">
        <f aca="false">Tabla2[[#This Row],[Rentabilidad (%)]]/12</f>
        <v>0.0760941662984868</v>
      </c>
    </row>
    <row r="2592" customFormat="false" ht="14.25" hidden="false" customHeight="false" outlineLevel="0" collapsed="false">
      <c r="A2592" s="1" t="n">
        <v>43070</v>
      </c>
      <c r="B2592" s="2" t="s">
        <v>30</v>
      </c>
      <c r="C2592" s="3" t="n">
        <v>373452</v>
      </c>
      <c r="D2592" s="3" t="s">
        <v>31</v>
      </c>
      <c r="E2592" s="3" t="n">
        <f aca="false">IF(Tabla2[[#This Row],[Frecuencia]]="Annual", Tabla2[[#This Row],[Cosecha/Tarea]]/12,Tabla2[[#This Row],[Cosecha/Tarea]])</f>
        <v>31121</v>
      </c>
      <c r="F2592" s="3" t="n">
        <v>1947527.4</v>
      </c>
      <c r="G2592" s="2" t="s">
        <v>18</v>
      </c>
      <c r="H2592" s="2" t="n">
        <f aca="false">F2592/Tabla2[[#This Row],[Cosecha Mensual]]</f>
        <v>62.5792037530928</v>
      </c>
      <c r="I2592" s="2" t="n">
        <f aca="false">H2592*_xlfn.XLOOKUP(Tabla2[[#This Row],[Unidad de producción]],Tabla3[Medida],Tabla3[Equivalencia en Kg],"ELVIS",0)</f>
        <v>2838.59268224029</v>
      </c>
      <c r="J2592" s="2" t="n">
        <v>191.651041666667</v>
      </c>
      <c r="K2592" s="2" t="s">
        <v>32</v>
      </c>
      <c r="L2592" s="2" t="n">
        <f aca="false">J2592/_xlfn.XLOOKUP(Tabla2[[#This Row],[Unidad de precio]],Tabla3[Medida],Tabla3[Equivalencia en Kg],"ELVIS",0)</f>
        <v>7.0434046919025</v>
      </c>
      <c r="M2592" s="3" t="n">
        <v>32851.8013523715</v>
      </c>
      <c r="N2592" s="3" t="n">
        <f aca="false">(Tabla2[[#This Row],[Productividad (kg/TAS)]]*Tabla2[[#This Row],[Precio por kg]]-Tabla2[[#This Row],[Costos (En RD$/Tarea)]])</f>
        <v>-12858.4443358802</v>
      </c>
      <c r="O2592" s="9" t="n">
        <f aca="false">IF(Tabla2[[#This Row],[Costos (En RD$/Tarea)]]=0,0,Tabla2[[#This Row],[Beneficio Neto  (En RD$/Tarea)]]/Tabla2[[#This Row],[Costos (En RD$/Tarea)]])</f>
        <v>-0.391407588215918</v>
      </c>
      <c r="P2592" s="7" t="n">
        <f aca="false">Tabla2[[#This Row],[Rentabilidad (%)]]/12</f>
        <v>-0.0326172990179932</v>
      </c>
    </row>
    <row r="2593" customFormat="false" ht="14.25" hidden="false" customHeight="false" outlineLevel="0" collapsed="false">
      <c r="A2593" s="1" t="n">
        <v>43070</v>
      </c>
      <c r="B2593" s="2" t="s">
        <v>33</v>
      </c>
      <c r="C2593" s="3" t="n">
        <v>752717</v>
      </c>
      <c r="D2593" s="3" t="s">
        <v>31</v>
      </c>
      <c r="E2593" s="11" t="n">
        <f aca="false">IF(Tabla2[[#This Row],[Frecuencia]]="Annual", Tabla2[[#This Row],[Cosecha/Tarea]]/12,Tabla2[[#This Row],[Cosecha/Tarea]])</f>
        <v>62726.4166666667</v>
      </c>
      <c r="F2593" s="3" t="n">
        <v>1335071.94567809</v>
      </c>
      <c r="G2593" s="2" t="s">
        <v>18</v>
      </c>
      <c r="H2593" s="2" t="n">
        <f aca="false">F2593/Tabla2[[#This Row],[Cosecha Mensual]]</f>
        <v>21.2840461264155</v>
      </c>
      <c r="I2593" s="2" t="n">
        <f aca="false">H2593*_xlfn.XLOOKUP(Tabla2[[#This Row],[Unidad de producción]],Tabla3[Medida],Tabla3[Equivalencia en Kg],"ELVIS",0)</f>
        <v>965.444332294206</v>
      </c>
      <c r="J2593" s="2" t="n">
        <v>9417.80208333333</v>
      </c>
      <c r="K2593" s="2" t="s">
        <v>34</v>
      </c>
      <c r="L2593" s="2" t="n">
        <f aca="false">J2593/_xlfn.XLOOKUP(Tabla2[[#This Row],[Unidad de precio]],Tabla3[Medida],Tabla3[Equivalencia en Kg],"ELVIS",0)</f>
        <v>23.0743650210298</v>
      </c>
      <c r="M2593" s="3" t="n">
        <v>21460.4838899894</v>
      </c>
      <c r="N2593" s="3" t="n">
        <f aca="false">(Tabla2[[#This Row],[Productividad (kg/TAS)]]*Tabla2[[#This Row],[Precio por kg]]-Tabla2[[#This Row],[Costos (En RD$/Tarea)]])</f>
        <v>816.531040851543</v>
      </c>
      <c r="O2593" s="9" t="n">
        <f aca="false">IF(Tabla2[[#This Row],[Costos (En RD$/Tarea)]]=0,0,Tabla2[[#This Row],[Beneficio Neto  (En RD$/Tarea)]]/Tabla2[[#This Row],[Costos (En RD$/Tarea)]])</f>
        <v>0.0380481188139671</v>
      </c>
      <c r="P2593" s="7" t="n">
        <f aca="false">Tabla2[[#This Row],[Rentabilidad (%)]]/12</f>
        <v>0.00317067656783059</v>
      </c>
    </row>
    <row r="2594" customFormat="false" ht="14.25" hidden="false" customHeight="false" outlineLevel="0" collapsed="false">
      <c r="A2594" s="1" t="n">
        <v>43101</v>
      </c>
      <c r="B2594" s="2" t="s">
        <v>16</v>
      </c>
      <c r="C2594" s="3" t="n">
        <v>17458</v>
      </c>
      <c r="D2594" s="8" t="s">
        <v>17</v>
      </c>
      <c r="E2594" s="3" t="n">
        <f aca="false">IF(Tabla2[[#This Row],[Frecuencia]]="Annual", Tabla2[[#This Row],[Cosecha/Tarea]]/12,Tabla2[[#This Row],[Cosecha/Tarea]])</f>
        <v>17458</v>
      </c>
      <c r="F2594" s="3" t="n">
        <v>59483</v>
      </c>
      <c r="G2594" s="2" t="s">
        <v>18</v>
      </c>
      <c r="H2594" s="2" t="n">
        <f aca="false">F2594/Tabla2[[#This Row],[Cosecha Mensual]]</f>
        <v>3.40720586550579</v>
      </c>
      <c r="I2594" s="2" t="n">
        <f aca="false">H2594*_xlfn.XLOOKUP(Tabla2[[#This Row],[Unidad de producción]],Tabla3[Medida],Tabla3[Equivalencia en Kg],"ELVIS",0)</f>
        <v>154.550858059342</v>
      </c>
      <c r="J2594" s="2" t="n">
        <v>2052.54951584158</v>
      </c>
      <c r="K2594" s="2" t="s">
        <v>19</v>
      </c>
      <c r="L2594" s="2" t="n">
        <f aca="false">J2594/_xlfn.XLOOKUP(Tabla2[[#This Row],[Unidad de precio]],Tabla3[Medida],Tabla3[Equivalencia en Kg],"ELVIS",0)</f>
        <v>18.6595410531053</v>
      </c>
      <c r="M2594" s="2" t="n">
        <v>6204.17820654867</v>
      </c>
      <c r="N2594" s="3" t="n">
        <f aca="false">(Tabla2[[#This Row],[Productividad (kg/TAS)]]*Tabla2[[#This Row],[Precio por kg]]-Tabla2[[#This Row],[Costos (En RD$/Tarea)]])</f>
        <v>-3320.33012579772</v>
      </c>
      <c r="O2594" s="9" t="n">
        <f aca="false">IF(Tabla2[[#This Row],[Costos (En RD$/Tarea)]]=0,0,Tabla2[[#This Row],[Beneficio Neto  (En RD$/Tarea)]]/Tabla2[[#This Row],[Costos (En RD$/Tarea)]])</f>
        <v>-0.53517645935654</v>
      </c>
      <c r="P2594" s="7" t="n">
        <f aca="false">Tabla2[[#This Row],[Rentabilidad (%)]]/12</f>
        <v>-0.0445980382797116</v>
      </c>
    </row>
    <row r="2595" customFormat="false" ht="14.25" hidden="false" customHeight="false" outlineLevel="0" collapsed="false">
      <c r="A2595" s="1" t="n">
        <v>43101</v>
      </c>
      <c r="B2595" s="2" t="s">
        <v>20</v>
      </c>
      <c r="C2595" s="3" t="n">
        <v>29211</v>
      </c>
      <c r="D2595" s="8" t="s">
        <v>17</v>
      </c>
      <c r="E2595" s="3" t="n">
        <f aca="false">IF(Tabla2[[#This Row],[Frecuencia]]="Annual", Tabla2[[#This Row],[Cosecha/Tarea]]/12,Tabla2[[#This Row],[Cosecha/Tarea]])</f>
        <v>29211</v>
      </c>
      <c r="F2595" s="3" t="n">
        <v>53966</v>
      </c>
      <c r="G2595" s="2" t="s">
        <v>18</v>
      </c>
      <c r="H2595" s="2" t="n">
        <f aca="false">F2595/Tabla2[[#This Row],[Cosecha Mensual]]</f>
        <v>1.8474547259594</v>
      </c>
      <c r="I2595" s="2" t="n">
        <f aca="false">H2595*_xlfn.XLOOKUP(Tabla2[[#This Row],[Unidad de producción]],Tabla3[Medida],Tabla3[Equivalencia en Kg],"ELVIS",0)</f>
        <v>83.8005463695183</v>
      </c>
      <c r="J2595" s="2" t="n">
        <v>868.651041666667</v>
      </c>
      <c r="K2595" s="2" t="s">
        <v>18</v>
      </c>
      <c r="L2595" s="2" t="n">
        <f aca="false">J2595/_xlfn.XLOOKUP(Tabla2[[#This Row],[Unidad de precio]],Tabla3[Medida],Tabla3[Equivalencia en Kg],"ELVIS",0)</f>
        <v>19.150155239565</v>
      </c>
      <c r="M2595" s="2" t="n">
        <v>2494.8799608792</v>
      </c>
      <c r="N2595" s="3" t="n">
        <f aca="false">(Tabla2[[#This Row],[Productividad (kg/TAS)]]*Tabla2[[#This Row],[Precio por kg]]-Tabla2[[#This Row],[Costos (En RD$/Tarea)]])</f>
        <v>-890.086488742561</v>
      </c>
      <c r="O2595" s="9" t="n">
        <f aca="false">IF(Tabla2[[#This Row],[Costos (En RD$/Tarea)]]=0,0,Tabla2[[#This Row],[Beneficio Neto  (En RD$/Tarea)]]/Tabla2[[#This Row],[Costos (En RD$/Tarea)]])</f>
        <v>-0.356765256324755</v>
      </c>
      <c r="P2595" s="7" t="n">
        <f aca="false">Tabla2[[#This Row],[Rentabilidad (%)]]/12</f>
        <v>-0.0297304380270629</v>
      </c>
    </row>
    <row r="2596" customFormat="false" ht="14.25" hidden="false" customHeight="false" outlineLevel="0" collapsed="false">
      <c r="A2596" s="1" t="n">
        <v>43101</v>
      </c>
      <c r="B2596" s="2" t="s">
        <v>21</v>
      </c>
      <c r="C2596" s="3" t="n">
        <v>5982</v>
      </c>
      <c r="D2596" s="8" t="s">
        <v>17</v>
      </c>
      <c r="E2596" s="3" t="n">
        <f aca="false">IF(Tabla2[[#This Row],[Frecuencia]]="Annual", Tabla2[[#This Row],[Cosecha/Tarea]]/12,Tabla2[[#This Row],[Cosecha/Tarea]])</f>
        <v>5982</v>
      </c>
      <c r="F2596" s="3" t="n">
        <v>80214</v>
      </c>
      <c r="G2596" s="2" t="s">
        <v>18</v>
      </c>
      <c r="H2596" s="2" t="n">
        <f aca="false">F2596/Tabla2[[#This Row],[Cosecha Mensual]]</f>
        <v>13.4092276830491</v>
      </c>
      <c r="I2596" s="2" t="n">
        <f aca="false">H2596*_xlfn.XLOOKUP(Tabla2[[#This Row],[Unidad de producción]],Tabla3[Medida],Tabla3[Equivalencia en Kg],"ELVIS",0)</f>
        <v>608.242567703109</v>
      </c>
      <c r="J2596" s="2" t="n">
        <v>675.386904761905</v>
      </c>
      <c r="K2596" s="2" t="s">
        <v>18</v>
      </c>
      <c r="L2596" s="2" t="n">
        <f aca="false">J2596/_xlfn.XLOOKUP(Tabla2[[#This Row],[Unidad de precio]],Tabla3[Medida],Tabla3[Equivalencia en Kg],"ELVIS",0)</f>
        <v>14.8894820273789</v>
      </c>
      <c r="M2596" s="2" t="n">
        <v>5415.921577332</v>
      </c>
      <c r="N2596" s="3" t="n">
        <f aca="false">(Tabla2[[#This Row],[Productividad (kg/TAS)]]*Tabla2[[#This Row],[Precio por kg]]-Tabla2[[#This Row],[Costos (En RD$/Tarea)]])</f>
        <v>3640.49520277022</v>
      </c>
      <c r="O2596" s="9" t="n">
        <f aca="false">IF(Tabla2[[#This Row],[Costos (En RD$/Tarea)]]=0,0,Tabla2[[#This Row],[Beneficio Neto  (En RD$/Tarea)]]/Tabla2[[#This Row],[Costos (En RD$/Tarea)]])</f>
        <v>0.672183884273229</v>
      </c>
      <c r="P2596" s="7" t="n">
        <f aca="false">Tabla2[[#This Row],[Rentabilidad (%)]]/12</f>
        <v>0.0560153236894357</v>
      </c>
    </row>
    <row r="2597" customFormat="false" ht="14.25" hidden="false" customHeight="false" outlineLevel="0" collapsed="false">
      <c r="A2597" s="1" t="n">
        <v>43101</v>
      </c>
      <c r="B2597" s="2" t="s">
        <v>22</v>
      </c>
      <c r="C2597" s="3" t="n">
        <v>9001</v>
      </c>
      <c r="D2597" s="8" t="s">
        <v>17</v>
      </c>
      <c r="E2597" s="3" t="n">
        <f aca="false">IF(Tabla2[[#This Row],[Frecuencia]]="Annual", Tabla2[[#This Row],[Cosecha/Tarea]]/12,Tabla2[[#This Row],[Cosecha/Tarea]])</f>
        <v>9001</v>
      </c>
      <c r="F2597" s="3" t="n">
        <v>75214</v>
      </c>
      <c r="G2597" s="2" t="s">
        <v>18</v>
      </c>
      <c r="H2597" s="2" t="n">
        <f aca="false">F2597/Tabla2[[#This Row],[Cosecha Mensual]]</f>
        <v>8.35618264637263</v>
      </c>
      <c r="I2597" s="2" t="n">
        <f aca="false">H2597*_xlfn.XLOOKUP(Tabla2[[#This Row],[Unidad de producción]],Tabla3[Medida],Tabla3[Equivalencia en Kg],"ELVIS",0)</f>
        <v>379.036444839462</v>
      </c>
      <c r="J2597" s="2" t="n">
        <v>2271.11036616162</v>
      </c>
      <c r="K2597" s="2" t="s">
        <v>18</v>
      </c>
      <c r="L2597" s="2" t="n">
        <f aca="false">J2597/_xlfn.XLOOKUP(Tabla2[[#This Row],[Unidad de precio]],Tabla3[Medida],Tabla3[Equivalencia en Kg],"ELVIS",0)</f>
        <v>50.0685706825754</v>
      </c>
      <c r="M2597" s="2" t="n">
        <v>10167.2711784</v>
      </c>
      <c r="N2597" s="3" t="n">
        <f aca="false">(Tabla2[[#This Row],[Productividad (kg/TAS)]]*Tabla2[[#This Row],[Precio por kg]]-Tabla2[[#This Row],[Costos (En RD$/Tarea)]])</f>
        <v>8810.5418513167</v>
      </c>
      <c r="O2597" s="9" t="n">
        <f aca="false">IF(Tabla2[[#This Row],[Costos (En RD$/Tarea)]]=0,0,Tabla2[[#This Row],[Beneficio Neto  (En RD$/Tarea)]]/Tabla2[[#This Row],[Costos (En RD$/Tarea)]])</f>
        <v>0.866559148145314</v>
      </c>
      <c r="P2597" s="7" t="n">
        <f aca="false">Tabla2[[#This Row],[Rentabilidad (%)]]/12</f>
        <v>0.0722132623454428</v>
      </c>
    </row>
    <row r="2598" customFormat="false" ht="14.25" hidden="false" customHeight="false" outlineLevel="0" collapsed="false">
      <c r="A2598" s="1" t="n">
        <v>43101</v>
      </c>
      <c r="B2598" s="2" t="s">
        <v>23</v>
      </c>
      <c r="C2598" s="3" t="n">
        <v>4865</v>
      </c>
      <c r="D2598" s="8" t="s">
        <v>17</v>
      </c>
      <c r="E2598" s="3" t="n">
        <f aca="false">IF(Tabla2[[#This Row],[Frecuencia]]="Annual", Tabla2[[#This Row],[Cosecha/Tarea]]/12,Tabla2[[#This Row],[Cosecha/Tarea]])</f>
        <v>4865</v>
      </c>
      <c r="F2598" s="3" t="n">
        <v>139120</v>
      </c>
      <c r="G2598" s="2" t="s">
        <v>18</v>
      </c>
      <c r="H2598" s="2" t="n">
        <f aca="false">F2598/Tabla2[[#This Row],[Cosecha Mensual]]</f>
        <v>28.5960945529291</v>
      </c>
      <c r="I2598" s="2" t="n">
        <f aca="false">H2598*_xlfn.XLOOKUP(Tabla2[[#This Row],[Unidad de producción]],Tabla3[Medida],Tabla3[Equivalencia en Kg],"ELVIS",0)</f>
        <v>1297.11884892086</v>
      </c>
      <c r="J2598" s="2" t="n">
        <v>1151.14793771044</v>
      </c>
      <c r="K2598" s="2" t="s">
        <v>18</v>
      </c>
      <c r="L2598" s="2" t="n">
        <f aca="false">J2598/_xlfn.XLOOKUP(Tabla2[[#This Row],[Unidad de precio]],Tabla3[Medida],Tabla3[Equivalencia en Kg],"ELVIS",0)</f>
        <v>25.3780409548157</v>
      </c>
      <c r="M2598" s="2" t="n">
        <v>23803.1923056373</v>
      </c>
      <c r="N2598" s="3" t="n">
        <f aca="false">(Tabla2[[#This Row],[Productividad (kg/TAS)]]*Tabla2[[#This Row],[Precio por kg]]-Tabla2[[#This Row],[Costos (En RD$/Tarea)]])</f>
        <v>9115.14296553976</v>
      </c>
      <c r="O2598" s="9" t="n">
        <f aca="false">IF(Tabla2[[#This Row],[Costos (En RD$/Tarea)]]=0,0,Tabla2[[#This Row],[Beneficio Neto  (En RD$/Tarea)]]/Tabla2[[#This Row],[Costos (En RD$/Tarea)]])</f>
        <v>0.382937836593498</v>
      </c>
      <c r="P2598" s="7" t="n">
        <f aca="false">Tabla2[[#This Row],[Rentabilidad (%)]]/12</f>
        <v>0.0319114863827915</v>
      </c>
    </row>
    <row r="2599" customFormat="false" ht="14.25" hidden="false" customHeight="false" outlineLevel="0" collapsed="false">
      <c r="A2599" s="1" t="n">
        <v>43101</v>
      </c>
      <c r="B2599" s="2" t="s">
        <v>24</v>
      </c>
      <c r="C2599" s="3" t="n">
        <v>5645</v>
      </c>
      <c r="D2599" s="8" t="s">
        <v>17</v>
      </c>
      <c r="E2599" s="3" t="n">
        <f aca="false">IF(Tabla2[[#This Row],[Frecuencia]]="Annual", Tabla2[[#This Row],[Cosecha/Tarea]]/12,Tabla2[[#This Row],[Cosecha/Tarea]])</f>
        <v>5645</v>
      </c>
      <c r="F2599" s="3" t="n">
        <v>70124</v>
      </c>
      <c r="G2599" s="2" t="s">
        <v>18</v>
      </c>
      <c r="H2599" s="2" t="n">
        <f aca="false">F2599/Tabla2[[#This Row],[Cosecha Mensual]]</f>
        <v>12.4223206377325</v>
      </c>
      <c r="I2599" s="2" t="n">
        <f aca="false">H2599*_xlfn.XLOOKUP(Tabla2[[#This Row],[Unidad de producción]],Tabla3[Medida],Tabla3[Equivalencia en Kg],"ELVIS",0)</f>
        <v>563.476464127547</v>
      </c>
      <c r="J2599" s="2" t="n">
        <v>1974.26041666667</v>
      </c>
      <c r="K2599" s="2" t="s">
        <v>18</v>
      </c>
      <c r="L2599" s="2" t="n">
        <f aca="false">J2599/_xlfn.XLOOKUP(Tabla2[[#This Row],[Unidad de precio]],Tabla3[Medida],Tabla3[Equivalencia en Kg],"ELVIS",0)</f>
        <v>43.5242596266903</v>
      </c>
      <c r="M2599" s="2" t="n">
        <v>9413.7321988512</v>
      </c>
      <c r="N2599" s="3" t="n">
        <f aca="false">(Tabla2[[#This Row],[Productividad (kg/TAS)]]*Tabla2[[#This Row],[Precio por kg]]-Tabla2[[#This Row],[Costos (En RD$/Tarea)]])</f>
        <v>15111.1637193656</v>
      </c>
      <c r="O2599" s="9" t="n">
        <f aca="false">IF(Tabla2[[#This Row],[Costos (En RD$/Tarea)]]=0,0,Tabla2[[#This Row],[Beneficio Neto  (En RD$/Tarea)]]/Tabla2[[#This Row],[Costos (En RD$/Tarea)]])</f>
        <v>1.60522557899083</v>
      </c>
      <c r="P2599" s="7" t="n">
        <f aca="false">Tabla2[[#This Row],[Rentabilidad (%)]]/12</f>
        <v>0.133768798249236</v>
      </c>
    </row>
    <row r="2600" customFormat="false" ht="14.25" hidden="false" customHeight="false" outlineLevel="0" collapsed="false">
      <c r="A2600" s="1" t="n">
        <v>43101</v>
      </c>
      <c r="B2600" s="2" t="s">
        <v>25</v>
      </c>
      <c r="C2600" s="3" t="n">
        <v>25647</v>
      </c>
      <c r="D2600" s="8" t="s">
        <v>17</v>
      </c>
      <c r="E2600" s="3" t="n">
        <f aca="false">IF(Tabla2[[#This Row],[Frecuencia]]="Annual", Tabla2[[#This Row],[Cosecha/Tarea]]/12,Tabla2[[#This Row],[Cosecha/Tarea]])</f>
        <v>25647</v>
      </c>
      <c r="F2600" s="3" t="n">
        <v>272015</v>
      </c>
      <c r="G2600" s="2" t="s">
        <v>18</v>
      </c>
      <c r="H2600" s="2" t="n">
        <f aca="false">F2600/Tabla2[[#This Row],[Cosecha Mensual]]</f>
        <v>10.6061137754903</v>
      </c>
      <c r="I2600" s="2" t="n">
        <f aca="false">H2600*_xlfn.XLOOKUP(Tabla2[[#This Row],[Unidad de producción]],Tabla3[Medida],Tabla3[Equivalencia en Kg],"ELVIS",0)</f>
        <v>481.093320856241</v>
      </c>
      <c r="J2600" s="2" t="n">
        <v>770.833333333333</v>
      </c>
      <c r="K2600" s="2" t="s">
        <v>18</v>
      </c>
      <c r="L2600" s="2" t="n">
        <f aca="false">J2600/_xlfn.XLOOKUP(Tabla2[[#This Row],[Unidad de precio]],Tabla3[Medida],Tabla3[Equivalencia en Kg],"ELVIS",0)</f>
        <v>16.9936801881246</v>
      </c>
      <c r="M2600" s="2" t="n">
        <v>4549.76899317218</v>
      </c>
      <c r="N2600" s="3" t="n">
        <f aca="false">(Tabla2[[#This Row],[Productividad (kg/TAS)]]*Tabla2[[#This Row],[Precio por kg]]-Tabla2[[#This Row],[Costos (En RD$/Tarea)]])</f>
        <v>3625.7770421016</v>
      </c>
      <c r="O2600" s="9" t="n">
        <f aca="false">IF(Tabla2[[#This Row],[Costos (En RD$/Tarea)]]=0,0,Tabla2[[#This Row],[Beneficio Neto  (En RD$/Tarea)]]/Tabla2[[#This Row],[Costos (En RD$/Tarea)]])</f>
        <v>0.796914535120967</v>
      </c>
      <c r="P2600" s="7" t="n">
        <f aca="false">Tabla2[[#This Row],[Rentabilidad (%)]]/12</f>
        <v>0.0664095445934139</v>
      </c>
    </row>
    <row r="2601" customFormat="false" ht="14.25" hidden="false" customHeight="false" outlineLevel="0" collapsed="false">
      <c r="A2601" s="1" t="n">
        <v>43101</v>
      </c>
      <c r="B2601" s="2" t="s">
        <v>26</v>
      </c>
      <c r="C2601" s="3" t="n">
        <v>12420</v>
      </c>
      <c r="D2601" s="8" t="s">
        <v>17</v>
      </c>
      <c r="E2601" s="3" t="n">
        <f aca="false">IF(Tabla2[[#This Row],[Frecuencia]]="Annual", Tabla2[[#This Row],[Cosecha/Tarea]]/12,Tabla2[[#This Row],[Cosecha/Tarea]])</f>
        <v>12420</v>
      </c>
      <c r="F2601" s="3" t="n">
        <v>78998</v>
      </c>
      <c r="G2601" s="2" t="s">
        <v>18</v>
      </c>
      <c r="H2601" s="2" t="n">
        <f aca="false">F2601/Tabla2[[#This Row],[Cosecha Mensual]]</f>
        <v>6.36054750402577</v>
      </c>
      <c r="I2601" s="2" t="n">
        <f aca="false">H2601*_xlfn.XLOOKUP(Tabla2[[#This Row],[Unidad de producción]],Tabla3[Medida],Tabla3[Equivalencia en Kg],"ELVIS",0)</f>
        <v>288.514434782609</v>
      </c>
      <c r="J2601" s="2" t="n">
        <v>950.984375</v>
      </c>
      <c r="K2601" s="2" t="s">
        <v>18</v>
      </c>
      <c r="L2601" s="2" t="n">
        <f aca="false">J2601/_xlfn.XLOOKUP(Tabla2[[#This Row],[Unidad de precio]],Tabla3[Medida],Tabla3[Equivalencia en Kg],"ELVIS",0)</f>
        <v>20.9652639991182</v>
      </c>
      <c r="M2601" s="2" t="n">
        <v>1733.52094425</v>
      </c>
      <c r="N2601" s="3" t="n">
        <f aca="false">(Tabla2[[#This Row],[Productividad (kg/TAS)]]*Tabla2[[#This Row],[Precio por kg]]-Tabla2[[#This Row],[Costos (En RD$/Tarea)]])</f>
        <v>4315.26034852375</v>
      </c>
      <c r="O2601" s="9" t="n">
        <f aca="false">IF(Tabla2[[#This Row],[Costos (En RD$/Tarea)]]=0,0,Tabla2[[#This Row],[Beneficio Neto  (En RD$/Tarea)]]/Tabla2[[#This Row],[Costos (En RD$/Tarea)]])</f>
        <v>2.48930384304686</v>
      </c>
      <c r="P2601" s="7" t="n">
        <f aca="false">Tabla2[[#This Row],[Rentabilidad (%)]]/12</f>
        <v>0.207441986920572</v>
      </c>
    </row>
    <row r="2602" customFormat="false" ht="14.25" hidden="false" customHeight="false" outlineLevel="0" collapsed="false">
      <c r="A2602" s="1" t="n">
        <v>43101</v>
      </c>
      <c r="B2602" s="2" t="s">
        <v>27</v>
      </c>
      <c r="C2602" s="3" t="n">
        <v>7012</v>
      </c>
      <c r="D2602" s="8" t="s">
        <v>17</v>
      </c>
      <c r="E2602" s="3" t="n">
        <f aca="false">IF(Tabla2[[#This Row],[Frecuencia]]="Annual", Tabla2[[#This Row],[Cosecha/Tarea]]/12,Tabla2[[#This Row],[Cosecha/Tarea]])</f>
        <v>7012</v>
      </c>
      <c r="F2602" s="3" t="n">
        <v>60124</v>
      </c>
      <c r="G2602" s="2" t="s">
        <v>18</v>
      </c>
      <c r="H2602" s="2" t="n">
        <f aca="false">F2602/Tabla2[[#This Row],[Cosecha Mensual]]</f>
        <v>8.57444381061038</v>
      </c>
      <c r="I2602" s="2" t="n">
        <f aca="false">H2602*_xlfn.XLOOKUP(Tabla2[[#This Row],[Unidad de producción]],Tabla3[Medida],Tabla3[Equivalencia en Kg],"ELVIS",0)</f>
        <v>388.936771249287</v>
      </c>
      <c r="J2602" s="2" t="n">
        <v>677.287576190476</v>
      </c>
      <c r="K2602" s="2" t="s">
        <v>18</v>
      </c>
      <c r="L2602" s="2" t="n">
        <f aca="false">J2602/_xlfn.XLOOKUP(Tabla2[[#This Row],[Unidad de precio]],Tabla3[Medida],Tabla3[Equivalencia en Kg],"ELVIS",0)</f>
        <v>14.9313839548165</v>
      </c>
      <c r="M2602" s="2" t="n">
        <v>9289.57547778</v>
      </c>
      <c r="N2602" s="3" t="n">
        <f aca="false">(Tabla2[[#This Row],[Productividad (kg/TAS)]]*Tabla2[[#This Row],[Precio por kg]]-Tabla2[[#This Row],[Costos (En RD$/Tarea)]])</f>
        <v>-3482.21121211026</v>
      </c>
      <c r="O2602" s="9" t="n">
        <f aca="false">IF(Tabla2[[#This Row],[Costos (En RD$/Tarea)]]=0,0,Tabla2[[#This Row],[Beneficio Neto  (En RD$/Tarea)]]/Tabla2[[#This Row],[Costos (En RD$/Tarea)]])</f>
        <v>-0.374851490301087</v>
      </c>
      <c r="P2602" s="7" t="n">
        <f aca="false">Tabla2[[#This Row],[Rentabilidad (%)]]/12</f>
        <v>-0.0312376241917572</v>
      </c>
    </row>
    <row r="2603" customFormat="false" ht="14.25" hidden="false" customHeight="false" outlineLevel="0" collapsed="false">
      <c r="A2603" s="1" t="n">
        <v>43101</v>
      </c>
      <c r="B2603" s="2" t="s">
        <v>28</v>
      </c>
      <c r="C2603" s="3" t="n">
        <v>73012</v>
      </c>
      <c r="D2603" s="8" t="s">
        <v>17</v>
      </c>
      <c r="E2603" s="3" t="n">
        <f aca="false">IF(Tabla2[[#This Row],[Frecuencia]]="Annual", Tabla2[[#This Row],[Cosecha/Tarea]]/12,Tabla2[[#This Row],[Cosecha/Tarea]])</f>
        <v>73012</v>
      </c>
      <c r="F2603" s="3" t="n">
        <v>1345308</v>
      </c>
      <c r="G2603" s="2" t="s">
        <v>18</v>
      </c>
      <c r="H2603" s="2" t="n">
        <f aca="false">F2603/Tabla2[[#This Row],[Cosecha Mensual]]</f>
        <v>18.4258478058401</v>
      </c>
      <c r="I2603" s="2" t="n">
        <f aca="false">H2603*_xlfn.XLOOKUP(Tabla2[[#This Row],[Unidad de producción]],Tabla3[Medida],Tabla3[Equivalencia en Kg],"ELVIS",0)</f>
        <v>835.796456472909</v>
      </c>
      <c r="J2603" s="2" t="n">
        <v>7864.79166666667</v>
      </c>
      <c r="K2603" s="2" t="s">
        <v>29</v>
      </c>
      <c r="L2603" s="2" t="n">
        <f aca="false">J2603/_xlfn.XLOOKUP(Tabla2[[#This Row],[Unidad de precio]],Tabla3[Medida],Tabla3[Equivalencia en Kg],"ELVIS",0)</f>
        <v>13.9858300435087</v>
      </c>
      <c r="M2603" s="2" t="n">
        <v>7167.67993212066</v>
      </c>
      <c r="N2603" s="3" t="n">
        <f aca="false">(Tabla2[[#This Row],[Productividad (kg/TAS)]]*Tabla2[[#This Row],[Precio por kg]]-Tabla2[[#This Row],[Costos (En RD$/Tarea)]])</f>
        <v>4521.62725907624</v>
      </c>
      <c r="O2603" s="9" t="n">
        <f aca="false">IF(Tabla2[[#This Row],[Costos (En RD$/Tarea)]]=0,0,Tabla2[[#This Row],[Beneficio Neto  (En RD$/Tarea)]]/Tabla2[[#This Row],[Costos (En RD$/Tarea)]])</f>
        <v>0.63083554258797</v>
      </c>
      <c r="P2603" s="7" t="n">
        <f aca="false">Tabla2[[#This Row],[Rentabilidad (%)]]/12</f>
        <v>0.0525696285489975</v>
      </c>
    </row>
    <row r="2604" customFormat="false" ht="14.25" hidden="false" customHeight="false" outlineLevel="0" collapsed="false">
      <c r="A2604" s="1" t="n">
        <v>43101</v>
      </c>
      <c r="B2604" s="2" t="s">
        <v>30</v>
      </c>
      <c r="C2604" s="3" t="n">
        <v>401244</v>
      </c>
      <c r="D2604" s="3" t="s">
        <v>31</v>
      </c>
      <c r="E2604" s="3" t="n">
        <f aca="false">IF(Tabla2[[#This Row],[Frecuencia]]="Annual", Tabla2[[#This Row],[Cosecha/Tarea]]/12,Tabla2[[#This Row],[Cosecha/Tarea]])</f>
        <v>33437</v>
      </c>
      <c r="F2604" s="3" t="n">
        <v>1817075.4</v>
      </c>
      <c r="G2604" s="2" t="s">
        <v>18</v>
      </c>
      <c r="H2604" s="2" t="n">
        <f aca="false">F2604/Tabla2[[#This Row],[Cosecha Mensual]]</f>
        <v>54.3432544785716</v>
      </c>
      <c r="I2604" s="2" t="n">
        <f aca="false">H2604*_xlfn.XLOOKUP(Tabla2[[#This Row],[Unidad de producción]],Tabla3[Medida],Tabla3[Equivalencia en Kg],"ELVIS",0)</f>
        <v>2465.01002314801</v>
      </c>
      <c r="J2604" s="2" t="n">
        <v>182.764583333333</v>
      </c>
      <c r="K2604" s="2" t="s">
        <v>32</v>
      </c>
      <c r="L2604" s="2" t="n">
        <f aca="false">J2604/_xlfn.XLOOKUP(Tabla2[[#This Row],[Unidad de precio]],Tabla3[Medida],Tabla3[Equivalencia en Kg],"ELVIS",0)</f>
        <v>6.71681673404384</v>
      </c>
      <c r="M2604" s="3" t="n">
        <v>34069.662396</v>
      </c>
      <c r="N2604" s="3" t="n">
        <f aca="false">(Tabla2[[#This Row],[Productividad (kg/TAS)]]*Tabla2[[#This Row],[Precio por kg]]-Tabla2[[#This Row],[Costos (En RD$/Tarea)]])</f>
        <v>-17512.6418229336</v>
      </c>
      <c r="O2604" s="9" t="n">
        <f aca="false">IF(Tabla2[[#This Row],[Costos (En RD$/Tarea)]]=0,0,Tabla2[[#This Row],[Beneficio Neto  (En RD$/Tarea)]]/Tabla2[[#This Row],[Costos (En RD$/Tarea)]])</f>
        <v>-0.514024518921847</v>
      </c>
      <c r="P2604" s="7" t="n">
        <f aca="false">Tabla2[[#This Row],[Rentabilidad (%)]]/12</f>
        <v>-0.0428353765768206</v>
      </c>
    </row>
    <row r="2605" customFormat="false" ht="14.25" hidden="false" customHeight="false" outlineLevel="0" collapsed="false">
      <c r="A2605" s="1" t="n">
        <v>43101</v>
      </c>
      <c r="B2605" s="2" t="s">
        <v>33</v>
      </c>
      <c r="C2605" s="3" t="n">
        <v>694578</v>
      </c>
      <c r="D2605" s="3" t="s">
        <v>31</v>
      </c>
      <c r="E2605" s="3" t="n">
        <f aca="false">IF(Tabla2[[#This Row],[Frecuencia]]="Annual", Tabla2[[#This Row],[Cosecha/Tarea]]/12,Tabla2[[#This Row],[Cosecha/Tarea]])</f>
        <v>57881.5</v>
      </c>
      <c r="F2605" s="3" t="n">
        <v>1230750</v>
      </c>
      <c r="G2605" s="2" t="s">
        <v>18</v>
      </c>
      <c r="H2605" s="2" t="n">
        <f aca="false">F2605/Tabla2[[#This Row],[Cosecha Mensual]]</f>
        <v>21.263270647789</v>
      </c>
      <c r="I2605" s="2" t="n">
        <f aca="false">H2605*_xlfn.XLOOKUP(Tabla2[[#This Row],[Unidad de producción]],Tabla3[Medida],Tabla3[Equivalencia en Kg],"ELVIS",0)</f>
        <v>964.50195658371</v>
      </c>
      <c r="J2605" s="2" t="n">
        <v>9398.61979166667</v>
      </c>
      <c r="K2605" s="2" t="s">
        <v>34</v>
      </c>
      <c r="L2605" s="2" t="n">
        <f aca="false">J2605/_xlfn.XLOOKUP(Tabla2[[#This Row],[Unidad de precio]],Tabla3[Medida],Tabla3[Equivalencia en Kg],"ELVIS",0)</f>
        <v>23.0273668790069</v>
      </c>
      <c r="M2605" s="3" t="n">
        <v>22932.1463359308</v>
      </c>
      <c r="N2605" s="3" t="n">
        <f aca="false">(Tabla2[[#This Row],[Productividad (kg/TAS)]]*Tabla2[[#This Row],[Precio por kg]]-Tabla2[[#This Row],[Costos (En RD$/Tarea)]])</f>
        <v>-722.205926157723</v>
      </c>
      <c r="O2605" s="9" t="n">
        <f aca="false">IF(Tabla2[[#This Row],[Costos (En RD$/Tarea)]]=0,0,Tabla2[[#This Row],[Beneficio Neto  (En RD$/Tarea)]]/Tabla2[[#This Row],[Costos (En RD$/Tarea)]])</f>
        <v>-0.0314931675203096</v>
      </c>
      <c r="P2605" s="7" t="n">
        <f aca="false">Tabla2[[#This Row],[Rentabilidad (%)]]/12</f>
        <v>-0.00262443062669247</v>
      </c>
    </row>
    <row r="2606" customFormat="false" ht="14.25" hidden="false" customHeight="false" outlineLevel="0" collapsed="false">
      <c r="A2606" s="1" t="n">
        <v>43132</v>
      </c>
      <c r="B2606" s="2" t="s">
        <v>16</v>
      </c>
      <c r="C2606" s="3" t="n">
        <v>2851</v>
      </c>
      <c r="D2606" s="8" t="s">
        <v>17</v>
      </c>
      <c r="E2606" s="3" t="n">
        <f aca="false">IF(Tabla2[[#This Row],[Frecuencia]]="Annual", Tabla2[[#This Row],[Cosecha/Tarea]]/12,Tabla2[[#This Row],[Cosecha/Tarea]])</f>
        <v>2851</v>
      </c>
      <c r="F2606" s="3" t="n">
        <v>8754</v>
      </c>
      <c r="G2606" s="2" t="s">
        <v>18</v>
      </c>
      <c r="H2606" s="2" t="n">
        <f aca="false">F2606/Tabla2[[#This Row],[Cosecha Mensual]]</f>
        <v>3.07050157839355</v>
      </c>
      <c r="I2606" s="2" t="n">
        <f aca="false">H2606*_xlfn.XLOOKUP(Tabla2[[#This Row],[Unidad de producción]],Tabla3[Medida],Tabla3[Equivalencia en Kg],"ELVIS",0)</f>
        <v>139.277951595931</v>
      </c>
      <c r="J2606" s="2" t="n">
        <v>1986.751</v>
      </c>
      <c r="K2606" s="2" t="s">
        <v>19</v>
      </c>
      <c r="L2606" s="2" t="n">
        <f aca="false">J2606/_xlfn.XLOOKUP(Tabla2[[#This Row],[Unidad de precio]],Tabla3[Medida],Tabla3[Equivalencia en Kg],"ELVIS",0)</f>
        <v>18.0613727272727</v>
      </c>
      <c r="M2606" s="2" t="n">
        <v>6204.17820654867</v>
      </c>
      <c r="N2606" s="3" t="n">
        <f aca="false">(Tabla2[[#This Row],[Productividad (kg/TAS)]]*Tabla2[[#This Row],[Precio por kg]]-Tabla2[[#This Row],[Costos (En RD$/Tarea)]])</f>
        <v>-3688.62721008351</v>
      </c>
      <c r="O2606" s="9" t="n">
        <f aca="false">IF(Tabla2[[#This Row],[Costos (En RD$/Tarea)]]=0,0,Tabla2[[#This Row],[Beneficio Neto  (En RD$/Tarea)]]/Tabla2[[#This Row],[Costos (En RD$/Tarea)]])</f>
        <v>-0.594539210074602</v>
      </c>
      <c r="P2606" s="7" t="n">
        <f aca="false">Tabla2[[#This Row],[Rentabilidad (%)]]/12</f>
        <v>-0.0495449341728835</v>
      </c>
    </row>
    <row r="2607" customFormat="false" ht="14.25" hidden="false" customHeight="false" outlineLevel="0" collapsed="false">
      <c r="A2607" s="1" t="n">
        <v>43132</v>
      </c>
      <c r="B2607" s="2" t="s">
        <v>20</v>
      </c>
      <c r="C2607" s="3" t="n">
        <v>31021</v>
      </c>
      <c r="D2607" s="8" t="s">
        <v>17</v>
      </c>
      <c r="E2607" s="3" t="n">
        <f aca="false">IF(Tabla2[[#This Row],[Frecuencia]]="Annual", Tabla2[[#This Row],[Cosecha/Tarea]]/12,Tabla2[[#This Row],[Cosecha/Tarea]])</f>
        <v>31021</v>
      </c>
      <c r="F2607" s="3" t="n">
        <v>75142</v>
      </c>
      <c r="G2607" s="2" t="s">
        <v>18</v>
      </c>
      <c r="H2607" s="2" t="n">
        <f aca="false">F2607/Tabla2[[#This Row],[Cosecha Mensual]]</f>
        <v>2.42229457464298</v>
      </c>
      <c r="I2607" s="2" t="n">
        <f aca="false">H2607*_xlfn.XLOOKUP(Tabla2[[#This Row],[Unidad de producción]],Tabla3[Medida],Tabla3[Equivalencia en Kg],"ELVIS",0)</f>
        <v>109.875281905806</v>
      </c>
      <c r="J2607" s="2" t="n">
        <v>926.761904761905</v>
      </c>
      <c r="K2607" s="2" t="s">
        <v>18</v>
      </c>
      <c r="L2607" s="2" t="n">
        <f aca="false">J2607/_xlfn.XLOOKUP(Tabla2[[#This Row],[Unidad de precio]],Tabla3[Medida],Tabla3[Equivalencia en Kg],"ELVIS",0)</f>
        <v>20.4312589233224</v>
      </c>
      <c r="M2607" s="2" t="n">
        <v>2494.8799608792</v>
      </c>
      <c r="N2607" s="3" t="n">
        <f aca="false">(Tabla2[[#This Row],[Productividad (kg/TAS)]]*Tabla2[[#This Row],[Precio por kg]]-Tabla2[[#This Row],[Costos (En RD$/Tarea)]])</f>
        <v>-249.98962698864</v>
      </c>
      <c r="O2607" s="9" t="n">
        <f aca="false">IF(Tabla2[[#This Row],[Costos (En RD$/Tarea)]]=0,0,Tabla2[[#This Row],[Beneficio Neto  (En RD$/Tarea)]]/Tabla2[[#This Row],[Costos (En RD$/Tarea)]])</f>
        <v>-0.100201064142799</v>
      </c>
      <c r="P2607" s="7" t="n">
        <f aca="false">Tabla2[[#This Row],[Rentabilidad (%)]]/12</f>
        <v>-0.00835008867856656</v>
      </c>
    </row>
    <row r="2608" customFormat="false" ht="14.25" hidden="false" customHeight="false" outlineLevel="0" collapsed="false">
      <c r="A2608" s="1" t="n">
        <v>43132</v>
      </c>
      <c r="B2608" s="2" t="s">
        <v>21</v>
      </c>
      <c r="C2608" s="3" t="n">
        <v>10321</v>
      </c>
      <c r="D2608" s="8" t="s">
        <v>17</v>
      </c>
      <c r="E2608" s="3" t="n">
        <f aca="false">IF(Tabla2[[#This Row],[Frecuencia]]="Annual", Tabla2[[#This Row],[Cosecha/Tarea]]/12,Tabla2[[#This Row],[Cosecha/Tarea]])</f>
        <v>10321</v>
      </c>
      <c r="F2608" s="3" t="n">
        <v>97706</v>
      </c>
      <c r="G2608" s="2" t="s">
        <v>18</v>
      </c>
      <c r="H2608" s="2" t="n">
        <f aca="false">F2608/Tabla2[[#This Row],[Cosecha Mensual]]</f>
        <v>9.466718341246</v>
      </c>
      <c r="I2608" s="2" t="n">
        <f aca="false">H2608*_xlfn.XLOOKUP(Tabla2[[#This Row],[Unidad de producción]],Tabla3[Medida],Tabla3[Equivalencia en Kg],"ELVIS",0)</f>
        <v>429.410343958919</v>
      </c>
      <c r="J2608" s="2" t="n">
        <v>661.5</v>
      </c>
      <c r="K2608" s="2" t="s">
        <v>18</v>
      </c>
      <c r="L2608" s="2" t="n">
        <f aca="false">J2608/_xlfn.XLOOKUP(Tabla2[[#This Row],[Unidad de precio]],Tabla3[Medida],Tabla3[Equivalencia en Kg],"ELVIS",0)</f>
        <v>14.5833333333333</v>
      </c>
      <c r="M2608" s="2" t="n">
        <v>5415.921577332</v>
      </c>
      <c r="N2608" s="3" t="n">
        <f aca="false">(Tabla2[[#This Row],[Productividad (kg/TAS)]]*Tabla2[[#This Row],[Precio por kg]]-Tabla2[[#This Row],[Costos (En RD$/Tarea)]])</f>
        <v>846.312605402232</v>
      </c>
      <c r="O2608" s="9" t="n">
        <f aca="false">IF(Tabla2[[#This Row],[Costos (En RD$/Tarea)]]=0,0,Tabla2[[#This Row],[Beneficio Neto  (En RD$/Tarea)]]/Tabla2[[#This Row],[Costos (En RD$/Tarea)]])</f>
        <v>0.156263822014045</v>
      </c>
      <c r="P2608" s="7" t="n">
        <f aca="false">Tabla2[[#This Row],[Rentabilidad (%)]]/12</f>
        <v>0.0130219851678371</v>
      </c>
    </row>
    <row r="2609" customFormat="false" ht="14.25" hidden="false" customHeight="false" outlineLevel="0" collapsed="false">
      <c r="A2609" s="1" t="n">
        <v>43132</v>
      </c>
      <c r="B2609" s="2" t="s">
        <v>22</v>
      </c>
      <c r="C2609" s="3" t="n">
        <v>9287</v>
      </c>
      <c r="D2609" s="8" t="s">
        <v>17</v>
      </c>
      <c r="E2609" s="3" t="n">
        <f aca="false">IF(Tabla2[[#This Row],[Frecuencia]]="Annual", Tabla2[[#This Row],[Cosecha/Tarea]]/12,Tabla2[[#This Row],[Cosecha/Tarea]])</f>
        <v>9287</v>
      </c>
      <c r="F2609" s="3" t="n">
        <v>82458</v>
      </c>
      <c r="G2609" s="2" t="s">
        <v>18</v>
      </c>
      <c r="H2609" s="2" t="n">
        <f aca="false">F2609/Tabla2[[#This Row],[Cosecha Mensual]]</f>
        <v>8.87886292667169</v>
      </c>
      <c r="I2609" s="2" t="n">
        <f aca="false">H2609*_xlfn.XLOOKUP(Tabla2[[#This Row],[Unidad de producción]],Tabla3[Medida],Tabla3[Equivalencia en Kg],"ELVIS",0)</f>
        <v>402.745222353828</v>
      </c>
      <c r="J2609" s="2" t="n">
        <v>2664.58083687146</v>
      </c>
      <c r="K2609" s="2" t="s">
        <v>18</v>
      </c>
      <c r="L2609" s="2" t="n">
        <f aca="false">J2609/_xlfn.XLOOKUP(Tabla2[[#This Row],[Unidad de precio]],Tabla3[Medida],Tabla3[Equivalencia en Kg],"ELVIS",0)</f>
        <v>58.7429637758258</v>
      </c>
      <c r="M2609" s="2" t="n">
        <v>10167.2711784</v>
      </c>
      <c r="N2609" s="3" t="n">
        <f aca="false">(Tabla2[[#This Row],[Productividad (kg/TAS)]]*Tabla2[[#This Row],[Precio por kg]]-Tabla2[[#This Row],[Costos (En RD$/Tarea)]])</f>
        <v>13491.1768292178</v>
      </c>
      <c r="O2609" s="9" t="n">
        <f aca="false">IF(Tabla2[[#This Row],[Costos (En RD$/Tarea)]]=0,0,Tabla2[[#This Row],[Beneficio Neto  (En RD$/Tarea)]]/Tabla2[[#This Row],[Costos (En RD$/Tarea)]])</f>
        <v>1.32692210058087</v>
      </c>
      <c r="P2609" s="7" t="n">
        <f aca="false">Tabla2[[#This Row],[Rentabilidad (%)]]/12</f>
        <v>0.110576841715072</v>
      </c>
    </row>
    <row r="2610" customFormat="false" ht="14.25" hidden="false" customHeight="false" outlineLevel="0" collapsed="false">
      <c r="A2610" s="1" t="n">
        <v>43132</v>
      </c>
      <c r="B2610" s="2" t="s">
        <v>23</v>
      </c>
      <c r="C2610" s="3" t="n">
        <v>5521</v>
      </c>
      <c r="D2610" s="8" t="s">
        <v>17</v>
      </c>
      <c r="E2610" s="3" t="n">
        <f aca="false">IF(Tabla2[[#This Row],[Frecuencia]]="Annual", Tabla2[[#This Row],[Cosecha/Tarea]]/12,Tabla2[[#This Row],[Cosecha/Tarea]])</f>
        <v>5521</v>
      </c>
      <c r="F2610" s="3" t="n">
        <v>189524</v>
      </c>
      <c r="G2610" s="2" t="s">
        <v>18</v>
      </c>
      <c r="H2610" s="2" t="n">
        <f aca="false">F2610/Tabla2[[#This Row],[Cosecha Mensual]]</f>
        <v>34.3278391595725</v>
      </c>
      <c r="I2610" s="2" t="n">
        <f aca="false">H2610*_xlfn.XLOOKUP(Tabla2[[#This Row],[Unidad de producción]],Tabla3[Medida],Tabla3[Equivalencia en Kg],"ELVIS",0)</f>
        <v>1557.11078427821</v>
      </c>
      <c r="J2610" s="2" t="n">
        <v>1169.00171587672</v>
      </c>
      <c r="K2610" s="2" t="s">
        <v>18</v>
      </c>
      <c r="L2610" s="2" t="n">
        <f aca="false">J2610/_xlfn.XLOOKUP(Tabla2[[#This Row],[Unidad de precio]],Tabla3[Medida],Tabla3[Equivalencia en Kg],"ELVIS",0)</f>
        <v>25.7716427662416</v>
      </c>
      <c r="M2610" s="2" t="n">
        <v>23803.1923056373</v>
      </c>
      <c r="N2610" s="3" t="n">
        <f aca="false">(Tabla2[[#This Row],[Productividad (kg/TAS)]]*Tabla2[[#This Row],[Precio por kg]]-Tabla2[[#This Row],[Costos (En RD$/Tarea)]])</f>
        <v>16326.1105742431</v>
      </c>
      <c r="O2610" s="9" t="n">
        <f aca="false">IF(Tabla2[[#This Row],[Costos (En RD$/Tarea)]]=0,0,Tabla2[[#This Row],[Beneficio Neto  (En RD$/Tarea)]]/Tabla2[[#This Row],[Costos (En RD$/Tarea)]])</f>
        <v>0.685879035240855</v>
      </c>
      <c r="P2610" s="7" t="n">
        <f aca="false">Tabla2[[#This Row],[Rentabilidad (%)]]/12</f>
        <v>0.0571565862700713</v>
      </c>
    </row>
    <row r="2611" customFormat="false" ht="14.25" hidden="false" customHeight="false" outlineLevel="0" collapsed="false">
      <c r="A2611" s="1" t="n">
        <v>43132</v>
      </c>
      <c r="B2611" s="2" t="s">
        <v>24</v>
      </c>
      <c r="C2611" s="3" t="n">
        <v>7851</v>
      </c>
      <c r="D2611" s="8" t="s">
        <v>17</v>
      </c>
      <c r="E2611" s="3" t="n">
        <f aca="false">IF(Tabla2[[#This Row],[Frecuencia]]="Annual", Tabla2[[#This Row],[Cosecha/Tarea]]/12,Tabla2[[#This Row],[Cosecha/Tarea]])</f>
        <v>7851</v>
      </c>
      <c r="F2611" s="3" t="n">
        <v>74251</v>
      </c>
      <c r="G2611" s="2" t="s">
        <v>18</v>
      </c>
      <c r="H2611" s="2" t="n">
        <f aca="false">F2611/Tabla2[[#This Row],[Cosecha Mensual]]</f>
        <v>9.4575213348618</v>
      </c>
      <c r="I2611" s="2" t="n">
        <f aca="false">H2611*_xlfn.XLOOKUP(Tabla2[[#This Row],[Unidad de producción]],Tabla3[Medida],Tabla3[Equivalencia en Kg],"ELVIS",0)</f>
        <v>428.993167749331</v>
      </c>
      <c r="J2611" s="2" t="n">
        <v>2066.48015873016</v>
      </c>
      <c r="K2611" s="2" t="s">
        <v>18</v>
      </c>
      <c r="L2611" s="2" t="n">
        <f aca="false">J2611/_xlfn.XLOOKUP(Tabla2[[#This Row],[Unidad de precio]],Tabla3[Medida],Tabla3[Equivalencia en Kg],"ELVIS",0)</f>
        <v>45.557322723328</v>
      </c>
      <c r="M2611" s="2" t="n">
        <v>9413.7321988512</v>
      </c>
      <c r="N2611" s="3" t="n">
        <f aca="false">(Tabla2[[#This Row],[Productividad (kg/TAS)]]*Tabla2[[#This Row],[Precio por kg]]-Tabla2[[#This Row],[Costos (En RD$/Tarea)]])</f>
        <v>10130.0479904079</v>
      </c>
      <c r="O2611" s="9" t="n">
        <f aca="false">IF(Tabla2[[#This Row],[Costos (En RD$/Tarea)]]=0,0,Tabla2[[#This Row],[Beneficio Neto  (En RD$/Tarea)]]/Tabla2[[#This Row],[Costos (En RD$/Tarea)]])</f>
        <v>1.07609264597989</v>
      </c>
      <c r="P2611" s="7" t="n">
        <f aca="false">Tabla2[[#This Row],[Rentabilidad (%)]]/12</f>
        <v>0.089674387164991</v>
      </c>
    </row>
    <row r="2612" customFormat="false" ht="14.25" hidden="false" customHeight="false" outlineLevel="0" collapsed="false">
      <c r="A2612" s="1" t="n">
        <v>43132</v>
      </c>
      <c r="B2612" s="2" t="s">
        <v>25</v>
      </c>
      <c r="C2612" s="3" t="n">
        <v>35689</v>
      </c>
      <c r="D2612" s="8" t="s">
        <v>17</v>
      </c>
      <c r="E2612" s="3" t="n">
        <f aca="false">IF(Tabla2[[#This Row],[Frecuencia]]="Annual", Tabla2[[#This Row],[Cosecha/Tarea]]/12,Tabla2[[#This Row],[Cosecha/Tarea]])</f>
        <v>35689</v>
      </c>
      <c r="F2612" s="3" t="n">
        <v>395958</v>
      </c>
      <c r="G2612" s="2" t="s">
        <v>18</v>
      </c>
      <c r="H2612" s="2" t="n">
        <f aca="false">F2612/Tabla2[[#This Row],[Cosecha Mensual]]</f>
        <v>11.0946790327552</v>
      </c>
      <c r="I2612" s="2" t="n">
        <f aca="false">H2612*_xlfn.XLOOKUP(Tabla2[[#This Row],[Unidad de producción]],Tabla3[Medida],Tabla3[Equivalencia en Kg],"ELVIS",0)</f>
        <v>503.254640925775</v>
      </c>
      <c r="J2612" s="2" t="n">
        <v>814.940476190476</v>
      </c>
      <c r="K2612" s="2" t="s">
        <v>18</v>
      </c>
      <c r="L2612" s="2" t="n">
        <f aca="false">J2612/_xlfn.XLOOKUP(Tabla2[[#This Row],[Unidad de precio]],Tabla3[Medida],Tabla3[Equivalencia en Kg],"ELVIS",0)</f>
        <v>17.9660598807424</v>
      </c>
      <c r="M2612" s="2" t="n">
        <v>4549.76899317218</v>
      </c>
      <c r="N2612" s="3" t="n">
        <f aca="false">(Tabla2[[#This Row],[Productividad (kg/TAS)]]*Tabla2[[#This Row],[Precio por kg]]-Tabla2[[#This Row],[Costos (En RD$/Tarea)]])</f>
        <v>4491.73402096183</v>
      </c>
      <c r="O2612" s="9" t="n">
        <f aca="false">IF(Tabla2[[#This Row],[Costos (En RD$/Tarea)]]=0,0,Tabla2[[#This Row],[Beneficio Neto  (En RD$/Tarea)]]/Tabla2[[#This Row],[Costos (En RD$/Tarea)]])</f>
        <v>0.987244413442211</v>
      </c>
      <c r="P2612" s="7" t="n">
        <f aca="false">Tabla2[[#This Row],[Rentabilidad (%)]]/12</f>
        <v>0.0822703677868509</v>
      </c>
    </row>
    <row r="2613" customFormat="false" ht="14.25" hidden="false" customHeight="false" outlineLevel="0" collapsed="false">
      <c r="A2613" s="1" t="n">
        <v>43132</v>
      </c>
      <c r="B2613" s="2" t="s">
        <v>26</v>
      </c>
      <c r="C2613" s="3" t="n">
        <v>12012</v>
      </c>
      <c r="D2613" s="8" t="s">
        <v>17</v>
      </c>
      <c r="E2613" s="3" t="n">
        <f aca="false">IF(Tabla2[[#This Row],[Frecuencia]]="Annual", Tabla2[[#This Row],[Cosecha/Tarea]]/12,Tabla2[[#This Row],[Cosecha/Tarea]])</f>
        <v>12012</v>
      </c>
      <c r="F2613" s="3" t="n">
        <v>78990</v>
      </c>
      <c r="G2613" s="2" t="s">
        <v>18</v>
      </c>
      <c r="H2613" s="2" t="n">
        <f aca="false">F2613/Tabla2[[#This Row],[Cosecha Mensual]]</f>
        <v>6.57592407592408</v>
      </c>
      <c r="I2613" s="2" t="n">
        <f aca="false">H2613*_xlfn.XLOOKUP(Tabla2[[#This Row],[Unidad de producción]],Tabla3[Medida],Tabla3[Equivalencia en Kg],"ELVIS",0)</f>
        <v>298.283916083916</v>
      </c>
      <c r="J2613" s="2" t="n">
        <v>1078.27976190476</v>
      </c>
      <c r="K2613" s="2" t="s">
        <v>18</v>
      </c>
      <c r="L2613" s="2" t="n">
        <f aca="false">J2613/_xlfn.XLOOKUP(Tabla2[[#This Row],[Unidad de precio]],Tabla3[Medida],Tabla3[Equivalencia en Kg],"ELVIS",0)</f>
        <v>23.7715996892584</v>
      </c>
      <c r="M2613" s="2" t="n">
        <v>1733.52094425</v>
      </c>
      <c r="N2613" s="3" t="n">
        <f aca="false">(Tabla2[[#This Row],[Productividad (kg/TAS)]]*Tabla2[[#This Row],[Precio por kg]]-Tabla2[[#This Row],[Costos (En RD$/Tarea)]])</f>
        <v>5357.16490264119</v>
      </c>
      <c r="O2613" s="9" t="n">
        <f aca="false">IF(Tabla2[[#This Row],[Costos (En RD$/Tarea)]]=0,0,Tabla2[[#This Row],[Beneficio Neto  (En RD$/Tarea)]]/Tabla2[[#This Row],[Costos (En RD$/Tarea)]])</f>
        <v>3.09033757014049</v>
      </c>
      <c r="P2613" s="7" t="n">
        <f aca="false">Tabla2[[#This Row],[Rentabilidad (%)]]/12</f>
        <v>0.257528130845041</v>
      </c>
    </row>
    <row r="2614" customFormat="false" ht="14.25" hidden="false" customHeight="false" outlineLevel="0" collapsed="false">
      <c r="A2614" s="1" t="n">
        <v>43132</v>
      </c>
      <c r="B2614" s="2" t="s">
        <v>27</v>
      </c>
      <c r="C2614" s="3" t="n">
        <v>5854</v>
      </c>
      <c r="D2614" s="8" t="s">
        <v>17</v>
      </c>
      <c r="E2614" s="3" t="n">
        <f aca="false">IF(Tabla2[[#This Row],[Frecuencia]]="Annual", Tabla2[[#This Row],[Cosecha/Tarea]]/12,Tabla2[[#This Row],[Cosecha/Tarea]])</f>
        <v>5854</v>
      </c>
      <c r="F2614" s="3" t="n">
        <v>49899</v>
      </c>
      <c r="G2614" s="2" t="s">
        <v>18</v>
      </c>
      <c r="H2614" s="2" t="n">
        <f aca="false">F2614/Tabla2[[#This Row],[Cosecha Mensual]]</f>
        <v>8.52391527160916</v>
      </c>
      <c r="I2614" s="2" t="n">
        <f aca="false">H2614*_xlfn.XLOOKUP(Tabla2[[#This Row],[Unidad de producción]],Tabla3[Medida],Tabla3[Equivalencia en Kg],"ELVIS",0)</f>
        <v>386.644796720191</v>
      </c>
      <c r="J2614" s="2" t="n">
        <v>787.638888888889</v>
      </c>
      <c r="K2614" s="2" t="s">
        <v>18</v>
      </c>
      <c r="L2614" s="2" t="n">
        <f aca="false">J2614/_xlfn.XLOOKUP(Tabla2[[#This Row],[Unidad de precio]],Tabla3[Medida],Tabla3[Equivalencia en Kg],"ELVIS",0)</f>
        <v>17.3641730354693</v>
      </c>
      <c r="M2614" s="2" t="n">
        <v>9289.57547778</v>
      </c>
      <c r="N2614" s="3" t="n">
        <f aca="false">(Tabla2[[#This Row],[Productividad (kg/TAS)]]*Tabla2[[#This Row],[Precio por kg]]-Tabla2[[#This Row],[Costos (En RD$/Tarea)]])</f>
        <v>-2575.80832426673</v>
      </c>
      <c r="O2614" s="9" t="n">
        <f aca="false">IF(Tabla2[[#This Row],[Costos (En RD$/Tarea)]]=0,0,Tabla2[[#This Row],[Beneficio Neto  (En RD$/Tarea)]]/Tabla2[[#This Row],[Costos (En RD$/Tarea)]])</f>
        <v>-0.277279444085242</v>
      </c>
      <c r="P2614" s="7" t="n">
        <f aca="false">Tabla2[[#This Row],[Rentabilidad (%)]]/12</f>
        <v>-0.0231066203404368</v>
      </c>
    </row>
    <row r="2615" customFormat="false" ht="14.25" hidden="false" customHeight="false" outlineLevel="0" collapsed="false">
      <c r="A2615" s="1" t="n">
        <v>43132</v>
      </c>
      <c r="B2615" s="2" t="s">
        <v>28</v>
      </c>
      <c r="C2615" s="3" t="n">
        <v>91254</v>
      </c>
      <c r="D2615" s="8" t="s">
        <v>17</v>
      </c>
      <c r="E2615" s="3" t="n">
        <f aca="false">IF(Tabla2[[#This Row],[Frecuencia]]="Annual", Tabla2[[#This Row],[Cosecha/Tarea]]/12,Tabla2[[#This Row],[Cosecha/Tarea]])</f>
        <v>91254</v>
      </c>
      <c r="F2615" s="3" t="n">
        <v>1839048</v>
      </c>
      <c r="G2615" s="2" t="s">
        <v>18</v>
      </c>
      <c r="H2615" s="2" t="n">
        <f aca="false">F2615/Tabla2[[#This Row],[Cosecha Mensual]]</f>
        <v>20.1530672628049</v>
      </c>
      <c r="I2615" s="2" t="n">
        <f aca="false">H2615*_xlfn.XLOOKUP(Tabla2[[#This Row],[Unidad de producción]],Tabla3[Medida],Tabla3[Equivalencia en Kg],"ELVIS",0)</f>
        <v>914.143131040831</v>
      </c>
      <c r="J2615" s="2" t="n">
        <v>8979.16666666667</v>
      </c>
      <c r="K2615" s="2" t="s">
        <v>29</v>
      </c>
      <c r="L2615" s="2" t="n">
        <f aca="false">J2615/_xlfn.XLOOKUP(Tabla2[[#This Row],[Unidad de precio]],Tabla3[Medida],Tabla3[Equivalencia en Kg],"ELVIS",0)</f>
        <v>15.9675048310038</v>
      </c>
      <c r="M2615" s="2" t="n">
        <v>7167.67993212066</v>
      </c>
      <c r="N2615" s="3" t="n">
        <f aca="false">(Tabla2[[#This Row],[Productividad (kg/TAS)]]*Tabla2[[#This Row],[Precio por kg]]-Tabla2[[#This Row],[Costos (En RD$/Tarea)]])</f>
        <v>7428.90492900274</v>
      </c>
      <c r="O2615" s="9" t="n">
        <f aca="false">IF(Tabla2[[#This Row],[Costos (En RD$/Tarea)]]=0,0,Tabla2[[#This Row],[Beneficio Neto  (En RD$/Tarea)]]/Tabla2[[#This Row],[Costos (En RD$/Tarea)]])</f>
        <v>1.03644484677831</v>
      </c>
      <c r="P2615" s="7" t="n">
        <f aca="false">Tabla2[[#This Row],[Rentabilidad (%)]]/12</f>
        <v>0.0863704038981922</v>
      </c>
    </row>
    <row r="2616" customFormat="false" ht="14.25" hidden="false" customHeight="false" outlineLevel="0" collapsed="false">
      <c r="A2616" s="1" t="n">
        <v>43132</v>
      </c>
      <c r="B2616" s="2" t="s">
        <v>30</v>
      </c>
      <c r="C2616" s="3" t="n">
        <v>467381</v>
      </c>
      <c r="D2616" s="3" t="s">
        <v>31</v>
      </c>
      <c r="E2616" s="3" t="n">
        <f aca="false">IF(Tabla2[[#This Row],[Frecuencia]]="Annual", Tabla2[[#This Row],[Cosecha/Tarea]]/12,Tabla2[[#This Row],[Cosecha/Tarea]])</f>
        <v>38948.4166666667</v>
      </c>
      <c r="F2616" s="3" t="n">
        <v>2093712.6</v>
      </c>
      <c r="G2616" s="2" t="s">
        <v>18</v>
      </c>
      <c r="H2616" s="2" t="n">
        <f aca="false">F2616/Tabla2[[#This Row],[Cosecha Mensual]]</f>
        <v>53.7560388633684</v>
      </c>
      <c r="I2616" s="2" t="n">
        <f aca="false">H2616*_xlfn.XLOOKUP(Tabla2[[#This Row],[Unidad de producción]],Tabla3[Medida],Tabla3[Equivalencia en Kg],"ELVIS",0)</f>
        <v>2438.37392284239</v>
      </c>
      <c r="J2616" s="2" t="n">
        <v>167.970238095238</v>
      </c>
      <c r="K2616" s="2" t="s">
        <v>32</v>
      </c>
      <c r="L2616" s="2" t="n">
        <f aca="false">J2616/_xlfn.XLOOKUP(Tabla2[[#This Row],[Unidad de precio]],Tabla3[Medida],Tabla3[Equivalencia en Kg],"ELVIS",0)</f>
        <v>6.17310687597347</v>
      </c>
      <c r="M2616" s="3" t="n">
        <v>34069.662396</v>
      </c>
      <c r="N2616" s="3" t="n">
        <f aca="false">(Tabla2[[#This Row],[Productividad (kg/TAS)]]*Tabla2[[#This Row],[Precio por kg]]-Tabla2[[#This Row],[Costos (En RD$/Tarea)]])</f>
        <v>-19017.3195667072</v>
      </c>
      <c r="O2616" s="9" t="n">
        <f aca="false">IF(Tabla2[[#This Row],[Costos (En RD$/Tarea)]]=0,0,Tabla2[[#This Row],[Beneficio Neto  (En RD$/Tarea)]]/Tabla2[[#This Row],[Costos (En RD$/Tarea)]])</f>
        <v>-0.558189257811372</v>
      </c>
      <c r="P2616" s="7" t="n">
        <f aca="false">Tabla2[[#This Row],[Rentabilidad (%)]]/12</f>
        <v>-0.046515771484281</v>
      </c>
    </row>
    <row r="2617" customFormat="false" ht="14.25" hidden="false" customHeight="false" outlineLevel="0" collapsed="false">
      <c r="A2617" s="1" t="n">
        <v>43132</v>
      </c>
      <c r="B2617" s="2" t="s">
        <v>33</v>
      </c>
      <c r="C2617" s="3" t="n">
        <v>775241</v>
      </c>
      <c r="D2617" s="3" t="s">
        <v>31</v>
      </c>
      <c r="E2617" s="3" t="n">
        <f aca="false">IF(Tabla2[[#This Row],[Frecuencia]]="Annual", Tabla2[[#This Row],[Cosecha/Tarea]]/12,Tabla2[[#This Row],[Cosecha/Tarea]])</f>
        <v>64603.4166666667</v>
      </c>
      <c r="F2617" s="3" t="n">
        <v>1452780</v>
      </c>
      <c r="G2617" s="2" t="s">
        <v>18</v>
      </c>
      <c r="H2617" s="2" t="n">
        <f aca="false">F2617/Tabla2[[#This Row],[Cosecha Mensual]]</f>
        <v>22.4876651260705</v>
      </c>
      <c r="I2617" s="2" t="n">
        <f aca="false">H2617*_xlfn.XLOOKUP(Tabla2[[#This Row],[Unidad de producción]],Tabla3[Medida],Tabla3[Equivalencia en Kg],"ELVIS",0)</f>
        <v>1020.04049011856</v>
      </c>
      <c r="J2617" s="2" t="n">
        <v>8062.34523809524</v>
      </c>
      <c r="K2617" s="2" t="s">
        <v>34</v>
      </c>
      <c r="L2617" s="2" t="n">
        <f aca="false">J2617/_xlfn.XLOOKUP(Tabla2[[#This Row],[Unidad de precio]],Tabla3[Medida],Tabla3[Equivalencia en Kg],"ELVIS",0)</f>
        <v>19.7533878184374</v>
      </c>
      <c r="M2617" s="3" t="n">
        <v>22932.1463359308</v>
      </c>
      <c r="N2617" s="3" t="n">
        <f aca="false">(Tabla2[[#This Row],[Productividad (kg/TAS)]]*Tabla2[[#This Row],[Precio por kg]]-Tabla2[[#This Row],[Costos (En RD$/Tarea)]])</f>
        <v>-2782.89094410995</v>
      </c>
      <c r="O2617" s="9" t="n">
        <f aca="false">IF(Tabla2[[#This Row],[Costos (En RD$/Tarea)]]=0,0,Tabla2[[#This Row],[Beneficio Neto  (En RD$/Tarea)]]/Tabla2[[#This Row],[Costos (En RD$/Tarea)]])</f>
        <v>-0.12135326991829</v>
      </c>
      <c r="P2617" s="7" t="n">
        <f aca="false">Tabla2[[#This Row],[Rentabilidad (%)]]/12</f>
        <v>-0.0101127724931909</v>
      </c>
    </row>
    <row r="2618" customFormat="false" ht="14.25" hidden="false" customHeight="false" outlineLevel="0" collapsed="false">
      <c r="A2618" s="1" t="n">
        <v>43160</v>
      </c>
      <c r="B2618" s="2" t="s">
        <v>16</v>
      </c>
      <c r="C2618" s="3" t="n">
        <v>102303</v>
      </c>
      <c r="D2618" s="8" t="s">
        <v>17</v>
      </c>
      <c r="E2618" s="3" t="n">
        <f aca="false">IF(Tabla2[[#This Row],[Frecuencia]]="Annual", Tabla2[[#This Row],[Cosecha/Tarea]]/12,Tabla2[[#This Row],[Cosecha/Tarea]])</f>
        <v>102303</v>
      </c>
      <c r="F2618" s="3" t="n">
        <v>446612</v>
      </c>
      <c r="G2618" s="2" t="s">
        <v>18</v>
      </c>
      <c r="H2618" s="2" t="n">
        <f aca="false">F2618/Tabla2[[#This Row],[Cosecha Mensual]]</f>
        <v>4.36558067700849</v>
      </c>
      <c r="I2618" s="2" t="n">
        <f aca="false">H2618*_xlfn.XLOOKUP(Tabla2[[#This Row],[Unidad de producción]],Tabla3[Medida],Tabla3[Equivalencia en Kg],"ELVIS",0)</f>
        <v>198.022739509105</v>
      </c>
      <c r="J2618" s="2" t="n">
        <v>1986.57450082508</v>
      </c>
      <c r="K2618" s="2" t="s">
        <v>19</v>
      </c>
      <c r="L2618" s="2" t="n">
        <f aca="false">J2618/_xlfn.XLOOKUP(Tabla2[[#This Row],[Unidad de precio]],Tabla3[Medida],Tabla3[Equivalencia en Kg],"ELVIS",0)</f>
        <v>18.0597681893189</v>
      </c>
      <c r="M2618" s="2" t="n">
        <v>6204.17820654867</v>
      </c>
      <c r="N2618" s="3" t="n">
        <f aca="false">(Tabla2[[#This Row],[Productividad (kg/TAS)]]*Tabla2[[#This Row],[Precio por kg]]-Tabla2[[#This Row],[Costos (En RD$/Tarea)]])</f>
        <v>-2627.93343480035</v>
      </c>
      <c r="O2618" s="9" t="n">
        <f aca="false">IF(Tabla2[[#This Row],[Costos (En RD$/Tarea)]]=0,0,Tabla2[[#This Row],[Beneficio Neto  (En RD$/Tarea)]]/Tabla2[[#This Row],[Costos (En RD$/Tarea)]])</f>
        <v>-0.423574782559678</v>
      </c>
      <c r="P2618" s="7" t="n">
        <f aca="false">Tabla2[[#This Row],[Rentabilidad (%)]]/12</f>
        <v>-0.0352978985466398</v>
      </c>
    </row>
    <row r="2619" customFormat="false" ht="14.25" hidden="false" customHeight="false" outlineLevel="0" collapsed="false">
      <c r="A2619" s="1" t="n">
        <v>43160</v>
      </c>
      <c r="B2619" s="2" t="s">
        <v>20</v>
      </c>
      <c r="C2619" s="3" t="n">
        <v>27892</v>
      </c>
      <c r="D2619" s="8" t="s">
        <v>17</v>
      </c>
      <c r="E2619" s="3" t="n">
        <f aca="false">IF(Tabla2[[#This Row],[Frecuencia]]="Annual", Tabla2[[#This Row],[Cosecha/Tarea]]/12,Tabla2[[#This Row],[Cosecha/Tarea]])</f>
        <v>27892</v>
      </c>
      <c r="F2619" s="3" t="n">
        <v>72015</v>
      </c>
      <c r="G2619" s="2" t="s">
        <v>18</v>
      </c>
      <c r="H2619" s="2" t="n">
        <f aca="false">F2619/Tabla2[[#This Row],[Cosecha Mensual]]</f>
        <v>2.58192313208088</v>
      </c>
      <c r="I2619" s="2" t="n">
        <f aca="false">H2619*_xlfn.XLOOKUP(Tabla2[[#This Row],[Unidad de producción]],Tabla3[Medida],Tabla3[Equivalencia en Kg],"ELVIS",0)</f>
        <v>117.116033271189</v>
      </c>
      <c r="J2619" s="2" t="n">
        <v>883.530989583333</v>
      </c>
      <c r="K2619" s="2" t="s">
        <v>18</v>
      </c>
      <c r="L2619" s="2" t="n">
        <f aca="false">J2619/_xlfn.XLOOKUP(Tabla2[[#This Row],[Unidad de precio]],Tabla3[Medida],Tabla3[Equivalencia en Kg],"ELVIS",0)</f>
        <v>19.4781964193857</v>
      </c>
      <c r="M2619" s="2" t="n">
        <v>2494.8799608792</v>
      </c>
      <c r="N2619" s="3" t="n">
        <f aca="false">(Tabla2[[#This Row],[Productividad (kg/TAS)]]*Tabla2[[#This Row],[Precio por kg]]-Tabla2[[#This Row],[Costos (En RD$/Tarea)]])</f>
        <v>-213.670860963678</v>
      </c>
      <c r="O2619" s="9" t="n">
        <f aca="false">IF(Tabla2[[#This Row],[Costos (En RD$/Tarea)]]=0,0,Tabla2[[#This Row],[Beneficio Neto  (En RD$/Tarea)]]/Tabla2[[#This Row],[Costos (En RD$/Tarea)]])</f>
        <v>-0.0856437441135968</v>
      </c>
      <c r="P2619" s="7" t="n">
        <f aca="false">Tabla2[[#This Row],[Rentabilidad (%)]]/12</f>
        <v>-0.00713697867613306</v>
      </c>
    </row>
    <row r="2620" customFormat="false" ht="14.25" hidden="false" customHeight="false" outlineLevel="0" collapsed="false">
      <c r="A2620" s="1" t="n">
        <v>43160</v>
      </c>
      <c r="B2620" s="2" t="s">
        <v>21</v>
      </c>
      <c r="C2620" s="3" t="n">
        <v>9542</v>
      </c>
      <c r="D2620" s="8" t="s">
        <v>17</v>
      </c>
      <c r="E2620" s="3" t="n">
        <f aca="false">IF(Tabla2[[#This Row],[Frecuencia]]="Annual", Tabla2[[#This Row],[Cosecha/Tarea]]/12,Tabla2[[#This Row],[Cosecha/Tarea]])</f>
        <v>9542</v>
      </c>
      <c r="F2620" s="3" t="n">
        <v>112410</v>
      </c>
      <c r="G2620" s="2" t="s">
        <v>18</v>
      </c>
      <c r="H2620" s="2" t="n">
        <f aca="false">F2620/Tabla2[[#This Row],[Cosecha Mensual]]</f>
        <v>11.7805491511214</v>
      </c>
      <c r="I2620" s="2" t="n">
        <f aca="false">H2620*_xlfn.XLOOKUP(Tabla2[[#This Row],[Unidad de producción]],Tabla3[Medida],Tabla3[Equivalencia en Kg],"ELVIS",0)</f>
        <v>534.365709494865</v>
      </c>
      <c r="J2620" s="2" t="n">
        <v>674.800476190476</v>
      </c>
      <c r="K2620" s="2" t="s">
        <v>18</v>
      </c>
      <c r="L2620" s="2" t="n">
        <f aca="false">J2620/_xlfn.XLOOKUP(Tabla2[[#This Row],[Unidad de precio]],Tabla3[Medida],Tabla3[Equivalencia en Kg],"ELVIS",0)</f>
        <v>14.8765537079029</v>
      </c>
      <c r="M2620" s="2" t="n">
        <v>5415.921577332</v>
      </c>
      <c r="N2620" s="3" t="n">
        <f aca="false">(Tabla2[[#This Row],[Productividad (kg/TAS)]]*Tabla2[[#This Row],[Precio por kg]]-Tabla2[[#This Row],[Costos (En RD$/Tarea)]])</f>
        <v>2533.59859963</v>
      </c>
      <c r="O2620" s="9" t="n">
        <f aca="false">IF(Tabla2[[#This Row],[Costos (En RD$/Tarea)]]=0,0,Tabla2[[#This Row],[Beneficio Neto  (En RD$/Tarea)]]/Tabla2[[#This Row],[Costos (En RD$/Tarea)]])</f>
        <v>0.467805628913502</v>
      </c>
      <c r="P2620" s="7" t="n">
        <f aca="false">Tabla2[[#This Row],[Rentabilidad (%)]]/12</f>
        <v>0.0389838024094585</v>
      </c>
    </row>
    <row r="2621" customFormat="false" ht="14.25" hidden="false" customHeight="false" outlineLevel="0" collapsed="false">
      <c r="A2621" s="1" t="n">
        <v>43160</v>
      </c>
      <c r="B2621" s="2" t="s">
        <v>22</v>
      </c>
      <c r="C2621" s="3" t="n">
        <v>7784</v>
      </c>
      <c r="D2621" s="8" t="s">
        <v>17</v>
      </c>
      <c r="E2621" s="3" t="n">
        <f aca="false">IF(Tabla2[[#This Row],[Frecuencia]]="Annual", Tabla2[[#This Row],[Cosecha/Tarea]]/12,Tabla2[[#This Row],[Cosecha/Tarea]])</f>
        <v>7784</v>
      </c>
      <c r="F2621" s="3" t="n">
        <v>80198</v>
      </c>
      <c r="G2621" s="2" t="s">
        <v>18</v>
      </c>
      <c r="H2621" s="2" t="n">
        <f aca="false">F2621/Tabla2[[#This Row],[Cosecha Mensual]]</f>
        <v>10.3029290853032</v>
      </c>
      <c r="I2621" s="2" t="n">
        <f aca="false">H2621*_xlfn.XLOOKUP(Tabla2[[#This Row],[Unidad de producción]],Tabla3[Medida],Tabla3[Equivalencia en Kg],"ELVIS",0)</f>
        <v>467.340863309352</v>
      </c>
      <c r="J2621" s="2" t="n">
        <v>2877.71130758131</v>
      </c>
      <c r="K2621" s="2" t="s">
        <v>18</v>
      </c>
      <c r="L2621" s="2" t="n">
        <f aca="false">J2621/_xlfn.XLOOKUP(Tabla2[[#This Row],[Unidad de precio]],Tabla3[Medida],Tabla3[Equivalencia en Kg],"ELVIS",0)</f>
        <v>63.4416073099936</v>
      </c>
      <c r="M2621" s="2" t="n">
        <v>10167.2711784</v>
      </c>
      <c r="N2621" s="3" t="n">
        <f aca="false">(Tabla2[[#This Row],[Productividad (kg/TAS)]]*Tabla2[[#This Row],[Precio por kg]]-Tabla2[[#This Row],[Costos (En RD$/Tarea)]])</f>
        <v>19481.5843515853</v>
      </c>
      <c r="O2621" s="9" t="n">
        <f aca="false">IF(Tabla2[[#This Row],[Costos (En RD$/Tarea)]]=0,0,Tabla2[[#This Row],[Beneficio Neto  (En RD$/Tarea)]]/Tabla2[[#This Row],[Costos (En RD$/Tarea)]])</f>
        <v>1.91610747955393</v>
      </c>
      <c r="P2621" s="7" t="n">
        <f aca="false">Tabla2[[#This Row],[Rentabilidad (%)]]/12</f>
        <v>0.159675623296161</v>
      </c>
    </row>
    <row r="2622" customFormat="false" ht="14.25" hidden="false" customHeight="false" outlineLevel="0" collapsed="false">
      <c r="A2622" s="1" t="n">
        <v>43160</v>
      </c>
      <c r="B2622" s="2" t="s">
        <v>23</v>
      </c>
      <c r="C2622" s="3" t="n">
        <v>4321</v>
      </c>
      <c r="D2622" s="8" t="s">
        <v>17</v>
      </c>
      <c r="E2622" s="3" t="n">
        <f aca="false">IF(Tabla2[[#This Row],[Frecuencia]]="Annual", Tabla2[[#This Row],[Cosecha/Tarea]]/12,Tabla2[[#This Row],[Cosecha/Tarea]])</f>
        <v>4321</v>
      </c>
      <c r="F2622" s="3" t="n">
        <v>186015</v>
      </c>
      <c r="G2622" s="2" t="s">
        <v>18</v>
      </c>
      <c r="H2622" s="2" t="n">
        <f aca="false">F2622/Tabla2[[#This Row],[Cosecha Mensual]]</f>
        <v>43.0490627169637</v>
      </c>
      <c r="I2622" s="2" t="n">
        <f aca="false">H2622*_xlfn.XLOOKUP(Tabla2[[#This Row],[Unidad de producción]],Tabla3[Medida],Tabla3[Equivalencia en Kg],"ELVIS",0)</f>
        <v>1952.70548484147</v>
      </c>
      <c r="J2622" s="2" t="n">
        <v>1068.16994463869</v>
      </c>
      <c r="K2622" s="2" t="s">
        <v>18</v>
      </c>
      <c r="L2622" s="2" t="n">
        <f aca="false">J2622/_xlfn.XLOOKUP(Tabla2[[#This Row],[Unidad de precio]],Tabla3[Medida],Tabla3[Equivalencia en Kg],"ELVIS",0)</f>
        <v>23.5487201199006</v>
      </c>
      <c r="M2622" s="2" t="n">
        <v>23803.1923056373</v>
      </c>
      <c r="N2622" s="3" t="n">
        <f aca="false">(Tabla2[[#This Row],[Productividad (kg/TAS)]]*Tabla2[[#This Row],[Precio por kg]]-Tabla2[[#This Row],[Costos (En RD$/Tarea)]])</f>
        <v>22180.5226334893</v>
      </c>
      <c r="O2622" s="9" t="n">
        <f aca="false">IF(Tabla2[[#This Row],[Costos (En RD$/Tarea)]]=0,0,Tabla2[[#This Row],[Beneficio Neto  (En RD$/Tarea)]]/Tabla2[[#This Row],[Costos (En RD$/Tarea)]])</f>
        <v>0.931829745720126</v>
      </c>
      <c r="P2622" s="7" t="n">
        <f aca="false">Tabla2[[#This Row],[Rentabilidad (%)]]/12</f>
        <v>0.0776524788100105</v>
      </c>
    </row>
    <row r="2623" customFormat="false" ht="14.25" hidden="false" customHeight="false" outlineLevel="0" collapsed="false">
      <c r="A2623" s="1" t="n">
        <v>43160</v>
      </c>
      <c r="B2623" s="2" t="s">
        <v>24</v>
      </c>
      <c r="C2623" s="3" t="n">
        <v>6845</v>
      </c>
      <c r="D2623" s="8" t="s">
        <v>17</v>
      </c>
      <c r="E2623" s="3" t="n">
        <f aca="false">IF(Tabla2[[#This Row],[Frecuencia]]="Annual", Tabla2[[#This Row],[Cosecha/Tarea]]/12,Tabla2[[#This Row],[Cosecha/Tarea]])</f>
        <v>6845</v>
      </c>
      <c r="F2623" s="3" t="n">
        <v>57891</v>
      </c>
      <c r="G2623" s="2" t="s">
        <v>18</v>
      </c>
      <c r="H2623" s="2" t="n">
        <f aca="false">F2623/Tabla2[[#This Row],[Cosecha Mensual]]</f>
        <v>8.45741417092768</v>
      </c>
      <c r="I2623" s="2" t="n">
        <f aca="false">H2623*_xlfn.XLOOKUP(Tabla2[[#This Row],[Unidad de producción]],Tabla3[Medida],Tabla3[Equivalencia en Kg],"ELVIS",0)</f>
        <v>383.62830679328</v>
      </c>
      <c r="J2623" s="2" t="n">
        <v>1979.14322916667</v>
      </c>
      <c r="K2623" s="2" t="s">
        <v>18</v>
      </c>
      <c r="L2623" s="2" t="n">
        <f aca="false">J2623/_xlfn.XLOOKUP(Tabla2[[#This Row],[Unidad de precio]],Tabla3[Medida],Tabla3[Equivalencia en Kg],"ELVIS",0)</f>
        <v>43.631905404909</v>
      </c>
      <c r="M2623" s="2" t="n">
        <v>9413.7321988512</v>
      </c>
      <c r="N2623" s="3" t="n">
        <f aca="false">(Tabla2[[#This Row],[Productividad (kg/TAS)]]*Tabla2[[#This Row],[Precio por kg]]-Tabla2[[#This Row],[Costos (En RD$/Tarea)]])</f>
        <v>7324.70179379857</v>
      </c>
      <c r="O2623" s="9" t="n">
        <f aca="false">IF(Tabla2[[#This Row],[Costos (En RD$/Tarea)]]=0,0,Tabla2[[#This Row],[Beneficio Neto  (En RD$/Tarea)]]/Tabla2[[#This Row],[Costos (En RD$/Tarea)]])</f>
        <v>0.778086909535459</v>
      </c>
      <c r="P2623" s="7" t="n">
        <f aca="false">Tabla2[[#This Row],[Rentabilidad (%)]]/12</f>
        <v>0.0648405757946216</v>
      </c>
    </row>
    <row r="2624" customFormat="false" ht="14.25" hidden="false" customHeight="false" outlineLevel="0" collapsed="false">
      <c r="A2624" s="1" t="n">
        <v>43160</v>
      </c>
      <c r="B2624" s="2" t="s">
        <v>25</v>
      </c>
      <c r="C2624" s="3" t="n">
        <v>27845</v>
      </c>
      <c r="D2624" s="8" t="s">
        <v>17</v>
      </c>
      <c r="E2624" s="3" t="n">
        <f aca="false">IF(Tabla2[[#This Row],[Frecuencia]]="Annual", Tabla2[[#This Row],[Cosecha/Tarea]]/12,Tabla2[[#This Row],[Cosecha/Tarea]])</f>
        <v>27845</v>
      </c>
      <c r="F2624" s="3" t="n">
        <v>265478</v>
      </c>
      <c r="G2624" s="2" t="s">
        <v>18</v>
      </c>
      <c r="H2624" s="2" t="n">
        <f aca="false">F2624/Tabla2[[#This Row],[Cosecha Mensual]]</f>
        <v>9.53413539235051</v>
      </c>
      <c r="I2624" s="2" t="n">
        <f aca="false">H2624*_xlfn.XLOOKUP(Tabla2[[#This Row],[Unidad de producción]],Tabla3[Medida],Tabla3[Equivalencia en Kg],"ELVIS",0)</f>
        <v>432.468381397019</v>
      </c>
      <c r="J2624" s="2" t="n">
        <v>971.666666666667</v>
      </c>
      <c r="K2624" s="2" t="s">
        <v>18</v>
      </c>
      <c r="L2624" s="2" t="n">
        <f aca="false">J2624/_xlfn.XLOOKUP(Tabla2[[#This Row],[Unidad de precio]],Tabla3[Medida],Tabla3[Equivalencia en Kg],"ELVIS",0)</f>
        <v>21.4212228101117</v>
      </c>
      <c r="M2624" s="2" t="n">
        <v>4549.76899317218</v>
      </c>
      <c r="N2624" s="3" t="n">
        <f aca="false">(Tabla2[[#This Row],[Productividad (kg/TAS)]]*Tabla2[[#This Row],[Precio por kg]]-Tabla2[[#This Row],[Costos (En RD$/Tarea)]])</f>
        <v>4714.23256306174</v>
      </c>
      <c r="O2624" s="9" t="n">
        <f aca="false">IF(Tabla2[[#This Row],[Costos (En RD$/Tarea)]]=0,0,Tabla2[[#This Row],[Beneficio Neto  (En RD$/Tarea)]]/Tabla2[[#This Row],[Costos (En RD$/Tarea)]])</f>
        <v>1.03614767478005</v>
      </c>
      <c r="P2624" s="7" t="n">
        <f aca="false">Tabla2[[#This Row],[Rentabilidad (%)]]/12</f>
        <v>0.0863456395650045</v>
      </c>
    </row>
    <row r="2625" customFormat="false" ht="14.25" hidden="false" customHeight="false" outlineLevel="0" collapsed="false">
      <c r="A2625" s="1" t="n">
        <v>43160</v>
      </c>
      <c r="B2625" s="2" t="s">
        <v>26</v>
      </c>
      <c r="C2625" s="3" t="n">
        <v>15021</v>
      </c>
      <c r="D2625" s="8" t="s">
        <v>17</v>
      </c>
      <c r="E2625" s="3" t="n">
        <f aca="false">IF(Tabla2[[#This Row],[Frecuencia]]="Annual", Tabla2[[#This Row],[Cosecha/Tarea]]/12,Tabla2[[#This Row],[Cosecha/Tarea]])</f>
        <v>15021</v>
      </c>
      <c r="F2625" s="3" t="n">
        <v>85475</v>
      </c>
      <c r="G2625" s="2" t="s">
        <v>18</v>
      </c>
      <c r="H2625" s="2" t="n">
        <f aca="false">F2625/Tabla2[[#This Row],[Cosecha Mensual]]</f>
        <v>5.69036681978563</v>
      </c>
      <c r="I2625" s="2" t="n">
        <f aca="false">H2625*_xlfn.XLOOKUP(Tabla2[[#This Row],[Unidad de producción]],Tabla3[Medida],Tabla3[Equivalencia en Kg],"ELVIS",0)</f>
        <v>258.115038945476</v>
      </c>
      <c r="J2625" s="2" t="n">
        <v>1022.00520833333</v>
      </c>
      <c r="K2625" s="2" t="s">
        <v>18</v>
      </c>
      <c r="L2625" s="2" t="n">
        <f aca="false">J2625/_xlfn.XLOOKUP(Tabla2[[#This Row],[Unidad de precio]],Tabla3[Medida],Tabla3[Equivalencia en Kg],"ELVIS",0)</f>
        <v>22.5309790196942</v>
      </c>
      <c r="M2625" s="2" t="n">
        <v>1733.52094425</v>
      </c>
      <c r="N2625" s="3" t="n">
        <f aca="false">(Tabla2[[#This Row],[Productividad (kg/TAS)]]*Tabla2[[#This Row],[Precio por kg]]-Tabla2[[#This Row],[Costos (En RD$/Tarea)]])</f>
        <v>4082.06358289808</v>
      </c>
      <c r="O2625" s="9" t="n">
        <f aca="false">IF(Tabla2[[#This Row],[Costos (En RD$/Tarea)]]=0,0,Tabla2[[#This Row],[Beneficio Neto  (En RD$/Tarea)]]/Tabla2[[#This Row],[Costos (En RD$/Tarea)]])</f>
        <v>2.35478180776418</v>
      </c>
      <c r="P2625" s="7" t="n">
        <f aca="false">Tabla2[[#This Row],[Rentabilidad (%)]]/12</f>
        <v>0.196231817313682</v>
      </c>
    </row>
    <row r="2626" customFormat="false" ht="14.25" hidden="false" customHeight="false" outlineLevel="0" collapsed="false">
      <c r="A2626" s="1" t="n">
        <v>43160</v>
      </c>
      <c r="B2626" s="2" t="s">
        <v>27</v>
      </c>
      <c r="C2626" s="3" t="n">
        <v>6214</v>
      </c>
      <c r="D2626" s="8" t="s">
        <v>17</v>
      </c>
      <c r="E2626" s="3" t="n">
        <f aca="false">IF(Tabla2[[#This Row],[Frecuencia]]="Annual", Tabla2[[#This Row],[Cosecha/Tarea]]/12,Tabla2[[#This Row],[Cosecha/Tarea]])</f>
        <v>6214</v>
      </c>
      <c r="F2626" s="3" t="n">
        <v>58421</v>
      </c>
      <c r="G2626" s="2" t="s">
        <v>18</v>
      </c>
      <c r="H2626" s="2" t="n">
        <f aca="false">F2626/Tabla2[[#This Row],[Cosecha Mensual]]</f>
        <v>9.4015127132282</v>
      </c>
      <c r="I2626" s="2" t="n">
        <f aca="false">H2626*_xlfn.XLOOKUP(Tabla2[[#This Row],[Unidad de producción]],Tabla3[Medida],Tabla3[Equivalencia en Kg],"ELVIS",0)</f>
        <v>426.452616672031</v>
      </c>
      <c r="J2626" s="2" t="n">
        <v>799.633571428571</v>
      </c>
      <c r="K2626" s="2" t="s">
        <v>18</v>
      </c>
      <c r="L2626" s="2" t="n">
        <f aca="false">J2626/_xlfn.XLOOKUP(Tabla2[[#This Row],[Unidad de precio]],Tabla3[Medida],Tabla3[Equivalencia en Kg],"ELVIS",0)</f>
        <v>17.6286060720584</v>
      </c>
      <c r="M2626" s="2" t="n">
        <v>9289.57547778</v>
      </c>
      <c r="N2626" s="3" t="n">
        <f aca="false">(Tabla2[[#This Row],[Productividad (kg/TAS)]]*Tabla2[[#This Row],[Precio por kg]]-Tabla2[[#This Row],[Costos (En RD$/Tarea)]])</f>
        <v>-1771.81029007022</v>
      </c>
      <c r="O2626" s="9" t="n">
        <f aca="false">IF(Tabla2[[#This Row],[Costos (En RD$/Tarea)]]=0,0,Tabla2[[#This Row],[Beneficio Neto  (En RD$/Tarea)]]/Tabla2[[#This Row],[Costos (En RD$/Tarea)]])</f>
        <v>-0.190731029023691</v>
      </c>
      <c r="P2626" s="7" t="n">
        <f aca="false">Tabla2[[#This Row],[Rentabilidad (%)]]/12</f>
        <v>-0.0158942524186409</v>
      </c>
    </row>
    <row r="2627" customFormat="false" ht="14.25" hidden="false" customHeight="false" outlineLevel="0" collapsed="false">
      <c r="A2627" s="1" t="n">
        <v>43160</v>
      </c>
      <c r="B2627" s="2" t="s">
        <v>28</v>
      </c>
      <c r="C2627" s="3" t="n">
        <v>66541</v>
      </c>
      <c r="D2627" s="8" t="s">
        <v>17</v>
      </c>
      <c r="E2627" s="3" t="n">
        <f aca="false">IF(Tabla2[[#This Row],[Frecuencia]]="Annual", Tabla2[[#This Row],[Cosecha/Tarea]]/12,Tabla2[[#This Row],[Cosecha/Tarea]])</f>
        <v>66541</v>
      </c>
      <c r="F2627" s="3" t="n">
        <v>1063164</v>
      </c>
      <c r="G2627" s="2" t="s">
        <v>18</v>
      </c>
      <c r="H2627" s="2" t="n">
        <f aca="false">F2627/Tabla2[[#This Row],[Cosecha Mensual]]</f>
        <v>15.9775777340286</v>
      </c>
      <c r="I2627" s="2" t="n">
        <f aca="false">H2627*_xlfn.XLOOKUP(Tabla2[[#This Row],[Unidad de producción]],Tabla3[Medida],Tabla3[Equivalencia en Kg],"ELVIS",0)</f>
        <v>724.742926015539</v>
      </c>
      <c r="J2627" s="2" t="n">
        <v>9833.33333333333</v>
      </c>
      <c r="K2627" s="2" t="s">
        <v>29</v>
      </c>
      <c r="L2627" s="2" t="n">
        <f aca="false">J2627/_xlfn.XLOOKUP(Tabla2[[#This Row],[Unidad de precio]],Tabla3[Medida],Tabla3[Equivalencia en Kg],"ELVIS",0)</f>
        <v>17.4864554065749</v>
      </c>
      <c r="M2627" s="2" t="n">
        <v>7167.67993212066</v>
      </c>
      <c r="N2627" s="3" t="n">
        <f aca="false">(Tabla2[[#This Row],[Productividad (kg/TAS)]]*Tabla2[[#This Row],[Precio por kg]]-Tabla2[[#This Row],[Costos (En RD$/Tarea)]])</f>
        <v>5505.50492488068</v>
      </c>
      <c r="O2627" s="9" t="n">
        <f aca="false">IF(Tabla2[[#This Row],[Costos (En RD$/Tarea)]]=0,0,Tabla2[[#This Row],[Beneficio Neto  (En RD$/Tarea)]]/Tabla2[[#This Row],[Costos (En RD$/Tarea)]])</f>
        <v>0.768101390829236</v>
      </c>
      <c r="P2627" s="7" t="n">
        <f aca="false">Tabla2[[#This Row],[Rentabilidad (%)]]/12</f>
        <v>0.0640084492357696</v>
      </c>
    </row>
    <row r="2628" customFormat="false" ht="14.25" hidden="false" customHeight="false" outlineLevel="0" collapsed="false">
      <c r="A2628" s="1" t="n">
        <v>43160</v>
      </c>
      <c r="B2628" s="2" t="s">
        <v>30</v>
      </c>
      <c r="C2628" s="3" t="n">
        <v>478552</v>
      </c>
      <c r="D2628" s="3" t="s">
        <v>31</v>
      </c>
      <c r="E2628" s="3" t="n">
        <f aca="false">IF(Tabla2[[#This Row],[Frecuencia]]="Annual", Tabla2[[#This Row],[Cosecha/Tarea]]/12,Tabla2[[#This Row],[Cosecha/Tarea]])</f>
        <v>39879.3333333333</v>
      </c>
      <c r="F2628" s="3" t="n">
        <v>2198526.6</v>
      </c>
      <c r="G2628" s="2" t="s">
        <v>18</v>
      </c>
      <c r="H2628" s="2" t="n">
        <f aca="false">F2628/Tabla2[[#This Row],[Cosecha Mensual]]</f>
        <v>55.1294722412611</v>
      </c>
      <c r="I2628" s="2" t="n">
        <f aca="false">H2628*_xlfn.XLOOKUP(Tabla2[[#This Row],[Unidad de producción]],Tabla3[Medida],Tabla3[Equivalencia en Kg],"ELVIS",0)</f>
        <v>2500.67286086361</v>
      </c>
      <c r="J2628" s="2" t="n">
        <v>154.952083333333</v>
      </c>
      <c r="K2628" s="2" t="s">
        <v>32</v>
      </c>
      <c r="L2628" s="2" t="n">
        <f aca="false">J2628/_xlfn.XLOOKUP(Tabla2[[#This Row],[Unidad de precio]],Tabla3[Medida],Tabla3[Equivalencia en Kg],"ELVIS",0)</f>
        <v>5.69467413940952</v>
      </c>
      <c r="M2628" s="3" t="n">
        <v>34069.662396</v>
      </c>
      <c r="N2628" s="3" t="n">
        <f aca="false">(Tabla2[[#This Row],[Productividad (kg/TAS)]]*Tabla2[[#This Row],[Precio por kg]]-Tabla2[[#This Row],[Costos (En RD$/Tarea)]])</f>
        <v>-19829.1453241168</v>
      </c>
      <c r="O2628" s="9" t="n">
        <f aca="false">IF(Tabla2[[#This Row],[Costos (En RD$/Tarea)]]=0,0,Tabla2[[#This Row],[Beneficio Neto  (En RD$/Tarea)]]/Tabla2[[#This Row],[Costos (En RD$/Tarea)]])</f>
        <v>-0.582017664091819</v>
      </c>
      <c r="P2628" s="7" t="n">
        <f aca="false">Tabla2[[#This Row],[Rentabilidad (%)]]/12</f>
        <v>-0.0485014720076516</v>
      </c>
    </row>
    <row r="2629" customFormat="false" ht="14.25" hidden="false" customHeight="false" outlineLevel="0" collapsed="false">
      <c r="A2629" s="1" t="n">
        <v>43160</v>
      </c>
      <c r="B2629" s="2" t="s">
        <v>33</v>
      </c>
      <c r="C2629" s="3" t="n">
        <v>733459</v>
      </c>
      <c r="D2629" s="3" t="s">
        <v>31</v>
      </c>
      <c r="E2629" s="3" t="n">
        <f aca="false">IF(Tabla2[[#This Row],[Frecuencia]]="Annual", Tabla2[[#This Row],[Cosecha/Tarea]]/12,Tabla2[[#This Row],[Cosecha/Tarea]])</f>
        <v>61121.5833333333</v>
      </c>
      <c r="F2629" s="3" t="n">
        <v>1621116</v>
      </c>
      <c r="G2629" s="2" t="s">
        <v>18</v>
      </c>
      <c r="H2629" s="2" t="n">
        <f aca="false">F2629/Tabla2[[#This Row],[Cosecha Mensual]]</f>
        <v>26.5228076825017</v>
      </c>
      <c r="I2629" s="2" t="n">
        <f aca="false">H2629*_xlfn.XLOOKUP(Tabla2[[#This Row],[Unidad de producción]],Tabla3[Medida],Tabla3[Equivalencia en Kg],"ELVIS",0)</f>
        <v>1203.07455647828</v>
      </c>
      <c r="J2629" s="2" t="n">
        <v>6383.26302083333</v>
      </c>
      <c r="K2629" s="2" t="s">
        <v>34</v>
      </c>
      <c r="L2629" s="2" t="n">
        <f aca="false">J2629/_xlfn.XLOOKUP(Tabla2[[#This Row],[Unidad de precio]],Tabla3[Medida],Tabla3[Equivalencia en Kg],"ELVIS",0)</f>
        <v>15.6395026848789</v>
      </c>
      <c r="M2629" s="3" t="n">
        <v>22932.1463359308</v>
      </c>
      <c r="N2629" s="3" t="n">
        <f aca="false">(Tabla2[[#This Row],[Productividad (kg/TAS)]]*Tabla2[[#This Row],[Precio por kg]]-Tabla2[[#This Row],[Costos (En RD$/Tarea)]])</f>
        <v>-4116.65857977929</v>
      </c>
      <c r="O2629" s="9" t="n">
        <f aca="false">IF(Tabla2[[#This Row],[Costos (En RD$/Tarea)]]=0,0,Tabla2[[#This Row],[Beneficio Neto  (En RD$/Tarea)]]/Tabla2[[#This Row],[Costos (En RD$/Tarea)]])</f>
        <v>-0.179514752761244</v>
      </c>
      <c r="P2629" s="7" t="n">
        <f aca="false">Tabla2[[#This Row],[Rentabilidad (%)]]/12</f>
        <v>-0.0149595627301037</v>
      </c>
    </row>
    <row r="2630" customFormat="false" ht="14.25" hidden="false" customHeight="false" outlineLevel="0" collapsed="false">
      <c r="A2630" s="1" t="n">
        <v>43191</v>
      </c>
      <c r="B2630" s="2" t="s">
        <v>16</v>
      </c>
      <c r="C2630" s="3" t="n">
        <v>480124</v>
      </c>
      <c r="D2630" s="8" t="s">
        <v>17</v>
      </c>
      <c r="E2630" s="3" t="n">
        <f aca="false">IF(Tabla2[[#This Row],[Frecuencia]]="Annual", Tabla2[[#This Row],[Cosecha/Tarea]]/12,Tabla2[[#This Row],[Cosecha/Tarea]])</f>
        <v>480124</v>
      </c>
      <c r="F2630" s="3" t="n">
        <v>2498578</v>
      </c>
      <c r="G2630" s="2" t="s">
        <v>18</v>
      </c>
      <c r="H2630" s="2" t="n">
        <f aca="false">F2630/Tabla2[[#This Row],[Cosecha Mensual]]</f>
        <v>5.20402645983121</v>
      </c>
      <c r="I2630" s="2" t="n">
        <f aca="false">H2630*_xlfn.XLOOKUP(Tabla2[[#This Row],[Unidad de producción]],Tabla3[Medida],Tabla3[Equivalencia en Kg],"ELVIS",0)</f>
        <v>236.054640217944</v>
      </c>
      <c r="J2630" s="2" t="n">
        <v>2037.46287238724</v>
      </c>
      <c r="K2630" s="2" t="s">
        <v>19</v>
      </c>
      <c r="L2630" s="2" t="n">
        <f aca="false">J2630/_xlfn.XLOOKUP(Tabla2[[#This Row],[Unidad de precio]],Tabla3[Medida],Tabla3[Equivalencia en Kg],"ELVIS",0)</f>
        <v>18.5223897489749</v>
      </c>
      <c r="M2630" s="2" t="n">
        <v>6204.17820654867</v>
      </c>
      <c r="N2630" s="3" t="n">
        <f aca="false">(Tabla2[[#This Row],[Productividad (kg/TAS)]]*Tabla2[[#This Row],[Precio por kg]]-Tabla2[[#This Row],[Costos (En RD$/Tarea)]])</f>
        <v>-1831.88215837787</v>
      </c>
      <c r="O2630" s="9" t="n">
        <f aca="false">IF(Tabla2[[#This Row],[Costos (En RD$/Tarea)]]=0,0,Tabla2[[#This Row],[Beneficio Neto  (En RD$/Tarea)]]/Tabla2[[#This Row],[Costos (En RD$/Tarea)]])</f>
        <v>-0.29526588331139</v>
      </c>
      <c r="P2630" s="7" t="n">
        <f aca="false">Tabla2[[#This Row],[Rentabilidad (%)]]/12</f>
        <v>-0.0246054902759492</v>
      </c>
    </row>
    <row r="2631" customFormat="false" ht="14.25" hidden="false" customHeight="false" outlineLevel="0" collapsed="false">
      <c r="A2631" s="1" t="n">
        <v>43191</v>
      </c>
      <c r="B2631" s="2" t="s">
        <v>20</v>
      </c>
      <c r="C2631" s="3" t="n">
        <v>27541</v>
      </c>
      <c r="D2631" s="8" t="s">
        <v>17</v>
      </c>
      <c r="E2631" s="3" t="n">
        <f aca="false">IF(Tabla2[[#This Row],[Frecuencia]]="Annual", Tabla2[[#This Row],[Cosecha/Tarea]]/12,Tabla2[[#This Row],[Cosecha/Tarea]])</f>
        <v>27541</v>
      </c>
      <c r="F2631" s="3" t="n">
        <v>67215</v>
      </c>
      <c r="G2631" s="2" t="s">
        <v>18</v>
      </c>
      <c r="H2631" s="2" t="n">
        <f aca="false">F2631/Tabla2[[#This Row],[Cosecha Mensual]]</f>
        <v>2.44054319015286</v>
      </c>
      <c r="I2631" s="2" t="n">
        <f aca="false">H2631*_xlfn.XLOOKUP(Tabla2[[#This Row],[Unidad de producción]],Tabla3[Medida],Tabla3[Equivalencia en Kg],"ELVIS",0)</f>
        <v>110.703039105334</v>
      </c>
      <c r="J2631" s="2" t="n">
        <v>885.70609375</v>
      </c>
      <c r="K2631" s="2" t="s">
        <v>18</v>
      </c>
      <c r="L2631" s="2" t="n">
        <f aca="false">J2631/_xlfn.XLOOKUP(Tabla2[[#This Row],[Unidad de precio]],Tabla3[Medida],Tabla3[Equivalencia en Kg],"ELVIS",0)</f>
        <v>19.5261484512787</v>
      </c>
      <c r="M2631" s="2" t="n">
        <v>2494.8799608792</v>
      </c>
      <c r="N2631" s="3" t="n">
        <f aca="false">(Tabla2[[#This Row],[Productividad (kg/TAS)]]*Tabla2[[#This Row],[Precio por kg]]-Tabla2[[#This Row],[Costos (En RD$/Tarea)]])</f>
        <v>-333.275985300744</v>
      </c>
      <c r="O2631" s="9" t="n">
        <f aca="false">IF(Tabla2[[#This Row],[Costos (En RD$/Tarea)]]=0,0,Tabla2[[#This Row],[Beneficio Neto  (En RD$/Tarea)]]/Tabla2[[#This Row],[Costos (En RD$/Tarea)]])</f>
        <v>-0.133583976193908</v>
      </c>
      <c r="P2631" s="7" t="n">
        <f aca="false">Tabla2[[#This Row],[Rentabilidad (%)]]/12</f>
        <v>-0.011131998016159</v>
      </c>
    </row>
    <row r="2632" customFormat="false" ht="14.25" hidden="false" customHeight="false" outlineLevel="0" collapsed="false">
      <c r="A2632" s="1" t="n">
        <v>43191</v>
      </c>
      <c r="B2632" s="2" t="s">
        <v>21</v>
      </c>
      <c r="C2632" s="3" t="n">
        <v>11899</v>
      </c>
      <c r="D2632" s="8" t="s">
        <v>17</v>
      </c>
      <c r="E2632" s="3" t="n">
        <f aca="false">IF(Tabla2[[#This Row],[Frecuencia]]="Annual", Tabla2[[#This Row],[Cosecha/Tarea]]/12,Tabla2[[#This Row],[Cosecha/Tarea]])</f>
        <v>11899</v>
      </c>
      <c r="F2632" s="3" t="n">
        <v>138357</v>
      </c>
      <c r="G2632" s="2" t="s">
        <v>18</v>
      </c>
      <c r="H2632" s="2" t="n">
        <f aca="false">F2632/Tabla2[[#This Row],[Cosecha Mensual]]</f>
        <v>11.6276157660308</v>
      </c>
      <c r="I2632" s="2" t="n">
        <f aca="false">H2632*_xlfn.XLOOKUP(Tabla2[[#This Row],[Unidad de producción]],Tabla3[Medida],Tabla3[Equivalencia en Kg],"ELVIS",0)</f>
        <v>527.428651147155</v>
      </c>
      <c r="J2632" s="2" t="n">
        <v>702.489583333333</v>
      </c>
      <c r="K2632" s="2" t="s">
        <v>18</v>
      </c>
      <c r="L2632" s="2" t="n">
        <f aca="false">J2632/_xlfn.XLOOKUP(Tabla2[[#This Row],[Unidad de precio]],Tabla3[Medida],Tabla3[Equivalencia en Kg],"ELVIS",0)</f>
        <v>15.4869837595532</v>
      </c>
      <c r="M2632" s="2" t="n">
        <v>5415.921577332</v>
      </c>
      <c r="N2632" s="3" t="n">
        <f aca="false">(Tabla2[[#This Row],[Productividad (kg/TAS)]]*Tabla2[[#This Row],[Precio por kg]]-Tabla2[[#This Row],[Costos (En RD$/Tarea)]])</f>
        <v>2752.35737730704</v>
      </c>
      <c r="O2632" s="9" t="n">
        <f aca="false">IF(Tabla2[[#This Row],[Costos (En RD$/Tarea)]]=0,0,Tabla2[[#This Row],[Beneficio Neto  (En RD$/Tarea)]]/Tabla2[[#This Row],[Costos (En RD$/Tarea)]])</f>
        <v>0.508197420883431</v>
      </c>
      <c r="P2632" s="7" t="n">
        <f aca="false">Tabla2[[#This Row],[Rentabilidad (%)]]/12</f>
        <v>0.0423497850736192</v>
      </c>
    </row>
    <row r="2633" customFormat="false" ht="14.25" hidden="false" customHeight="false" outlineLevel="0" collapsed="false">
      <c r="A2633" s="1" t="n">
        <v>43191</v>
      </c>
      <c r="B2633" s="2" t="s">
        <v>22</v>
      </c>
      <c r="C2633" s="3" t="n">
        <v>9452</v>
      </c>
      <c r="D2633" s="8" t="s">
        <v>17</v>
      </c>
      <c r="E2633" s="3" t="n">
        <f aca="false">IF(Tabla2[[#This Row],[Frecuencia]]="Annual", Tabla2[[#This Row],[Cosecha/Tarea]]/12,Tabla2[[#This Row],[Cosecha/Tarea]])</f>
        <v>9452</v>
      </c>
      <c r="F2633" s="3" t="n">
        <v>92458</v>
      </c>
      <c r="G2633" s="2" t="s">
        <v>18</v>
      </c>
      <c r="H2633" s="2" t="n">
        <f aca="false">F2633/Tabla2[[#This Row],[Cosecha Mensual]]</f>
        <v>9.78184511214558</v>
      </c>
      <c r="I2633" s="2" t="n">
        <f aca="false">H2633*_xlfn.XLOOKUP(Tabla2[[#This Row],[Unidad de producción]],Tabla3[Medida],Tabla3[Equivalencia en Kg],"ELVIS",0)</f>
        <v>443.704494286923</v>
      </c>
      <c r="J2633" s="2" t="n">
        <v>2961.19177829115</v>
      </c>
      <c r="K2633" s="2" t="s">
        <v>18</v>
      </c>
      <c r="L2633" s="2" t="n">
        <f aca="false">J2633/_xlfn.XLOOKUP(Tabla2[[#This Row],[Unidad de precio]],Tabla3[Medida],Tabla3[Equivalencia en Kg],"ELVIS",0)</f>
        <v>65.2820056942493</v>
      </c>
      <c r="M2633" s="2" t="n">
        <v>10167.2711784</v>
      </c>
      <c r="N2633" s="3" t="n">
        <f aca="false">(Tabla2[[#This Row],[Productividad (kg/TAS)]]*Tabla2[[#This Row],[Precio por kg]]-Tabla2[[#This Row],[Costos (En RD$/Tarea)]])</f>
        <v>18798.648144203</v>
      </c>
      <c r="O2633" s="9" t="n">
        <f aca="false">IF(Tabla2[[#This Row],[Costos (En RD$/Tarea)]]=0,0,Tabla2[[#This Row],[Beneficio Neto  (En RD$/Tarea)]]/Tabla2[[#This Row],[Costos (En RD$/Tarea)]])</f>
        <v>1.84893742031195</v>
      </c>
      <c r="P2633" s="7" t="n">
        <f aca="false">Tabla2[[#This Row],[Rentabilidad (%)]]/12</f>
        <v>0.154078118359329</v>
      </c>
    </row>
    <row r="2634" customFormat="false" ht="14.25" hidden="false" customHeight="false" outlineLevel="0" collapsed="false">
      <c r="A2634" s="1" t="n">
        <v>43191</v>
      </c>
      <c r="B2634" s="2" t="s">
        <v>23</v>
      </c>
      <c r="C2634" s="3" t="n">
        <v>4102</v>
      </c>
      <c r="D2634" s="8" t="s">
        <v>17</v>
      </c>
      <c r="E2634" s="3" t="n">
        <f aca="false">IF(Tabla2[[#This Row],[Frecuencia]]="Annual", Tabla2[[#This Row],[Cosecha/Tarea]]/12,Tabla2[[#This Row],[Cosecha/Tarea]])</f>
        <v>4102</v>
      </c>
      <c r="F2634" s="3" t="n">
        <v>156925</v>
      </c>
      <c r="G2634" s="2" t="s">
        <v>18</v>
      </c>
      <c r="H2634" s="2" t="n">
        <f aca="false">F2634/Tabla2[[#This Row],[Cosecha Mensual]]</f>
        <v>38.2557289127255</v>
      </c>
      <c r="I2634" s="2" t="n">
        <f aca="false">H2634*_xlfn.XLOOKUP(Tabla2[[#This Row],[Unidad de producción]],Tabla3[Medida],Tabla3[Equivalencia en Kg],"ELVIS",0)</f>
        <v>1735.27986348123</v>
      </c>
      <c r="J2634" s="2" t="n">
        <v>963.767417767416</v>
      </c>
      <c r="K2634" s="2" t="s">
        <v>18</v>
      </c>
      <c r="L2634" s="2" t="n">
        <f aca="false">J2634/_xlfn.XLOOKUP(Tabla2[[#This Row],[Unidad de precio]],Tabla3[Medida],Tabla3[Equivalencia en Kg],"ELVIS",0)</f>
        <v>21.2470771112746</v>
      </c>
      <c r="M2634" s="2" t="n">
        <v>23803.1923056373</v>
      </c>
      <c r="N2634" s="3" t="n">
        <f aca="false">(Tabla2[[#This Row],[Productividad (kg/TAS)]]*Tabla2[[#This Row],[Precio por kg]]-Tabla2[[#This Row],[Costos (En RD$/Tarea)]])</f>
        <v>13066.4327633904</v>
      </c>
      <c r="O2634" s="9" t="n">
        <f aca="false">IF(Tabla2[[#This Row],[Costos (En RD$/Tarea)]]=0,0,Tabla2[[#This Row],[Beneficio Neto  (En RD$/Tarea)]]/Tabla2[[#This Row],[Costos (En RD$/Tarea)]])</f>
        <v>0.548936150900058</v>
      </c>
      <c r="P2634" s="7" t="n">
        <f aca="false">Tabla2[[#This Row],[Rentabilidad (%)]]/12</f>
        <v>0.0457446792416715</v>
      </c>
    </row>
    <row r="2635" customFormat="false" ht="14.25" hidden="false" customHeight="false" outlineLevel="0" collapsed="false">
      <c r="A2635" s="1" t="n">
        <v>43191</v>
      </c>
      <c r="B2635" s="2" t="s">
        <v>24</v>
      </c>
      <c r="C2635" s="3" t="n">
        <v>6854</v>
      </c>
      <c r="D2635" s="8" t="s">
        <v>17</v>
      </c>
      <c r="E2635" s="3" t="n">
        <f aca="false">IF(Tabla2[[#This Row],[Frecuencia]]="Annual", Tabla2[[#This Row],[Cosecha/Tarea]]/12,Tabla2[[#This Row],[Cosecha/Tarea]])</f>
        <v>6854</v>
      </c>
      <c r="F2635" s="3" t="n">
        <v>66498</v>
      </c>
      <c r="G2635" s="2" t="s">
        <v>18</v>
      </c>
      <c r="H2635" s="2" t="n">
        <f aca="false">F2635/Tabla2[[#This Row],[Cosecha Mensual]]</f>
        <v>9.7020717829005</v>
      </c>
      <c r="I2635" s="2" t="n">
        <f aca="false">H2635*_xlfn.XLOOKUP(Tabla2[[#This Row],[Unidad de producción]],Tabla3[Medida],Tabla3[Equivalencia en Kg],"ELVIS",0)</f>
        <v>440.085976072367</v>
      </c>
      <c r="J2635" s="2" t="n">
        <v>2017.1875</v>
      </c>
      <c r="K2635" s="2" t="s">
        <v>18</v>
      </c>
      <c r="L2635" s="2" t="n">
        <f aca="false">J2635/_xlfn.XLOOKUP(Tabla2[[#This Row],[Unidad de precio]],Tabla3[Medida],Tabla3[Equivalencia en Kg],"ELVIS",0)</f>
        <v>44.4706238977072</v>
      </c>
      <c r="M2635" s="2" t="n">
        <v>9413.7321988512</v>
      </c>
      <c r="N2635" s="3" t="n">
        <f aca="false">(Tabla2[[#This Row],[Productividad (kg/TAS)]]*Tabla2[[#This Row],[Precio por kg]]-Tabla2[[#This Row],[Costos (En RD$/Tarea)]])</f>
        <v>10157.1657257184</v>
      </c>
      <c r="O2635" s="9" t="n">
        <f aca="false">IF(Tabla2[[#This Row],[Costos (En RD$/Tarea)]]=0,0,Tabla2[[#This Row],[Beneficio Neto  (En RD$/Tarea)]]/Tabla2[[#This Row],[Costos (En RD$/Tarea)]])</f>
        <v>1.0789733031664</v>
      </c>
      <c r="P2635" s="7" t="n">
        <f aca="false">Tabla2[[#This Row],[Rentabilidad (%)]]/12</f>
        <v>0.0899144419305335</v>
      </c>
    </row>
    <row r="2636" customFormat="false" ht="14.25" hidden="false" customHeight="false" outlineLevel="0" collapsed="false">
      <c r="A2636" s="1" t="n">
        <v>43191</v>
      </c>
      <c r="B2636" s="2" t="s">
        <v>25</v>
      </c>
      <c r="C2636" s="3" t="n">
        <v>28545</v>
      </c>
      <c r="D2636" s="8" t="s">
        <v>17</v>
      </c>
      <c r="E2636" s="3" t="n">
        <f aca="false">IF(Tabla2[[#This Row],[Frecuencia]]="Annual", Tabla2[[#This Row],[Cosecha/Tarea]]/12,Tabla2[[#This Row],[Cosecha/Tarea]])</f>
        <v>28545</v>
      </c>
      <c r="F2636" s="3" t="n">
        <v>273589</v>
      </c>
      <c r="G2636" s="2" t="s">
        <v>18</v>
      </c>
      <c r="H2636" s="2" t="n">
        <f aca="false">F2636/Tabla2[[#This Row],[Cosecha Mensual]]</f>
        <v>9.58448064459625</v>
      </c>
      <c r="I2636" s="2" t="n">
        <f aca="false">H2636*_xlfn.XLOOKUP(Tabla2[[#This Row],[Unidad de producción]],Tabla3[Medida],Tabla3[Equivalencia en Kg],"ELVIS",0)</f>
        <v>434.752042038886</v>
      </c>
      <c r="J2636" s="2" t="n">
        <v>1137.8515625</v>
      </c>
      <c r="K2636" s="2" t="s">
        <v>18</v>
      </c>
      <c r="L2636" s="2" t="n">
        <f aca="false">J2636/_xlfn.XLOOKUP(Tabla2[[#This Row],[Unidad de precio]],Tabla3[Medida],Tabla3[Equivalencia en Kg],"ELVIS",0)</f>
        <v>25.0849109898589</v>
      </c>
      <c r="M2636" s="2" t="n">
        <v>4549.76899317218</v>
      </c>
      <c r="N2636" s="3" t="n">
        <f aca="false">(Tabla2[[#This Row],[Productividad (kg/TAS)]]*Tabla2[[#This Row],[Precio por kg]]-Tabla2[[#This Row],[Costos (En RD$/Tarea)]])</f>
        <v>6355.94728403267</v>
      </c>
      <c r="O2636" s="9" t="n">
        <f aca="false">IF(Tabla2[[#This Row],[Costos (En RD$/Tarea)]]=0,0,Tabla2[[#This Row],[Beneficio Neto  (En RD$/Tarea)]]/Tabla2[[#This Row],[Costos (En RD$/Tarea)]])</f>
        <v>1.39698241681523</v>
      </c>
      <c r="P2636" s="7" t="n">
        <f aca="false">Tabla2[[#This Row],[Rentabilidad (%)]]/12</f>
        <v>0.116415201401269</v>
      </c>
    </row>
    <row r="2637" customFormat="false" ht="14.25" hidden="false" customHeight="false" outlineLevel="0" collapsed="false">
      <c r="A2637" s="1" t="n">
        <v>43191</v>
      </c>
      <c r="B2637" s="2" t="s">
        <v>26</v>
      </c>
      <c r="C2637" s="3" t="n">
        <v>8541</v>
      </c>
      <c r="D2637" s="8" t="s">
        <v>17</v>
      </c>
      <c r="E2637" s="3" t="n">
        <f aca="false">IF(Tabla2[[#This Row],[Frecuencia]]="Annual", Tabla2[[#This Row],[Cosecha/Tarea]]/12,Tabla2[[#This Row],[Cosecha/Tarea]])</f>
        <v>8541</v>
      </c>
      <c r="F2637" s="3" t="n">
        <v>63052</v>
      </c>
      <c r="G2637" s="2" t="s">
        <v>18</v>
      </c>
      <c r="H2637" s="2" t="n">
        <f aca="false">F2637/Tabla2[[#This Row],[Cosecha Mensual]]</f>
        <v>7.38227373843812</v>
      </c>
      <c r="I2637" s="2" t="n">
        <f aca="false">H2637*_xlfn.XLOOKUP(Tabla2[[#This Row],[Unidad de producción]],Tabla3[Medida],Tabla3[Equivalencia en Kg],"ELVIS",0)</f>
        <v>334.859936775553</v>
      </c>
      <c r="J2637" s="2" t="n">
        <v>1007.44010416667</v>
      </c>
      <c r="K2637" s="2" t="s">
        <v>18</v>
      </c>
      <c r="L2637" s="2" t="n">
        <f aca="false">J2637/_xlfn.XLOOKUP(Tabla2[[#This Row],[Unidad de precio]],Tabla3[Medida],Tabla3[Equivalencia en Kg],"ELVIS",0)</f>
        <v>22.2098788396532</v>
      </c>
      <c r="M2637" s="2" t="n">
        <v>1733.52094425</v>
      </c>
      <c r="N2637" s="3" t="n">
        <f aca="false">(Tabla2[[#This Row],[Productividad (kg/TAS)]]*Tabla2[[#This Row],[Precio por kg]]-Tabla2[[#This Row],[Costos (En RD$/Tarea)]])</f>
        <v>5703.67767978897</v>
      </c>
      <c r="O2637" s="9" t="n">
        <f aca="false">IF(Tabla2[[#This Row],[Costos (En RD$/Tarea)]]=0,0,Tabla2[[#This Row],[Beneficio Neto  (En RD$/Tarea)]]/Tabla2[[#This Row],[Costos (En RD$/Tarea)]])</f>
        <v>3.29022715226359</v>
      </c>
      <c r="P2637" s="7" t="n">
        <f aca="false">Tabla2[[#This Row],[Rentabilidad (%)]]/12</f>
        <v>0.274185596021966</v>
      </c>
    </row>
    <row r="2638" customFormat="false" ht="14.25" hidden="false" customHeight="false" outlineLevel="0" collapsed="false">
      <c r="A2638" s="1" t="n">
        <v>43191</v>
      </c>
      <c r="B2638" s="2" t="s">
        <v>27</v>
      </c>
      <c r="C2638" s="3" t="n">
        <v>2104</v>
      </c>
      <c r="D2638" s="8" t="s">
        <v>17</v>
      </c>
      <c r="E2638" s="3" t="n">
        <f aca="false">IF(Tabla2[[#This Row],[Frecuencia]]="Annual", Tabla2[[#This Row],[Cosecha/Tarea]]/12,Tabla2[[#This Row],[Cosecha/Tarea]])</f>
        <v>2104</v>
      </c>
      <c r="F2638" s="3" t="n">
        <v>53252</v>
      </c>
      <c r="G2638" s="2" t="s">
        <v>18</v>
      </c>
      <c r="H2638" s="2" t="n">
        <f aca="false">F2638/Tabla2[[#This Row],[Cosecha Mensual]]</f>
        <v>25.3098859315589</v>
      </c>
      <c r="I2638" s="2" t="n">
        <f aca="false">H2638*_xlfn.XLOOKUP(Tabla2[[#This Row],[Unidad de producción]],Tabla3[Medida],Tabla3[Equivalencia en Kg],"ELVIS",0)</f>
        <v>1148.05642585551</v>
      </c>
      <c r="J2638" s="2" t="n">
        <v>726.339814814815</v>
      </c>
      <c r="K2638" s="2" t="s">
        <v>18</v>
      </c>
      <c r="L2638" s="2" t="n">
        <f aca="false">J2638/_xlfn.XLOOKUP(Tabla2[[#This Row],[Unidad de precio]],Tabla3[Medida],Tabla3[Equivalencia en Kg],"ELVIS",0)</f>
        <v>16.0127825135541</v>
      </c>
      <c r="M2638" s="2" t="n">
        <v>9289.57547778</v>
      </c>
      <c r="N2638" s="3" t="n">
        <f aca="false">(Tabla2[[#This Row],[Productividad (kg/TAS)]]*Tabla2[[#This Row],[Precio por kg]]-Tabla2[[#This Row],[Costos (En RD$/Tarea)]])</f>
        <v>9094.00238273261</v>
      </c>
      <c r="O2638" s="9" t="n">
        <f aca="false">IF(Tabla2[[#This Row],[Costos (En RD$/Tarea)]]=0,0,Tabla2[[#This Row],[Beneficio Neto  (En RD$/Tarea)]]/Tabla2[[#This Row],[Costos (En RD$/Tarea)]])</f>
        <v>0.978947036329573</v>
      </c>
      <c r="P2638" s="7" t="n">
        <f aca="false">Tabla2[[#This Row],[Rentabilidad (%)]]/12</f>
        <v>0.0815789196941311</v>
      </c>
    </row>
    <row r="2639" customFormat="false" ht="14.25" hidden="false" customHeight="false" outlineLevel="0" collapsed="false">
      <c r="A2639" s="1" t="n">
        <v>43191</v>
      </c>
      <c r="B2639" s="2" t="s">
        <v>28</v>
      </c>
      <c r="C2639" s="3" t="n">
        <v>10214</v>
      </c>
      <c r="D2639" s="8" t="s">
        <v>17</v>
      </c>
      <c r="E2639" s="3" t="n">
        <f aca="false">IF(Tabla2[[#This Row],[Frecuencia]]="Annual", Tabla2[[#This Row],[Cosecha/Tarea]]/12,Tabla2[[#This Row],[Cosecha/Tarea]])</f>
        <v>10214</v>
      </c>
      <c r="F2639" s="3" t="n">
        <v>138504</v>
      </c>
      <c r="G2639" s="2" t="s">
        <v>18</v>
      </c>
      <c r="H2639" s="2" t="n">
        <f aca="false">F2639/Tabla2[[#This Row],[Cosecha Mensual]]</f>
        <v>13.5602114744468</v>
      </c>
      <c r="I2639" s="2" t="n">
        <f aca="false">H2639*_xlfn.XLOOKUP(Tabla2[[#This Row],[Unidad de producción]],Tabla3[Medida],Tabla3[Equivalencia en Kg],"ELVIS",0)</f>
        <v>615.091192480909</v>
      </c>
      <c r="J2639" s="2" t="n">
        <v>10000</v>
      </c>
      <c r="K2639" s="2" t="s">
        <v>29</v>
      </c>
      <c r="L2639" s="2" t="n">
        <f aca="false">J2639/_xlfn.XLOOKUP(Tabla2[[#This Row],[Unidad de precio]],Tabla3[Medida],Tabla3[Equivalencia en Kg],"ELVIS",0)</f>
        <v>17.7828360066863</v>
      </c>
      <c r="M2639" s="2" t="n">
        <v>7167.67993212066</v>
      </c>
      <c r="N2639" s="3" t="n">
        <f aca="false">(Tabla2[[#This Row],[Productividad (kg/TAS)]]*Tabla2[[#This Row],[Precio por kg]]-Tabla2[[#This Row],[Costos (En RD$/Tarea)]])</f>
        <v>3770.38587292448</v>
      </c>
      <c r="O2639" s="9" t="n">
        <f aca="false">IF(Tabla2[[#This Row],[Costos (En RD$/Tarea)]]=0,0,Tabla2[[#This Row],[Beneficio Neto  (En RD$/Tarea)]]/Tabla2[[#This Row],[Costos (En RD$/Tarea)]])</f>
        <v>0.526025981716647</v>
      </c>
      <c r="P2639" s="7" t="n">
        <f aca="false">Tabla2[[#This Row],[Rentabilidad (%)]]/12</f>
        <v>0.0438354984763873</v>
      </c>
    </row>
    <row r="2640" customFormat="false" ht="14.25" hidden="false" customHeight="false" outlineLevel="0" collapsed="false">
      <c r="A2640" s="1" t="n">
        <v>43191</v>
      </c>
      <c r="B2640" s="2" t="s">
        <v>30</v>
      </c>
      <c r="C2640" s="3" t="n">
        <v>463425</v>
      </c>
      <c r="D2640" s="3" t="s">
        <v>31</v>
      </c>
      <c r="E2640" s="3" t="n">
        <f aca="false">IF(Tabla2[[#This Row],[Frecuencia]]="Annual", Tabla2[[#This Row],[Cosecha/Tarea]]/12,Tabla2[[#This Row],[Cosecha/Tarea]])</f>
        <v>38618.75</v>
      </c>
      <c r="F2640" s="3" t="n">
        <v>2279993.4</v>
      </c>
      <c r="G2640" s="2" t="s">
        <v>18</v>
      </c>
      <c r="H2640" s="2" t="n">
        <f aca="false">F2640/Tabla2[[#This Row],[Cosecha Mensual]]</f>
        <v>59.0385084965205</v>
      </c>
      <c r="I2640" s="2" t="n">
        <f aca="false">H2640*_xlfn.XLOOKUP(Tabla2[[#This Row],[Unidad de producción]],Tabla3[Medida],Tabla3[Equivalencia en Kg],"ELVIS",0)</f>
        <v>2677.98674540217</v>
      </c>
      <c r="J2640" s="2" t="n">
        <v>160.819270833333</v>
      </c>
      <c r="K2640" s="2" t="s">
        <v>32</v>
      </c>
      <c r="L2640" s="2" t="n">
        <f aca="false">J2640/_xlfn.XLOOKUP(Tabla2[[#This Row],[Unidad de precio]],Tabla3[Medida],Tabla3[Equivalencia en Kg],"ELVIS",0)</f>
        <v>5.91030028788434</v>
      </c>
      <c r="M2640" s="3" t="n">
        <v>34069.662396</v>
      </c>
      <c r="N2640" s="3" t="n">
        <f aca="false">(Tabla2[[#This Row],[Productividad (kg/TAS)]]*Tabla2[[#This Row],[Precio por kg]]-Tabla2[[#This Row],[Costos (En RD$/Tarea)]])</f>
        <v>-18241.9565636991</v>
      </c>
      <c r="O2640" s="9" t="n">
        <f aca="false">IF(Tabla2[[#This Row],[Costos (En RD$/Tarea)]]=0,0,Tabla2[[#This Row],[Beneficio Neto  (En RD$/Tarea)]]/Tabla2[[#This Row],[Costos (En RD$/Tarea)]])</f>
        <v>-0.535431092673253</v>
      </c>
      <c r="P2640" s="7" t="n">
        <f aca="false">Tabla2[[#This Row],[Rentabilidad (%)]]/12</f>
        <v>-0.044619257722771</v>
      </c>
    </row>
    <row r="2641" customFormat="false" ht="14.25" hidden="false" customHeight="false" outlineLevel="0" collapsed="false">
      <c r="A2641" s="1" t="n">
        <v>43191</v>
      </c>
      <c r="B2641" s="2" t="s">
        <v>33</v>
      </c>
      <c r="C2641" s="3" t="n">
        <v>766985</v>
      </c>
      <c r="D2641" s="3" t="s">
        <v>31</v>
      </c>
      <c r="E2641" s="11" t="n">
        <f aca="false">IF(Tabla2[[#This Row],[Frecuencia]]="Annual", Tabla2[[#This Row],[Cosecha/Tarea]]/12,Tabla2[[#This Row],[Cosecha/Tarea]])</f>
        <v>63915.4166666667</v>
      </c>
      <c r="F2641" s="3" t="n">
        <v>3167883</v>
      </c>
      <c r="G2641" s="2" t="s">
        <v>18</v>
      </c>
      <c r="H2641" s="2" t="n">
        <f aca="false">F2641/Tabla2[[#This Row],[Cosecha Mensual]]</f>
        <v>49.5636759519417</v>
      </c>
      <c r="I2641" s="2" t="n">
        <f aca="false">H2641*_xlfn.XLOOKUP(Tabla2[[#This Row],[Unidad de producción]],Tabla3[Medida],Tabla3[Equivalencia en Kg],"ELVIS",0)</f>
        <v>2248.20834118008</v>
      </c>
      <c r="J2641" s="2" t="n">
        <v>5815.74739583333</v>
      </c>
      <c r="K2641" s="2" t="s">
        <v>34</v>
      </c>
      <c r="L2641" s="2" t="n">
        <f aca="false">J2641/_xlfn.XLOOKUP(Tabla2[[#This Row],[Unidad de precio]],Tabla3[Medida],Tabla3[Equivalencia en Kg],"ELVIS",0)</f>
        <v>14.2490442137286</v>
      </c>
      <c r="M2641" s="3" t="n">
        <v>22932.1463359308</v>
      </c>
      <c r="N2641" s="3" t="n">
        <f aca="false">(Tabla2[[#This Row],[Productividad (kg/TAS)]]*Tabla2[[#This Row],[Precio por kg]]-Tabla2[[#This Row],[Costos (En RD$/Tarea)]])</f>
        <v>9102.67371921754</v>
      </c>
      <c r="O2641" s="9" t="n">
        <f aca="false">IF(Tabla2[[#This Row],[Costos (En RD$/Tarea)]]=0,0,Tabla2[[#This Row],[Beneficio Neto  (En RD$/Tarea)]]/Tabla2[[#This Row],[Costos (En RD$/Tarea)]])</f>
        <v>0.396939457208817</v>
      </c>
      <c r="P2641" s="7" t="n">
        <f aca="false">Tabla2[[#This Row],[Rentabilidad (%)]]/12</f>
        <v>0.0330782881007348</v>
      </c>
    </row>
    <row r="2642" customFormat="false" ht="14.25" hidden="false" customHeight="false" outlineLevel="0" collapsed="false">
      <c r="A2642" s="1" t="n">
        <v>43221</v>
      </c>
      <c r="B2642" s="2" t="s">
        <v>16</v>
      </c>
      <c r="C2642" s="3" t="n">
        <v>469932</v>
      </c>
      <c r="D2642" s="8" t="s">
        <v>17</v>
      </c>
      <c r="E2642" s="3" t="n">
        <f aca="false">IF(Tabla2[[#This Row],[Frecuencia]]="Annual", Tabla2[[#This Row],[Cosecha/Tarea]]/12,Tabla2[[#This Row],[Cosecha/Tarea]])</f>
        <v>469932</v>
      </c>
      <c r="F2642" s="3" t="n">
        <v>2459812.126695</v>
      </c>
      <c r="G2642" s="2" t="s">
        <v>18</v>
      </c>
      <c r="H2642" s="2" t="n">
        <f aca="false">F2642/Tabla2[[#This Row],[Cosecha Mensual]]</f>
        <v>5.23440014022242</v>
      </c>
      <c r="I2642" s="2" t="n">
        <f aca="false">H2642*_xlfn.XLOOKUP(Tabla2[[#This Row],[Unidad de producción]],Tabla3[Medida],Tabla3[Equivalencia en Kg],"ELVIS",0)</f>
        <v>237.432390360489</v>
      </c>
      <c r="J2642" s="2" t="n">
        <v>2083.25235423542</v>
      </c>
      <c r="K2642" s="2" t="s">
        <v>19</v>
      </c>
      <c r="L2642" s="2" t="n">
        <f aca="false">J2642/_xlfn.XLOOKUP(Tabla2[[#This Row],[Unidad de precio]],Tabla3[Medida],Tabla3[Equivalencia en Kg],"ELVIS",0)</f>
        <v>18.9386577657765</v>
      </c>
      <c r="M2642" s="2" t="n">
        <v>6204.17820654867</v>
      </c>
      <c r="N2642" s="3" t="n">
        <f aca="false">(Tabla2[[#This Row],[Productividad (kg/TAS)]]*Tabla2[[#This Row],[Precio por kg]]-Tabla2[[#This Row],[Costos (En RD$/Tarea)]])</f>
        <v>-1707.52742300111</v>
      </c>
      <c r="O2642" s="9" t="n">
        <f aca="false">IF(Tabla2[[#This Row],[Costos (En RD$/Tarea)]]=0,0,Tabla2[[#This Row],[Beneficio Neto  (En RD$/Tarea)]]/Tabla2[[#This Row],[Costos (En RD$/Tarea)]])</f>
        <v>-0.275222175468585</v>
      </c>
      <c r="P2642" s="7" t="n">
        <f aca="false">Tabla2[[#This Row],[Rentabilidad (%)]]/12</f>
        <v>-0.0229351812890488</v>
      </c>
    </row>
    <row r="2643" customFormat="false" ht="14.25" hidden="false" customHeight="false" outlineLevel="0" collapsed="false">
      <c r="A2643" s="1" t="n">
        <v>43221</v>
      </c>
      <c r="B2643" s="2" t="s">
        <v>20</v>
      </c>
      <c r="C2643" s="3" t="n">
        <v>20945</v>
      </c>
      <c r="D2643" s="8" t="s">
        <v>17</v>
      </c>
      <c r="E2643" s="3" t="n">
        <f aca="false">IF(Tabla2[[#This Row],[Frecuencia]]="Annual", Tabla2[[#This Row],[Cosecha/Tarea]]/12,Tabla2[[#This Row],[Cosecha/Tarea]])</f>
        <v>20945</v>
      </c>
      <c r="F2643" s="3" t="n">
        <v>74012</v>
      </c>
      <c r="G2643" s="2" t="s">
        <v>18</v>
      </c>
      <c r="H2643" s="2" t="n">
        <f aca="false">F2643/Tabla2[[#This Row],[Cosecha Mensual]]</f>
        <v>3.53363571258057</v>
      </c>
      <c r="I2643" s="2" t="n">
        <f aca="false">H2643*_xlfn.XLOOKUP(Tabla2[[#This Row],[Unidad de producción]],Tabla3[Medida],Tabla3[Equivalencia en Kg],"ELVIS",0)</f>
        <v>160.285715922655</v>
      </c>
      <c r="J2643" s="2" t="n">
        <v>905.25</v>
      </c>
      <c r="K2643" s="2" t="s">
        <v>18</v>
      </c>
      <c r="L2643" s="2" t="n">
        <f aca="false">J2643/_xlfn.XLOOKUP(Tabla2[[#This Row],[Unidad de precio]],Tabla3[Medida],Tabla3[Equivalencia en Kg],"ELVIS",0)</f>
        <v>19.9570105820106</v>
      </c>
      <c r="M2643" s="2" t="n">
        <v>2494.8799608792</v>
      </c>
      <c r="N2643" s="3" t="n">
        <f aca="false">(Tabla2[[#This Row],[Productividad (kg/TAS)]]*Tabla2[[#This Row],[Precio por kg]]-Tabla2[[#This Row],[Costos (En RD$/Tarea)]])</f>
        <v>703.943767934359</v>
      </c>
      <c r="O2643" s="9" t="n">
        <f aca="false">IF(Tabla2[[#This Row],[Costos (En RD$/Tarea)]]=0,0,Tabla2[[#This Row],[Beneficio Neto  (En RD$/Tarea)]]/Tabla2[[#This Row],[Costos (En RD$/Tarea)]])</f>
        <v>0.282155365778115</v>
      </c>
      <c r="P2643" s="7" t="n">
        <f aca="false">Tabla2[[#This Row],[Rentabilidad (%)]]/12</f>
        <v>0.0235129471481762</v>
      </c>
    </row>
    <row r="2644" customFormat="false" ht="14.25" hidden="false" customHeight="false" outlineLevel="0" collapsed="false">
      <c r="A2644" s="1" t="n">
        <v>43221</v>
      </c>
      <c r="B2644" s="2" t="s">
        <v>21</v>
      </c>
      <c r="C2644" s="3" t="n">
        <v>8959</v>
      </c>
      <c r="D2644" s="8" t="s">
        <v>17</v>
      </c>
      <c r="E2644" s="3" t="n">
        <f aca="false">IF(Tabla2[[#This Row],[Frecuencia]]="Annual", Tabla2[[#This Row],[Cosecha/Tarea]]/12,Tabla2[[#This Row],[Cosecha/Tarea]])</f>
        <v>8959</v>
      </c>
      <c r="F2644" s="3" t="n">
        <v>103432</v>
      </c>
      <c r="G2644" s="2" t="s">
        <v>18</v>
      </c>
      <c r="H2644" s="2" t="n">
        <f aca="false">F2644/Tabla2[[#This Row],[Cosecha Mensual]]</f>
        <v>11.5450385087621</v>
      </c>
      <c r="I2644" s="2" t="n">
        <f aca="false">H2644*_xlfn.XLOOKUP(Tabla2[[#This Row],[Unidad de producción]],Tabla3[Medida],Tabla3[Equivalencia en Kg],"ELVIS",0)</f>
        <v>523.682946757451</v>
      </c>
      <c r="J2644" s="2" t="n">
        <v>593.532880952381</v>
      </c>
      <c r="K2644" s="2" t="s">
        <v>18</v>
      </c>
      <c r="L2644" s="2" t="n">
        <f aca="false">J2644/_xlfn.XLOOKUP(Tabla2[[#This Row],[Unidad de precio]],Tabla3[Medida],Tabla3[Equivalencia en Kg],"ELVIS",0)</f>
        <v>13.0849400562694</v>
      </c>
      <c r="M2644" s="2" t="n">
        <v>5415.921577332</v>
      </c>
      <c r="N2644" s="3" t="n">
        <f aca="false">(Tabla2[[#This Row],[Productividad (kg/TAS)]]*Tabla2[[#This Row],[Precio por kg]]-Tabla2[[#This Row],[Costos (En RD$/Tarea)]])</f>
        <v>1436.43838947977</v>
      </c>
      <c r="O2644" s="9" t="n">
        <f aca="false">IF(Tabla2[[#This Row],[Costos (En RD$/Tarea)]]=0,0,Tabla2[[#This Row],[Beneficio Neto  (En RD$/Tarea)]]/Tabla2[[#This Row],[Costos (En RD$/Tarea)]])</f>
        <v>0.265225108777774</v>
      </c>
      <c r="P2644" s="7" t="n">
        <f aca="false">Tabla2[[#This Row],[Rentabilidad (%)]]/12</f>
        <v>0.0221020923981478</v>
      </c>
    </row>
    <row r="2645" customFormat="false" ht="14.25" hidden="false" customHeight="false" outlineLevel="0" collapsed="false">
      <c r="A2645" s="1" t="n">
        <v>43221</v>
      </c>
      <c r="B2645" s="2" t="s">
        <v>22</v>
      </c>
      <c r="C2645" s="3" t="n">
        <v>5301</v>
      </c>
      <c r="D2645" s="8" t="s">
        <v>17</v>
      </c>
      <c r="E2645" s="3" t="n">
        <f aca="false">IF(Tabla2[[#This Row],[Frecuencia]]="Annual", Tabla2[[#This Row],[Cosecha/Tarea]]/12,Tabla2[[#This Row],[Cosecha/Tarea]])</f>
        <v>5301</v>
      </c>
      <c r="F2645" s="3" t="n">
        <v>54214</v>
      </c>
      <c r="G2645" s="2" t="s">
        <v>18</v>
      </c>
      <c r="H2645" s="2" t="n">
        <f aca="false">F2645/Tabla2[[#This Row],[Cosecha Mensual]]</f>
        <v>10.2271269571779</v>
      </c>
      <c r="I2645" s="2" t="n">
        <f aca="false">H2645*_xlfn.XLOOKUP(Tabla2[[#This Row],[Unidad de producción]],Tabla3[Medida],Tabla3[Equivalencia en Kg],"ELVIS",0)</f>
        <v>463.902478777589</v>
      </c>
      <c r="J2645" s="2" t="n">
        <v>2960.502249001</v>
      </c>
      <c r="K2645" s="2" t="s">
        <v>18</v>
      </c>
      <c r="L2645" s="2" t="n">
        <f aca="false">J2645/_xlfn.XLOOKUP(Tabla2[[#This Row],[Unidad de precio]],Tabla3[Medida],Tabla3[Equivalencia en Kg],"ELVIS",0)</f>
        <v>65.266804431239</v>
      </c>
      <c r="M2645" s="2" t="n">
        <v>10167.2711784</v>
      </c>
      <c r="N2645" s="3" t="n">
        <f aca="false">(Tabla2[[#This Row],[Productividad (kg/TAS)]]*Tabla2[[#This Row],[Precio por kg]]-Tabla2[[#This Row],[Costos (En RD$/Tarea)]])</f>
        <v>20110.1611791439</v>
      </c>
      <c r="O2645" s="9" t="n">
        <f aca="false">IF(Tabla2[[#This Row],[Costos (En RD$/Tarea)]]=0,0,Tabla2[[#This Row],[Beneficio Neto  (En RD$/Tarea)]]/Tabla2[[#This Row],[Costos (En RD$/Tarea)]])</f>
        <v>1.97793103245512</v>
      </c>
      <c r="P2645" s="7" t="n">
        <f aca="false">Tabla2[[#This Row],[Rentabilidad (%)]]/12</f>
        <v>0.164827586037927</v>
      </c>
    </row>
    <row r="2646" customFormat="false" ht="14.25" hidden="false" customHeight="false" outlineLevel="0" collapsed="false">
      <c r="A2646" s="1" t="n">
        <v>43221</v>
      </c>
      <c r="B2646" s="2" t="s">
        <v>23</v>
      </c>
      <c r="C2646" s="3" t="n">
        <v>5010</v>
      </c>
      <c r="D2646" s="8" t="s">
        <v>17</v>
      </c>
      <c r="E2646" s="3" t="n">
        <f aca="false">IF(Tabla2[[#This Row],[Frecuencia]]="Annual", Tabla2[[#This Row],[Cosecha/Tarea]]/12,Tabla2[[#This Row],[Cosecha/Tarea]])</f>
        <v>5010</v>
      </c>
      <c r="F2646" s="3" t="n">
        <v>196675</v>
      </c>
      <c r="G2646" s="2" t="s">
        <v>18</v>
      </c>
      <c r="H2646" s="2" t="n">
        <f aca="false">F2646/Tabla2[[#This Row],[Cosecha Mensual]]</f>
        <v>39.2564870259481</v>
      </c>
      <c r="I2646" s="2" t="n">
        <f aca="false">H2646*_xlfn.XLOOKUP(Tabla2[[#This Row],[Unidad de producción]],Tabla3[Medida],Tabla3[Equivalencia en Kg],"ELVIS",0)</f>
        <v>1780.67425149701</v>
      </c>
      <c r="J2646" s="2" t="n">
        <v>978.05044030044</v>
      </c>
      <c r="K2646" s="2" t="s">
        <v>18</v>
      </c>
      <c r="L2646" s="2" t="n">
        <f aca="false">J2646/_xlfn.XLOOKUP(Tabla2[[#This Row],[Unidad de precio]],Tabla3[Medida],Tabla3[Equivalencia en Kg],"ELVIS",0)</f>
        <v>21.5619585604153</v>
      </c>
      <c r="M2646" s="2" t="n">
        <v>23803.1923056373</v>
      </c>
      <c r="N2646" s="3" t="n">
        <f aca="false">(Tabla2[[#This Row],[Productividad (kg/TAS)]]*Tabla2[[#This Row],[Precio por kg]]-Tabla2[[#This Row],[Costos (En RD$/Tarea)]])</f>
        <v>14591.6321147398</v>
      </c>
      <c r="O2646" s="9" t="n">
        <f aca="false">IF(Tabla2[[#This Row],[Costos (En RD$/Tarea)]]=0,0,Tabla2[[#This Row],[Beneficio Neto  (En RD$/Tarea)]]/Tabla2[[#This Row],[Costos (En RD$/Tarea)]])</f>
        <v>0.613011562792946</v>
      </c>
      <c r="P2646" s="7" t="n">
        <f aca="false">Tabla2[[#This Row],[Rentabilidad (%)]]/12</f>
        <v>0.0510842968994122</v>
      </c>
    </row>
    <row r="2647" customFormat="false" ht="14.25" hidden="false" customHeight="false" outlineLevel="0" collapsed="false">
      <c r="A2647" s="1" t="n">
        <v>43221</v>
      </c>
      <c r="B2647" s="2" t="s">
        <v>24</v>
      </c>
      <c r="C2647" s="3" t="n">
        <v>5898</v>
      </c>
      <c r="D2647" s="8" t="s">
        <v>17</v>
      </c>
      <c r="E2647" s="3" t="n">
        <f aca="false">IF(Tabla2[[#This Row],[Frecuencia]]="Annual", Tabla2[[#This Row],[Cosecha/Tarea]]/12,Tabla2[[#This Row],[Cosecha/Tarea]])</f>
        <v>5898</v>
      </c>
      <c r="F2647" s="3" t="n">
        <v>38998</v>
      </c>
      <c r="G2647" s="2" t="s">
        <v>18</v>
      </c>
      <c r="H2647" s="2" t="n">
        <f aca="false">F2647/Tabla2[[#This Row],[Cosecha Mensual]]</f>
        <v>6.61207188877586</v>
      </c>
      <c r="I2647" s="2" t="n">
        <f aca="false">H2647*_xlfn.XLOOKUP(Tabla2[[#This Row],[Unidad de producción]],Tabla3[Medida],Tabla3[Equivalencia en Kg],"ELVIS",0)</f>
        <v>299.923580874873</v>
      </c>
      <c r="J2647" s="2" t="n">
        <v>1995.38333333333</v>
      </c>
      <c r="K2647" s="2" t="s">
        <v>18</v>
      </c>
      <c r="L2647" s="2" t="n">
        <f aca="false">J2647/_xlfn.XLOOKUP(Tabla2[[#This Row],[Unidad de precio]],Tabla3[Medida],Tabla3[Equivalencia en Kg],"ELVIS",0)</f>
        <v>43.9899323927101</v>
      </c>
      <c r="M2647" s="2" t="n">
        <v>9413.7321988512</v>
      </c>
      <c r="N2647" s="3" t="n">
        <f aca="false">(Tabla2[[#This Row],[Productividad (kg/TAS)]]*Tabla2[[#This Row],[Precio por kg]]-Tabla2[[#This Row],[Costos (En RD$/Tarea)]])</f>
        <v>3779.88584681397</v>
      </c>
      <c r="O2647" s="9" t="n">
        <f aca="false">IF(Tabla2[[#This Row],[Costos (En RD$/Tarea)]]=0,0,Tabla2[[#This Row],[Beneficio Neto  (En RD$/Tarea)]]/Tabla2[[#This Row],[Costos (En RD$/Tarea)]])</f>
        <v>0.401528933155253</v>
      </c>
      <c r="P2647" s="7" t="n">
        <f aca="false">Tabla2[[#This Row],[Rentabilidad (%)]]/12</f>
        <v>0.0334607444296044</v>
      </c>
    </row>
    <row r="2648" customFormat="false" ht="14.25" hidden="false" customHeight="false" outlineLevel="0" collapsed="false">
      <c r="A2648" s="1" t="n">
        <v>43221</v>
      </c>
      <c r="B2648" s="2" t="s">
        <v>25</v>
      </c>
      <c r="C2648" s="3" t="n">
        <v>24154</v>
      </c>
      <c r="D2648" s="8" t="s">
        <v>17</v>
      </c>
      <c r="E2648" s="3" t="n">
        <f aca="false">IF(Tabla2[[#This Row],[Frecuencia]]="Annual", Tabla2[[#This Row],[Cosecha/Tarea]]/12,Tabla2[[#This Row],[Cosecha/Tarea]])</f>
        <v>24154</v>
      </c>
      <c r="F2648" s="3" t="n">
        <v>245871</v>
      </c>
      <c r="G2648" s="2" t="s">
        <v>18</v>
      </c>
      <c r="H2648" s="2" t="n">
        <f aca="false">F2648/Tabla2[[#This Row],[Cosecha Mensual]]</f>
        <v>10.1793077751097</v>
      </c>
      <c r="I2648" s="2" t="n">
        <f aca="false">H2648*_xlfn.XLOOKUP(Tabla2[[#This Row],[Unidad de producción]],Tabla3[Medida],Tabla3[Equivalencia en Kg],"ELVIS",0)</f>
        <v>461.733400678977</v>
      </c>
      <c r="J2648" s="2" t="n">
        <v>1168.59305555556</v>
      </c>
      <c r="K2648" s="2" t="s">
        <v>18</v>
      </c>
      <c r="L2648" s="2" t="n">
        <f aca="false">J2648/_xlfn.XLOOKUP(Tabla2[[#This Row],[Unidad de precio]],Tabla3[Medida],Tabla3[Equivalencia en Kg],"ELVIS",0)</f>
        <v>25.7626334999021</v>
      </c>
      <c r="M2648" s="2" t="n">
        <v>4549.76899317218</v>
      </c>
      <c r="N2648" s="3" t="n">
        <f aca="false">(Tabla2[[#This Row],[Productividad (kg/TAS)]]*Tabla2[[#This Row],[Precio por kg]]-Tabla2[[#This Row],[Costos (En RD$/Tarea)]])</f>
        <v>7345.69938318375</v>
      </c>
      <c r="O2648" s="9" t="n">
        <f aca="false">IF(Tabla2[[#This Row],[Costos (En RD$/Tarea)]]=0,0,Tabla2[[#This Row],[Beneficio Neto  (En RD$/Tarea)]]/Tabla2[[#This Row],[Costos (En RD$/Tarea)]])</f>
        <v>1.61452139530763</v>
      </c>
      <c r="P2648" s="7" t="n">
        <f aca="false">Tabla2[[#This Row],[Rentabilidad (%)]]/12</f>
        <v>0.134543449608969</v>
      </c>
    </row>
    <row r="2649" customFormat="false" ht="14.25" hidden="false" customHeight="false" outlineLevel="0" collapsed="false">
      <c r="A2649" s="1" t="n">
        <v>43221</v>
      </c>
      <c r="B2649" s="2" t="s">
        <v>26</v>
      </c>
      <c r="C2649" s="3" t="n">
        <v>9521</v>
      </c>
      <c r="D2649" s="8" t="s">
        <v>17</v>
      </c>
      <c r="E2649" s="3" t="n">
        <f aca="false">IF(Tabla2[[#This Row],[Frecuencia]]="Annual", Tabla2[[#This Row],[Cosecha/Tarea]]/12,Tabla2[[#This Row],[Cosecha/Tarea]])</f>
        <v>9521</v>
      </c>
      <c r="F2649" s="3" t="n">
        <v>65870</v>
      </c>
      <c r="G2649" s="2" t="s">
        <v>18</v>
      </c>
      <c r="H2649" s="2" t="n">
        <f aca="false">F2649/Tabla2[[#This Row],[Cosecha Mensual]]</f>
        <v>6.91839092532297</v>
      </c>
      <c r="I2649" s="2" t="n">
        <f aca="false">H2649*_xlfn.XLOOKUP(Tabla2[[#This Row],[Unidad de producción]],Tabla3[Medida],Tabla3[Equivalencia en Kg],"ELVIS",0)</f>
        <v>313.81821237265</v>
      </c>
      <c r="J2649" s="2" t="n">
        <v>1139.23958333333</v>
      </c>
      <c r="K2649" s="2" t="s">
        <v>18</v>
      </c>
      <c r="L2649" s="2" t="n">
        <f aca="false">J2649/_xlfn.XLOOKUP(Tabla2[[#This Row],[Unidad de precio]],Tabla3[Medida],Tabla3[Equivalencia en Kg],"ELVIS",0)</f>
        <v>25.1155110964138</v>
      </c>
      <c r="M2649" s="2" t="n">
        <v>1733.52094425</v>
      </c>
      <c r="N2649" s="3" t="n">
        <f aca="false">(Tabla2[[#This Row],[Productividad (kg/TAS)]]*Tabla2[[#This Row],[Precio por kg]]-Tabla2[[#This Row],[Costos (En RD$/Tarea)]])</f>
        <v>6148.18385085203</v>
      </c>
      <c r="O2649" s="9" t="n">
        <f aca="false">IF(Tabla2[[#This Row],[Costos (En RD$/Tarea)]]=0,0,Tabla2[[#This Row],[Beneficio Neto  (En RD$/Tarea)]]/Tabla2[[#This Row],[Costos (En RD$/Tarea)]])</f>
        <v>3.54664526623993</v>
      </c>
      <c r="P2649" s="7" t="n">
        <f aca="false">Tabla2[[#This Row],[Rentabilidad (%)]]/12</f>
        <v>0.295553772186661</v>
      </c>
    </row>
    <row r="2650" customFormat="false" ht="14.25" hidden="false" customHeight="false" outlineLevel="0" collapsed="false">
      <c r="A2650" s="1" t="n">
        <v>43221</v>
      </c>
      <c r="B2650" s="2" t="s">
        <v>27</v>
      </c>
      <c r="C2650" s="3" t="n">
        <v>4521</v>
      </c>
      <c r="D2650" s="8" t="s">
        <v>17</v>
      </c>
      <c r="E2650" s="3" t="n">
        <f aca="false">IF(Tabla2[[#This Row],[Frecuencia]]="Annual", Tabla2[[#This Row],[Cosecha/Tarea]]/12,Tabla2[[#This Row],[Cosecha/Tarea]])</f>
        <v>4521</v>
      </c>
      <c r="F2650" s="3" t="n">
        <v>49852</v>
      </c>
      <c r="G2650" s="2" t="s">
        <v>18</v>
      </c>
      <c r="H2650" s="2" t="n">
        <f aca="false">F2650/Tabla2[[#This Row],[Cosecha Mensual]]</f>
        <v>11.0267639902676</v>
      </c>
      <c r="I2650" s="2" t="n">
        <f aca="false">H2650*_xlfn.XLOOKUP(Tabla2[[#This Row],[Unidad de producción]],Tabla3[Medida],Tabla3[Equivalencia en Kg],"ELVIS",0)</f>
        <v>500.17401459854</v>
      </c>
      <c r="J2650" s="2" t="n">
        <v>795.798888888889</v>
      </c>
      <c r="K2650" s="2" t="s">
        <v>18</v>
      </c>
      <c r="L2650" s="2" t="n">
        <f aca="false">J2650/_xlfn.XLOOKUP(Tabla2[[#This Row],[Unidad de precio]],Tabla3[Medida],Tabla3[Equivalencia en Kg],"ELVIS",0)</f>
        <v>17.5440672153635</v>
      </c>
      <c r="M2650" s="2" t="n">
        <v>9289.57547778</v>
      </c>
      <c r="N2650" s="3" t="n">
        <f aca="false">(Tabla2[[#This Row],[Productividad (kg/TAS)]]*Tabla2[[#This Row],[Precio por kg]]-Tabla2[[#This Row],[Costos (En RD$/Tarea)]])</f>
        <v>-514.488946284999</v>
      </c>
      <c r="O2650" s="9" t="n">
        <f aca="false">IF(Tabla2[[#This Row],[Costos (En RD$/Tarea)]]=0,0,Tabla2[[#This Row],[Beneficio Neto  (En RD$/Tarea)]]/Tabla2[[#This Row],[Costos (En RD$/Tarea)]])</f>
        <v>-0.0553834723142752</v>
      </c>
      <c r="P2650" s="7" t="n">
        <f aca="false">Tabla2[[#This Row],[Rentabilidad (%)]]/12</f>
        <v>-0.00461528935952294</v>
      </c>
    </row>
    <row r="2651" customFormat="false" ht="14.25" hidden="false" customHeight="false" outlineLevel="0" collapsed="false">
      <c r="A2651" s="1" t="n">
        <v>43221</v>
      </c>
      <c r="B2651" s="2" t="s">
        <v>28</v>
      </c>
      <c r="C2651" s="3" t="n">
        <v>11012</v>
      </c>
      <c r="D2651" s="8" t="s">
        <v>17</v>
      </c>
      <c r="E2651" s="3" t="n">
        <f aca="false">IF(Tabla2[[#This Row],[Frecuencia]]="Annual", Tabla2[[#This Row],[Cosecha/Tarea]]/12,Tabla2[[#This Row],[Cosecha/Tarea]])</f>
        <v>11012</v>
      </c>
      <c r="F2651" s="3" t="n">
        <v>318144</v>
      </c>
      <c r="G2651" s="2" t="s">
        <v>18</v>
      </c>
      <c r="H2651" s="2" t="n">
        <f aca="false">F2651/Tabla2[[#This Row],[Cosecha Mensual]]</f>
        <v>28.8906647293861</v>
      </c>
      <c r="I2651" s="2" t="n">
        <f aca="false">H2651*_xlfn.XLOOKUP(Tabla2[[#This Row],[Unidad de producción]],Tabla3[Medida],Tabla3[Equivalencia en Kg],"ELVIS",0)</f>
        <v>1310.48055212495</v>
      </c>
      <c r="J2651" s="2" t="n">
        <v>17642.3</v>
      </c>
      <c r="K2651" s="2" t="s">
        <v>29</v>
      </c>
      <c r="L2651" s="2" t="n">
        <f aca="false">J2651/_xlfn.XLOOKUP(Tabla2[[#This Row],[Unidad de precio]],Tabla3[Medida],Tabla3[Equivalencia en Kg],"ELVIS",0)</f>
        <v>31.3730127680763</v>
      </c>
      <c r="M2651" s="2" t="n">
        <v>7167.67993212066</v>
      </c>
      <c r="N2651" s="3" t="n">
        <f aca="false">(Tabla2[[#This Row],[Productividad (kg/TAS)]]*Tabla2[[#This Row],[Precio por kg]]-Tabla2[[#This Row],[Costos (En RD$/Tarea)]])</f>
        <v>33946.0431620112</v>
      </c>
      <c r="O2651" s="9" t="n">
        <f aca="false">IF(Tabla2[[#This Row],[Costos (En RD$/Tarea)]]=0,0,Tabla2[[#This Row],[Beneficio Neto  (En RD$/Tarea)]]/Tabla2[[#This Row],[Costos (En RD$/Tarea)]])</f>
        <v>4.7359875836375</v>
      </c>
      <c r="P2651" s="7" t="n">
        <f aca="false">Tabla2[[#This Row],[Rentabilidad (%)]]/12</f>
        <v>0.394665631969792</v>
      </c>
    </row>
    <row r="2652" customFormat="false" ht="14.25" hidden="false" customHeight="false" outlineLevel="0" collapsed="false">
      <c r="A2652" s="1" t="n">
        <v>43221</v>
      </c>
      <c r="B2652" s="2" t="s">
        <v>30</v>
      </c>
      <c r="C2652" s="3" t="n">
        <v>485647</v>
      </c>
      <c r="D2652" s="3" t="s">
        <v>31</v>
      </c>
      <c r="E2652" s="3" t="n">
        <f aca="false">IF(Tabla2[[#This Row],[Frecuencia]]="Annual", Tabla2[[#This Row],[Cosecha/Tarea]]/12,Tabla2[[#This Row],[Cosecha/Tarea]])</f>
        <v>40470.5833333333</v>
      </c>
      <c r="F2652" s="3" t="n">
        <v>2233875</v>
      </c>
      <c r="G2652" s="2" t="s">
        <v>18</v>
      </c>
      <c r="H2652" s="2" t="n">
        <f aca="false">F2652/Tabla2[[#This Row],[Cosecha Mensual]]</f>
        <v>55.1974994183018</v>
      </c>
      <c r="I2652" s="2" t="n">
        <f aca="false">H2652*_xlfn.XLOOKUP(Tabla2[[#This Row],[Unidad de producción]],Tabla3[Medida],Tabla3[Equivalencia en Kg],"ELVIS",0)</f>
        <v>2503.75857361417</v>
      </c>
      <c r="J2652" s="2" t="n">
        <v>147.355208333333</v>
      </c>
      <c r="K2652" s="2" t="s">
        <v>32</v>
      </c>
      <c r="L2652" s="2" t="n">
        <f aca="false">J2652/_xlfn.XLOOKUP(Tabla2[[#This Row],[Unidad de precio]],Tabla3[Medida],Tabla3[Equivalencia en Kg],"ELVIS",0)</f>
        <v>5.41547990934704</v>
      </c>
      <c r="M2652" s="3" t="n">
        <v>34069.662396</v>
      </c>
      <c r="N2652" s="3" t="n">
        <f aca="false">(Tabla2[[#This Row],[Productividad (kg/TAS)]]*Tabla2[[#This Row],[Precio por kg]]-Tabla2[[#This Row],[Costos (En RD$/Tarea)]])</f>
        <v>-20510.6081427371</v>
      </c>
      <c r="O2652" s="9" t="n">
        <f aca="false">IF(Tabla2[[#This Row],[Costos (En RD$/Tarea)]]=0,0,Tabla2[[#This Row],[Beneficio Neto  (En RD$/Tarea)]]/Tabla2[[#This Row],[Costos (En RD$/Tarea)]])</f>
        <v>-0.602019706105017</v>
      </c>
      <c r="P2652" s="7" t="n">
        <f aca="false">Tabla2[[#This Row],[Rentabilidad (%)]]/12</f>
        <v>-0.0501683088420847</v>
      </c>
    </row>
    <row r="2653" customFormat="false" ht="14.25" hidden="false" customHeight="false" outlineLevel="0" collapsed="false">
      <c r="A2653" s="1" t="n">
        <v>43221</v>
      </c>
      <c r="B2653" s="2" t="s">
        <v>33</v>
      </c>
      <c r="C2653" s="3" t="n">
        <v>785547</v>
      </c>
      <c r="D2653" s="3" t="s">
        <v>31</v>
      </c>
      <c r="E2653" s="11" t="n">
        <f aca="false">IF(Tabla2[[#This Row],[Frecuencia]]="Annual", Tabla2[[#This Row],[Cosecha/Tarea]]/12,Tabla2[[#This Row],[Cosecha/Tarea]])</f>
        <v>65462.25</v>
      </c>
      <c r="F2653" s="3" t="n">
        <v>2727801</v>
      </c>
      <c r="G2653" s="2" t="s">
        <v>18</v>
      </c>
      <c r="H2653" s="2" t="n">
        <f aca="false">F2653/Tabla2[[#This Row],[Cosecha Mensual]]</f>
        <v>41.6698326134528</v>
      </c>
      <c r="I2653" s="2" t="n">
        <f aca="false">H2653*_xlfn.XLOOKUP(Tabla2[[#This Row],[Unidad de producción]],Tabla3[Medida],Tabla3[Equivalencia en Kg],"ELVIS",0)</f>
        <v>1890.14360734622</v>
      </c>
      <c r="J2653" s="2" t="n">
        <v>5438.79479166667</v>
      </c>
      <c r="K2653" s="2" t="s">
        <v>34</v>
      </c>
      <c r="L2653" s="2" t="n">
        <f aca="false">J2653/_xlfn.XLOOKUP(Tabla2[[#This Row],[Unidad de precio]],Tabla3[Medida],Tabla3[Equivalencia en Kg],"ELVIS",0)</f>
        <v>13.3254803176937</v>
      </c>
      <c r="M2653" s="3" t="n">
        <v>22932.1463359308</v>
      </c>
      <c r="N2653" s="3" t="n">
        <f aca="false">(Tabla2[[#This Row],[Productividad (kg/TAS)]]*Tabla2[[#This Row],[Precio por kg]]-Tabla2[[#This Row],[Costos (En RD$/Tarea)]])</f>
        <v>2254.92510137574</v>
      </c>
      <c r="O2653" s="9" t="n">
        <f aca="false">IF(Tabla2[[#This Row],[Costos (En RD$/Tarea)]]=0,0,Tabla2[[#This Row],[Beneficio Neto  (En RD$/Tarea)]]/Tabla2[[#This Row],[Costos (En RD$/Tarea)]])</f>
        <v>0.0983303118837444</v>
      </c>
      <c r="P2653" s="7" t="n">
        <f aca="false">Tabla2[[#This Row],[Rentabilidad (%)]]/12</f>
        <v>0.0081941926569787</v>
      </c>
    </row>
    <row r="2654" customFormat="false" ht="14.25" hidden="false" customHeight="false" outlineLevel="0" collapsed="false">
      <c r="A2654" s="1" t="n">
        <v>43252</v>
      </c>
      <c r="B2654" s="2" t="s">
        <v>16</v>
      </c>
      <c r="C2654" s="3" t="n">
        <v>203753</v>
      </c>
      <c r="D2654" s="8" t="s">
        <v>17</v>
      </c>
      <c r="E2654" s="3" t="n">
        <f aca="false">IF(Tabla2[[#This Row],[Frecuencia]]="Annual", Tabla2[[#This Row],[Cosecha/Tarea]]/12,Tabla2[[#This Row],[Cosecha/Tarea]])</f>
        <v>203753</v>
      </c>
      <c r="F2654" s="3" t="n">
        <v>1021625</v>
      </c>
      <c r="G2654" s="2" t="s">
        <v>18</v>
      </c>
      <c r="H2654" s="2" t="n">
        <f aca="false">F2654/Tabla2[[#This Row],[Cosecha Mensual]]</f>
        <v>5.01403660314204</v>
      </c>
      <c r="I2654" s="2" t="n">
        <f aca="false">H2654*_xlfn.XLOOKUP(Tabla2[[#This Row],[Unidad de producción]],Tabla3[Medida],Tabla3[Equivalencia en Kg],"ELVIS",0)</f>
        <v>227.436700318523</v>
      </c>
      <c r="J2654" s="2" t="n">
        <v>2081.2705216355</v>
      </c>
      <c r="K2654" s="2" t="s">
        <v>19</v>
      </c>
      <c r="L2654" s="2" t="n">
        <f aca="false">J2654/_xlfn.XLOOKUP(Tabla2[[#This Row],[Unidad de precio]],Tabla3[Medida],Tabla3[Equivalencia en Kg],"ELVIS",0)</f>
        <v>18.9206411057773</v>
      </c>
      <c r="M2654" s="2" t="n">
        <v>6204.17820654867</v>
      </c>
      <c r="N2654" s="3" t="n">
        <f aca="false">(Tabla2[[#This Row],[Productividad (kg/TAS)]]*Tabla2[[#This Row],[Precio por kg]]-Tabla2[[#This Row],[Costos (En RD$/Tarea)]])</f>
        <v>-1900.93002553968</v>
      </c>
      <c r="O2654" s="9" t="n">
        <f aca="false">IF(Tabla2[[#This Row],[Costos (En RD$/Tarea)]]=0,0,Tabla2[[#This Row],[Beneficio Neto  (En RD$/Tarea)]]/Tabla2[[#This Row],[Costos (En RD$/Tarea)]])</f>
        <v>-0.306395136028362</v>
      </c>
      <c r="P2654" s="7" t="n">
        <f aca="false">Tabla2[[#This Row],[Rentabilidad (%)]]/12</f>
        <v>-0.0255329280023635</v>
      </c>
    </row>
    <row r="2655" customFormat="false" ht="14.25" hidden="false" customHeight="false" outlineLevel="0" collapsed="false">
      <c r="A2655" s="1" t="n">
        <v>43252</v>
      </c>
      <c r="B2655" s="2" t="s">
        <v>20</v>
      </c>
      <c r="C2655" s="3" t="n">
        <v>31854</v>
      </c>
      <c r="D2655" s="8" t="s">
        <v>17</v>
      </c>
      <c r="E2655" s="3" t="n">
        <f aca="false">IF(Tabla2[[#This Row],[Frecuencia]]="Annual", Tabla2[[#This Row],[Cosecha/Tarea]]/12,Tabla2[[#This Row],[Cosecha/Tarea]])</f>
        <v>31854</v>
      </c>
      <c r="F2655" s="3" t="n">
        <v>85621</v>
      </c>
      <c r="G2655" s="2" t="s">
        <v>18</v>
      </c>
      <c r="H2655" s="2" t="n">
        <f aca="false">F2655/Tabla2[[#This Row],[Cosecha Mensual]]</f>
        <v>2.68791988447291</v>
      </c>
      <c r="I2655" s="2" t="n">
        <f aca="false">H2655*_xlfn.XLOOKUP(Tabla2[[#This Row],[Unidad de producción]],Tabla3[Medida],Tabla3[Equivalencia en Kg],"ELVIS",0)</f>
        <v>121.924045959691</v>
      </c>
      <c r="J2655" s="2" t="n">
        <v>895.424479166667</v>
      </c>
      <c r="K2655" s="2" t="s">
        <v>18</v>
      </c>
      <c r="L2655" s="2" t="n">
        <f aca="false">J2655/_xlfn.XLOOKUP(Tabla2[[#This Row],[Unidad de precio]],Tabla3[Medida],Tabla3[Equivalencia en Kg],"ELVIS",0)</f>
        <v>19.7403985706937</v>
      </c>
      <c r="M2655" s="2" t="n">
        <v>2494.8799608792</v>
      </c>
      <c r="N2655" s="3" t="n">
        <f aca="false">(Tabla2[[#This Row],[Productividad (kg/TAS)]]*Tabla2[[#This Row],[Precio por kg]]-Tabla2[[#This Row],[Costos (En RD$/Tarea)]])</f>
        <v>-88.050698283319</v>
      </c>
      <c r="O2655" s="9" t="n">
        <f aca="false">IF(Tabla2[[#This Row],[Costos (En RD$/Tarea)]]=0,0,Tabla2[[#This Row],[Beneficio Neto  (En RD$/Tarea)]]/Tabla2[[#This Row],[Costos (En RD$/Tarea)]])</f>
        <v>-0.0352925590264831</v>
      </c>
      <c r="P2655" s="7" t="n">
        <f aca="false">Tabla2[[#This Row],[Rentabilidad (%)]]/12</f>
        <v>-0.00294104658554026</v>
      </c>
    </row>
    <row r="2656" customFormat="false" ht="14.25" hidden="false" customHeight="false" outlineLevel="0" collapsed="false">
      <c r="A2656" s="1" t="n">
        <v>43252</v>
      </c>
      <c r="B2656" s="2" t="s">
        <v>21</v>
      </c>
      <c r="C2656" s="3" t="n">
        <v>8245</v>
      </c>
      <c r="D2656" s="8" t="s">
        <v>17</v>
      </c>
      <c r="E2656" s="3" t="n">
        <f aca="false">IF(Tabla2[[#This Row],[Frecuencia]]="Annual", Tabla2[[#This Row],[Cosecha/Tarea]]/12,Tabla2[[#This Row],[Cosecha/Tarea]])</f>
        <v>8245</v>
      </c>
      <c r="F2656" s="3" t="n">
        <v>95570</v>
      </c>
      <c r="G2656" s="2" t="s">
        <v>18</v>
      </c>
      <c r="H2656" s="2" t="n">
        <f aca="false">F2656/Tabla2[[#This Row],[Cosecha Mensual]]</f>
        <v>11.591267434809</v>
      </c>
      <c r="I2656" s="2" t="n">
        <f aca="false">H2656*_xlfn.XLOOKUP(Tabla2[[#This Row],[Unidad de producción]],Tabla3[Medida],Tabla3[Equivalencia en Kg],"ELVIS",0)</f>
        <v>525.779890842935</v>
      </c>
      <c r="J2656" s="2" t="n">
        <v>546.647619047619</v>
      </c>
      <c r="K2656" s="2" t="s">
        <v>18</v>
      </c>
      <c r="L2656" s="2" t="n">
        <f aca="false">J2656/_xlfn.XLOOKUP(Tabla2[[#This Row],[Unidad de precio]],Tabla3[Medida],Tabla3[Equivalencia en Kg],"ELVIS",0)</f>
        <v>12.0513143529017</v>
      </c>
      <c r="M2656" s="2" t="n">
        <v>5415.921577332</v>
      </c>
      <c r="N2656" s="3" t="n">
        <f aca="false">(Tabla2[[#This Row],[Productividad (kg/TAS)]]*Tabla2[[#This Row],[Precio por kg]]-Tabla2[[#This Row],[Costos (En RD$/Tarea)]])</f>
        <v>920.417167650528</v>
      </c>
      <c r="O2656" s="9" t="n">
        <f aca="false">IF(Tabla2[[#This Row],[Costos (En RD$/Tarea)]]=0,0,Tabla2[[#This Row],[Beneficio Neto  (En RD$/Tarea)]]/Tabla2[[#This Row],[Costos (En RD$/Tarea)]])</f>
        <v>0.169946546401794</v>
      </c>
      <c r="P2656" s="7" t="n">
        <f aca="false">Tabla2[[#This Row],[Rentabilidad (%)]]/12</f>
        <v>0.0141622122001495</v>
      </c>
    </row>
    <row r="2657" customFormat="false" ht="14.25" hidden="false" customHeight="false" outlineLevel="0" collapsed="false">
      <c r="A2657" s="1" t="n">
        <v>43252</v>
      </c>
      <c r="B2657" s="2" t="s">
        <v>22</v>
      </c>
      <c r="C2657" s="3" t="n">
        <v>6541</v>
      </c>
      <c r="D2657" s="8" t="s">
        <v>17</v>
      </c>
      <c r="E2657" s="3" t="n">
        <f aca="false">IF(Tabla2[[#This Row],[Frecuencia]]="Annual", Tabla2[[#This Row],[Cosecha/Tarea]]/12,Tabla2[[#This Row],[Cosecha/Tarea]])</f>
        <v>6541</v>
      </c>
      <c r="F2657" s="3" t="n">
        <v>47854</v>
      </c>
      <c r="G2657" s="2" t="s">
        <v>18</v>
      </c>
      <c r="H2657" s="2" t="n">
        <f aca="false">F2657/Tabla2[[#This Row],[Cosecha Mensual]]</f>
        <v>7.31600672680018</v>
      </c>
      <c r="I2657" s="2" t="n">
        <f aca="false">H2657*_xlfn.XLOOKUP(Tabla2[[#This Row],[Unidad de producción]],Tabla3[Medida],Tabla3[Equivalencia en Kg],"ELVIS",0)</f>
        <v>331.854065127656</v>
      </c>
      <c r="J2657" s="2" t="n">
        <v>2793.37271971084</v>
      </c>
      <c r="K2657" s="2" t="s">
        <v>18</v>
      </c>
      <c r="L2657" s="2" t="n">
        <f aca="false">J2657/_xlfn.XLOOKUP(Tabla2[[#This Row],[Unidad de precio]],Tabla3[Medida],Tabla3[Equivalencia en Kg],"ELVIS",0)</f>
        <v>61.5822909989162</v>
      </c>
      <c r="M2657" s="2" t="n">
        <v>10167.2711784</v>
      </c>
      <c r="N2657" s="3" t="n">
        <f aca="false">(Tabla2[[#This Row],[Productividad (kg/TAS)]]*Tabla2[[#This Row],[Precio por kg]]-Tabla2[[#This Row],[Costos (En RD$/Tarea)]])</f>
        <v>10269.0624294646</v>
      </c>
      <c r="O2657" s="9" t="n">
        <f aca="false">IF(Tabla2[[#This Row],[Costos (En RD$/Tarea)]]=0,0,Tabla2[[#This Row],[Beneficio Neto  (En RD$/Tarea)]]/Tabla2[[#This Row],[Costos (En RD$/Tarea)]])</f>
        <v>1.01001165890813</v>
      </c>
      <c r="P2657" s="7" t="n">
        <f aca="false">Tabla2[[#This Row],[Rentabilidad (%)]]/12</f>
        <v>0.0841676382423444</v>
      </c>
    </row>
    <row r="2658" customFormat="false" ht="14.25" hidden="false" customHeight="false" outlineLevel="0" collapsed="false">
      <c r="A2658" s="1" t="n">
        <v>43252</v>
      </c>
      <c r="B2658" s="2" t="s">
        <v>23</v>
      </c>
      <c r="C2658" s="3" t="n">
        <v>3912</v>
      </c>
      <c r="D2658" s="8" t="s">
        <v>17</v>
      </c>
      <c r="E2658" s="3" t="n">
        <f aca="false">IF(Tabla2[[#This Row],[Frecuencia]]="Annual", Tabla2[[#This Row],[Cosecha/Tarea]]/12,Tabla2[[#This Row],[Cosecha/Tarea]])</f>
        <v>3912</v>
      </c>
      <c r="F2658" s="3" t="n">
        <v>150121</v>
      </c>
      <c r="G2658" s="2" t="s">
        <v>18</v>
      </c>
      <c r="H2658" s="2" t="n">
        <f aca="false">F2658/Tabla2[[#This Row],[Cosecha Mensual]]</f>
        <v>38.3744887525562</v>
      </c>
      <c r="I2658" s="2" t="n">
        <f aca="false">H2658*_xlfn.XLOOKUP(Tabla2[[#This Row],[Unidad de producción]],Tabla3[Medida],Tabla3[Equivalencia en Kg],"ELVIS",0)</f>
        <v>1740.66680981595</v>
      </c>
      <c r="J2658" s="2" t="n">
        <v>806.27093855219</v>
      </c>
      <c r="K2658" s="2" t="s">
        <v>18</v>
      </c>
      <c r="L2658" s="2" t="n">
        <f aca="false">J2658/_xlfn.XLOOKUP(Tabla2[[#This Row],[Unidad de precio]],Tabla3[Medida],Tabla3[Equivalencia en Kg],"ELVIS",0)</f>
        <v>17.7749325077643</v>
      </c>
      <c r="M2658" s="2" t="n">
        <v>23803.1923056373</v>
      </c>
      <c r="N2658" s="3" t="n">
        <f aca="false">(Tabla2[[#This Row],[Productividad (kg/TAS)]]*Tabla2[[#This Row],[Precio por kg]]-Tabla2[[#This Row],[Costos (En RD$/Tarea)]])</f>
        <v>7137.04275734668</v>
      </c>
      <c r="O2658" s="9" t="n">
        <f aca="false">IF(Tabla2[[#This Row],[Costos (En RD$/Tarea)]]=0,0,Tabla2[[#This Row],[Beneficio Neto  (En RD$/Tarea)]]/Tabla2[[#This Row],[Costos (En RD$/Tarea)]])</f>
        <v>0.299835529020887</v>
      </c>
      <c r="P2658" s="7" t="n">
        <f aca="false">Tabla2[[#This Row],[Rentabilidad (%)]]/12</f>
        <v>0.024986294085074</v>
      </c>
    </row>
    <row r="2659" customFormat="false" ht="14.25" hidden="false" customHeight="false" outlineLevel="0" collapsed="false">
      <c r="A2659" s="1" t="n">
        <v>43252</v>
      </c>
      <c r="B2659" s="2" t="s">
        <v>24</v>
      </c>
      <c r="C2659" s="3" t="n">
        <v>6214</v>
      </c>
      <c r="D2659" s="8" t="s">
        <v>17</v>
      </c>
      <c r="E2659" s="3" t="n">
        <f aca="false">IF(Tabla2[[#This Row],[Frecuencia]]="Annual", Tabla2[[#This Row],[Cosecha/Tarea]]/12,Tabla2[[#This Row],[Cosecha/Tarea]])</f>
        <v>6214</v>
      </c>
      <c r="F2659" s="3" t="n">
        <v>58254</v>
      </c>
      <c r="G2659" s="2" t="s">
        <v>18</v>
      </c>
      <c r="H2659" s="2" t="n">
        <f aca="false">F2659/Tabla2[[#This Row],[Cosecha Mensual]]</f>
        <v>9.37463791438687</v>
      </c>
      <c r="I2659" s="2" t="n">
        <f aca="false">H2659*_xlfn.XLOOKUP(Tabla2[[#This Row],[Unidad de producción]],Tabla3[Medida],Tabla3[Equivalencia en Kg],"ELVIS",0)</f>
        <v>425.233575796588</v>
      </c>
      <c r="J2659" s="2" t="n">
        <v>2131.5</v>
      </c>
      <c r="K2659" s="2" t="s">
        <v>18</v>
      </c>
      <c r="L2659" s="2" t="n">
        <f aca="false">J2659/_xlfn.XLOOKUP(Tabla2[[#This Row],[Unidad de precio]],Tabla3[Medida],Tabla3[Equivalencia en Kg],"ELVIS",0)</f>
        <v>46.9907407407407</v>
      </c>
      <c r="M2659" s="2" t="n">
        <v>9413.7321988512</v>
      </c>
      <c r="N2659" s="3" t="n">
        <f aca="false">(Tabla2[[#This Row],[Productividad (kg/TAS)]]*Tabla2[[#This Row],[Precio por kg]]-Tabla2[[#This Row],[Costos (En RD$/Tarea)]])</f>
        <v>10568.3085156644</v>
      </c>
      <c r="O2659" s="9" t="n">
        <f aca="false">IF(Tabla2[[#This Row],[Costos (En RD$/Tarea)]]=0,0,Tabla2[[#This Row],[Beneficio Neto  (En RD$/Tarea)]]/Tabla2[[#This Row],[Costos (En RD$/Tarea)]])</f>
        <v>1.12264809455214</v>
      </c>
      <c r="P2659" s="7" t="n">
        <f aca="false">Tabla2[[#This Row],[Rentabilidad (%)]]/12</f>
        <v>0.0935540078793449</v>
      </c>
    </row>
    <row r="2660" customFormat="false" ht="14.25" hidden="false" customHeight="false" outlineLevel="0" collapsed="false">
      <c r="A2660" s="1" t="n">
        <v>43252</v>
      </c>
      <c r="B2660" s="2" t="s">
        <v>25</v>
      </c>
      <c r="C2660" s="3" t="n">
        <v>26544</v>
      </c>
      <c r="D2660" s="8" t="s">
        <v>17</v>
      </c>
      <c r="E2660" s="3" t="n">
        <f aca="false">IF(Tabla2[[#This Row],[Frecuencia]]="Annual", Tabla2[[#This Row],[Cosecha/Tarea]]/12,Tabla2[[#This Row],[Cosecha/Tarea]])</f>
        <v>26544</v>
      </c>
      <c r="F2660" s="3" t="n">
        <v>254587</v>
      </c>
      <c r="G2660" s="2" t="s">
        <v>18</v>
      </c>
      <c r="H2660" s="2" t="n">
        <f aca="false">F2660/Tabla2[[#This Row],[Cosecha Mensual]]</f>
        <v>9.5911317058469</v>
      </c>
      <c r="I2660" s="2" t="n">
        <f aca="false">H2660*_xlfn.XLOOKUP(Tabla2[[#This Row],[Unidad de producción]],Tabla3[Medida],Tabla3[Equivalencia en Kg],"ELVIS",0)</f>
        <v>435.053734177215</v>
      </c>
      <c r="J2660" s="2" t="n">
        <v>1215.59114583333</v>
      </c>
      <c r="K2660" s="2" t="s">
        <v>18</v>
      </c>
      <c r="L2660" s="2" t="n">
        <f aca="false">J2660/_xlfn.XLOOKUP(Tabla2[[#This Row],[Unidad de precio]],Tabla3[Medida],Tabla3[Equivalencia en Kg],"ELVIS",0)</f>
        <v>26.7987466012639</v>
      </c>
      <c r="M2660" s="2" t="n">
        <v>4549.76899317218</v>
      </c>
      <c r="N2660" s="3" t="n">
        <f aca="false">(Tabla2[[#This Row],[Productividad (kg/TAS)]]*Tabla2[[#This Row],[Precio por kg]]-Tabla2[[#This Row],[Costos (En RD$/Tarea)]])</f>
        <v>7109.12578697663</v>
      </c>
      <c r="O2660" s="9" t="n">
        <f aca="false">IF(Tabla2[[#This Row],[Costos (En RD$/Tarea)]]=0,0,Tabla2[[#This Row],[Beneficio Neto  (En RD$/Tarea)]]/Tabla2[[#This Row],[Costos (En RD$/Tarea)]])</f>
        <v>1.5625245584216</v>
      </c>
      <c r="P2660" s="7" t="n">
        <f aca="false">Tabla2[[#This Row],[Rentabilidad (%)]]/12</f>
        <v>0.130210379868466</v>
      </c>
    </row>
    <row r="2661" customFormat="false" ht="14.25" hidden="false" customHeight="false" outlineLevel="0" collapsed="false">
      <c r="A2661" s="1" t="n">
        <v>43252</v>
      </c>
      <c r="B2661" s="2" t="s">
        <v>26</v>
      </c>
      <c r="C2661" s="3" t="n">
        <v>11021</v>
      </c>
      <c r="D2661" s="8" t="s">
        <v>17</v>
      </c>
      <c r="E2661" s="3" t="n">
        <f aca="false">IF(Tabla2[[#This Row],[Frecuencia]]="Annual", Tabla2[[#This Row],[Cosecha/Tarea]]/12,Tabla2[[#This Row],[Cosecha/Tarea]])</f>
        <v>11021</v>
      </c>
      <c r="F2661" s="3" t="n">
        <v>67549.2026683972</v>
      </c>
      <c r="G2661" s="2" t="s">
        <v>18</v>
      </c>
      <c r="H2661" s="2" t="n">
        <f aca="false">F2661/Tabla2[[#This Row],[Cosecha Mensual]]</f>
        <v>6.12913552929836</v>
      </c>
      <c r="I2661" s="2" t="n">
        <f aca="false">H2661*_xlfn.XLOOKUP(Tabla2[[#This Row],[Unidad de producción]],Tabla3[Medida],Tabla3[Equivalencia en Kg],"ELVIS",0)</f>
        <v>278.017587608974</v>
      </c>
      <c r="J2661" s="2" t="n">
        <v>1204.30729166667</v>
      </c>
      <c r="K2661" s="2" t="s">
        <v>18</v>
      </c>
      <c r="L2661" s="2" t="n">
        <f aca="false">J2661/_xlfn.XLOOKUP(Tabla2[[#This Row],[Unidad de precio]],Tabla3[Medida],Tabla3[Equivalencia en Kg],"ELVIS",0)</f>
        <v>26.5499843841858</v>
      </c>
      <c r="M2661" s="2" t="n">
        <v>1733.52094425</v>
      </c>
      <c r="N2661" s="3" t="n">
        <f aca="false">(Tabla2[[#This Row],[Productividad (kg/TAS)]]*Tabla2[[#This Row],[Precio por kg]]-Tabla2[[#This Row],[Costos (En RD$/Tarea)]])</f>
        <v>5647.84166529727</v>
      </c>
      <c r="O2661" s="9" t="n">
        <f aca="false">IF(Tabla2[[#This Row],[Costos (En RD$/Tarea)]]=0,0,Tabla2[[#This Row],[Beneficio Neto  (En RD$/Tarea)]]/Tabla2[[#This Row],[Costos (En RD$/Tarea)]])</f>
        <v>3.25801755325245</v>
      </c>
      <c r="P2661" s="7" t="n">
        <f aca="false">Tabla2[[#This Row],[Rentabilidad (%)]]/12</f>
        <v>0.271501462771038</v>
      </c>
    </row>
    <row r="2662" customFormat="false" ht="14.25" hidden="false" customHeight="false" outlineLevel="0" collapsed="false">
      <c r="A2662" s="1" t="n">
        <v>43252</v>
      </c>
      <c r="B2662" s="2" t="s">
        <v>27</v>
      </c>
      <c r="C2662" s="3" t="n">
        <v>8214</v>
      </c>
      <c r="D2662" s="8" t="s">
        <v>17</v>
      </c>
      <c r="E2662" s="3" t="n">
        <f aca="false">IF(Tabla2[[#This Row],[Frecuencia]]="Annual", Tabla2[[#This Row],[Cosecha/Tarea]]/12,Tabla2[[#This Row],[Cosecha/Tarea]])</f>
        <v>8214</v>
      </c>
      <c r="F2662" s="3" t="n">
        <v>57401</v>
      </c>
      <c r="G2662" s="2" t="s">
        <v>18</v>
      </c>
      <c r="H2662" s="2" t="n">
        <f aca="false">F2662/Tabla2[[#This Row],[Cosecha Mensual]]</f>
        <v>6.9881908935963</v>
      </c>
      <c r="I2662" s="2" t="n">
        <f aca="false">H2662*_xlfn.XLOOKUP(Tabla2[[#This Row],[Unidad de producción]],Tabla3[Medida],Tabla3[Equivalencia en Kg],"ELVIS",0)</f>
        <v>316.984338933528</v>
      </c>
      <c r="J2662" s="2" t="n">
        <v>577.729166666667</v>
      </c>
      <c r="K2662" s="2" t="s">
        <v>18</v>
      </c>
      <c r="L2662" s="2" t="n">
        <f aca="false">J2662/_xlfn.XLOOKUP(Tabla2[[#This Row],[Unidad de precio]],Tabla3[Medida],Tabla3[Equivalencia en Kg],"ELVIS",0)</f>
        <v>12.7365336566726</v>
      </c>
      <c r="M2662" s="2" t="n">
        <v>9289.57547778</v>
      </c>
      <c r="N2662" s="3" t="n">
        <f aca="false">(Tabla2[[#This Row],[Productividad (kg/TAS)]]*Tabla2[[#This Row],[Precio por kg]]-Tabla2[[#This Row],[Costos (En RD$/Tarea)]])</f>
        <v>-5252.29377631502</v>
      </c>
      <c r="O2662" s="9" t="n">
        <f aca="false">IF(Tabla2[[#This Row],[Costos (En RD$/Tarea)]]=0,0,Tabla2[[#This Row],[Beneficio Neto  (En RD$/Tarea)]]/Tabla2[[#This Row],[Costos (En RD$/Tarea)]])</f>
        <v>-0.565396533875862</v>
      </c>
      <c r="P2662" s="7" t="n">
        <f aca="false">Tabla2[[#This Row],[Rentabilidad (%)]]/12</f>
        <v>-0.0471163778229885</v>
      </c>
    </row>
    <row r="2663" customFormat="false" ht="14.25" hidden="false" customHeight="false" outlineLevel="0" collapsed="false">
      <c r="A2663" s="1" t="n">
        <v>43252</v>
      </c>
      <c r="B2663" s="2" t="s">
        <v>28</v>
      </c>
      <c r="C2663" s="3" t="n">
        <v>43524</v>
      </c>
      <c r="D2663" s="8" t="s">
        <v>17</v>
      </c>
      <c r="E2663" s="3" t="n">
        <f aca="false">IF(Tabla2[[#This Row],[Frecuencia]]="Annual", Tabla2[[#This Row],[Cosecha/Tarea]]/12,Tabla2[[#This Row],[Cosecha/Tarea]])</f>
        <v>43524</v>
      </c>
      <c r="F2663" s="3" t="n">
        <v>1198464</v>
      </c>
      <c r="G2663" s="2" t="s">
        <v>18</v>
      </c>
      <c r="H2663" s="2" t="n">
        <f aca="false">F2663/Tabla2[[#This Row],[Cosecha Mensual]]</f>
        <v>27.5357044389302</v>
      </c>
      <c r="I2663" s="2" t="n">
        <f aca="false">H2663*_xlfn.XLOOKUP(Tabla2[[#This Row],[Unidad de producción]],Tabla3[Medida],Tabla3[Equivalencia en Kg],"ELVIS",0)</f>
        <v>1249.01955334988</v>
      </c>
      <c r="J2663" s="2" t="n">
        <v>9000</v>
      </c>
      <c r="K2663" s="2" t="s">
        <v>29</v>
      </c>
      <c r="L2663" s="2" t="n">
        <f aca="false">J2663/_xlfn.XLOOKUP(Tabla2[[#This Row],[Unidad de precio]],Tabla3[Medida],Tabla3[Equivalencia en Kg],"ELVIS",0)</f>
        <v>16.0045524060177</v>
      </c>
      <c r="M2663" s="2" t="n">
        <v>7167.67993212066</v>
      </c>
      <c r="N2663" s="3" t="n">
        <f aca="false">(Tabla2[[#This Row],[Productividad (kg/TAS)]]*Tabla2[[#This Row],[Precio por kg]]-Tabla2[[#This Row],[Costos (En RD$/Tarea)]])</f>
        <v>12822.3189656083</v>
      </c>
      <c r="O2663" s="9" t="n">
        <f aca="false">IF(Tabla2[[#This Row],[Costos (En RD$/Tarea)]]=0,0,Tabla2[[#This Row],[Beneficio Neto  (En RD$/Tarea)]]/Tabla2[[#This Row],[Costos (En RD$/Tarea)]])</f>
        <v>1.78890785959169</v>
      </c>
      <c r="P2663" s="7" t="n">
        <f aca="false">Tabla2[[#This Row],[Rentabilidad (%)]]/12</f>
        <v>0.149075654965974</v>
      </c>
    </row>
    <row r="2664" customFormat="false" ht="14.25" hidden="false" customHeight="false" outlineLevel="0" collapsed="false">
      <c r="A2664" s="1" t="n">
        <v>43252</v>
      </c>
      <c r="B2664" s="2" t="s">
        <v>30</v>
      </c>
      <c r="C2664" s="3" t="n">
        <v>462154</v>
      </c>
      <c r="D2664" s="3" t="s">
        <v>31</v>
      </c>
      <c r="E2664" s="3" t="n">
        <f aca="false">IF(Tabla2[[#This Row],[Frecuencia]]="Annual", Tabla2[[#This Row],[Cosecha/Tarea]]/12,Tabla2[[#This Row],[Cosecha/Tarea]])</f>
        <v>38512.8333333333</v>
      </c>
      <c r="F2664" s="3" t="n">
        <v>2318529</v>
      </c>
      <c r="G2664" s="2" t="s">
        <v>18</v>
      </c>
      <c r="H2664" s="2" t="n">
        <f aca="false">F2664/Tabla2[[#This Row],[Cosecha Mensual]]</f>
        <v>60.2014653124283</v>
      </c>
      <c r="I2664" s="2" t="n">
        <f aca="false">H2664*_xlfn.XLOOKUP(Tabla2[[#This Row],[Unidad de producción]],Tabla3[Medida],Tabla3[Equivalencia en Kg],"ELVIS",0)</f>
        <v>2730.73846657175</v>
      </c>
      <c r="J2664" s="2" t="n">
        <v>146.005208333333</v>
      </c>
      <c r="K2664" s="2" t="s">
        <v>32</v>
      </c>
      <c r="L2664" s="2" t="n">
        <f aca="false">J2664/_xlfn.XLOOKUP(Tabla2[[#This Row],[Unidad de precio]],Tabla3[Medida],Tabla3[Equivalencia en Kg],"ELVIS",0)</f>
        <v>5.36586579688839</v>
      </c>
      <c r="M2664" s="3" t="n">
        <v>34069.662396</v>
      </c>
      <c r="N2664" s="3" t="n">
        <f aca="false">(Tabla2[[#This Row],[Productividad (kg/TAS)]]*Tabla2[[#This Row],[Precio por kg]]-Tabla2[[#This Row],[Costos (En RD$/Tarea)]])</f>
        <v>-19416.8862579752</v>
      </c>
      <c r="O2664" s="9" t="n">
        <f aca="false">IF(Tabla2[[#This Row],[Costos (En RD$/Tarea)]]=0,0,Tabla2[[#This Row],[Beneficio Neto  (En RD$/Tarea)]]/Tabla2[[#This Row],[Costos (En RD$/Tarea)]])</f>
        <v>-0.5699171900293</v>
      </c>
      <c r="P2664" s="7" t="n">
        <f aca="false">Tabla2[[#This Row],[Rentabilidad (%)]]/12</f>
        <v>-0.0474930991691083</v>
      </c>
    </row>
    <row r="2665" customFormat="false" ht="14.25" hidden="false" customHeight="false" outlineLevel="0" collapsed="false">
      <c r="A2665" s="1" t="n">
        <v>43252</v>
      </c>
      <c r="B2665" s="2" t="s">
        <v>33</v>
      </c>
      <c r="C2665" s="3" t="n">
        <v>798395</v>
      </c>
      <c r="D2665" s="3" t="s">
        <v>31</v>
      </c>
      <c r="E2665" s="3" t="n">
        <f aca="false">IF(Tabla2[[#This Row],[Frecuencia]]="Annual", Tabla2[[#This Row],[Cosecha/Tarea]]/12,Tabla2[[#This Row],[Cosecha/Tarea]])</f>
        <v>66532.9166666667</v>
      </c>
      <c r="F2665" s="3" t="n">
        <v>1815390</v>
      </c>
      <c r="G2665" s="2" t="s">
        <v>18</v>
      </c>
      <c r="H2665" s="2" t="n">
        <f aca="false">F2665/Tabla2[[#This Row],[Cosecha Mensual]]</f>
        <v>27.285591718385</v>
      </c>
      <c r="I2665" s="2" t="n">
        <f aca="false">H2665*_xlfn.XLOOKUP(Tabla2[[#This Row],[Unidad de producción]],Tabla3[Medida],Tabla3[Equivalencia en Kg],"ELVIS",0)</f>
        <v>1237.67444034594</v>
      </c>
      <c r="J2665" s="2" t="n">
        <v>5566.94010416667</v>
      </c>
      <c r="K2665" s="2" t="s">
        <v>34</v>
      </c>
      <c r="L2665" s="2" t="n">
        <f aca="false">J2665/_xlfn.XLOOKUP(Tabla2[[#This Row],[Unidad de precio]],Tabla3[Medida],Tabla3[Equivalencia en Kg],"ELVIS",0)</f>
        <v>13.6394465372208</v>
      </c>
      <c r="M2665" s="3" t="n">
        <v>22932.1463359308</v>
      </c>
      <c r="N2665" s="3" t="n">
        <f aca="false">(Tabla2[[#This Row],[Productividad (kg/TAS)]]*Tabla2[[#This Row],[Precio por kg]]-Tabla2[[#This Row],[Costos (En RD$/Tarea)]])</f>
        <v>-6050.95197634762</v>
      </c>
      <c r="O2665" s="9" t="n">
        <f aca="false">IF(Tabla2[[#This Row],[Costos (En RD$/Tarea)]]=0,0,Tabla2[[#This Row],[Beneficio Neto  (En RD$/Tarea)]]/Tabla2[[#This Row],[Costos (En RD$/Tarea)]])</f>
        <v>-0.263863307328839</v>
      </c>
      <c r="P2665" s="7" t="n">
        <f aca="false">Tabla2[[#This Row],[Rentabilidad (%)]]/12</f>
        <v>-0.0219886089440699</v>
      </c>
    </row>
    <row r="2666" customFormat="false" ht="14.25" hidden="false" customHeight="false" outlineLevel="0" collapsed="false">
      <c r="A2666" s="1" t="n">
        <v>43282</v>
      </c>
      <c r="B2666" s="2" t="s">
        <v>16</v>
      </c>
      <c r="C2666" s="3" t="n">
        <v>130013</v>
      </c>
      <c r="D2666" s="8" t="s">
        <v>17</v>
      </c>
      <c r="E2666" s="3" t="n">
        <f aca="false">IF(Tabla2[[#This Row],[Frecuencia]]="Annual", Tabla2[[#This Row],[Cosecha/Tarea]]/12,Tabla2[[#This Row],[Cosecha/Tarea]])</f>
        <v>130013</v>
      </c>
      <c r="F2666" s="3" t="n">
        <v>467910</v>
      </c>
      <c r="G2666" s="2" t="s">
        <v>18</v>
      </c>
      <c r="H2666" s="2" t="n">
        <f aca="false">F2666/Tabla2[[#This Row],[Cosecha Mensual]]</f>
        <v>3.59894779752794</v>
      </c>
      <c r="I2666" s="2" t="n">
        <f aca="false">H2666*_xlfn.XLOOKUP(Tabla2[[#This Row],[Unidad de producción]],Tabla3[Medida],Tabla3[Equivalencia en Kg],"ELVIS",0)</f>
        <v>163.248272095867</v>
      </c>
      <c r="J2666" s="2" t="n">
        <v>2100.05655243858</v>
      </c>
      <c r="K2666" s="2" t="s">
        <v>19</v>
      </c>
      <c r="L2666" s="2" t="n">
        <f aca="false">J2666/_xlfn.XLOOKUP(Tabla2[[#This Row],[Unidad de precio]],Tabla3[Medida],Tabla3[Equivalencia en Kg],"ELVIS",0)</f>
        <v>19.0914232039871</v>
      </c>
      <c r="M2666" s="2" t="n">
        <v>6204.17820654867</v>
      </c>
      <c r="N2666" s="3" t="n">
        <f aca="false">(Tabla2[[#This Row],[Productividad (kg/TAS)]]*Tabla2[[#This Row],[Precio por kg]]-Tabla2[[#This Row],[Costos (En RD$/Tarea)]])</f>
        <v>-3087.53635664683</v>
      </c>
      <c r="O2666" s="9" t="n">
        <f aca="false">IF(Tabla2[[#This Row],[Costos (En RD$/Tarea)]]=0,0,Tabla2[[#This Row],[Beneficio Neto  (En RD$/Tarea)]]/Tabla2[[#This Row],[Costos (En RD$/Tarea)]])</f>
        <v>-0.497654363536472</v>
      </c>
      <c r="P2666" s="7" t="n">
        <f aca="false">Tabla2[[#This Row],[Rentabilidad (%)]]/12</f>
        <v>-0.0414711969613727</v>
      </c>
    </row>
    <row r="2667" customFormat="false" ht="14.25" hidden="false" customHeight="false" outlineLevel="0" collapsed="false">
      <c r="A2667" s="1" t="n">
        <v>43282</v>
      </c>
      <c r="B2667" s="2" t="s">
        <v>20</v>
      </c>
      <c r="C2667" s="3" t="n">
        <v>37120</v>
      </c>
      <c r="D2667" s="8" t="s">
        <v>17</v>
      </c>
      <c r="E2667" s="3" t="n">
        <f aca="false">IF(Tabla2[[#This Row],[Frecuencia]]="Annual", Tabla2[[#This Row],[Cosecha/Tarea]]/12,Tabla2[[#This Row],[Cosecha/Tarea]])</f>
        <v>37120</v>
      </c>
      <c r="F2667" s="3" t="n">
        <v>106201</v>
      </c>
      <c r="G2667" s="2" t="s">
        <v>18</v>
      </c>
      <c r="H2667" s="2" t="n">
        <f aca="false">F2667/Tabla2[[#This Row],[Cosecha Mensual]]</f>
        <v>2.86101831896552</v>
      </c>
      <c r="I2667" s="2" t="n">
        <f aca="false">H2667*_xlfn.XLOOKUP(Tabla2[[#This Row],[Unidad de producción]],Tabla3[Medida],Tabla3[Equivalencia en Kg],"ELVIS",0)</f>
        <v>129.775790948276</v>
      </c>
      <c r="J2667" s="2" t="n">
        <v>899.285729166667</v>
      </c>
      <c r="K2667" s="2" t="s">
        <v>18</v>
      </c>
      <c r="L2667" s="2" t="n">
        <f aca="false">J2667/_xlfn.XLOOKUP(Tabla2[[#This Row],[Unidad de precio]],Tabla3[Medida],Tabla3[Equivalencia en Kg],"ELVIS",0)</f>
        <v>19.8255231297766</v>
      </c>
      <c r="M2667" s="2" t="n">
        <v>2494.8799608792</v>
      </c>
      <c r="N2667" s="3" t="n">
        <f aca="false">(Tabla2[[#This Row],[Productividad (kg/TAS)]]*Tabla2[[#This Row],[Precio por kg]]-Tabla2[[#This Row],[Costos (En RD$/Tarea)]])</f>
        <v>77.9929842508973</v>
      </c>
      <c r="O2667" s="9" t="n">
        <f aca="false">IF(Tabla2[[#This Row],[Costos (En RD$/Tarea)]]=0,0,Tabla2[[#This Row],[Beneficio Neto  (En RD$/Tarea)]]/Tabla2[[#This Row],[Costos (En RD$/Tarea)]])</f>
        <v>0.0312612171622928</v>
      </c>
      <c r="P2667" s="7" t="n">
        <f aca="false">Tabla2[[#This Row],[Rentabilidad (%)]]/12</f>
        <v>0.00260510143019107</v>
      </c>
    </row>
    <row r="2668" customFormat="false" ht="14.25" hidden="false" customHeight="false" outlineLevel="0" collapsed="false">
      <c r="A2668" s="1" t="n">
        <v>43282</v>
      </c>
      <c r="B2668" s="2" t="s">
        <v>21</v>
      </c>
      <c r="C2668" s="3" t="n">
        <v>7985</v>
      </c>
      <c r="D2668" s="8" t="s">
        <v>17</v>
      </c>
      <c r="E2668" s="3" t="n">
        <f aca="false">IF(Tabla2[[#This Row],[Frecuencia]]="Annual", Tabla2[[#This Row],[Cosecha/Tarea]]/12,Tabla2[[#This Row],[Cosecha/Tarea]])</f>
        <v>7985</v>
      </c>
      <c r="F2668" s="3" t="n">
        <v>96897</v>
      </c>
      <c r="G2668" s="2" t="s">
        <v>18</v>
      </c>
      <c r="H2668" s="2" t="n">
        <f aca="false">F2668/Tabla2[[#This Row],[Cosecha Mensual]]</f>
        <v>12.1348778960551</v>
      </c>
      <c r="I2668" s="2" t="n">
        <f aca="false">H2668*_xlfn.XLOOKUP(Tabla2[[#This Row],[Unidad de producción]],Tabla3[Medida],Tabla3[Equivalencia en Kg],"ELVIS",0)</f>
        <v>550.43806136506</v>
      </c>
      <c r="J2668" s="2" t="n">
        <v>567.1268</v>
      </c>
      <c r="K2668" s="2" t="s">
        <v>18</v>
      </c>
      <c r="L2668" s="2" t="n">
        <f aca="false">J2668/_xlfn.XLOOKUP(Tabla2[[#This Row],[Unidad de precio]],Tabla3[Medida],Tabla3[Equivalencia en Kg],"ELVIS",0)</f>
        <v>12.5027954144621</v>
      </c>
      <c r="M2668" s="2" t="n">
        <v>5415.921577332</v>
      </c>
      <c r="N2668" s="3" t="n">
        <f aca="false">(Tabla2[[#This Row],[Productividad (kg/TAS)]]*Tabla2[[#This Row],[Precio por kg]]-Tabla2[[#This Row],[Costos (En RD$/Tarea)]])</f>
        <v>1466.09289224846</v>
      </c>
      <c r="O2668" s="9" t="n">
        <f aca="false">IF(Tabla2[[#This Row],[Costos (En RD$/Tarea)]]=0,0,Tabla2[[#This Row],[Beneficio Neto  (En RD$/Tarea)]]/Tabla2[[#This Row],[Costos (En RD$/Tarea)]])</f>
        <v>0.2707005393846</v>
      </c>
      <c r="P2668" s="7" t="n">
        <f aca="false">Tabla2[[#This Row],[Rentabilidad (%)]]/12</f>
        <v>0.02255837828205</v>
      </c>
    </row>
    <row r="2669" customFormat="false" ht="14.25" hidden="false" customHeight="false" outlineLevel="0" collapsed="false">
      <c r="A2669" s="1" t="n">
        <v>43282</v>
      </c>
      <c r="B2669" s="2" t="s">
        <v>22</v>
      </c>
      <c r="C2669" s="3" t="n">
        <v>4421</v>
      </c>
      <c r="D2669" s="8" t="s">
        <v>17</v>
      </c>
      <c r="E2669" s="3" t="n">
        <f aca="false">IF(Tabla2[[#This Row],[Frecuencia]]="Annual", Tabla2[[#This Row],[Cosecha/Tarea]]/12,Tabla2[[#This Row],[Cosecha/Tarea]])</f>
        <v>4421</v>
      </c>
      <c r="F2669" s="3" t="n">
        <v>42584</v>
      </c>
      <c r="G2669" s="2" t="s">
        <v>18</v>
      </c>
      <c r="H2669" s="2" t="n">
        <f aca="false">F2669/Tabla2[[#This Row],[Cosecha Mensual]]</f>
        <v>9.6322099072608</v>
      </c>
      <c r="I2669" s="2" t="n">
        <f aca="false">H2669*_xlfn.XLOOKUP(Tabla2[[#This Row],[Unidad de producción]],Tabla3[Medida],Tabla3[Equivalencia en Kg],"ELVIS",0)</f>
        <v>436.91704139335</v>
      </c>
      <c r="J2669" s="2" t="n">
        <v>2708.25319042069</v>
      </c>
      <c r="K2669" s="2" t="s">
        <v>18</v>
      </c>
      <c r="L2669" s="2" t="n">
        <f aca="false">J2669/_xlfn.XLOOKUP(Tabla2[[#This Row],[Unidad de precio]],Tabla3[Medida],Tabla3[Equivalencia en Kg],"ELVIS",0)</f>
        <v>59.705758166241</v>
      </c>
      <c r="M2669" s="2" t="n">
        <v>10167.2711784</v>
      </c>
      <c r="N2669" s="3" t="n">
        <f aca="false">(Tabla2[[#This Row],[Productividad (kg/TAS)]]*Tabla2[[#This Row],[Precio por kg]]-Tabla2[[#This Row],[Costos (En RD$/Tarea)]])</f>
        <v>15919.1920337408</v>
      </c>
      <c r="O2669" s="9" t="n">
        <f aca="false">IF(Tabla2[[#This Row],[Costos (En RD$/Tarea)]]=0,0,Tabla2[[#This Row],[Beneficio Neto  (En RD$/Tarea)]]/Tabla2[[#This Row],[Costos (En RD$/Tarea)]])</f>
        <v>1.56572906873583</v>
      </c>
      <c r="P2669" s="7" t="n">
        <f aca="false">Tabla2[[#This Row],[Rentabilidad (%)]]/12</f>
        <v>0.130477422394652</v>
      </c>
    </row>
    <row r="2670" customFormat="false" ht="14.25" hidden="false" customHeight="false" outlineLevel="0" collapsed="false">
      <c r="A2670" s="1" t="n">
        <v>43282</v>
      </c>
      <c r="B2670" s="2" t="s">
        <v>23</v>
      </c>
      <c r="C2670" s="3" t="n">
        <v>3310</v>
      </c>
      <c r="D2670" s="8" t="s">
        <v>17</v>
      </c>
      <c r="E2670" s="3" t="n">
        <f aca="false">IF(Tabla2[[#This Row],[Frecuencia]]="Annual", Tabla2[[#This Row],[Cosecha/Tarea]]/12,Tabla2[[#This Row],[Cosecha/Tarea]])</f>
        <v>3310</v>
      </c>
      <c r="F2670" s="3" t="n">
        <v>118245</v>
      </c>
      <c r="G2670" s="2" t="s">
        <v>18</v>
      </c>
      <c r="H2670" s="2" t="n">
        <f aca="false">F2670/Tabla2[[#This Row],[Cosecha Mensual]]</f>
        <v>35.7235649546828</v>
      </c>
      <c r="I2670" s="2" t="n">
        <f aca="false">H2670*_xlfn.XLOOKUP(Tabla2[[#This Row],[Unidad de producción]],Tabla3[Medida],Tabla3[Equivalencia en Kg],"ELVIS",0)</f>
        <v>1620.42090634441</v>
      </c>
      <c r="J2670" s="2" t="n">
        <v>754.962364024866</v>
      </c>
      <c r="K2670" s="2" t="s">
        <v>18</v>
      </c>
      <c r="L2670" s="2" t="n">
        <f aca="false">J2670/_xlfn.XLOOKUP(Tabla2[[#This Row],[Unidad de precio]],Tabla3[Medida],Tabla3[Equivalencia en Kg],"ELVIS",0)</f>
        <v>16.6437910940226</v>
      </c>
      <c r="M2670" s="2" t="n">
        <v>23803.1923056373</v>
      </c>
      <c r="N2670" s="3" t="n">
        <f aca="false">(Tabla2[[#This Row],[Productividad (kg/TAS)]]*Tabla2[[#This Row],[Precio por kg]]-Tabla2[[#This Row],[Costos (En RD$/Tarea)]])</f>
        <v>3166.75474394587</v>
      </c>
      <c r="O2670" s="9" t="n">
        <f aca="false">IF(Tabla2[[#This Row],[Costos (En RD$/Tarea)]]=0,0,Tabla2[[#This Row],[Beneficio Neto  (En RD$/Tarea)]]/Tabla2[[#This Row],[Costos (En RD$/Tarea)]])</f>
        <v>0.133039077418027</v>
      </c>
      <c r="P2670" s="7" t="n">
        <f aca="false">Tabla2[[#This Row],[Rentabilidad (%)]]/12</f>
        <v>0.0110865897848356</v>
      </c>
    </row>
    <row r="2671" customFormat="false" ht="14.25" hidden="false" customHeight="false" outlineLevel="0" collapsed="false">
      <c r="A2671" s="1" t="n">
        <v>43282</v>
      </c>
      <c r="B2671" s="2" t="s">
        <v>24</v>
      </c>
      <c r="C2671" s="3" t="n">
        <v>4854</v>
      </c>
      <c r="D2671" s="8" t="s">
        <v>17</v>
      </c>
      <c r="E2671" s="3" t="n">
        <f aca="false">IF(Tabla2[[#This Row],[Frecuencia]]="Annual", Tabla2[[#This Row],[Cosecha/Tarea]]/12,Tabla2[[#This Row],[Cosecha/Tarea]])</f>
        <v>4854</v>
      </c>
      <c r="F2671" s="3" t="n">
        <v>45788</v>
      </c>
      <c r="G2671" s="2" t="s">
        <v>18</v>
      </c>
      <c r="H2671" s="2" t="n">
        <f aca="false">F2671/Tabla2[[#This Row],[Cosecha Mensual]]</f>
        <v>9.43304491141327</v>
      </c>
      <c r="I2671" s="2" t="n">
        <f aca="false">H2671*_xlfn.XLOOKUP(Tabla2[[#This Row],[Unidad de producción]],Tabla3[Medida],Tabla3[Equivalencia en Kg],"ELVIS",0)</f>
        <v>427.882917181706</v>
      </c>
      <c r="J2671" s="2" t="n">
        <v>2133.00520833333</v>
      </c>
      <c r="K2671" s="2" t="s">
        <v>18</v>
      </c>
      <c r="L2671" s="2" t="n">
        <f aca="false">J2671/_xlfn.XLOOKUP(Tabla2[[#This Row],[Unidad de precio]],Tabla3[Medida],Tabla3[Equivalencia en Kg],"ELVIS",0)</f>
        <v>47.0239243459729</v>
      </c>
      <c r="M2671" s="2" t="n">
        <v>9413.7321988512</v>
      </c>
      <c r="N2671" s="3" t="n">
        <f aca="false">(Tabla2[[#This Row],[Productividad (kg/TAS)]]*Tabla2[[#This Row],[Precio por kg]]-Tabla2[[#This Row],[Costos (En RD$/Tarea)]])</f>
        <v>10707.0017276355</v>
      </c>
      <c r="O2671" s="9" t="n">
        <f aca="false">IF(Tabla2[[#This Row],[Costos (En RD$/Tarea)]]=0,0,Tabla2[[#This Row],[Beneficio Neto  (En RD$/Tarea)]]/Tabla2[[#This Row],[Costos (En RD$/Tarea)]])</f>
        <v>1.13738116843202</v>
      </c>
      <c r="P2671" s="7" t="n">
        <f aca="false">Tabla2[[#This Row],[Rentabilidad (%)]]/12</f>
        <v>0.0947817640360017</v>
      </c>
    </row>
    <row r="2672" customFormat="false" ht="14.25" hidden="false" customHeight="false" outlineLevel="0" collapsed="false">
      <c r="A2672" s="1" t="n">
        <v>43282</v>
      </c>
      <c r="B2672" s="2" t="s">
        <v>25</v>
      </c>
      <c r="C2672" s="3" t="n">
        <v>18524</v>
      </c>
      <c r="D2672" s="8" t="s">
        <v>17</v>
      </c>
      <c r="E2672" s="3" t="n">
        <f aca="false">IF(Tabla2[[#This Row],[Frecuencia]]="Annual", Tabla2[[#This Row],[Cosecha/Tarea]]/12,Tabla2[[#This Row],[Cosecha/Tarea]])</f>
        <v>18524</v>
      </c>
      <c r="F2672" s="3" t="n">
        <v>183699</v>
      </c>
      <c r="G2672" s="2" t="s">
        <v>18</v>
      </c>
      <c r="H2672" s="2" t="n">
        <f aca="false">F2672/Tabla2[[#This Row],[Cosecha Mensual]]</f>
        <v>9.91681062405528</v>
      </c>
      <c r="I2672" s="2" t="n">
        <f aca="false">H2672*_xlfn.XLOOKUP(Tabla2[[#This Row],[Unidad de producción]],Tabla3[Medida],Tabla3[Equivalencia en Kg],"ELVIS",0)</f>
        <v>449.826529907148</v>
      </c>
      <c r="J2672" s="2" t="n">
        <v>1293.66145833333</v>
      </c>
      <c r="K2672" s="2" t="s">
        <v>18</v>
      </c>
      <c r="L2672" s="2" t="n">
        <f aca="false">J2672/_xlfn.XLOOKUP(Tabla2[[#This Row],[Unidad de precio]],Tabla3[Medida],Tabla3[Equivalencia en Kg],"ELVIS",0)</f>
        <v>28.519873420047</v>
      </c>
      <c r="M2672" s="2" t="n">
        <v>4549.76899317218</v>
      </c>
      <c r="N2672" s="3" t="n">
        <f aca="false">(Tabla2[[#This Row],[Productividad (kg/TAS)]]*Tabla2[[#This Row],[Precio por kg]]-Tabla2[[#This Row],[Costos (En RD$/Tarea)]])</f>
        <v>8279.22670075864</v>
      </c>
      <c r="O2672" s="9" t="n">
        <f aca="false">IF(Tabla2[[#This Row],[Costos (En RD$/Tarea)]]=0,0,Tabla2[[#This Row],[Beneficio Neto  (En RD$/Tarea)]]/Tabla2[[#This Row],[Costos (En RD$/Tarea)]])</f>
        <v>1.81970265153753</v>
      </c>
      <c r="P2672" s="7" t="n">
        <f aca="false">Tabla2[[#This Row],[Rentabilidad (%)]]/12</f>
        <v>0.151641887628127</v>
      </c>
    </row>
    <row r="2673" customFormat="false" ht="14.25" hidden="false" customHeight="false" outlineLevel="0" collapsed="false">
      <c r="A2673" s="1" t="n">
        <v>43282</v>
      </c>
      <c r="B2673" s="2" t="s">
        <v>26</v>
      </c>
      <c r="C2673" s="3" t="n">
        <v>10245</v>
      </c>
      <c r="D2673" s="8" t="s">
        <v>17</v>
      </c>
      <c r="E2673" s="3" t="n">
        <f aca="false">IF(Tabla2[[#This Row],[Frecuencia]]="Annual", Tabla2[[#This Row],[Cosecha/Tarea]]/12,Tabla2[[#This Row],[Cosecha/Tarea]])</f>
        <v>10245</v>
      </c>
      <c r="F2673" s="3" t="n">
        <v>54214</v>
      </c>
      <c r="G2673" s="2" t="s">
        <v>18</v>
      </c>
      <c r="H2673" s="2" t="n">
        <f aca="false">F2673/Tabla2[[#This Row],[Cosecha Mensual]]</f>
        <v>5.29175207418253</v>
      </c>
      <c r="I2673" s="2" t="n">
        <f aca="false">H2673*_xlfn.XLOOKUP(Tabla2[[#This Row],[Unidad de producción]],Tabla3[Medida],Tabla3[Equivalencia en Kg],"ELVIS",0)</f>
        <v>240.03387408492</v>
      </c>
      <c r="J2673" s="2" t="n">
        <v>912.865357142857</v>
      </c>
      <c r="K2673" s="2" t="s">
        <v>18</v>
      </c>
      <c r="L2673" s="2" t="n">
        <f aca="false">J2673/_xlfn.XLOOKUP(Tabla2[[#This Row],[Unidad de precio]],Tabla3[Medida],Tabla3[Equivalencia en Kg],"ELVIS",0)</f>
        <v>20.1248976442429</v>
      </c>
      <c r="M2673" s="2" t="n">
        <v>1733.52094425</v>
      </c>
      <c r="N2673" s="3" t="n">
        <f aca="false">(Tabla2[[#This Row],[Productividad (kg/TAS)]]*Tabla2[[#This Row],[Precio por kg]]-Tabla2[[#This Row],[Costos (En RD$/Tarea)]])</f>
        <v>3097.13620286009</v>
      </c>
      <c r="O2673" s="9" t="n">
        <f aca="false">IF(Tabla2[[#This Row],[Costos (En RD$/Tarea)]]=0,0,Tabla2[[#This Row],[Beneficio Neto  (En RD$/Tarea)]]/Tabla2[[#This Row],[Costos (En RD$/Tarea)]])</f>
        <v>1.78661596973093</v>
      </c>
      <c r="P2673" s="7" t="n">
        <f aca="false">Tabla2[[#This Row],[Rentabilidad (%)]]/12</f>
        <v>0.148884664144244</v>
      </c>
    </row>
    <row r="2674" customFormat="false" ht="14.25" hidden="false" customHeight="false" outlineLevel="0" collapsed="false">
      <c r="A2674" s="1" t="n">
        <v>43282</v>
      </c>
      <c r="B2674" s="2" t="s">
        <v>27</v>
      </c>
      <c r="C2674" s="3" t="n">
        <v>5312</v>
      </c>
      <c r="D2674" s="8" t="s">
        <v>17</v>
      </c>
      <c r="E2674" s="3" t="n">
        <f aca="false">IF(Tabla2[[#This Row],[Frecuencia]]="Annual", Tabla2[[#This Row],[Cosecha/Tarea]]/12,Tabla2[[#This Row],[Cosecha/Tarea]])</f>
        <v>5312</v>
      </c>
      <c r="F2674" s="3" t="n">
        <v>53214</v>
      </c>
      <c r="G2674" s="2" t="s">
        <v>18</v>
      </c>
      <c r="H2674" s="2" t="n">
        <f aca="false">F2674/Tabla2[[#This Row],[Cosecha Mensual]]</f>
        <v>10.0176957831325</v>
      </c>
      <c r="I2674" s="2" t="n">
        <f aca="false">H2674*_xlfn.XLOOKUP(Tabla2[[#This Row],[Unidad de producción]],Tabla3[Medida],Tabla3[Equivalencia en Kg],"ELVIS",0)</f>
        <v>454.402680722892</v>
      </c>
      <c r="J2674" s="2" t="n">
        <v>640.7</v>
      </c>
      <c r="K2674" s="2" t="s">
        <v>18</v>
      </c>
      <c r="L2674" s="2" t="n">
        <f aca="false">J2674/_xlfn.XLOOKUP(Tabla2[[#This Row],[Unidad de precio]],Tabla3[Medida],Tabla3[Equivalencia en Kg],"ELVIS",0)</f>
        <v>14.1247795414462</v>
      </c>
      <c r="M2674" s="2" t="n">
        <v>9289.57547778</v>
      </c>
      <c r="N2674" s="3" t="n">
        <f aca="false">(Tabla2[[#This Row],[Productividad (kg/TAS)]]*Tabla2[[#This Row],[Precio por kg]]-Tabla2[[#This Row],[Costos (En RD$/Tarea)]])</f>
        <v>-2871.23778952699</v>
      </c>
      <c r="O2674" s="9" t="n">
        <f aca="false">IF(Tabla2[[#This Row],[Costos (En RD$/Tarea)]]=0,0,Tabla2[[#This Row],[Beneficio Neto  (En RD$/Tarea)]]/Tabla2[[#This Row],[Costos (En RD$/Tarea)]])</f>
        <v>-0.309081700923232</v>
      </c>
      <c r="P2674" s="7" t="n">
        <f aca="false">Tabla2[[#This Row],[Rentabilidad (%)]]/12</f>
        <v>-0.0257568084102693</v>
      </c>
    </row>
    <row r="2675" customFormat="false" ht="14.25" hidden="false" customHeight="false" outlineLevel="0" collapsed="false">
      <c r="A2675" s="1" t="n">
        <v>43282</v>
      </c>
      <c r="B2675" s="2" t="s">
        <v>28</v>
      </c>
      <c r="C2675" s="3" t="n">
        <v>32422</v>
      </c>
      <c r="D2675" s="8" t="s">
        <v>17</v>
      </c>
      <c r="E2675" s="3" t="n">
        <f aca="false">IF(Tabla2[[#This Row],[Frecuencia]]="Annual", Tabla2[[#This Row],[Cosecha/Tarea]]/12,Tabla2[[#This Row],[Cosecha/Tarea]])</f>
        <v>32422</v>
      </c>
      <c r="F2675" s="3" t="n">
        <v>1130520</v>
      </c>
      <c r="G2675" s="2" t="s">
        <v>18</v>
      </c>
      <c r="H2675" s="2" t="n">
        <f aca="false">F2675/Tabla2[[#This Row],[Cosecha Mensual]]</f>
        <v>34.8689161680341</v>
      </c>
      <c r="I2675" s="2" t="n">
        <f aca="false">H2675*_xlfn.XLOOKUP(Tabla2[[#This Row],[Unidad de producción]],Tabla3[Medida],Tabla3[Equivalencia en Kg],"ELVIS",0)</f>
        <v>1581.65403738202</v>
      </c>
      <c r="J2675" s="2" t="n">
        <v>9052.77777777778</v>
      </c>
      <c r="K2675" s="2" t="s">
        <v>29</v>
      </c>
      <c r="L2675" s="2" t="n">
        <f aca="false">J2675/_xlfn.XLOOKUP(Tabla2[[#This Row],[Unidad de precio]],Tabla3[Medida],Tabla3[Equivalencia en Kg],"ELVIS",0)</f>
        <v>16.0984062627197</v>
      </c>
      <c r="M2675" s="2" t="n">
        <v>7167.67993212066</v>
      </c>
      <c r="N2675" s="3" t="n">
        <f aca="false">(Tabla2[[#This Row],[Productividad (kg/TAS)]]*Tabla2[[#This Row],[Precio por kg]]-Tabla2[[#This Row],[Costos (En RD$/Tarea)]])</f>
        <v>18294.429328726</v>
      </c>
      <c r="O2675" s="9" t="n">
        <f aca="false">IF(Tabla2[[#This Row],[Costos (En RD$/Tarea)]]=0,0,Tabla2[[#This Row],[Beneficio Neto  (En RD$/Tarea)]]/Tabla2[[#This Row],[Costos (En RD$/Tarea)]])</f>
        <v>2.55235020285194</v>
      </c>
      <c r="P2675" s="7" t="n">
        <f aca="false">Tabla2[[#This Row],[Rentabilidad (%)]]/12</f>
        <v>0.212695850237662</v>
      </c>
    </row>
    <row r="2676" customFormat="false" ht="14.25" hidden="false" customHeight="false" outlineLevel="0" collapsed="false">
      <c r="A2676" s="1" t="n">
        <v>43282</v>
      </c>
      <c r="B2676" s="2" t="s">
        <v>30</v>
      </c>
      <c r="C2676" s="3" t="n">
        <v>460124</v>
      </c>
      <c r="D2676" s="3" t="s">
        <v>31</v>
      </c>
      <c r="E2676" s="3" t="n">
        <f aca="false">IF(Tabla2[[#This Row],[Frecuencia]]="Annual", Tabla2[[#This Row],[Cosecha/Tarea]]/12,Tabla2[[#This Row],[Cosecha/Tarea]])</f>
        <v>38343.6666666667</v>
      </c>
      <c r="F2676" s="3" t="n">
        <v>2414463</v>
      </c>
      <c r="G2676" s="2" t="s">
        <v>18</v>
      </c>
      <c r="H2676" s="2" t="n">
        <f aca="false">F2676/Tabla2[[#This Row],[Cosecha Mensual]]</f>
        <v>62.9690170475785</v>
      </c>
      <c r="I2676" s="2" t="n">
        <f aca="false">H2676*_xlfn.XLOOKUP(Tabla2[[#This Row],[Unidad de producción]],Tabla3[Medida],Tabla3[Equivalencia en Kg],"ELVIS",0)</f>
        <v>2856.27461327816</v>
      </c>
      <c r="J2676" s="2" t="n">
        <v>135.6484375</v>
      </c>
      <c r="K2676" s="2" t="s">
        <v>32</v>
      </c>
      <c r="L2676" s="2" t="n">
        <f aca="false">J2676/_xlfn.XLOOKUP(Tabla2[[#This Row],[Unidad de precio]],Tabla3[Medida],Tabla3[Equivalencia en Kg],"ELVIS",0)</f>
        <v>4.9852420984932</v>
      </c>
      <c r="M2676" s="3" t="n">
        <v>34069.662396</v>
      </c>
      <c r="N2676" s="3" t="n">
        <f aca="false">(Tabla2[[#This Row],[Productividad (kg/TAS)]]*Tabla2[[#This Row],[Precio por kg]]-Tabla2[[#This Row],[Costos (En RD$/Tarea)]])</f>
        <v>-19830.4419490283</v>
      </c>
      <c r="O2676" s="9" t="n">
        <f aca="false">IF(Tabla2[[#This Row],[Costos (En RD$/Tarea)]]=0,0,Tabla2[[#This Row],[Beneficio Neto  (En RD$/Tarea)]]/Tabla2[[#This Row],[Costos (En RD$/Tarea)]])</f>
        <v>-0.582055722141719</v>
      </c>
      <c r="P2676" s="7" t="n">
        <f aca="false">Tabla2[[#This Row],[Rentabilidad (%)]]/12</f>
        <v>-0.0485046435118099</v>
      </c>
    </row>
    <row r="2677" customFormat="false" ht="14.25" hidden="false" customHeight="false" outlineLevel="0" collapsed="false">
      <c r="A2677" s="1" t="n">
        <v>43282</v>
      </c>
      <c r="B2677" s="2" t="s">
        <v>33</v>
      </c>
      <c r="C2677" s="3" t="n">
        <v>798546</v>
      </c>
      <c r="D2677" s="3" t="s">
        <v>31</v>
      </c>
      <c r="E2677" s="3" t="n">
        <f aca="false">IF(Tabla2[[#This Row],[Frecuencia]]="Annual", Tabla2[[#This Row],[Cosecha/Tarea]]/12,Tabla2[[#This Row],[Cosecha/Tarea]])</f>
        <v>66545.5</v>
      </c>
      <c r="F2677" s="3" t="n">
        <v>2095065</v>
      </c>
      <c r="G2677" s="2" t="s">
        <v>18</v>
      </c>
      <c r="H2677" s="2" t="n">
        <f aca="false">F2677/Tabla2[[#This Row],[Cosecha Mensual]]</f>
        <v>31.4831957081997</v>
      </c>
      <c r="I2677" s="2" t="n">
        <f aca="false">H2677*_xlfn.XLOOKUP(Tabla2[[#This Row],[Unidad de producción]],Tabla3[Medida],Tabla3[Equivalencia en Kg],"ELVIS",0)</f>
        <v>1428.07775732394</v>
      </c>
      <c r="J2677" s="2" t="n">
        <v>5319.85677083333</v>
      </c>
      <c r="K2677" s="2" t="s">
        <v>34</v>
      </c>
      <c r="L2677" s="2" t="n">
        <f aca="false">J2677/_xlfn.XLOOKUP(Tabla2[[#This Row],[Unidad de precio]],Tabla3[Medida],Tabla3[Equivalencia en Kg],"ELVIS",0)</f>
        <v>13.0340726959043</v>
      </c>
      <c r="M2677" s="3" t="n">
        <v>22932.1463359308</v>
      </c>
      <c r="N2677" s="3" t="n">
        <f aca="false">(Tabla2[[#This Row],[Productividad (kg/TAS)]]*Tabla2[[#This Row],[Precio por kg]]-Tabla2[[#This Row],[Costos (En RD$/Tarea)]])</f>
        <v>-4318.47703156667</v>
      </c>
      <c r="O2677" s="9" t="n">
        <f aca="false">IF(Tabla2[[#This Row],[Costos (En RD$/Tarea)]]=0,0,Tabla2[[#This Row],[Beneficio Neto  (En RD$/Tarea)]]/Tabla2[[#This Row],[Costos (En RD$/Tarea)]])</f>
        <v>-0.188315431460524</v>
      </c>
      <c r="P2677" s="7" t="n">
        <f aca="false">Tabla2[[#This Row],[Rentabilidad (%)]]/12</f>
        <v>-0.0156929526217103</v>
      </c>
    </row>
    <row r="2678" customFormat="false" ht="14.25" hidden="false" customHeight="false" outlineLevel="0" collapsed="false">
      <c r="A2678" s="1" t="n">
        <v>43313</v>
      </c>
      <c r="B2678" s="2" t="s">
        <v>16</v>
      </c>
      <c r="C2678" s="3" t="n">
        <v>278629</v>
      </c>
      <c r="D2678" s="8" t="s">
        <v>17</v>
      </c>
      <c r="E2678" s="3" t="n">
        <f aca="false">IF(Tabla2[[#This Row],[Frecuencia]]="Annual", Tabla2[[#This Row],[Cosecha/Tarea]]/12,Tabla2[[#This Row],[Cosecha/Tarea]])</f>
        <v>278629</v>
      </c>
      <c r="F2678" s="3" t="n">
        <v>1106730</v>
      </c>
      <c r="G2678" s="2" t="s">
        <v>18</v>
      </c>
      <c r="H2678" s="2" t="n">
        <f aca="false">F2678/Tabla2[[#This Row],[Cosecha Mensual]]</f>
        <v>3.97205603149708</v>
      </c>
      <c r="I2678" s="2" t="n">
        <f aca="false">H2678*_xlfn.XLOOKUP(Tabla2[[#This Row],[Unidad de producción]],Tabla3[Medida],Tabla3[Equivalencia en Kg],"ELVIS",0)</f>
        <v>180.172461588708</v>
      </c>
      <c r="J2678" s="2" t="n">
        <v>2085.01907304731</v>
      </c>
      <c r="K2678" s="2" t="s">
        <v>19</v>
      </c>
      <c r="L2678" s="2" t="n">
        <f aca="false">J2678/_xlfn.XLOOKUP(Tabla2[[#This Row],[Unidad de precio]],Tabla3[Medida],Tabla3[Equivalencia en Kg],"ELVIS",0)</f>
        <v>18.9547188458846</v>
      </c>
      <c r="M2678" s="2" t="n">
        <v>6204.17820654867</v>
      </c>
      <c r="N2678" s="3" t="n">
        <f aca="false">(Tabla2[[#This Row],[Productividad (kg/TAS)]]*Tabla2[[#This Row],[Precio por kg]]-Tabla2[[#This Row],[Costos (En RD$/Tarea)]])</f>
        <v>-2789.05985336377</v>
      </c>
      <c r="O2678" s="9" t="n">
        <f aca="false">IF(Tabla2[[#This Row],[Costos (En RD$/Tarea)]]=0,0,Tabla2[[#This Row],[Beneficio Neto  (En RD$/Tarea)]]/Tabla2[[#This Row],[Costos (En RD$/Tarea)]])</f>
        <v>-0.449545412867065</v>
      </c>
      <c r="P2678" s="7" t="n">
        <f aca="false">Tabla2[[#This Row],[Rentabilidad (%)]]/12</f>
        <v>-0.0374621177389221</v>
      </c>
    </row>
    <row r="2679" customFormat="false" ht="14.25" hidden="false" customHeight="false" outlineLevel="0" collapsed="false">
      <c r="A2679" s="1" t="n">
        <v>43313</v>
      </c>
      <c r="B2679" s="2" t="s">
        <v>20</v>
      </c>
      <c r="C2679" s="3" t="n">
        <v>39210</v>
      </c>
      <c r="D2679" s="8" t="s">
        <v>17</v>
      </c>
      <c r="E2679" s="3" t="n">
        <f aca="false">IF(Tabla2[[#This Row],[Frecuencia]]="Annual", Tabla2[[#This Row],[Cosecha/Tarea]]/12,Tabla2[[#This Row],[Cosecha/Tarea]])</f>
        <v>39210</v>
      </c>
      <c r="F2679" s="3" t="n">
        <v>82198</v>
      </c>
      <c r="G2679" s="2" t="s">
        <v>18</v>
      </c>
      <c r="H2679" s="2" t="n">
        <f aca="false">F2679/Tabla2[[#This Row],[Cosecha Mensual]]</f>
        <v>2.09635297118082</v>
      </c>
      <c r="I2679" s="2" t="n">
        <f aca="false">H2679*_xlfn.XLOOKUP(Tabla2[[#This Row],[Unidad de producción]],Tabla3[Medida],Tabla3[Equivalencia en Kg],"ELVIS",0)</f>
        <v>95.0905707727621</v>
      </c>
      <c r="J2679" s="2" t="n">
        <v>923.434895833333</v>
      </c>
      <c r="K2679" s="2" t="s">
        <v>18</v>
      </c>
      <c r="L2679" s="2" t="n">
        <f aca="false">J2679/_xlfn.XLOOKUP(Tabla2[[#This Row],[Unidad de precio]],Tabla3[Medida],Tabla3[Equivalencia en Kg],"ELVIS",0)</f>
        <v>20.3579121656379</v>
      </c>
      <c r="M2679" s="2" t="n">
        <v>2494.8799608792</v>
      </c>
      <c r="N2679" s="3" t="n">
        <f aca="false">(Tabla2[[#This Row],[Productividad (kg/TAS)]]*Tabla2[[#This Row],[Precio por kg]]-Tabla2[[#This Row],[Costos (En RD$/Tarea)]])</f>
        <v>-559.03447330694</v>
      </c>
      <c r="O2679" s="9" t="n">
        <f aca="false">IF(Tabla2[[#This Row],[Costos (En RD$/Tarea)]]=0,0,Tabla2[[#This Row],[Beneficio Neto  (En RD$/Tarea)]]/Tabla2[[#This Row],[Costos (En RD$/Tarea)]])</f>
        <v>-0.224072693705847</v>
      </c>
      <c r="P2679" s="7" t="n">
        <f aca="false">Tabla2[[#This Row],[Rentabilidad (%)]]/12</f>
        <v>-0.0186727244754872</v>
      </c>
    </row>
    <row r="2680" customFormat="false" ht="14.25" hidden="false" customHeight="false" outlineLevel="0" collapsed="false">
      <c r="A2680" s="1" t="n">
        <v>43313</v>
      </c>
      <c r="B2680" s="2" t="s">
        <v>21</v>
      </c>
      <c r="C2680" s="3" t="n">
        <v>7281</v>
      </c>
      <c r="D2680" s="8" t="s">
        <v>17</v>
      </c>
      <c r="E2680" s="3" t="n">
        <f aca="false">IF(Tabla2[[#This Row],[Frecuencia]]="Annual", Tabla2[[#This Row],[Cosecha/Tarea]]/12,Tabla2[[#This Row],[Cosecha/Tarea]])</f>
        <v>7281</v>
      </c>
      <c r="F2680" s="3" t="n">
        <v>87382</v>
      </c>
      <c r="G2680" s="2" t="s">
        <v>18</v>
      </c>
      <c r="H2680" s="2" t="n">
        <f aca="false">F2680/Tabla2[[#This Row],[Cosecha Mensual]]</f>
        <v>12.0013734377146</v>
      </c>
      <c r="I2680" s="2" t="n">
        <f aca="false">H2680*_xlfn.XLOOKUP(Tabla2[[#This Row],[Unidad de producción]],Tabla3[Medida],Tabla3[Equivalencia en Kg],"ELVIS",0)</f>
        <v>544.382299134734</v>
      </c>
      <c r="J2680" s="2" t="n">
        <v>595.732672619048</v>
      </c>
      <c r="K2680" s="2" t="s">
        <v>18</v>
      </c>
      <c r="L2680" s="2" t="n">
        <f aca="false">J2680/_xlfn.XLOOKUP(Tabla2[[#This Row],[Unidad de precio]],Tabla3[Medida],Tabla3[Equivalencia en Kg],"ELVIS",0)</f>
        <v>13.1334363452171</v>
      </c>
      <c r="M2680" s="2" t="n">
        <v>5415.921577332</v>
      </c>
      <c r="N2680" s="3" t="n">
        <f aca="false">(Tabla2[[#This Row],[Productividad (kg/TAS)]]*Tabla2[[#This Row],[Precio por kg]]-Tabla2[[#This Row],[Costos (En RD$/Tarea)]])</f>
        <v>1733.68869581697</v>
      </c>
      <c r="O2680" s="9" t="n">
        <f aca="false">IF(Tabla2[[#This Row],[Costos (En RD$/Tarea)]]=0,0,Tabla2[[#This Row],[Beneficio Neto  (En RD$/Tarea)]]/Tabla2[[#This Row],[Costos (En RD$/Tarea)]])</f>
        <v>0.320109638048161</v>
      </c>
      <c r="P2680" s="7" t="n">
        <f aca="false">Tabla2[[#This Row],[Rentabilidad (%)]]/12</f>
        <v>0.0266758031706801</v>
      </c>
    </row>
    <row r="2681" customFormat="false" ht="14.25" hidden="false" customHeight="false" outlineLevel="0" collapsed="false">
      <c r="A2681" s="1" t="n">
        <v>43313</v>
      </c>
      <c r="B2681" s="2" t="s">
        <v>22</v>
      </c>
      <c r="C2681" s="3" t="n">
        <v>3852</v>
      </c>
      <c r="D2681" s="8" t="s">
        <v>17</v>
      </c>
      <c r="E2681" s="3" t="n">
        <f aca="false">IF(Tabla2[[#This Row],[Frecuencia]]="Annual", Tabla2[[#This Row],[Cosecha/Tarea]]/12,Tabla2[[#This Row],[Cosecha/Tarea]])</f>
        <v>3852</v>
      </c>
      <c r="F2681" s="3" t="n">
        <v>30998</v>
      </c>
      <c r="G2681" s="2" t="s">
        <v>18</v>
      </c>
      <c r="H2681" s="2" t="n">
        <f aca="false">F2681/Tabla2[[#This Row],[Cosecha Mensual]]</f>
        <v>8.0472481827622</v>
      </c>
      <c r="I2681" s="2" t="n">
        <f aca="false">H2681*_xlfn.XLOOKUP(Tabla2[[#This Row],[Unidad de producción]],Tabla3[Medida],Tabla3[Equivalencia en Kg],"ELVIS",0)</f>
        <v>365.023177570094</v>
      </c>
      <c r="J2681" s="2" t="n">
        <v>1940.56366113054</v>
      </c>
      <c r="K2681" s="2" t="s">
        <v>18</v>
      </c>
      <c r="L2681" s="2" t="n">
        <f aca="false">J2681/_xlfn.XLOOKUP(Tabla2[[#This Row],[Unidad de precio]],Tabla3[Medida],Tabla3[Equivalencia en Kg],"ELVIS",0)</f>
        <v>42.7813858273929</v>
      </c>
      <c r="M2681" s="2" t="n">
        <v>10167.2711784</v>
      </c>
      <c r="N2681" s="3" t="n">
        <f aca="false">(Tabla2[[#This Row],[Productividad (kg/TAS)]]*Tabla2[[#This Row],[Precio por kg]]-Tabla2[[#This Row],[Costos (En RD$/Tarea)]])</f>
        <v>5448.9262171671</v>
      </c>
      <c r="O2681" s="9" t="n">
        <f aca="false">IF(Tabla2[[#This Row],[Costos (En RD$/Tarea)]]=0,0,Tabla2[[#This Row],[Beneficio Neto  (En RD$/Tarea)]]/Tabla2[[#This Row],[Costos (En RD$/Tarea)]])</f>
        <v>0.53592808941136</v>
      </c>
      <c r="P2681" s="7" t="n">
        <f aca="false">Tabla2[[#This Row],[Rentabilidad (%)]]/12</f>
        <v>0.0446606741176134</v>
      </c>
    </row>
    <row r="2682" customFormat="false" ht="14.25" hidden="false" customHeight="false" outlineLevel="0" collapsed="false">
      <c r="A2682" s="1" t="n">
        <v>43313</v>
      </c>
      <c r="B2682" s="2" t="s">
        <v>23</v>
      </c>
      <c r="C2682" s="3" t="n">
        <v>3385</v>
      </c>
      <c r="D2682" s="8" t="s">
        <v>17</v>
      </c>
      <c r="E2682" s="3" t="n">
        <f aca="false">IF(Tabla2[[#This Row],[Frecuencia]]="Annual", Tabla2[[#This Row],[Cosecha/Tarea]]/12,Tabla2[[#This Row],[Cosecha/Tarea]])</f>
        <v>3385</v>
      </c>
      <c r="F2682" s="3" t="n">
        <v>127985</v>
      </c>
      <c r="G2682" s="2" t="s">
        <v>18</v>
      </c>
      <c r="H2682" s="2" t="n">
        <f aca="false">F2682/Tabla2[[#This Row],[Cosecha Mensual]]</f>
        <v>37.8094534711965</v>
      </c>
      <c r="I2682" s="2" t="n">
        <f aca="false">H2682*_xlfn.XLOOKUP(Tabla2[[#This Row],[Unidad de producción]],Tabla3[Medida],Tabla3[Equivalencia en Kg],"ELVIS",0)</f>
        <v>1715.03680945347</v>
      </c>
      <c r="J2682" s="2" t="n">
        <v>893.287069412066</v>
      </c>
      <c r="K2682" s="2" t="s">
        <v>18</v>
      </c>
      <c r="L2682" s="2" t="n">
        <f aca="false">J2682/_xlfn.XLOOKUP(Tabla2[[#This Row],[Unidad de precio]],Tabla3[Medida],Tabla3[Equivalencia en Kg],"ELVIS",0)</f>
        <v>19.6932775443577</v>
      </c>
      <c r="M2682" s="2" t="n">
        <v>23803.1923056373</v>
      </c>
      <c r="N2682" s="3" t="n">
        <f aca="false">(Tabla2[[#This Row],[Productividad (kg/TAS)]]*Tabla2[[#This Row],[Precio por kg]]-Tabla2[[#This Row],[Costos (En RD$/Tarea)]])</f>
        <v>9971.50358171965</v>
      </c>
      <c r="O2682" s="9" t="n">
        <f aca="false">IF(Tabla2[[#This Row],[Costos (En RD$/Tarea)]]=0,0,Tabla2[[#This Row],[Beneficio Neto  (En RD$/Tarea)]]/Tabla2[[#This Row],[Costos (En RD$/Tarea)]])</f>
        <v>0.418914549514357</v>
      </c>
      <c r="P2682" s="7" t="n">
        <f aca="false">Tabla2[[#This Row],[Rentabilidad (%)]]/12</f>
        <v>0.0349095457928631</v>
      </c>
    </row>
    <row r="2683" customFormat="false" ht="14.25" hidden="false" customHeight="false" outlineLevel="0" collapsed="false">
      <c r="A2683" s="1" t="n">
        <v>43313</v>
      </c>
      <c r="B2683" s="2" t="s">
        <v>24</v>
      </c>
      <c r="C2683" s="3" t="n">
        <v>4692</v>
      </c>
      <c r="D2683" s="8" t="s">
        <v>17</v>
      </c>
      <c r="E2683" s="3" t="n">
        <f aca="false">IF(Tabla2[[#This Row],[Frecuencia]]="Annual", Tabla2[[#This Row],[Cosecha/Tarea]]/12,Tabla2[[#This Row],[Cosecha/Tarea]])</f>
        <v>4692</v>
      </c>
      <c r="F2683" s="3" t="n">
        <v>48999</v>
      </c>
      <c r="G2683" s="2" t="s">
        <v>18</v>
      </c>
      <c r="H2683" s="2" t="n">
        <f aca="false">F2683/Tabla2[[#This Row],[Cosecha Mensual]]</f>
        <v>10.443094629156</v>
      </c>
      <c r="I2683" s="2" t="n">
        <f aca="false">H2683*_xlfn.XLOOKUP(Tabla2[[#This Row],[Unidad de producción]],Tabla3[Medida],Tabla3[Equivalencia en Kg],"ELVIS",0)</f>
        <v>473.698772378517</v>
      </c>
      <c r="J2683" s="2" t="n">
        <v>2281.05208333333</v>
      </c>
      <c r="K2683" s="2" t="s">
        <v>18</v>
      </c>
      <c r="L2683" s="2" t="n">
        <f aca="false">J2683/_xlfn.XLOOKUP(Tabla2[[#This Row],[Unidad de precio]],Tabla3[Medida],Tabla3[Equivalencia en Kg],"ELVIS",0)</f>
        <v>50.2877443415637</v>
      </c>
      <c r="M2683" s="2" t="n">
        <v>9413.7321988512</v>
      </c>
      <c r="N2683" s="3" t="n">
        <f aca="false">(Tabla2[[#This Row],[Productividad (kg/TAS)]]*Tabla2[[#This Row],[Precio por kg]]-Tabla2[[#This Row],[Costos (En RD$/Tarea)]])</f>
        <v>14407.5105614322</v>
      </c>
      <c r="O2683" s="9" t="n">
        <f aca="false">IF(Tabla2[[#This Row],[Costos (En RD$/Tarea)]]=0,0,Tabla2[[#This Row],[Beneficio Neto  (En RD$/Tarea)]]/Tabla2[[#This Row],[Costos (En RD$/Tarea)]])</f>
        <v>1.53047805664054</v>
      </c>
      <c r="P2683" s="7" t="n">
        <f aca="false">Tabla2[[#This Row],[Rentabilidad (%)]]/12</f>
        <v>0.127539838053378</v>
      </c>
    </row>
    <row r="2684" customFormat="false" ht="14.25" hidden="false" customHeight="false" outlineLevel="0" collapsed="false">
      <c r="A2684" s="1" t="n">
        <v>43313</v>
      </c>
      <c r="B2684" s="2" t="s">
        <v>25</v>
      </c>
      <c r="C2684" s="3" t="n">
        <v>26754</v>
      </c>
      <c r="D2684" s="8" t="s">
        <v>17</v>
      </c>
      <c r="E2684" s="3" t="n">
        <f aca="false">IF(Tabla2[[#This Row],[Frecuencia]]="Annual", Tabla2[[#This Row],[Cosecha/Tarea]]/12,Tabla2[[#This Row],[Cosecha/Tarea]])</f>
        <v>26754</v>
      </c>
      <c r="F2684" s="3" t="n">
        <v>284125</v>
      </c>
      <c r="G2684" s="2" t="s">
        <v>18</v>
      </c>
      <c r="H2684" s="2" t="n">
        <f aca="false">F2684/Tabla2[[#This Row],[Cosecha Mensual]]</f>
        <v>10.6199073035808</v>
      </c>
      <c r="I2684" s="2" t="n">
        <f aca="false">H2684*_xlfn.XLOOKUP(Tabla2[[#This Row],[Unidad de producción]],Tabla3[Medida],Tabla3[Equivalencia en Kg],"ELVIS",0)</f>
        <v>481.718995290424</v>
      </c>
      <c r="J2684" s="2" t="n">
        <v>1296.9765625</v>
      </c>
      <c r="K2684" s="2" t="s">
        <v>18</v>
      </c>
      <c r="L2684" s="2" t="n">
        <f aca="false">J2684/_xlfn.XLOOKUP(Tabla2[[#This Row],[Unidad de precio]],Tabla3[Medida],Tabla3[Equivalencia en Kg],"ELVIS",0)</f>
        <v>28.5929577270723</v>
      </c>
      <c r="M2684" s="2" t="n">
        <v>4549.76899317218</v>
      </c>
      <c r="N2684" s="3" t="n">
        <f aca="false">(Tabla2[[#This Row],[Productividad (kg/TAS)]]*Tabla2[[#This Row],[Precio por kg]]-Tabla2[[#This Row],[Costos (En RD$/Tarea)]])</f>
        <v>9224.00187549465</v>
      </c>
      <c r="O2684" s="9" t="n">
        <f aca="false">IF(Tabla2[[#This Row],[Costos (En RD$/Tarea)]]=0,0,Tabla2[[#This Row],[Beneficio Neto  (En RD$/Tarea)]]/Tabla2[[#This Row],[Costos (En RD$/Tarea)]])</f>
        <v>2.02735608980084</v>
      </c>
      <c r="P2684" s="7" t="n">
        <f aca="false">Tabla2[[#This Row],[Rentabilidad (%)]]/12</f>
        <v>0.168946340816737</v>
      </c>
    </row>
    <row r="2685" customFormat="false" ht="14.25" hidden="false" customHeight="false" outlineLevel="0" collapsed="false">
      <c r="A2685" s="1" t="n">
        <v>43313</v>
      </c>
      <c r="B2685" s="2" t="s">
        <v>26</v>
      </c>
      <c r="C2685" s="3" t="n">
        <v>9142</v>
      </c>
      <c r="D2685" s="8" t="s">
        <v>17</v>
      </c>
      <c r="E2685" s="3" t="n">
        <f aca="false">IF(Tabla2[[#This Row],[Frecuencia]]="Annual", Tabla2[[#This Row],[Cosecha/Tarea]]/12,Tabla2[[#This Row],[Cosecha/Tarea]])</f>
        <v>9142</v>
      </c>
      <c r="F2685" s="3" t="n">
        <v>81021</v>
      </c>
      <c r="G2685" s="2" t="s">
        <v>18</v>
      </c>
      <c r="H2685" s="2" t="n">
        <f aca="false">F2685/Tabla2[[#This Row],[Cosecha Mensual]]</f>
        <v>8.86250273463137</v>
      </c>
      <c r="I2685" s="2" t="n">
        <f aca="false">H2685*_xlfn.XLOOKUP(Tabla2[[#This Row],[Unidad de producción]],Tabla3[Medida],Tabla3[Equivalencia en Kg],"ELVIS",0)</f>
        <v>402.003124042879</v>
      </c>
      <c r="J2685" s="2" t="n">
        <v>815.332938095238</v>
      </c>
      <c r="K2685" s="2" t="s">
        <v>18</v>
      </c>
      <c r="L2685" s="2" t="n">
        <f aca="false">J2685/_xlfn.XLOOKUP(Tabla2[[#This Row],[Unidad de precio]],Tabla3[Medida],Tabla3[Equivalencia en Kg],"ELVIS",0)</f>
        <v>17.9747120391366</v>
      </c>
      <c r="M2685" s="2" t="n">
        <v>1733.52094425</v>
      </c>
      <c r="N2685" s="3" t="n">
        <f aca="false">(Tabla2[[#This Row],[Productividad (kg/TAS)]]*Tabla2[[#This Row],[Precio por kg]]-Tabla2[[#This Row],[Costos (En RD$/Tarea)]])</f>
        <v>5492.36944925408</v>
      </c>
      <c r="O2685" s="9" t="n">
        <f aca="false">IF(Tabla2[[#This Row],[Costos (En RD$/Tarea)]]=0,0,Tabla2[[#This Row],[Beneficio Neto  (En RD$/Tarea)]]/Tabla2[[#This Row],[Costos (En RD$/Tarea)]])</f>
        <v>3.16833175132495</v>
      </c>
      <c r="P2685" s="7" t="n">
        <f aca="false">Tabla2[[#This Row],[Rentabilidad (%)]]/12</f>
        <v>0.264027645943746</v>
      </c>
    </row>
    <row r="2686" customFormat="false" ht="14.25" hidden="false" customHeight="false" outlineLevel="0" collapsed="false">
      <c r="A2686" s="1" t="n">
        <v>43313</v>
      </c>
      <c r="B2686" s="2" t="s">
        <v>27</v>
      </c>
      <c r="C2686" s="3" t="n">
        <v>4752</v>
      </c>
      <c r="D2686" s="8" t="s">
        <v>17</v>
      </c>
      <c r="E2686" s="3" t="n">
        <f aca="false">IF(Tabla2[[#This Row],[Frecuencia]]="Annual", Tabla2[[#This Row],[Cosecha/Tarea]]/12,Tabla2[[#This Row],[Cosecha/Tarea]])</f>
        <v>4752</v>
      </c>
      <c r="F2686" s="3" t="n">
        <v>47685</v>
      </c>
      <c r="G2686" s="2" t="s">
        <v>18</v>
      </c>
      <c r="H2686" s="2" t="n">
        <f aca="false">F2686/Tabla2[[#This Row],[Cosecha Mensual]]</f>
        <v>10.0347222222222</v>
      </c>
      <c r="I2686" s="2" t="n">
        <f aca="false">H2686*_xlfn.XLOOKUP(Tabla2[[#This Row],[Unidad de producción]],Tabla3[Medida],Tabla3[Equivalencia en Kg],"ELVIS",0)</f>
        <v>455.175</v>
      </c>
      <c r="J2686" s="2" t="n">
        <v>716.239583333333</v>
      </c>
      <c r="K2686" s="2" t="s">
        <v>18</v>
      </c>
      <c r="L2686" s="2" t="n">
        <f aca="false">J2686/_xlfn.XLOOKUP(Tabla2[[#This Row],[Unidad de precio]],Tabla3[Medida],Tabla3[Equivalencia en Kg],"ELVIS",0)</f>
        <v>15.790114271017</v>
      </c>
      <c r="M2686" s="2" t="n">
        <v>9289.57547778</v>
      </c>
      <c r="N2686" s="3" t="n">
        <f aca="false">(Tabla2[[#This Row],[Productividad (kg/TAS)]]*Tabla2[[#This Row],[Precio por kg]]-Tabla2[[#This Row],[Costos (En RD$/Tarea)]])</f>
        <v>-2102.31021446982</v>
      </c>
      <c r="O2686" s="9" t="n">
        <f aca="false">IF(Tabla2[[#This Row],[Costos (En RD$/Tarea)]]=0,0,Tabla2[[#This Row],[Beneficio Neto  (En RD$/Tarea)]]/Tabla2[[#This Row],[Costos (En RD$/Tarea)]])</f>
        <v>-0.226308534711666</v>
      </c>
      <c r="P2686" s="7" t="n">
        <f aca="false">Tabla2[[#This Row],[Rentabilidad (%)]]/12</f>
        <v>-0.0188590445593055</v>
      </c>
    </row>
    <row r="2687" customFormat="false" ht="14.25" hidden="false" customHeight="false" outlineLevel="0" collapsed="false">
      <c r="A2687" s="1" t="n">
        <v>43313</v>
      </c>
      <c r="B2687" s="2" t="s">
        <v>28</v>
      </c>
      <c r="C2687" s="3" t="n">
        <v>52124</v>
      </c>
      <c r="D2687" s="8" t="s">
        <v>17</v>
      </c>
      <c r="E2687" s="3" t="n">
        <f aca="false">IF(Tabla2[[#This Row],[Frecuencia]]="Annual", Tabla2[[#This Row],[Cosecha/Tarea]]/12,Tabla2[[#This Row],[Cosecha/Tarea]])</f>
        <v>52124</v>
      </c>
      <c r="F2687" s="3" t="n">
        <v>1356216</v>
      </c>
      <c r="G2687" s="2" t="s">
        <v>18</v>
      </c>
      <c r="H2687" s="2" t="n">
        <f aca="false">F2687/Tabla2[[#This Row],[Cosecha Mensual]]</f>
        <v>26.0190315401734</v>
      </c>
      <c r="I2687" s="2" t="n">
        <f aca="false">H2687*_xlfn.XLOOKUP(Tabla2[[#This Row],[Unidad de producción]],Tabla3[Medida],Tabla3[Equivalencia en Kg],"ELVIS",0)</f>
        <v>1180.22327066227</v>
      </c>
      <c r="J2687" s="2" t="n">
        <v>6647.89583333333</v>
      </c>
      <c r="K2687" s="2" t="s">
        <v>29</v>
      </c>
      <c r="L2687" s="2" t="n">
        <f aca="false">J2687/_xlfn.XLOOKUP(Tabla2[[#This Row],[Unidad de precio]],Tabla3[Medida],Tabla3[Equivalencia en Kg],"ELVIS",0)</f>
        <v>11.82184413937</v>
      </c>
      <c r="M2687" s="2" t="n">
        <v>7167.67993212066</v>
      </c>
      <c r="N2687" s="3" t="n">
        <f aca="false">(Tabla2[[#This Row],[Productividad (kg/TAS)]]*Tabla2[[#This Row],[Precio por kg]]-Tabla2[[#This Row],[Costos (En RD$/Tarea)]])</f>
        <v>6784.73562330616</v>
      </c>
      <c r="O2687" s="9" t="n">
        <f aca="false">IF(Tabla2[[#This Row],[Costos (En RD$/Tarea)]]=0,0,Tabla2[[#This Row],[Beneficio Neto  (En RD$/Tarea)]]/Tabla2[[#This Row],[Costos (En RD$/Tarea)]])</f>
        <v>0.946573464155619</v>
      </c>
      <c r="P2687" s="7" t="n">
        <f aca="false">Tabla2[[#This Row],[Rentabilidad (%)]]/12</f>
        <v>0.0788811220129682</v>
      </c>
    </row>
    <row r="2688" customFormat="false" ht="14.25" hidden="false" customHeight="false" outlineLevel="0" collapsed="false">
      <c r="A2688" s="1" t="n">
        <v>43313</v>
      </c>
      <c r="B2688" s="2" t="s">
        <v>30</v>
      </c>
      <c r="C2688" s="3" t="n">
        <v>452154</v>
      </c>
      <c r="D2688" s="3" t="s">
        <v>31</v>
      </c>
      <c r="E2688" s="3" t="n">
        <f aca="false">IF(Tabla2[[#This Row],[Frecuencia]]="Annual", Tabla2[[#This Row],[Cosecha/Tarea]]/12,Tabla2[[#This Row],[Cosecha/Tarea]])</f>
        <v>37679.5</v>
      </c>
      <c r="F2688" s="3" t="n">
        <v>2393852.4</v>
      </c>
      <c r="G2688" s="2" t="s">
        <v>18</v>
      </c>
      <c r="H2688" s="2" t="n">
        <f aca="false">F2688/Tabla2[[#This Row],[Cosecha Mensual]]</f>
        <v>63.5319576958293</v>
      </c>
      <c r="I2688" s="2" t="n">
        <f aca="false">H2688*_xlfn.XLOOKUP(Tabla2[[#This Row],[Unidad de producción]],Tabla3[Medida],Tabla3[Equivalencia en Kg],"ELVIS",0)</f>
        <v>2881.80960108282</v>
      </c>
      <c r="J2688" s="2" t="n">
        <v>129.510416666667</v>
      </c>
      <c r="K2688" s="2" t="s">
        <v>32</v>
      </c>
      <c r="L2688" s="2" t="n">
        <f aca="false">J2688/_xlfn.XLOOKUP(Tabla2[[#This Row],[Unidad de precio]],Tabla3[Medida],Tabla3[Equivalencia en Kg],"ELVIS",0)</f>
        <v>4.75966250153131</v>
      </c>
      <c r="M2688" s="3" t="n">
        <v>34069.662396</v>
      </c>
      <c r="N2688" s="3" t="n">
        <f aca="false">(Tabla2[[#This Row],[Productividad (kg/TAS)]]*Tabla2[[#This Row],[Precio por kg]]-Tabla2[[#This Row],[Costos (En RD$/Tarea)]])</f>
        <v>-20353.2213011732</v>
      </c>
      <c r="O2688" s="9" t="n">
        <f aca="false">IF(Tabla2[[#This Row],[Costos (En RD$/Tarea)]]=0,0,Tabla2[[#This Row],[Beneficio Neto  (En RD$/Tarea)]]/Tabla2[[#This Row],[Costos (En RD$/Tarea)]])</f>
        <v>-0.597400146341421</v>
      </c>
      <c r="P2688" s="7" t="n">
        <f aca="false">Tabla2[[#This Row],[Rentabilidad (%)]]/12</f>
        <v>-0.0497833455284518</v>
      </c>
    </row>
    <row r="2689" customFormat="false" ht="14.25" hidden="false" customHeight="false" outlineLevel="0" collapsed="false">
      <c r="A2689" s="1" t="n">
        <v>43313</v>
      </c>
      <c r="B2689" s="2" t="s">
        <v>33</v>
      </c>
      <c r="C2689" s="3" t="n">
        <v>792458</v>
      </c>
      <c r="D2689" s="3" t="s">
        <v>31</v>
      </c>
      <c r="E2689" s="3" t="n">
        <f aca="false">IF(Tabla2[[#This Row],[Frecuencia]]="Annual", Tabla2[[#This Row],[Cosecha/Tarea]]/12,Tabla2[[#This Row],[Cosecha/Tarea]])</f>
        <v>66038.1666666667</v>
      </c>
      <c r="F2689" s="3" t="n">
        <v>2391201</v>
      </c>
      <c r="G2689" s="2" t="s">
        <v>18</v>
      </c>
      <c r="H2689" s="2" t="n">
        <f aca="false">F2689/Tabla2[[#This Row],[Cosecha Mensual]]</f>
        <v>36.2093789197661</v>
      </c>
      <c r="I2689" s="2" t="n">
        <f aca="false">H2689*_xlfn.XLOOKUP(Tabla2[[#This Row],[Unidad de producción]],Tabla3[Medida],Tabla3[Equivalencia en Kg],"ELVIS",0)</f>
        <v>1642.45742780059</v>
      </c>
      <c r="J2689" s="2" t="n">
        <v>5290.29166666667</v>
      </c>
      <c r="K2689" s="2" t="s">
        <v>34</v>
      </c>
      <c r="L2689" s="2" t="n">
        <f aca="false">J2689/_xlfn.XLOOKUP(Tabla2[[#This Row],[Unidad de precio]],Tabla3[Medida],Tabla3[Equivalencia en Kg],"ELVIS",0)</f>
        <v>12.961635836498</v>
      </c>
      <c r="M2689" s="3" t="n">
        <v>22932.1463359308</v>
      </c>
      <c r="N2689" s="3" t="n">
        <f aca="false">(Tabla2[[#This Row],[Productividad (kg/TAS)]]*Tabla2[[#This Row],[Precio por kg]]-Tabla2[[#This Row],[Costos (En RD$/Tarea)]])</f>
        <v>-1643.2112798283</v>
      </c>
      <c r="O2689" s="9" t="n">
        <f aca="false">IF(Tabla2[[#This Row],[Costos (En RD$/Tarea)]]=0,0,Tabla2[[#This Row],[Beneficio Neto  (En RD$/Tarea)]]/Tabla2[[#This Row],[Costos (En RD$/Tarea)]])</f>
        <v>-0.0716553634255188</v>
      </c>
      <c r="P2689" s="7" t="n">
        <f aca="false">Tabla2[[#This Row],[Rentabilidad (%)]]/12</f>
        <v>-0.0059712802854599</v>
      </c>
    </row>
    <row r="2690" customFormat="false" ht="14.25" hidden="false" customHeight="false" outlineLevel="0" collapsed="false">
      <c r="A2690" s="1" t="n">
        <v>43344</v>
      </c>
      <c r="B2690" s="2" t="s">
        <v>16</v>
      </c>
      <c r="C2690" s="3" t="n">
        <v>333920</v>
      </c>
      <c r="D2690" s="8" t="s">
        <v>17</v>
      </c>
      <c r="E2690" s="3" t="n">
        <f aca="false">IF(Tabla2[[#This Row],[Frecuencia]]="Annual", Tabla2[[#This Row],[Cosecha/Tarea]]/12,Tabla2[[#This Row],[Cosecha/Tarea]])</f>
        <v>333920</v>
      </c>
      <c r="F2690" s="3" t="n">
        <v>1645975</v>
      </c>
      <c r="G2690" s="2" t="s">
        <v>18</v>
      </c>
      <c r="H2690" s="2" t="n">
        <f aca="false">F2690/Tabla2[[#This Row],[Cosecha Mensual]]</f>
        <v>4.92924952084332</v>
      </c>
      <c r="I2690" s="2" t="n">
        <f aca="false">H2690*_xlfn.XLOOKUP(Tabla2[[#This Row],[Unidad de producción]],Tabla3[Medida],Tabla3[Equivalencia en Kg],"ELVIS",0)</f>
        <v>223.590758265453</v>
      </c>
      <c r="J2690" s="2" t="n">
        <v>2148.60323844885</v>
      </c>
      <c r="K2690" s="2" t="s">
        <v>19</v>
      </c>
      <c r="L2690" s="2" t="n">
        <f aca="false">J2690/_xlfn.XLOOKUP(Tabla2[[#This Row],[Unidad de precio]],Tabla3[Medida],Tabla3[Equivalencia en Kg],"ELVIS",0)</f>
        <v>19.5327567131714</v>
      </c>
      <c r="M2690" s="2" t="n">
        <v>6204.17820654867</v>
      </c>
      <c r="N2690" s="3" t="n">
        <f aca="false">(Tabla2[[#This Row],[Productividad (kg/TAS)]]*Tabla2[[#This Row],[Precio por kg]]-Tabla2[[#This Row],[Costos (En RD$/Tarea)]])</f>
        <v>-1836.83432203607</v>
      </c>
      <c r="O2690" s="9" t="n">
        <f aca="false">IF(Tabla2[[#This Row],[Costos (En RD$/Tarea)]]=0,0,Tabla2[[#This Row],[Beneficio Neto  (En RD$/Tarea)]]/Tabla2[[#This Row],[Costos (En RD$/Tarea)]])</f>
        <v>-0.296064081476133</v>
      </c>
      <c r="P2690" s="7" t="n">
        <f aca="false">Tabla2[[#This Row],[Rentabilidad (%)]]/12</f>
        <v>-0.0246720067896777</v>
      </c>
    </row>
    <row r="2691" customFormat="false" ht="14.25" hidden="false" customHeight="false" outlineLevel="0" collapsed="false">
      <c r="A2691" s="1" t="n">
        <v>43344</v>
      </c>
      <c r="B2691" s="2" t="s">
        <v>20</v>
      </c>
      <c r="C2691" s="3" t="n">
        <v>48999</v>
      </c>
      <c r="D2691" s="8" t="s">
        <v>17</v>
      </c>
      <c r="E2691" s="3" t="n">
        <f aca="false">IF(Tabla2[[#This Row],[Frecuencia]]="Annual", Tabla2[[#This Row],[Cosecha/Tarea]]/12,Tabla2[[#This Row],[Cosecha/Tarea]])</f>
        <v>48999</v>
      </c>
      <c r="F2691" s="3" t="n">
        <v>122498</v>
      </c>
      <c r="G2691" s="2" t="s">
        <v>18</v>
      </c>
      <c r="H2691" s="2" t="n">
        <f aca="false">F2691/Tabla2[[#This Row],[Cosecha Mensual]]</f>
        <v>2.50001020428988</v>
      </c>
      <c r="I2691" s="2" t="n">
        <f aca="false">H2691*_xlfn.XLOOKUP(Tabla2[[#This Row],[Unidad de producción]],Tabla3[Medida],Tabla3[Equivalencia en Kg],"ELVIS",0)</f>
        <v>113.400462866589</v>
      </c>
      <c r="J2691" s="2" t="n">
        <v>954.239583333333</v>
      </c>
      <c r="K2691" s="2" t="s">
        <v>18</v>
      </c>
      <c r="L2691" s="2" t="n">
        <f aca="false">J2691/_xlfn.XLOOKUP(Tabla2[[#This Row],[Unidad de precio]],Tabla3[Medida],Tabla3[Equivalencia en Kg],"ELVIS",0)</f>
        <v>21.037027851264</v>
      </c>
      <c r="M2691" s="2" t="n">
        <v>2494.8799608792</v>
      </c>
      <c r="N2691" s="3" t="n">
        <f aca="false">(Tabla2[[#This Row],[Productividad (kg/TAS)]]*Tabla2[[#This Row],[Precio por kg]]-Tabla2[[#This Row],[Costos (En RD$/Tarea)]])</f>
        <v>-109.271265208541</v>
      </c>
      <c r="O2691" s="9" t="n">
        <f aca="false">IF(Tabla2[[#This Row],[Costos (En RD$/Tarea)]]=0,0,Tabla2[[#This Row],[Beneficio Neto  (En RD$/Tarea)]]/Tabla2[[#This Row],[Costos (En RD$/Tarea)]])</f>
        <v>-0.0437982054936356</v>
      </c>
      <c r="P2691" s="7" t="n">
        <f aca="false">Tabla2[[#This Row],[Rentabilidad (%)]]/12</f>
        <v>-0.00364985045780296</v>
      </c>
    </row>
    <row r="2692" customFormat="false" ht="14.25" hidden="false" customHeight="false" outlineLevel="0" collapsed="false">
      <c r="A2692" s="1" t="n">
        <v>43344</v>
      </c>
      <c r="B2692" s="2" t="s">
        <v>21</v>
      </c>
      <c r="C2692" s="3" t="n">
        <v>7102</v>
      </c>
      <c r="D2692" s="8" t="s">
        <v>17</v>
      </c>
      <c r="E2692" s="3" t="n">
        <f aca="false">IF(Tabla2[[#This Row],[Frecuencia]]="Annual", Tabla2[[#This Row],[Cosecha/Tarea]]/12,Tabla2[[#This Row],[Cosecha/Tarea]])</f>
        <v>7102</v>
      </c>
      <c r="F2692" s="3" t="n">
        <v>75215</v>
      </c>
      <c r="G2692" s="2" t="s">
        <v>18</v>
      </c>
      <c r="H2692" s="2" t="n">
        <f aca="false">F2692/Tabla2[[#This Row],[Cosecha Mensual]]</f>
        <v>10.5906786820614</v>
      </c>
      <c r="I2692" s="2" t="n">
        <f aca="false">H2692*_xlfn.XLOOKUP(Tabla2[[#This Row],[Unidad de producción]],Tabla3[Medida],Tabla3[Equivalencia en Kg],"ELVIS",0)</f>
        <v>480.393185018305</v>
      </c>
      <c r="J2692" s="2" t="n">
        <v>741.970238095238</v>
      </c>
      <c r="K2692" s="2" t="s">
        <v>18</v>
      </c>
      <c r="L2692" s="2" t="n">
        <f aca="false">J2692/_xlfn.XLOOKUP(Tabla2[[#This Row],[Unidad de precio]],Tabla3[Medida],Tabla3[Equivalencia en Kg],"ELVIS",0)</f>
        <v>16.3573685647098</v>
      </c>
      <c r="M2692" s="2" t="n">
        <v>5415.921577332</v>
      </c>
      <c r="N2692" s="3" t="n">
        <f aca="false">(Tabla2[[#This Row],[Productividad (kg/TAS)]]*Tabla2[[#This Row],[Precio por kg]]-Tabla2[[#This Row],[Costos (En RD$/Tarea)]])</f>
        <v>2442.04680598725</v>
      </c>
      <c r="O2692" s="9" t="n">
        <f aca="false">IF(Tabla2[[#This Row],[Costos (En RD$/Tarea)]]=0,0,Tabla2[[#This Row],[Beneficio Neto  (En RD$/Tarea)]]/Tabla2[[#This Row],[Costos (En RD$/Tarea)]])</f>
        <v>0.45090143406217</v>
      </c>
      <c r="P2692" s="7" t="n">
        <f aca="false">Tabla2[[#This Row],[Rentabilidad (%)]]/12</f>
        <v>0.0375751195051809</v>
      </c>
    </row>
    <row r="2693" customFormat="false" ht="14.25" hidden="false" customHeight="false" outlineLevel="0" collapsed="false">
      <c r="A2693" s="1" t="n">
        <v>43344</v>
      </c>
      <c r="B2693" s="2" t="s">
        <v>22</v>
      </c>
      <c r="C2693" s="3" t="n">
        <v>4658</v>
      </c>
      <c r="D2693" s="8" t="s">
        <v>17</v>
      </c>
      <c r="E2693" s="3" t="n">
        <f aca="false">IF(Tabla2[[#This Row],[Frecuencia]]="Annual", Tabla2[[#This Row],[Cosecha/Tarea]]/12,Tabla2[[#This Row],[Cosecha/Tarea]])</f>
        <v>4658</v>
      </c>
      <c r="F2693" s="3" t="n">
        <v>40989</v>
      </c>
      <c r="G2693" s="2" t="s">
        <v>18</v>
      </c>
      <c r="H2693" s="2" t="n">
        <f aca="false">F2693/Tabla2[[#This Row],[Cosecha Mensual]]</f>
        <v>8.79969944182052</v>
      </c>
      <c r="I2693" s="2" t="n">
        <f aca="false">H2693*_xlfn.XLOOKUP(Tabla2[[#This Row],[Unidad de producción]],Tabla3[Medida],Tabla3[Equivalencia en Kg],"ELVIS",0)</f>
        <v>399.154366680979</v>
      </c>
      <c r="J2693" s="2" t="n">
        <v>1966.60413184038</v>
      </c>
      <c r="K2693" s="2" t="s">
        <v>18</v>
      </c>
      <c r="L2693" s="2" t="n">
        <f aca="false">J2693/_xlfn.XLOOKUP(Tabla2[[#This Row],[Unidad de precio]],Tabla3[Medida],Tabla3[Equivalencia en Kg],"ELVIS",0)</f>
        <v>43.355470278668</v>
      </c>
      <c r="M2693" s="2" t="n">
        <v>10167.2711784</v>
      </c>
      <c r="N2693" s="3" t="n">
        <f aca="false">(Tabla2[[#This Row],[Productividad (kg/TAS)]]*Tabla2[[#This Row],[Precio por kg]]-Tabla2[[#This Row],[Costos (En RD$/Tarea)]])</f>
        <v>7138.25410283773</v>
      </c>
      <c r="O2693" s="9" t="n">
        <f aca="false">IF(Tabla2[[#This Row],[Costos (En RD$/Tarea)]]=0,0,Tabla2[[#This Row],[Beneficio Neto  (En RD$/Tarea)]]/Tabla2[[#This Row],[Costos (En RD$/Tarea)]])</f>
        <v>0.702081608485342</v>
      </c>
      <c r="P2693" s="7" t="n">
        <f aca="false">Tabla2[[#This Row],[Rentabilidad (%)]]/12</f>
        <v>0.0585068007071118</v>
      </c>
    </row>
    <row r="2694" customFormat="false" ht="14.25" hidden="false" customHeight="false" outlineLevel="0" collapsed="false">
      <c r="A2694" s="1" t="n">
        <v>43344</v>
      </c>
      <c r="B2694" s="2" t="s">
        <v>23</v>
      </c>
      <c r="C2694" s="3" t="n">
        <v>4521</v>
      </c>
      <c r="D2694" s="8" t="s">
        <v>17</v>
      </c>
      <c r="E2694" s="3" t="n">
        <f aca="false">IF(Tabla2[[#This Row],[Frecuencia]]="Annual", Tabla2[[#This Row],[Cosecha/Tarea]]/12,Tabla2[[#This Row],[Cosecha/Tarea]])</f>
        <v>4521</v>
      </c>
      <c r="F2694" s="3" t="n">
        <v>189457</v>
      </c>
      <c r="G2694" s="2" t="s">
        <v>18</v>
      </c>
      <c r="H2694" s="2" t="n">
        <f aca="false">F2694/Tabla2[[#This Row],[Cosecha Mensual]]</f>
        <v>41.9059942490599</v>
      </c>
      <c r="I2694" s="2" t="n">
        <f aca="false">H2694*_xlfn.XLOOKUP(Tabla2[[#This Row],[Unidad de producción]],Tabla3[Medida],Tabla3[Equivalencia en Kg],"ELVIS",0)</f>
        <v>1900.85589913736</v>
      </c>
      <c r="J2694" s="2" t="n">
        <v>905.784714128462</v>
      </c>
      <c r="K2694" s="2" t="s">
        <v>18</v>
      </c>
      <c r="L2694" s="2" t="n">
        <f aca="false">J2694/_xlfn.XLOOKUP(Tabla2[[#This Row],[Unidad de precio]],Tabla3[Medida],Tabla3[Equivalencia en Kg],"ELVIS",0)</f>
        <v>19.9687988123559</v>
      </c>
      <c r="M2694" s="2" t="n">
        <v>23803.1923056373</v>
      </c>
      <c r="N2694" s="3" t="n">
        <f aca="false">(Tabla2[[#This Row],[Productividad (kg/TAS)]]*Tabla2[[#This Row],[Precio por kg]]-Tabla2[[#This Row],[Costos (En RD$/Tarea)]])</f>
        <v>14154.6167155164</v>
      </c>
      <c r="O2694" s="9" t="n">
        <f aca="false">IF(Tabla2[[#This Row],[Costos (En RD$/Tarea)]]=0,0,Tabla2[[#This Row],[Beneficio Neto  (En RD$/Tarea)]]/Tabla2[[#This Row],[Costos (En RD$/Tarea)]])</f>
        <v>0.594652033801542</v>
      </c>
      <c r="P2694" s="7" t="n">
        <f aca="false">Tabla2[[#This Row],[Rentabilidad (%)]]/12</f>
        <v>0.0495543361501285</v>
      </c>
    </row>
    <row r="2695" customFormat="false" ht="14.25" hidden="false" customHeight="false" outlineLevel="0" collapsed="false">
      <c r="A2695" s="1" t="n">
        <v>43344</v>
      </c>
      <c r="B2695" s="2" t="s">
        <v>24</v>
      </c>
      <c r="C2695" s="3" t="n">
        <v>4621</v>
      </c>
      <c r="D2695" s="8" t="s">
        <v>17</v>
      </c>
      <c r="E2695" s="3" t="n">
        <f aca="false">IF(Tabla2[[#This Row],[Frecuencia]]="Annual", Tabla2[[#This Row],[Cosecha/Tarea]]/12,Tabla2[[#This Row],[Cosecha/Tarea]])</f>
        <v>4621</v>
      </c>
      <c r="F2695" s="3" t="n">
        <v>44989</v>
      </c>
      <c r="G2695" s="2" t="s">
        <v>18</v>
      </c>
      <c r="H2695" s="2" t="n">
        <f aca="false">F2695/Tabla2[[#This Row],[Cosecha Mensual]]</f>
        <v>9.73577147803506</v>
      </c>
      <c r="I2695" s="2" t="n">
        <f aca="false">H2695*_xlfn.XLOOKUP(Tabla2[[#This Row],[Unidad de producción]],Tabla3[Medida],Tabla3[Equivalencia en Kg],"ELVIS",0)</f>
        <v>441.61459424367</v>
      </c>
      <c r="J2695" s="2" t="n">
        <v>2442.765625</v>
      </c>
      <c r="K2695" s="2" t="s">
        <v>18</v>
      </c>
      <c r="L2695" s="2" t="n">
        <f aca="false">J2695/_xlfn.XLOOKUP(Tabla2[[#This Row],[Unidad de precio]],Tabla3[Medida],Tabla3[Equivalencia en Kg],"ELVIS",0)</f>
        <v>53.8528576940035</v>
      </c>
      <c r="M2695" s="2" t="n">
        <v>9413.7321988512</v>
      </c>
      <c r="N2695" s="3" t="n">
        <f aca="false">(Tabla2[[#This Row],[Productividad (kg/TAS)]]*Tabla2[[#This Row],[Precio por kg]]-Tabla2[[#This Row],[Costos (En RD$/Tarea)]])</f>
        <v>14368.4757005483</v>
      </c>
      <c r="O2695" s="9" t="n">
        <f aca="false">IF(Tabla2[[#This Row],[Costos (En RD$/Tarea)]]=0,0,Tabla2[[#This Row],[Beneficio Neto  (En RD$/Tarea)]]/Tabla2[[#This Row],[Costos (En RD$/Tarea)]])</f>
        <v>1.5263314694996</v>
      </c>
      <c r="P2695" s="7" t="n">
        <f aca="false">Tabla2[[#This Row],[Rentabilidad (%)]]/12</f>
        <v>0.127194289124967</v>
      </c>
    </row>
    <row r="2696" customFormat="false" ht="14.25" hidden="false" customHeight="false" outlineLevel="0" collapsed="false">
      <c r="A2696" s="1" t="n">
        <v>43344</v>
      </c>
      <c r="B2696" s="2" t="s">
        <v>25</v>
      </c>
      <c r="C2696" s="3" t="n">
        <v>25698</v>
      </c>
      <c r="D2696" s="8" t="s">
        <v>17</v>
      </c>
      <c r="E2696" s="3" t="n">
        <f aca="false">IF(Tabla2[[#This Row],[Frecuencia]]="Annual", Tabla2[[#This Row],[Cosecha/Tarea]]/12,Tabla2[[#This Row],[Cosecha/Tarea]])</f>
        <v>25698</v>
      </c>
      <c r="F2696" s="3" t="n">
        <v>289547</v>
      </c>
      <c r="G2696" s="2" t="s">
        <v>18</v>
      </c>
      <c r="H2696" s="2" t="n">
        <f aca="false">F2696/Tabla2[[#This Row],[Cosecha Mensual]]</f>
        <v>11.2672970659195</v>
      </c>
      <c r="I2696" s="2" t="n">
        <f aca="false">H2696*_xlfn.XLOOKUP(Tabla2[[#This Row],[Unidad de producción]],Tabla3[Medida],Tabla3[Equivalencia en Kg],"ELVIS",0)</f>
        <v>511.08459491011</v>
      </c>
      <c r="J2696" s="2" t="n">
        <v>1163.03125</v>
      </c>
      <c r="K2696" s="2" t="s">
        <v>18</v>
      </c>
      <c r="L2696" s="2" t="n">
        <f aca="false">J2696/_xlfn.XLOOKUP(Tabla2[[#This Row],[Unidad de precio]],Tabla3[Medida],Tabla3[Equivalencia en Kg],"ELVIS",0)</f>
        <v>25.6400187389771</v>
      </c>
      <c r="M2696" s="2" t="n">
        <v>4549.76899317218</v>
      </c>
      <c r="N2696" s="3" t="n">
        <f aca="false">(Tabla2[[#This Row],[Productividad (kg/TAS)]]*Tabla2[[#This Row],[Precio por kg]]-Tabla2[[#This Row],[Costos (En RD$/Tarea)]])</f>
        <v>8554.44959752554</v>
      </c>
      <c r="O2696" s="9" t="n">
        <f aca="false">IF(Tabla2[[#This Row],[Costos (En RD$/Tarea)]]=0,0,Tabla2[[#This Row],[Beneficio Neto  (En RD$/Tarea)]]/Tabla2[[#This Row],[Costos (En RD$/Tarea)]])</f>
        <v>1.88019427148129</v>
      </c>
      <c r="P2696" s="7" t="n">
        <f aca="false">Tabla2[[#This Row],[Rentabilidad (%)]]/12</f>
        <v>0.156682855956774</v>
      </c>
    </row>
    <row r="2697" customFormat="false" ht="14.25" hidden="false" customHeight="false" outlineLevel="0" collapsed="false">
      <c r="A2697" s="1" t="n">
        <v>43344</v>
      </c>
      <c r="B2697" s="2" t="s">
        <v>26</v>
      </c>
      <c r="C2697" s="3" t="n">
        <v>10354</v>
      </c>
      <c r="D2697" s="8" t="s">
        <v>17</v>
      </c>
      <c r="E2697" s="3" t="n">
        <f aca="false">IF(Tabla2[[#This Row],[Frecuencia]]="Annual", Tabla2[[#This Row],[Cosecha/Tarea]]/12,Tabla2[[#This Row],[Cosecha/Tarea]])</f>
        <v>10354</v>
      </c>
      <c r="F2697" s="3" t="n">
        <v>64590</v>
      </c>
      <c r="G2697" s="2" t="s">
        <v>18</v>
      </c>
      <c r="H2697" s="2" t="n">
        <f aca="false">F2697/Tabla2[[#This Row],[Cosecha Mensual]]</f>
        <v>6.23816882364304</v>
      </c>
      <c r="I2697" s="2" t="n">
        <f aca="false">H2697*_xlfn.XLOOKUP(Tabla2[[#This Row],[Unidad de producción]],Tabla3[Medida],Tabla3[Equivalencia en Kg],"ELVIS",0)</f>
        <v>282.963337840448</v>
      </c>
      <c r="J2697" s="2" t="n">
        <v>966.5625</v>
      </c>
      <c r="K2697" s="2" t="s">
        <v>18</v>
      </c>
      <c r="L2697" s="2" t="n">
        <f aca="false">J2697/_xlfn.XLOOKUP(Tabla2[[#This Row],[Unidad de precio]],Tabla3[Medida],Tabla3[Equivalencia en Kg],"ELVIS",0)</f>
        <v>21.3086970899471</v>
      </c>
      <c r="M2697" s="2" t="n">
        <v>1733.52094425</v>
      </c>
      <c r="N2697" s="3" t="n">
        <f aca="false">(Tabla2[[#This Row],[Productividad (kg/TAS)]]*Tabla2[[#This Row],[Precio por kg]]-Tabla2[[#This Row],[Costos (En RD$/Tarea)]])</f>
        <v>4296.05910935247</v>
      </c>
      <c r="O2697" s="9" t="n">
        <f aca="false">IF(Tabla2[[#This Row],[Costos (En RD$/Tarea)]]=0,0,Tabla2[[#This Row],[Beneficio Neto  (En RD$/Tarea)]]/Tabla2[[#This Row],[Costos (En RD$/Tarea)]])</f>
        <v>2.47822740394472</v>
      </c>
      <c r="P2697" s="7" t="n">
        <f aca="false">Tabla2[[#This Row],[Rentabilidad (%)]]/12</f>
        <v>0.206518950328726</v>
      </c>
    </row>
    <row r="2698" customFormat="false" ht="14.25" hidden="false" customHeight="false" outlineLevel="0" collapsed="false">
      <c r="A2698" s="1" t="n">
        <v>43344</v>
      </c>
      <c r="B2698" s="2" t="s">
        <v>27</v>
      </c>
      <c r="C2698" s="3" t="n">
        <v>4659</v>
      </c>
      <c r="D2698" s="8" t="s">
        <v>17</v>
      </c>
      <c r="E2698" s="3" t="n">
        <f aca="false">IF(Tabla2[[#This Row],[Frecuencia]]="Annual", Tabla2[[#This Row],[Cosecha/Tarea]]/12,Tabla2[[#This Row],[Cosecha/Tarea]])</f>
        <v>4659</v>
      </c>
      <c r="F2698" s="3" t="n">
        <v>43211</v>
      </c>
      <c r="G2698" s="2" t="s">
        <v>18</v>
      </c>
      <c r="H2698" s="2" t="n">
        <f aca="false">F2698/Tabla2[[#This Row],[Cosecha Mensual]]</f>
        <v>9.27473706804035</v>
      </c>
      <c r="I2698" s="2" t="n">
        <f aca="false">H2698*_xlfn.XLOOKUP(Tabla2[[#This Row],[Unidad de producción]],Tabla3[Medida],Tabla3[Equivalencia en Kg],"ELVIS",0)</f>
        <v>420.70207340631</v>
      </c>
      <c r="J2698" s="2" t="n">
        <v>772.23125</v>
      </c>
      <c r="K2698" s="2" t="s">
        <v>18</v>
      </c>
      <c r="L2698" s="2" t="n">
        <f aca="false">J2698/_xlfn.XLOOKUP(Tabla2[[#This Row],[Unidad de precio]],Tabla3[Medida],Tabla3[Equivalencia en Kg],"ELVIS",0)</f>
        <v>17.0244984567901</v>
      </c>
      <c r="M2698" s="2" t="n">
        <v>9289.57547778</v>
      </c>
      <c r="N2698" s="3" t="n">
        <f aca="false">(Tabla2[[#This Row],[Productividad (kg/TAS)]]*Tabla2[[#This Row],[Precio por kg]]-Tabla2[[#This Row],[Costos (En RD$/Tarea)]])</f>
        <v>-2127.33367830586</v>
      </c>
      <c r="O2698" s="9" t="n">
        <f aca="false">IF(Tabla2[[#This Row],[Costos (En RD$/Tarea)]]=0,0,Tabla2[[#This Row],[Beneficio Neto  (En RD$/Tarea)]]/Tabla2[[#This Row],[Costos (En RD$/Tarea)]])</f>
        <v>-0.229002249176434</v>
      </c>
      <c r="P2698" s="7" t="n">
        <f aca="false">Tabla2[[#This Row],[Rentabilidad (%)]]/12</f>
        <v>-0.0190835207647028</v>
      </c>
    </row>
    <row r="2699" customFormat="false" ht="14.25" hidden="false" customHeight="false" outlineLevel="0" collapsed="false">
      <c r="A2699" s="1" t="n">
        <v>43344</v>
      </c>
      <c r="B2699" s="2" t="s">
        <v>28</v>
      </c>
      <c r="C2699" s="3" t="n">
        <v>73214</v>
      </c>
      <c r="D2699" s="8" t="s">
        <v>17</v>
      </c>
      <c r="E2699" s="3" t="n">
        <f aca="false">IF(Tabla2[[#This Row],[Frecuencia]]="Annual", Tabla2[[#This Row],[Cosecha/Tarea]]/12,Tabla2[[#This Row],[Cosecha/Tarea]])</f>
        <v>73214</v>
      </c>
      <c r="F2699" s="3" t="n">
        <v>1651068</v>
      </c>
      <c r="G2699" s="2" t="s">
        <v>18</v>
      </c>
      <c r="H2699" s="2" t="n">
        <f aca="false">F2699/Tabla2[[#This Row],[Cosecha Mensual]]</f>
        <v>22.5512606878466</v>
      </c>
      <c r="I2699" s="2" t="n">
        <f aca="false">H2699*_xlfn.XLOOKUP(Tabla2[[#This Row],[Unidad de producción]],Tabla3[Medida],Tabla3[Equivalencia en Kg],"ELVIS",0)</f>
        <v>1022.92518480072</v>
      </c>
      <c r="J2699" s="2" t="n">
        <v>5543.25595238095</v>
      </c>
      <c r="K2699" s="2" t="s">
        <v>29</v>
      </c>
      <c r="L2699" s="2" t="n">
        <f aca="false">J2699/_xlfn.XLOOKUP(Tabla2[[#This Row],[Unidad de precio]],Tabla3[Medida],Tabla3[Equivalencia en Kg],"ELVIS",0)</f>
        <v>9.85748115442784</v>
      </c>
      <c r="M2699" s="2" t="n">
        <v>7167.67993212066</v>
      </c>
      <c r="N2699" s="3" t="n">
        <f aca="false">(Tabla2[[#This Row],[Productividad (kg/TAS)]]*Tabla2[[#This Row],[Precio por kg]]-Tabla2[[#This Row],[Costos (En RD$/Tarea)]])</f>
        <v>2915.78579944206</v>
      </c>
      <c r="O2699" s="9" t="n">
        <f aca="false">IF(Tabla2[[#This Row],[Costos (En RD$/Tarea)]]=0,0,Tabla2[[#This Row],[Beneficio Neto  (En RD$/Tarea)]]/Tabla2[[#This Row],[Costos (En RD$/Tarea)]])</f>
        <v>0.406796317226093</v>
      </c>
      <c r="P2699" s="7" t="n">
        <f aca="false">Tabla2[[#This Row],[Rentabilidad (%)]]/12</f>
        <v>0.0338996931021744</v>
      </c>
    </row>
    <row r="2700" customFormat="false" ht="14.25" hidden="false" customHeight="false" outlineLevel="0" collapsed="false">
      <c r="A2700" s="1" t="n">
        <v>43344</v>
      </c>
      <c r="B2700" s="2" t="s">
        <v>30</v>
      </c>
      <c r="C2700" s="3" t="n">
        <v>425178</v>
      </c>
      <c r="D2700" s="3" t="s">
        <v>31</v>
      </c>
      <c r="E2700" s="3" t="n">
        <f aca="false">IF(Tabla2[[#This Row],[Frecuencia]]="Annual", Tabla2[[#This Row],[Cosecha/Tarea]]/12,Tabla2[[#This Row],[Cosecha/Tarea]])</f>
        <v>35431.5</v>
      </c>
      <c r="F2700" s="3" t="n">
        <v>2112984.6</v>
      </c>
      <c r="G2700" s="2" t="s">
        <v>18</v>
      </c>
      <c r="H2700" s="2" t="n">
        <f aca="false">F2700/Tabla2[[#This Row],[Cosecha Mensual]]</f>
        <v>59.6357647855722</v>
      </c>
      <c r="I2700" s="2" t="n">
        <f aca="false">H2700*_xlfn.XLOOKUP(Tabla2[[#This Row],[Unidad de producción]],Tabla3[Medida],Tabla3[Equivalencia en Kg],"ELVIS",0)</f>
        <v>2705.07829067355</v>
      </c>
      <c r="J2700" s="2" t="n">
        <v>137.854166666667</v>
      </c>
      <c r="K2700" s="2" t="s">
        <v>32</v>
      </c>
      <c r="L2700" s="2" t="n">
        <f aca="false">J2700/_xlfn.XLOOKUP(Tabla2[[#This Row],[Unidad de precio]],Tabla3[Medida],Tabla3[Equivalencia en Kg],"ELVIS",0)</f>
        <v>5.06630527992161</v>
      </c>
      <c r="M2700" s="3" t="n">
        <v>34069.662396</v>
      </c>
      <c r="N2700" s="3" t="n">
        <f aca="false">(Tabla2[[#This Row],[Productividad (kg/TAS)]]*Tabla2[[#This Row],[Precio por kg]]-Tabla2[[#This Row],[Costos (En RD$/Tarea)]])</f>
        <v>-20364.9099693593</v>
      </c>
      <c r="O2700" s="9" t="n">
        <f aca="false">IF(Tabla2[[#This Row],[Costos (En RD$/Tarea)]]=0,0,Tabla2[[#This Row],[Beneficio Neto  (En RD$/Tarea)]]/Tabla2[[#This Row],[Costos (En RD$/Tarea)]])</f>
        <v>-0.597743227762369</v>
      </c>
      <c r="P2700" s="7" t="n">
        <f aca="false">Tabla2[[#This Row],[Rentabilidad (%)]]/12</f>
        <v>-0.0498119356468641</v>
      </c>
    </row>
    <row r="2701" customFormat="false" ht="14.25" hidden="false" customHeight="false" outlineLevel="0" collapsed="false">
      <c r="A2701" s="1" t="n">
        <v>43344</v>
      </c>
      <c r="B2701" s="2" t="s">
        <v>33</v>
      </c>
      <c r="C2701" s="3" t="n">
        <v>749854</v>
      </c>
      <c r="D2701" s="3" t="s">
        <v>31</v>
      </c>
      <c r="E2701" s="3" t="n">
        <f aca="false">IF(Tabla2[[#This Row],[Frecuencia]]="Annual", Tabla2[[#This Row],[Cosecha/Tarea]]/12,Tabla2[[#This Row],[Cosecha/Tarea]])</f>
        <v>62487.8333333333</v>
      </c>
      <c r="F2701" s="3" t="n">
        <v>1841301</v>
      </c>
      <c r="G2701" s="2" t="s">
        <v>18</v>
      </c>
      <c r="H2701" s="2" t="n">
        <f aca="false">F2701/Tabla2[[#This Row],[Cosecha Mensual]]</f>
        <v>29.4665521554863</v>
      </c>
      <c r="I2701" s="2" t="n">
        <f aca="false">H2701*_xlfn.XLOOKUP(Tabla2[[#This Row],[Unidad de producción]],Tabla3[Medida],Tabla3[Equivalencia en Kg],"ELVIS",0)</f>
        <v>1336.60280577286</v>
      </c>
      <c r="J2701" s="2" t="n">
        <v>5565.49739583333</v>
      </c>
      <c r="K2701" s="2" t="s">
        <v>34</v>
      </c>
      <c r="L2701" s="2" t="n">
        <f aca="false">J2701/_xlfn.XLOOKUP(Tabla2[[#This Row],[Unidad de precio]],Tabla3[Medida],Tabla3[Equivalencia en Kg],"ELVIS",0)</f>
        <v>13.6359117869247</v>
      </c>
      <c r="M2701" s="3" t="n">
        <v>22932.1463359308</v>
      </c>
      <c r="N2701" s="3" t="n">
        <f aca="false">(Tabla2[[#This Row],[Productividad (kg/TAS)]]*Tabla2[[#This Row],[Precio por kg]]-Tabla2[[#This Row],[Costos (En RD$/Tarea)]])</f>
        <v>-4706.34838225603</v>
      </c>
      <c r="O2701" s="9" t="n">
        <f aca="false">IF(Tabla2[[#This Row],[Costos (En RD$/Tarea)]]=0,0,Tabla2[[#This Row],[Beneficio Neto  (En RD$/Tarea)]]/Tabla2[[#This Row],[Costos (En RD$/Tarea)]])</f>
        <v>-0.205229301841755</v>
      </c>
      <c r="P2701" s="7" t="n">
        <f aca="false">Tabla2[[#This Row],[Rentabilidad (%)]]/12</f>
        <v>-0.0171024418201462</v>
      </c>
    </row>
    <row r="2702" customFormat="false" ht="14.25" hidden="false" customHeight="false" outlineLevel="0" collapsed="false">
      <c r="A2702" s="1" t="n">
        <v>43374</v>
      </c>
      <c r="B2702" s="2" t="s">
        <v>16</v>
      </c>
      <c r="C2702" s="3" t="n">
        <v>471240</v>
      </c>
      <c r="D2702" s="8" t="s">
        <v>17</v>
      </c>
      <c r="E2702" s="3" t="n">
        <f aca="false">IF(Tabla2[[#This Row],[Frecuencia]]="Annual", Tabla2[[#This Row],[Cosecha/Tarea]]/12,Tabla2[[#This Row],[Cosecha/Tarea]])</f>
        <v>471240</v>
      </c>
      <c r="F2702" s="3" t="n">
        <v>1910210</v>
      </c>
      <c r="G2702" s="2" t="s">
        <v>18</v>
      </c>
      <c r="H2702" s="2" t="n">
        <f aca="false">F2702/Tabla2[[#This Row],[Cosecha Mensual]]</f>
        <v>4.05358203887616</v>
      </c>
      <c r="I2702" s="2" t="n">
        <f aca="false">H2702*_xlfn.XLOOKUP(Tabla2[[#This Row],[Unidad de producción]],Tabla3[Medida],Tabla3[Equivalencia en Kg],"ELVIS",0)</f>
        <v>183.870481283422</v>
      </c>
      <c r="J2702" s="2" t="n">
        <v>2116.06732599927</v>
      </c>
      <c r="K2702" s="2" t="s">
        <v>19</v>
      </c>
      <c r="L2702" s="2" t="n">
        <f aca="false">J2702/_xlfn.XLOOKUP(Tabla2[[#This Row],[Unidad de precio]],Tabla3[Medida],Tabla3[Equivalencia en Kg],"ELVIS",0)</f>
        <v>19.2369756909025</v>
      </c>
      <c r="M2702" s="2" t="n">
        <v>6204.17820654867</v>
      </c>
      <c r="N2702" s="3" t="n">
        <f aca="false">(Tabla2[[#This Row],[Productividad (kg/TAS)]]*Tabla2[[#This Row],[Precio por kg]]-Tabla2[[#This Row],[Costos (En RD$/Tarea)]])</f>
        <v>-2667.06622782494</v>
      </c>
      <c r="O2702" s="9" t="n">
        <f aca="false">IF(Tabla2[[#This Row],[Costos (En RD$/Tarea)]]=0,0,Tabla2[[#This Row],[Beneficio Neto  (En RD$/Tarea)]]/Tabla2[[#This Row],[Costos (En RD$/Tarea)]])</f>
        <v>-0.429882272725464</v>
      </c>
      <c r="P2702" s="7" t="n">
        <f aca="false">Tabla2[[#This Row],[Rentabilidad (%)]]/12</f>
        <v>-0.035823522727122</v>
      </c>
    </row>
    <row r="2703" customFormat="false" ht="14.25" hidden="false" customHeight="false" outlineLevel="0" collapsed="false">
      <c r="A2703" s="1" t="n">
        <v>43374</v>
      </c>
      <c r="B2703" s="2" t="s">
        <v>20</v>
      </c>
      <c r="C2703" s="3" t="n">
        <v>32154</v>
      </c>
      <c r="D2703" s="8" t="s">
        <v>17</v>
      </c>
      <c r="E2703" s="3" t="n">
        <f aca="false">IF(Tabla2[[#This Row],[Frecuencia]]="Annual", Tabla2[[#This Row],[Cosecha/Tarea]]/12,Tabla2[[#This Row],[Cosecha/Tarea]])</f>
        <v>32154</v>
      </c>
      <c r="F2703" s="3" t="n">
        <v>83548</v>
      </c>
      <c r="G2703" s="2" t="s">
        <v>18</v>
      </c>
      <c r="H2703" s="2" t="n">
        <f aca="false">F2703/Tabla2[[#This Row],[Cosecha Mensual]]</f>
        <v>2.59837034272563</v>
      </c>
      <c r="I2703" s="2" t="n">
        <f aca="false">H2703*_xlfn.XLOOKUP(Tabla2[[#This Row],[Unidad de producción]],Tabla3[Medida],Tabla3[Equivalencia en Kg],"ELVIS",0)</f>
        <v>117.862078746035</v>
      </c>
      <c r="J2703" s="2" t="n">
        <v>924.71875</v>
      </c>
      <c r="K2703" s="2" t="s">
        <v>18</v>
      </c>
      <c r="L2703" s="2" t="n">
        <f aca="false">J2703/_xlfn.XLOOKUP(Tabla2[[#This Row],[Unidad de precio]],Tabla3[Medida],Tabla3[Equivalencia en Kg],"ELVIS",0)</f>
        <v>20.3862158289242</v>
      </c>
      <c r="M2703" s="2" t="n">
        <v>2494.8799608792</v>
      </c>
      <c r="N2703" s="3" t="n">
        <f aca="false">(Tabla2[[#This Row],[Productividad (kg/TAS)]]*Tabla2[[#This Row],[Precio por kg]]-Tabla2[[#This Row],[Costos (En RD$/Tarea)]])</f>
        <v>-92.1181855168816</v>
      </c>
      <c r="O2703" s="9" t="n">
        <f aca="false">IF(Tabla2[[#This Row],[Costos (En RD$/Tarea)]]=0,0,Tabla2[[#This Row],[Beneficio Neto  (En RD$/Tarea)]]/Tabla2[[#This Row],[Costos (En RD$/Tarea)]])</f>
        <v>-0.0369228928691298</v>
      </c>
      <c r="P2703" s="7" t="n">
        <f aca="false">Tabla2[[#This Row],[Rentabilidad (%)]]/12</f>
        <v>-0.00307690773909415</v>
      </c>
    </row>
    <row r="2704" customFormat="false" ht="14.25" hidden="false" customHeight="false" outlineLevel="0" collapsed="false">
      <c r="A2704" s="1" t="n">
        <v>43374</v>
      </c>
      <c r="B2704" s="2" t="s">
        <v>21</v>
      </c>
      <c r="C2704" s="3" t="n">
        <v>6301</v>
      </c>
      <c r="D2704" s="8" t="s">
        <v>17</v>
      </c>
      <c r="E2704" s="3" t="n">
        <f aca="false">IF(Tabla2[[#This Row],[Frecuencia]]="Annual", Tabla2[[#This Row],[Cosecha/Tarea]]/12,Tabla2[[#This Row],[Cosecha/Tarea]])</f>
        <v>6301</v>
      </c>
      <c r="F2704" s="3" t="n">
        <v>81021</v>
      </c>
      <c r="G2704" s="2" t="s">
        <v>18</v>
      </c>
      <c r="H2704" s="2" t="n">
        <f aca="false">F2704/Tabla2[[#This Row],[Cosecha Mensual]]</f>
        <v>12.8584351690208</v>
      </c>
      <c r="I2704" s="2" t="n">
        <f aca="false">H2704*_xlfn.XLOOKUP(Tabla2[[#This Row],[Unidad de producción]],Tabla3[Medida],Tabla3[Equivalencia en Kg],"ELVIS",0)</f>
        <v>583.258619266783</v>
      </c>
      <c r="J2704" s="2" t="n">
        <v>763.931547619048</v>
      </c>
      <c r="K2704" s="2" t="s">
        <v>18</v>
      </c>
      <c r="L2704" s="2" t="n">
        <f aca="false">J2704/_xlfn.XLOOKUP(Tabla2[[#This Row],[Unidad de precio]],Tabla3[Medida],Tabla3[Equivalencia en Kg],"ELVIS",0)</f>
        <v>16.8415244184094</v>
      </c>
      <c r="M2704" s="2" t="n">
        <v>5415.921577332</v>
      </c>
      <c r="N2704" s="3" t="n">
        <f aca="false">(Tabla2[[#This Row],[Productividad (kg/TAS)]]*Tabla2[[#This Row],[Precio por kg]]-Tabla2[[#This Row],[Costos (En RD$/Tarea)]])</f>
        <v>4407.04270129725</v>
      </c>
      <c r="O2704" s="9" t="n">
        <f aca="false">IF(Tabla2[[#This Row],[Costos (En RD$/Tarea)]]=0,0,Tabla2[[#This Row],[Beneficio Neto  (En RD$/Tarea)]]/Tabla2[[#This Row],[Costos (En RD$/Tarea)]])</f>
        <v>0.813719814508144</v>
      </c>
      <c r="P2704" s="7" t="n">
        <f aca="false">Tabla2[[#This Row],[Rentabilidad (%)]]/12</f>
        <v>0.0678099845423453</v>
      </c>
    </row>
    <row r="2705" customFormat="false" ht="14.25" hidden="false" customHeight="false" outlineLevel="0" collapsed="false">
      <c r="A2705" s="1" t="n">
        <v>43374</v>
      </c>
      <c r="B2705" s="2" t="s">
        <v>22</v>
      </c>
      <c r="C2705" s="3" t="n">
        <v>3415</v>
      </c>
      <c r="D2705" s="8" t="s">
        <v>17</v>
      </c>
      <c r="E2705" s="3" t="n">
        <f aca="false">IF(Tabla2[[#This Row],[Frecuencia]]="Annual", Tabla2[[#This Row],[Cosecha/Tarea]]/12,Tabla2[[#This Row],[Cosecha/Tarea]])</f>
        <v>3415</v>
      </c>
      <c r="F2705" s="3" t="n">
        <v>35987</v>
      </c>
      <c r="G2705" s="2" t="s">
        <v>18</v>
      </c>
      <c r="H2705" s="2" t="n">
        <f aca="false">F2705/Tabla2[[#This Row],[Cosecha Mensual]]</f>
        <v>10.5379209370425</v>
      </c>
      <c r="I2705" s="2" t="n">
        <f aca="false">H2705*_xlfn.XLOOKUP(Tabla2[[#This Row],[Unidad de producción]],Tabla3[Medida],Tabla3[Equivalencia en Kg],"ELVIS",0)</f>
        <v>478.000093704246</v>
      </c>
      <c r="J2705" s="2" t="n">
        <v>1992.64460255023</v>
      </c>
      <c r="K2705" s="2" t="s">
        <v>18</v>
      </c>
      <c r="L2705" s="2" t="n">
        <f aca="false">J2705/_xlfn.XLOOKUP(Tabla2[[#This Row],[Unidad de precio]],Tabla3[Medida],Tabla3[Equivalencia en Kg],"ELVIS",0)</f>
        <v>43.9295547299433</v>
      </c>
      <c r="M2705" s="2" t="n">
        <v>10167.2711784</v>
      </c>
      <c r="N2705" s="3" t="n">
        <f aca="false">(Tabla2[[#This Row],[Productividad (kg/TAS)]]*Tabla2[[#This Row],[Precio por kg]]-Tabla2[[#This Row],[Costos (En RD$/Tarea)]])</f>
        <v>10831.0600988987</v>
      </c>
      <c r="O2705" s="9" t="n">
        <f aca="false">IF(Tabla2[[#This Row],[Costos (En RD$/Tarea)]]=0,0,Tabla2[[#This Row],[Beneficio Neto  (En RD$/Tarea)]]/Tabla2[[#This Row],[Costos (En RD$/Tarea)]])</f>
        <v>1.06528683152554</v>
      </c>
      <c r="P2705" s="7" t="n">
        <f aca="false">Tabla2[[#This Row],[Rentabilidad (%)]]/12</f>
        <v>0.0887739026271287</v>
      </c>
    </row>
    <row r="2706" customFormat="false" ht="14.25" hidden="false" customHeight="false" outlineLevel="0" collapsed="false">
      <c r="A2706" s="1" t="n">
        <v>43374</v>
      </c>
      <c r="B2706" s="2" t="s">
        <v>23</v>
      </c>
      <c r="C2706" s="3" t="n">
        <v>3758</v>
      </c>
      <c r="D2706" s="8" t="s">
        <v>17</v>
      </c>
      <c r="E2706" s="3" t="n">
        <f aca="false">IF(Tabla2[[#This Row],[Frecuencia]]="Annual", Tabla2[[#This Row],[Cosecha/Tarea]]/12,Tabla2[[#This Row],[Cosecha/Tarea]])</f>
        <v>3758</v>
      </c>
      <c r="F2706" s="3" t="n">
        <v>149899</v>
      </c>
      <c r="G2706" s="2" t="s">
        <v>18</v>
      </c>
      <c r="H2706" s="2" t="n">
        <f aca="false">F2706/Tabla2[[#This Row],[Cosecha Mensual]]</f>
        <v>39.8879723257052</v>
      </c>
      <c r="I2706" s="2" t="n">
        <f aca="false">H2706*_xlfn.XLOOKUP(Tabla2[[#This Row],[Unidad de producción]],Tabla3[Medida],Tabla3[Equivalencia en Kg],"ELVIS",0)</f>
        <v>1809.31842469399</v>
      </c>
      <c r="J2706" s="2" t="n">
        <v>918.282358844858</v>
      </c>
      <c r="K2706" s="2" t="s">
        <v>18</v>
      </c>
      <c r="L2706" s="2" t="n">
        <f aca="false">J2706/_xlfn.XLOOKUP(Tabla2[[#This Row],[Unidad de precio]],Tabla3[Medida],Tabla3[Equivalencia en Kg],"ELVIS",0)</f>
        <v>20.244320080354</v>
      </c>
      <c r="M2706" s="2" t="n">
        <v>23803.1923056373</v>
      </c>
      <c r="N2706" s="3" t="n">
        <f aca="false">(Tabla2[[#This Row],[Productividad (kg/TAS)]]*Tabla2[[#This Row],[Precio por kg]]-Tabla2[[#This Row],[Costos (En RD$/Tarea)]])</f>
        <v>12825.2290111497</v>
      </c>
      <c r="O2706" s="9" t="n">
        <f aca="false">IF(Tabla2[[#This Row],[Costos (En RD$/Tarea)]]=0,0,Tabla2[[#This Row],[Beneficio Neto  (En RD$/Tarea)]]/Tabla2[[#This Row],[Costos (En RD$/Tarea)]])</f>
        <v>0.538802898639451</v>
      </c>
      <c r="P2706" s="7" t="n">
        <f aca="false">Tabla2[[#This Row],[Rentabilidad (%)]]/12</f>
        <v>0.0449002415532876</v>
      </c>
    </row>
    <row r="2707" customFormat="false" ht="14.25" hidden="false" customHeight="false" outlineLevel="0" collapsed="false">
      <c r="A2707" s="1" t="n">
        <v>43374</v>
      </c>
      <c r="B2707" s="2" t="s">
        <v>24</v>
      </c>
      <c r="C2707" s="3" t="n">
        <v>5314</v>
      </c>
      <c r="D2707" s="8" t="s">
        <v>17</v>
      </c>
      <c r="E2707" s="3" t="n">
        <f aca="false">IF(Tabla2[[#This Row],[Frecuencia]]="Annual", Tabla2[[#This Row],[Cosecha/Tarea]]/12,Tabla2[[#This Row],[Cosecha/Tarea]])</f>
        <v>5314</v>
      </c>
      <c r="F2707" s="3" t="n">
        <v>53215</v>
      </c>
      <c r="G2707" s="2" t="s">
        <v>18</v>
      </c>
      <c r="H2707" s="2" t="n">
        <f aca="false">F2707/Tabla2[[#This Row],[Cosecha Mensual]]</f>
        <v>10.0141136620248</v>
      </c>
      <c r="I2707" s="2" t="n">
        <f aca="false">H2707*_xlfn.XLOOKUP(Tabla2[[#This Row],[Unidad de producción]],Tabla3[Medida],Tabla3[Equivalencia en Kg],"ELVIS",0)</f>
        <v>454.240195709447</v>
      </c>
      <c r="J2707" s="2" t="n">
        <v>2612.39583333333</v>
      </c>
      <c r="K2707" s="2" t="s">
        <v>18</v>
      </c>
      <c r="L2707" s="2" t="n">
        <f aca="false">J2707/_xlfn.XLOOKUP(Tabla2[[#This Row],[Unidad de precio]],Tabla3[Medida],Tabla3[Equivalencia en Kg],"ELVIS",0)</f>
        <v>57.5925007348618</v>
      </c>
      <c r="M2707" s="2" t="n">
        <v>9413.7321988512</v>
      </c>
      <c r="N2707" s="3" t="n">
        <f aca="false">(Tabla2[[#This Row],[Productividad (kg/TAS)]]*Tabla2[[#This Row],[Precio por kg]]-Tabla2[[#This Row],[Costos (En RD$/Tarea)]])</f>
        <v>16747.0966063489</v>
      </c>
      <c r="O2707" s="9" t="n">
        <f aca="false">IF(Tabla2[[#This Row],[Costos (En RD$/Tarea)]]=0,0,Tabla2[[#This Row],[Beneficio Neto  (En RD$/Tarea)]]/Tabla2[[#This Row],[Costos (En RD$/Tarea)]])</f>
        <v>1.77900711987458</v>
      </c>
      <c r="P2707" s="7" t="n">
        <f aca="false">Tabla2[[#This Row],[Rentabilidad (%)]]/12</f>
        <v>0.148250593322882</v>
      </c>
    </row>
    <row r="2708" customFormat="false" ht="14.25" hidden="false" customHeight="false" outlineLevel="0" collapsed="false">
      <c r="A2708" s="1" t="n">
        <v>43374</v>
      </c>
      <c r="B2708" s="2" t="s">
        <v>25</v>
      </c>
      <c r="C2708" s="3" t="n">
        <v>30562</v>
      </c>
      <c r="D2708" s="8" t="s">
        <v>17</v>
      </c>
      <c r="E2708" s="3" t="n">
        <f aca="false">IF(Tabla2[[#This Row],[Frecuencia]]="Annual", Tabla2[[#This Row],[Cosecha/Tarea]]/12,Tabla2[[#This Row],[Cosecha/Tarea]])</f>
        <v>30562</v>
      </c>
      <c r="F2708" s="3" t="n">
        <v>321012</v>
      </c>
      <c r="G2708" s="2" t="s">
        <v>18</v>
      </c>
      <c r="H2708" s="2" t="n">
        <f aca="false">F2708/Tabla2[[#This Row],[Cosecha Mensual]]</f>
        <v>10.5036319612591</v>
      </c>
      <c r="I2708" s="2" t="n">
        <f aca="false">H2708*_xlfn.XLOOKUP(Tabla2[[#This Row],[Unidad de producción]],Tabla3[Medida],Tabla3[Equivalencia en Kg],"ELVIS",0)</f>
        <v>476.444745762712</v>
      </c>
      <c r="J2708" s="2" t="n">
        <v>1114.94270833333</v>
      </c>
      <c r="K2708" s="2" t="s">
        <v>18</v>
      </c>
      <c r="L2708" s="2" t="n">
        <f aca="false">J2708/_xlfn.XLOOKUP(Tabla2[[#This Row],[Unidad de precio]],Tabla3[Medida],Tabla3[Equivalencia en Kg],"ELVIS",0)</f>
        <v>24.5798657039976</v>
      </c>
      <c r="M2708" s="2" t="n">
        <v>4549.76899317218</v>
      </c>
      <c r="N2708" s="3" t="n">
        <f aca="false">(Tabla2[[#This Row],[Productividad (kg/TAS)]]*Tabla2[[#This Row],[Precio por kg]]-Tabla2[[#This Row],[Costos (En RD$/Tarea)]])</f>
        <v>7161.17887305055</v>
      </c>
      <c r="O2708" s="9" t="n">
        <f aca="false">IF(Tabla2[[#This Row],[Costos (En RD$/Tarea)]]=0,0,Tabla2[[#This Row],[Beneficio Neto  (En RD$/Tarea)]]/Tabla2[[#This Row],[Costos (En RD$/Tarea)]])</f>
        <v>1.57396537797794</v>
      </c>
      <c r="P2708" s="7" t="n">
        <f aca="false">Tabla2[[#This Row],[Rentabilidad (%)]]/12</f>
        <v>0.131163781498161</v>
      </c>
    </row>
    <row r="2709" customFormat="false" ht="14.25" hidden="false" customHeight="false" outlineLevel="0" collapsed="false">
      <c r="A2709" s="1" t="n">
        <v>43374</v>
      </c>
      <c r="B2709" s="2" t="s">
        <v>26</v>
      </c>
      <c r="C2709" s="3" t="n">
        <v>9652</v>
      </c>
      <c r="D2709" s="8" t="s">
        <v>17</v>
      </c>
      <c r="E2709" s="3" t="n">
        <f aca="false">IF(Tabla2[[#This Row],[Frecuencia]]="Annual", Tabla2[[#This Row],[Cosecha/Tarea]]/12,Tabla2[[#This Row],[Cosecha/Tarea]])</f>
        <v>9652</v>
      </c>
      <c r="F2709" s="3" t="n">
        <v>61602</v>
      </c>
      <c r="G2709" s="2" t="s">
        <v>18</v>
      </c>
      <c r="H2709" s="2" t="n">
        <f aca="false">F2709/Tabla2[[#This Row],[Cosecha Mensual]]</f>
        <v>6.382304185661</v>
      </c>
      <c r="I2709" s="2" t="n">
        <f aca="false">H2709*_xlfn.XLOOKUP(Tabla2[[#This Row],[Unidad de producción]],Tabla3[Medida],Tabla3[Equivalencia en Kg],"ELVIS",0)</f>
        <v>289.501317861583</v>
      </c>
      <c r="J2709" s="2" t="n">
        <v>952.182291666667</v>
      </c>
      <c r="K2709" s="2" t="s">
        <v>18</v>
      </c>
      <c r="L2709" s="2" t="n">
        <f aca="false">J2709/_xlfn.XLOOKUP(Tabla2[[#This Row],[Unidad de precio]],Tabla3[Medida],Tabla3[Equivalencia en Kg],"ELVIS",0)</f>
        <v>20.9916730967078</v>
      </c>
      <c r="M2709" s="2" t="n">
        <v>1733.52094425</v>
      </c>
      <c r="N2709" s="3" t="n">
        <f aca="false">(Tabla2[[#This Row],[Productividad (kg/TAS)]]*Tabla2[[#This Row],[Precio por kg]]-Tabla2[[#This Row],[Costos (En RD$/Tarea)]])</f>
        <v>4343.59608136645</v>
      </c>
      <c r="O2709" s="9" t="n">
        <f aca="false">IF(Tabla2[[#This Row],[Costos (En RD$/Tarea)]]=0,0,Tabla2[[#This Row],[Beneficio Neto  (En RD$/Tarea)]]/Tabla2[[#This Row],[Costos (En RD$/Tarea)]])</f>
        <v>2.50564961200725</v>
      </c>
      <c r="P2709" s="7" t="n">
        <f aca="false">Tabla2[[#This Row],[Rentabilidad (%)]]/12</f>
        <v>0.208804134333938</v>
      </c>
    </row>
    <row r="2710" customFormat="false" ht="14.25" hidden="false" customHeight="false" outlineLevel="0" collapsed="false">
      <c r="A2710" s="1" t="n">
        <v>43374</v>
      </c>
      <c r="B2710" s="2" t="s">
        <v>27</v>
      </c>
      <c r="C2710" s="3" t="n">
        <v>3320</v>
      </c>
      <c r="D2710" s="8" t="s">
        <v>17</v>
      </c>
      <c r="E2710" s="3" t="n">
        <f aca="false">IF(Tabla2[[#This Row],[Frecuencia]]="Annual", Tabla2[[#This Row],[Cosecha/Tarea]]/12,Tabla2[[#This Row],[Cosecha/Tarea]])</f>
        <v>3320</v>
      </c>
      <c r="F2710" s="3" t="n">
        <v>35261</v>
      </c>
      <c r="G2710" s="2" t="s">
        <v>18</v>
      </c>
      <c r="H2710" s="2" t="n">
        <f aca="false">F2710/Tabla2[[#This Row],[Cosecha Mensual]]</f>
        <v>10.6207831325301</v>
      </c>
      <c r="I2710" s="2" t="n">
        <f aca="false">H2710*_xlfn.XLOOKUP(Tabla2[[#This Row],[Unidad de producción]],Tabla3[Medida],Tabla3[Equivalencia en Kg],"ELVIS",0)</f>
        <v>481.758722891566</v>
      </c>
      <c r="J2710" s="2" t="n">
        <v>755.43125</v>
      </c>
      <c r="K2710" s="2" t="s">
        <v>18</v>
      </c>
      <c r="L2710" s="2" t="n">
        <f aca="false">J2710/_xlfn.XLOOKUP(Tabla2[[#This Row],[Unidad de precio]],Tabla3[Medida],Tabla3[Equivalencia en Kg],"ELVIS",0)</f>
        <v>16.6541280864198</v>
      </c>
      <c r="M2710" s="2" t="n">
        <v>9289.57547778</v>
      </c>
      <c r="N2710" s="3" t="n">
        <f aca="false">(Tabla2[[#This Row],[Productividad (kg/TAS)]]*Tabla2[[#This Row],[Precio por kg]]-Tabla2[[#This Row],[Costos (En RD$/Tarea)]])</f>
        <v>-1266.30399999386</v>
      </c>
      <c r="O2710" s="9" t="n">
        <f aca="false">IF(Tabla2[[#This Row],[Costos (En RD$/Tarea)]]=0,0,Tabla2[[#This Row],[Beneficio Neto  (En RD$/Tarea)]]/Tabla2[[#This Row],[Costos (En RD$/Tarea)]])</f>
        <v>-0.136314517603389</v>
      </c>
      <c r="P2710" s="7" t="n">
        <f aca="false">Tabla2[[#This Row],[Rentabilidad (%)]]/12</f>
        <v>-0.0113595431336158</v>
      </c>
    </row>
    <row r="2711" customFormat="false" ht="14.25" hidden="false" customHeight="false" outlineLevel="0" collapsed="false">
      <c r="A2711" s="1" t="n">
        <v>43374</v>
      </c>
      <c r="B2711" s="2" t="s">
        <v>28</v>
      </c>
      <c r="C2711" s="3" t="n">
        <v>76989</v>
      </c>
      <c r="D2711" s="8" t="s">
        <v>17</v>
      </c>
      <c r="E2711" s="3" t="n">
        <f aca="false">IF(Tabla2[[#This Row],[Frecuencia]]="Annual", Tabla2[[#This Row],[Cosecha/Tarea]]/12,Tabla2[[#This Row],[Cosecha/Tarea]])</f>
        <v>76989</v>
      </c>
      <c r="F2711" s="3" t="n">
        <v>1801848</v>
      </c>
      <c r="G2711" s="2" t="s">
        <v>18</v>
      </c>
      <c r="H2711" s="2" t="n">
        <f aca="false">F2711/Tabla2[[#This Row],[Cosecha Mensual]]</f>
        <v>23.403966800452</v>
      </c>
      <c r="I2711" s="2" t="n">
        <f aca="false">H2711*_xlfn.XLOOKUP(Tabla2[[#This Row],[Unidad de producción]],Tabla3[Medida],Tabla3[Equivalencia en Kg],"ELVIS",0)</f>
        <v>1061.6039340685</v>
      </c>
      <c r="J2711" s="2" t="n">
        <v>5107.57291666667</v>
      </c>
      <c r="K2711" s="2" t="s">
        <v>29</v>
      </c>
      <c r="L2711" s="2" t="n">
        <f aca="false">J2711/_xlfn.XLOOKUP(Tabla2[[#This Row],[Unidad de precio]],Tabla3[Medida],Tabla3[Equivalencia en Kg],"ELVIS",0)</f>
        <v>9.08271315692761</v>
      </c>
      <c r="M2711" s="2" t="n">
        <v>7167.67993212066</v>
      </c>
      <c r="N2711" s="3" t="n">
        <f aca="false">(Tabla2[[#This Row],[Productividad (kg/TAS)]]*Tabla2[[#This Row],[Precio por kg]]-Tabla2[[#This Row],[Costos (En RD$/Tarea)]])</f>
        <v>2474.56408728944</v>
      </c>
      <c r="O2711" s="9" t="n">
        <f aca="false">IF(Tabla2[[#This Row],[Costos (En RD$/Tarea)]]=0,0,Tabla2[[#This Row],[Beneficio Neto  (En RD$/Tarea)]]/Tabla2[[#This Row],[Costos (En RD$/Tarea)]])</f>
        <v>0.345239200232718</v>
      </c>
      <c r="P2711" s="7" t="n">
        <f aca="false">Tabla2[[#This Row],[Rentabilidad (%)]]/12</f>
        <v>0.0287699333527265</v>
      </c>
    </row>
    <row r="2712" customFormat="false" ht="14.25" hidden="false" customHeight="false" outlineLevel="0" collapsed="false">
      <c r="A2712" s="1" t="n">
        <v>43374</v>
      </c>
      <c r="B2712" s="2" t="s">
        <v>30</v>
      </c>
      <c r="C2712" s="3" t="n">
        <v>452149</v>
      </c>
      <c r="D2712" s="3" t="s">
        <v>31</v>
      </c>
      <c r="E2712" s="3" t="n">
        <f aca="false">IF(Tabla2[[#This Row],[Frecuencia]]="Annual", Tabla2[[#This Row],[Cosecha/Tarea]]/12,Tabla2[[#This Row],[Cosecha/Tarea]])</f>
        <v>37679.0833333333</v>
      </c>
      <c r="F2712" s="3" t="n">
        <v>2322614.4</v>
      </c>
      <c r="G2712" s="2" t="s">
        <v>18</v>
      </c>
      <c r="H2712" s="2" t="n">
        <f aca="false">F2712/Tabla2[[#This Row],[Cosecha Mensual]]</f>
        <v>61.642009160697</v>
      </c>
      <c r="I2712" s="2" t="n">
        <f aca="false">H2712*_xlfn.XLOOKUP(Tabla2[[#This Row],[Unidad de producción]],Tabla3[Medida],Tabla3[Equivalencia en Kg],"ELVIS",0)</f>
        <v>2796.08153552922</v>
      </c>
      <c r="J2712" s="2" t="n">
        <v>136.208333333333</v>
      </c>
      <c r="K2712" s="2" t="s">
        <v>32</v>
      </c>
      <c r="L2712" s="2" t="n">
        <f aca="false">J2712/_xlfn.XLOOKUP(Tabla2[[#This Row],[Unidad de precio]],Tabla3[Medida],Tabla3[Equivalencia en Kg],"ELVIS",0)</f>
        <v>5.00581893911551</v>
      </c>
      <c r="M2712" s="3" t="n">
        <v>34069.662396</v>
      </c>
      <c r="N2712" s="3" t="n">
        <f aca="false">(Tabla2[[#This Row],[Productividad (kg/TAS)]]*Tabla2[[#This Row],[Precio por kg]]-Tabla2[[#This Row],[Costos (En RD$/Tarea)]])</f>
        <v>-20072.9844901367</v>
      </c>
      <c r="O2712" s="9" t="n">
        <f aca="false">IF(Tabla2[[#This Row],[Costos (En RD$/Tarea)]]=0,0,Tabla2[[#This Row],[Beneficio Neto  (En RD$/Tarea)]]/Tabla2[[#This Row],[Costos (En RD$/Tarea)]])</f>
        <v>-0.589174740178622</v>
      </c>
      <c r="P2712" s="7" t="n">
        <f aca="false">Tabla2[[#This Row],[Rentabilidad (%)]]/12</f>
        <v>-0.0490978950148852</v>
      </c>
    </row>
    <row r="2713" customFormat="false" ht="14.25" hidden="false" customHeight="false" outlineLevel="0" collapsed="false">
      <c r="A2713" s="1" t="n">
        <v>43374</v>
      </c>
      <c r="B2713" s="2" t="s">
        <v>33</v>
      </c>
      <c r="C2713" s="3" t="n">
        <v>785484</v>
      </c>
      <c r="D2713" s="3" t="s">
        <v>31</v>
      </c>
      <c r="E2713" s="3" t="n">
        <f aca="false">IF(Tabla2[[#This Row],[Frecuencia]]="Annual", Tabla2[[#This Row],[Cosecha/Tarea]]/12,Tabla2[[#This Row],[Cosecha/Tarea]])</f>
        <v>65457</v>
      </c>
      <c r="F2713" s="3" t="n">
        <v>1441926</v>
      </c>
      <c r="G2713" s="2" t="s">
        <v>18</v>
      </c>
      <c r="H2713" s="2" t="n">
        <f aca="false">F2713/Tabla2[[#This Row],[Cosecha Mensual]]</f>
        <v>22.0285989275402</v>
      </c>
      <c r="I2713" s="2" t="n">
        <f aca="false">H2713*_xlfn.XLOOKUP(Tabla2[[#This Row],[Unidad de producción]],Tabla3[Medida],Tabla3[Equivalencia en Kg],"ELVIS",0)</f>
        <v>999.217247353224</v>
      </c>
      <c r="J2713" s="2" t="n">
        <v>6445.12760416667</v>
      </c>
      <c r="K2713" s="2" t="s">
        <v>34</v>
      </c>
      <c r="L2713" s="2" t="n">
        <f aca="false">J2713/_xlfn.XLOOKUP(Tabla2[[#This Row],[Unidad de precio]],Tabla3[Medida],Tabla3[Equivalencia en Kg],"ELVIS",0)</f>
        <v>15.7910758401731</v>
      </c>
      <c r="M2713" s="3" t="n">
        <v>22932.1463359308</v>
      </c>
      <c r="N2713" s="3" t="n">
        <f aca="false">(Tabla2[[#This Row],[Productividad (kg/TAS)]]*Tabla2[[#This Row],[Precio por kg]]-Tabla2[[#This Row],[Costos (En RD$/Tarea)]])</f>
        <v>-7153.43100216699</v>
      </c>
      <c r="O2713" s="9" t="n">
        <f aca="false">IF(Tabla2[[#This Row],[Costos (En RD$/Tarea)]]=0,0,Tabla2[[#This Row],[Beneficio Neto  (En RD$/Tarea)]]/Tabla2[[#This Row],[Costos (En RD$/Tarea)]])</f>
        <v>-0.311939008995367</v>
      </c>
      <c r="P2713" s="7" t="n">
        <f aca="false">Tabla2[[#This Row],[Rentabilidad (%)]]/12</f>
        <v>-0.0259949174162806</v>
      </c>
    </row>
    <row r="2714" customFormat="false" ht="14.25" hidden="false" customHeight="false" outlineLevel="0" collapsed="false">
      <c r="A2714" s="1" t="n">
        <v>43405</v>
      </c>
      <c r="B2714" s="2" t="s">
        <v>16</v>
      </c>
      <c r="C2714" s="3" t="n">
        <v>467584</v>
      </c>
      <c r="D2714" s="8" t="s">
        <v>17</v>
      </c>
      <c r="E2714" s="3" t="n">
        <f aca="false">IF(Tabla2[[#This Row],[Frecuencia]]="Annual", Tabla2[[#This Row],[Cosecha/Tarea]]/12,Tabla2[[#This Row],[Cosecha/Tarea]])</f>
        <v>467584</v>
      </c>
      <c r="F2714" s="3" t="n">
        <v>1798595</v>
      </c>
      <c r="G2714" s="2" t="s">
        <v>18</v>
      </c>
      <c r="H2714" s="2" t="n">
        <f aca="false">F2714/Tabla2[[#This Row],[Cosecha Mensual]]</f>
        <v>3.84657088352039</v>
      </c>
      <c r="I2714" s="2" t="n">
        <f aca="false">H2714*_xlfn.XLOOKUP(Tabla2[[#This Row],[Unidad de producción]],Tabla3[Medida],Tabla3[Equivalencia en Kg],"ELVIS",0)</f>
        <v>174.480455276485</v>
      </c>
      <c r="J2714" s="2" t="n">
        <v>2081.00450495049</v>
      </c>
      <c r="K2714" s="2" t="s">
        <v>19</v>
      </c>
      <c r="L2714" s="2" t="n">
        <f aca="false">J2714/_xlfn.XLOOKUP(Tabla2[[#This Row],[Unidad de precio]],Tabla3[Medida],Tabla3[Equivalencia en Kg],"ELVIS",0)</f>
        <v>18.9182227722772</v>
      </c>
      <c r="M2714" s="2" t="n">
        <v>6204.17820654867</v>
      </c>
      <c r="N2714" s="3" t="n">
        <f aca="false">(Tabla2[[#This Row],[Productividad (kg/TAS)]]*Tabla2[[#This Row],[Precio por kg]]-Tabla2[[#This Row],[Costos (En RD$/Tarea)]])</f>
        <v>-2903.31808421978</v>
      </c>
      <c r="O2714" s="9" t="n">
        <f aca="false">IF(Tabla2[[#This Row],[Costos (En RD$/Tarea)]]=0,0,Tabla2[[#This Row],[Beneficio Neto  (En RD$/Tarea)]]/Tabla2[[#This Row],[Costos (En RD$/Tarea)]])</f>
        <v>-0.467961748931591</v>
      </c>
      <c r="P2714" s="7" t="n">
        <f aca="false">Tabla2[[#This Row],[Rentabilidad (%)]]/12</f>
        <v>-0.038996812410966</v>
      </c>
    </row>
    <row r="2715" customFormat="false" ht="14.25" hidden="false" customHeight="false" outlineLevel="0" collapsed="false">
      <c r="A2715" s="1" t="n">
        <v>43405</v>
      </c>
      <c r="B2715" s="2" t="s">
        <v>20</v>
      </c>
      <c r="C2715" s="3" t="n">
        <v>37542</v>
      </c>
      <c r="D2715" s="8" t="s">
        <v>17</v>
      </c>
      <c r="E2715" s="3" t="n">
        <f aca="false">IF(Tabla2[[#This Row],[Frecuencia]]="Annual", Tabla2[[#This Row],[Cosecha/Tarea]]/12,Tabla2[[#This Row],[Cosecha/Tarea]])</f>
        <v>37542</v>
      </c>
      <c r="F2715" s="3" t="n">
        <v>63015</v>
      </c>
      <c r="G2715" s="2" t="s">
        <v>18</v>
      </c>
      <c r="H2715" s="2" t="n">
        <f aca="false">F2715/Tabla2[[#This Row],[Cosecha Mensual]]</f>
        <v>1.67852005753556</v>
      </c>
      <c r="I2715" s="2" t="n">
        <f aca="false">H2715*_xlfn.XLOOKUP(Tabla2[[#This Row],[Unidad de producción]],Tabla3[Medida],Tabla3[Equivalencia en Kg],"ELVIS",0)</f>
        <v>76.137669809813</v>
      </c>
      <c r="J2715" s="2" t="n">
        <v>918.610243055556</v>
      </c>
      <c r="K2715" s="2" t="s">
        <v>18</v>
      </c>
      <c r="L2715" s="2" t="n">
        <f aca="false">J2715/_xlfn.XLOOKUP(Tabla2[[#This Row],[Unidad de precio]],Tabla3[Medida],Tabla3[Equivalencia en Kg],"ELVIS",0)</f>
        <v>20.2515485682442</v>
      </c>
      <c r="M2715" s="2" t="n">
        <v>2494.8799608792</v>
      </c>
      <c r="N2715" s="3" t="n">
        <f aca="false">(Tabla2[[#This Row],[Productividad (kg/TAS)]]*Tabla2[[#This Row],[Precio por kg]]-Tabla2[[#This Row],[Costos (En RD$/Tarea)]])</f>
        <v>-952.974242852833</v>
      </c>
      <c r="O2715" s="9" t="n">
        <f aca="false">IF(Tabla2[[#This Row],[Costos (En RD$/Tarea)]]=0,0,Tabla2[[#This Row],[Beneficio Neto  (En RD$/Tarea)]]/Tabla2[[#This Row],[Costos (En RD$/Tarea)]])</f>
        <v>-0.38197198173695</v>
      </c>
      <c r="P2715" s="7" t="n">
        <f aca="false">Tabla2[[#This Row],[Rentabilidad (%)]]/12</f>
        <v>-0.0318309984780792</v>
      </c>
    </row>
    <row r="2716" customFormat="false" ht="14.25" hidden="false" customHeight="false" outlineLevel="0" collapsed="false">
      <c r="A2716" s="1" t="n">
        <v>43405</v>
      </c>
      <c r="B2716" s="2" t="s">
        <v>21</v>
      </c>
      <c r="C2716" s="3" t="n">
        <v>13402</v>
      </c>
      <c r="D2716" s="8" t="s">
        <v>17</v>
      </c>
      <c r="E2716" s="3" t="n">
        <f aca="false">IF(Tabla2[[#This Row],[Frecuencia]]="Annual", Tabla2[[#This Row],[Cosecha/Tarea]]/12,Tabla2[[#This Row],[Cosecha/Tarea]])</f>
        <v>13402</v>
      </c>
      <c r="F2716" s="3" t="n">
        <v>100127</v>
      </c>
      <c r="G2716" s="2" t="s">
        <v>18</v>
      </c>
      <c r="H2716" s="2" t="n">
        <f aca="false">F2716/Tabla2[[#This Row],[Cosecha Mensual]]</f>
        <v>7.47104909714968</v>
      </c>
      <c r="I2716" s="2" t="n">
        <f aca="false">H2716*_xlfn.XLOOKUP(Tabla2[[#This Row],[Unidad de producción]],Tabla3[Medida],Tabla3[Equivalencia en Kg],"ELVIS",0)</f>
        <v>338.886787046709</v>
      </c>
      <c r="J2716" s="2" t="n">
        <v>755.059523809524</v>
      </c>
      <c r="K2716" s="2" t="s">
        <v>18</v>
      </c>
      <c r="L2716" s="2" t="n">
        <f aca="false">J2716/_xlfn.XLOOKUP(Tabla2[[#This Row],[Unidad de precio]],Tabla3[Medida],Tabla3[Equivalencia en Kg],"ELVIS",0)</f>
        <v>16.6459330645839</v>
      </c>
      <c r="M2716" s="2" t="n">
        <v>5415.921577332</v>
      </c>
      <c r="N2716" s="3" t="n">
        <f aca="false">(Tabla2[[#This Row],[Productividad (kg/TAS)]]*Tabla2[[#This Row],[Precio por kg]]-Tabla2[[#This Row],[Costos (En RD$/Tarea)]])</f>
        <v>225.165196319411</v>
      </c>
      <c r="O2716" s="9" t="n">
        <f aca="false">IF(Tabla2[[#This Row],[Costos (En RD$/Tarea)]]=0,0,Tabla2[[#This Row],[Beneficio Neto  (En RD$/Tarea)]]/Tabla2[[#This Row],[Costos (En RD$/Tarea)]])</f>
        <v>0.0415746781234473</v>
      </c>
      <c r="P2716" s="7" t="n">
        <f aca="false">Tabla2[[#This Row],[Rentabilidad (%)]]/12</f>
        <v>0.00346455651028727</v>
      </c>
    </row>
    <row r="2717" customFormat="false" ht="14.25" hidden="false" customHeight="false" outlineLevel="0" collapsed="false">
      <c r="A2717" s="1" t="n">
        <v>43405</v>
      </c>
      <c r="B2717" s="2" t="s">
        <v>22</v>
      </c>
      <c r="C2717" s="3" t="n">
        <v>5621</v>
      </c>
      <c r="D2717" s="8" t="s">
        <v>17</v>
      </c>
      <c r="E2717" s="3" t="n">
        <f aca="false">IF(Tabla2[[#This Row],[Frecuencia]]="Annual", Tabla2[[#This Row],[Cosecha/Tarea]]/12,Tabla2[[#This Row],[Cosecha/Tarea]])</f>
        <v>5621</v>
      </c>
      <c r="F2717" s="3" t="n">
        <v>49854</v>
      </c>
      <c r="G2717" s="2" t="s">
        <v>18</v>
      </c>
      <c r="H2717" s="2" t="n">
        <f aca="false">F2717/Tabla2[[#This Row],[Cosecha Mensual]]</f>
        <v>8.8692403486924</v>
      </c>
      <c r="I2717" s="2" t="n">
        <f aca="false">H2717*_xlfn.XLOOKUP(Tabla2[[#This Row],[Unidad de producción]],Tabla3[Medida],Tabla3[Equivalencia en Kg],"ELVIS",0)</f>
        <v>402.308742216687</v>
      </c>
      <c r="J2717" s="2" t="n">
        <v>2018.68507326007</v>
      </c>
      <c r="K2717" s="2" t="s">
        <v>18</v>
      </c>
      <c r="L2717" s="2" t="n">
        <f aca="false">J2717/_xlfn.XLOOKUP(Tabla2[[#This Row],[Unidad de precio]],Tabla3[Medida],Tabla3[Equivalencia en Kg],"ELVIS",0)</f>
        <v>44.5036391812185</v>
      </c>
      <c r="M2717" s="2" t="n">
        <v>10167.2711784</v>
      </c>
      <c r="N2717" s="3" t="n">
        <f aca="false">(Tabla2[[#This Row],[Productividad (kg/TAS)]]*Tabla2[[#This Row],[Precio por kg]]-Tabla2[[#This Row],[Costos (En RD$/Tarea)]])</f>
        <v>7736.9319246613</v>
      </c>
      <c r="O2717" s="9" t="n">
        <f aca="false">IF(Tabla2[[#This Row],[Costos (En RD$/Tarea)]]=0,0,Tabla2[[#This Row],[Beneficio Neto  (En RD$/Tarea)]]/Tabla2[[#This Row],[Costos (En RD$/Tarea)]])</f>
        <v>0.760964450431708</v>
      </c>
      <c r="P2717" s="7" t="n">
        <f aca="false">Tabla2[[#This Row],[Rentabilidad (%)]]/12</f>
        <v>0.0634137042026423</v>
      </c>
    </row>
    <row r="2718" customFormat="false" ht="14.25" hidden="false" customHeight="false" outlineLevel="0" collapsed="false">
      <c r="A2718" s="1" t="n">
        <v>43405</v>
      </c>
      <c r="B2718" s="2" t="s">
        <v>23</v>
      </c>
      <c r="C2718" s="3" t="n">
        <v>5321</v>
      </c>
      <c r="D2718" s="8" t="s">
        <v>17</v>
      </c>
      <c r="E2718" s="3" t="n">
        <f aca="false">IF(Tabla2[[#This Row],[Frecuencia]]="Annual", Tabla2[[#This Row],[Cosecha/Tarea]]/12,Tabla2[[#This Row],[Cosecha/Tarea]])</f>
        <v>5321</v>
      </c>
      <c r="F2718" s="3" t="n">
        <v>177455</v>
      </c>
      <c r="G2718" s="2" t="s">
        <v>18</v>
      </c>
      <c r="H2718" s="2" t="n">
        <f aca="false">F2718/Tabla2[[#This Row],[Cosecha Mensual]]</f>
        <v>33.3499342228904</v>
      </c>
      <c r="I2718" s="2" t="n">
        <f aca="false">H2718*_xlfn.XLOOKUP(Tabla2[[#This Row],[Unidad de producción]],Tabla3[Medida],Tabla3[Equivalencia en Kg],"ELVIS",0)</f>
        <v>1512.75301635031</v>
      </c>
      <c r="J2718" s="2" t="n">
        <v>1063.74857549858</v>
      </c>
      <c r="K2718" s="2" t="s">
        <v>18</v>
      </c>
      <c r="L2718" s="2" t="n">
        <f aca="false">J2718/_xlfn.XLOOKUP(Tabla2[[#This Row],[Unidad de precio]],Tabla3[Medida],Tabla3[Equivalencia en Kg],"ELVIS",0)</f>
        <v>23.4512472552597</v>
      </c>
      <c r="M2718" s="2" t="n">
        <v>23803.1923056373</v>
      </c>
      <c r="N2718" s="3" t="n">
        <f aca="false">(Tabla2[[#This Row],[Productividad (kg/TAS)]]*Tabla2[[#This Row],[Precio por kg]]-Tabla2[[#This Row],[Costos (En RD$/Tarea)]])</f>
        <v>11672.7527169337</v>
      </c>
      <c r="O2718" s="9" t="n">
        <f aca="false">IF(Tabla2[[#This Row],[Costos (En RD$/Tarea)]]=0,0,Tabla2[[#This Row],[Beneficio Neto  (En RD$/Tarea)]]/Tabla2[[#This Row],[Costos (En RD$/Tarea)]])</f>
        <v>0.490386019112625</v>
      </c>
      <c r="P2718" s="7" t="n">
        <f aca="false">Tabla2[[#This Row],[Rentabilidad (%)]]/12</f>
        <v>0.0408655015927187</v>
      </c>
    </row>
    <row r="2719" customFormat="false" ht="14.25" hidden="false" customHeight="false" outlineLevel="0" collapsed="false">
      <c r="A2719" s="1" t="n">
        <v>43405</v>
      </c>
      <c r="B2719" s="2" t="s">
        <v>24</v>
      </c>
      <c r="C2719" s="3" t="n">
        <v>6566</v>
      </c>
      <c r="D2719" s="8" t="s">
        <v>17</v>
      </c>
      <c r="E2719" s="3" t="n">
        <f aca="false">IF(Tabla2[[#This Row],[Frecuencia]]="Annual", Tabla2[[#This Row],[Cosecha/Tarea]]/12,Tabla2[[#This Row],[Cosecha/Tarea]])</f>
        <v>6566</v>
      </c>
      <c r="F2719" s="3" t="n">
        <v>48744</v>
      </c>
      <c r="G2719" s="2" t="s">
        <v>18</v>
      </c>
      <c r="H2719" s="2" t="n">
        <f aca="false">F2719/Tabla2[[#This Row],[Cosecha Mensual]]</f>
        <v>7.42369783734389</v>
      </c>
      <c r="I2719" s="2" t="n">
        <f aca="false">H2719*_xlfn.XLOOKUP(Tabla2[[#This Row],[Unidad de producción]],Tabla3[Medida],Tabla3[Equivalencia en Kg],"ELVIS",0)</f>
        <v>336.738933901919</v>
      </c>
      <c r="J2719" s="2" t="n">
        <v>2535.03125</v>
      </c>
      <c r="K2719" s="2" t="s">
        <v>18</v>
      </c>
      <c r="L2719" s="2" t="n">
        <f aca="false">J2719/_xlfn.XLOOKUP(Tabla2[[#This Row],[Unidad de precio]],Tabla3[Medida],Tabla3[Equivalencia en Kg],"ELVIS",0)</f>
        <v>55.886932319224</v>
      </c>
      <c r="M2719" s="2" t="n">
        <v>9413.7321988512</v>
      </c>
      <c r="N2719" s="3" t="n">
        <f aca="false">(Tabla2[[#This Row],[Productividad (kg/TAS)]]*Tabla2[[#This Row],[Precio por kg]]-Tabla2[[#This Row],[Costos (En RD$/Tarea)]])</f>
        <v>9405.57380937299</v>
      </c>
      <c r="O2719" s="9" t="n">
        <f aca="false">IF(Tabla2[[#This Row],[Costos (En RD$/Tarea)]]=0,0,Tabla2[[#This Row],[Beneficio Neto  (En RD$/Tarea)]]/Tabla2[[#This Row],[Costos (En RD$/Tarea)]])</f>
        <v>0.999133352287289</v>
      </c>
      <c r="P2719" s="7" t="n">
        <f aca="false">Tabla2[[#This Row],[Rentabilidad (%)]]/12</f>
        <v>0.0832611126906074</v>
      </c>
    </row>
    <row r="2720" customFormat="false" ht="14.25" hidden="false" customHeight="false" outlineLevel="0" collapsed="false">
      <c r="A2720" s="1" t="n">
        <v>43405</v>
      </c>
      <c r="B2720" s="2" t="s">
        <v>25</v>
      </c>
      <c r="C2720" s="3" t="n">
        <v>46012</v>
      </c>
      <c r="D2720" s="8" t="s">
        <v>17</v>
      </c>
      <c r="E2720" s="3" t="n">
        <f aca="false">IF(Tabla2[[#This Row],[Frecuencia]]="Annual", Tabla2[[#This Row],[Cosecha/Tarea]]/12,Tabla2[[#This Row],[Cosecha/Tarea]])</f>
        <v>46012</v>
      </c>
      <c r="F2720" s="3" t="n">
        <v>420124</v>
      </c>
      <c r="G2720" s="2" t="s">
        <v>18</v>
      </c>
      <c r="H2720" s="2" t="n">
        <f aca="false">F2720/Tabla2[[#This Row],[Cosecha Mensual]]</f>
        <v>9.1307485003912</v>
      </c>
      <c r="I2720" s="2" t="n">
        <f aca="false">H2720*_xlfn.XLOOKUP(Tabla2[[#This Row],[Unidad de producción]],Tabla3[Medida],Tabla3[Equivalencia en Kg],"ELVIS",0)</f>
        <v>414.170751977745</v>
      </c>
      <c r="J2720" s="2" t="n">
        <v>939.288166666667</v>
      </c>
      <c r="K2720" s="2" t="s">
        <v>18</v>
      </c>
      <c r="L2720" s="2" t="n">
        <f aca="false">J2720/_xlfn.XLOOKUP(Tabla2[[#This Row],[Unidad de precio]],Tabla3[Medida],Tabla3[Equivalencia en Kg],"ELVIS",0)</f>
        <v>20.7074110817166</v>
      </c>
      <c r="M2720" s="2" t="n">
        <v>4549.76899317218</v>
      </c>
      <c r="N2720" s="3" t="n">
        <f aca="false">(Tabla2[[#This Row],[Productividad (kg/TAS)]]*Tabla2[[#This Row],[Precio por kg]]-Tabla2[[#This Row],[Costos (En RD$/Tarea)]])</f>
        <v>4026.63502605469</v>
      </c>
      <c r="O2720" s="9" t="n">
        <f aca="false">IF(Tabla2[[#This Row],[Costos (En RD$/Tarea)]]=0,0,Tabla2[[#This Row],[Beneficio Neto  (En RD$/Tarea)]]/Tabla2[[#This Row],[Costos (En RD$/Tarea)]])</f>
        <v>0.885019664096671</v>
      </c>
      <c r="P2720" s="7" t="n">
        <f aca="false">Tabla2[[#This Row],[Rentabilidad (%)]]/12</f>
        <v>0.0737516386747226</v>
      </c>
    </row>
    <row r="2721" customFormat="false" ht="14.25" hidden="false" customHeight="false" outlineLevel="0" collapsed="false">
      <c r="A2721" s="1" t="n">
        <v>43405</v>
      </c>
      <c r="B2721" s="2" t="s">
        <v>26</v>
      </c>
      <c r="C2721" s="3" t="n">
        <v>13214</v>
      </c>
      <c r="D2721" s="8" t="s">
        <v>17</v>
      </c>
      <c r="E2721" s="3" t="n">
        <f aca="false">IF(Tabla2[[#This Row],[Frecuencia]]="Annual", Tabla2[[#This Row],[Cosecha/Tarea]]/12,Tabla2[[#This Row],[Cosecha/Tarea]])</f>
        <v>13214</v>
      </c>
      <c r="F2721" s="3" t="n">
        <v>86602</v>
      </c>
      <c r="G2721" s="2" t="s">
        <v>18</v>
      </c>
      <c r="H2721" s="2" t="n">
        <f aca="false">F2721/Tabla2[[#This Row],[Cosecha Mensual]]</f>
        <v>6.55380656879068</v>
      </c>
      <c r="I2721" s="2" t="n">
        <f aca="false">H2721*_xlfn.XLOOKUP(Tabla2[[#This Row],[Unidad de producción]],Tabla3[Medida],Tabla3[Equivalencia en Kg],"ELVIS",0)</f>
        <v>297.280665960345</v>
      </c>
      <c r="J2721" s="2" t="n">
        <v>935.380208333333</v>
      </c>
      <c r="K2721" s="2" t="s">
        <v>18</v>
      </c>
      <c r="L2721" s="2" t="n">
        <f aca="false">J2721/_xlfn.XLOOKUP(Tabla2[[#This Row],[Unidad de precio]],Tabla3[Medida],Tabla3[Equivalencia en Kg],"ELVIS",0)</f>
        <v>20.6212567974721</v>
      </c>
      <c r="M2721" s="2" t="n">
        <v>1733.52094425</v>
      </c>
      <c r="N2721" s="3" t="n">
        <f aca="false">(Tabla2[[#This Row],[Productividad (kg/TAS)]]*Tabla2[[#This Row],[Precio por kg]]-Tabla2[[#This Row],[Costos (En RD$/Tarea)]])</f>
        <v>4396.78000944179</v>
      </c>
      <c r="O2721" s="9" t="n">
        <f aca="false">IF(Tabla2[[#This Row],[Costos (En RD$/Tarea)]]=0,0,Tabla2[[#This Row],[Beneficio Neto  (En RD$/Tarea)]]/Tabla2[[#This Row],[Costos (En RD$/Tarea)]])</f>
        <v>2.53632932675298</v>
      </c>
      <c r="P2721" s="7" t="n">
        <f aca="false">Tabla2[[#This Row],[Rentabilidad (%)]]/12</f>
        <v>0.211360777229415</v>
      </c>
    </row>
    <row r="2722" customFormat="false" ht="14.25" hidden="false" customHeight="false" outlineLevel="0" collapsed="false">
      <c r="A2722" s="1" t="n">
        <v>43405</v>
      </c>
      <c r="B2722" s="2" t="s">
        <v>27</v>
      </c>
      <c r="C2722" s="3" t="n">
        <v>6354</v>
      </c>
      <c r="D2722" s="8" t="s">
        <v>17</v>
      </c>
      <c r="E2722" s="3" t="n">
        <f aca="false">IF(Tabla2[[#This Row],[Frecuencia]]="Annual", Tabla2[[#This Row],[Cosecha/Tarea]]/12,Tabla2[[#This Row],[Cosecha/Tarea]])</f>
        <v>6354</v>
      </c>
      <c r="F2722" s="3" t="n">
        <v>36547</v>
      </c>
      <c r="G2722" s="2" t="s">
        <v>18</v>
      </c>
      <c r="H2722" s="2" t="n">
        <f aca="false">F2722/Tabla2[[#This Row],[Cosecha Mensual]]</f>
        <v>5.75180988353793</v>
      </c>
      <c r="I2722" s="2" t="n">
        <f aca="false">H2722*_xlfn.XLOOKUP(Tabla2[[#This Row],[Unidad de producción]],Tabla3[Medida],Tabla3[Equivalencia en Kg],"ELVIS",0)</f>
        <v>260.90209631728</v>
      </c>
      <c r="J2722" s="2" t="n">
        <v>868.190476190476</v>
      </c>
      <c r="K2722" s="2" t="s">
        <v>18</v>
      </c>
      <c r="L2722" s="2" t="n">
        <f aca="false">J2722/_xlfn.XLOOKUP(Tabla2[[#This Row],[Unidad de precio]],Tabla3[Medida],Tabla3[Equivalencia en Kg],"ELVIS",0)</f>
        <v>19.1400016796842</v>
      </c>
      <c r="M2722" s="2" t="n">
        <v>9289.57547778</v>
      </c>
      <c r="N2722" s="3" t="n">
        <f aca="false">(Tabla2[[#This Row],[Productividad (kg/TAS)]]*Tabla2[[#This Row],[Precio por kg]]-Tabla2[[#This Row],[Costos (En RD$/Tarea)]])</f>
        <v>-4295.90891603412</v>
      </c>
      <c r="O2722" s="9" t="n">
        <f aca="false">IF(Tabla2[[#This Row],[Costos (En RD$/Tarea)]]=0,0,Tabla2[[#This Row],[Beneficio Neto  (En RD$/Tarea)]]/Tabla2[[#This Row],[Costos (En RD$/Tarea)]])</f>
        <v>-0.462444051002075</v>
      </c>
      <c r="P2722" s="7" t="n">
        <f aca="false">Tabla2[[#This Row],[Rentabilidad (%)]]/12</f>
        <v>-0.0385370042501729</v>
      </c>
    </row>
    <row r="2723" customFormat="false" ht="14.25" hidden="false" customHeight="false" outlineLevel="0" collapsed="false">
      <c r="A2723" s="1" t="n">
        <v>43405</v>
      </c>
      <c r="B2723" s="2" t="s">
        <v>28</v>
      </c>
      <c r="C2723" s="3" t="n">
        <v>65389</v>
      </c>
      <c r="D2723" s="8" t="s">
        <v>17</v>
      </c>
      <c r="E2723" s="3" t="n">
        <f aca="false">IF(Tabla2[[#This Row],[Frecuencia]]="Annual", Tabla2[[#This Row],[Cosecha/Tarea]]/12,Tabla2[[#This Row],[Cosecha/Tarea]])</f>
        <v>65389</v>
      </c>
      <c r="F2723" s="3" t="n">
        <v>985740</v>
      </c>
      <c r="G2723" s="2" t="s">
        <v>18</v>
      </c>
      <c r="H2723" s="2" t="n">
        <f aca="false">F2723/Tabla2[[#This Row],[Cosecha Mensual]]</f>
        <v>15.075012616801</v>
      </c>
      <c r="I2723" s="2" t="n">
        <f aca="false">H2723*_xlfn.XLOOKUP(Tabla2[[#This Row],[Unidad de producción]],Tabla3[Medida],Tabla3[Equivalencia en Kg],"ELVIS",0)</f>
        <v>683.802572298093</v>
      </c>
      <c r="J2723" s="2" t="n">
        <v>5573.78273809524</v>
      </c>
      <c r="K2723" s="2" t="s">
        <v>29</v>
      </c>
      <c r="L2723" s="2" t="n">
        <f aca="false">J2723/_xlfn.XLOOKUP(Tabla2[[#This Row],[Unidad de precio]],Tabla3[Medida],Tabla3[Equivalencia en Kg],"ELVIS",0)</f>
        <v>9.91176643684469</v>
      </c>
      <c r="M2723" s="2" t="n">
        <v>7167.67993212066</v>
      </c>
      <c r="N2723" s="3" t="n">
        <f aca="false">(Tabla2[[#This Row],[Productividad (kg/TAS)]]*Tabla2[[#This Row],[Precio por kg]]-Tabla2[[#This Row],[Costos (En RD$/Tarea)]])</f>
        <v>-389.988546588361</v>
      </c>
      <c r="O2723" s="9" t="n">
        <f aca="false">IF(Tabla2[[#This Row],[Costos (En RD$/Tarea)]]=0,0,Tabla2[[#This Row],[Beneficio Neto  (En RD$/Tarea)]]/Tabla2[[#This Row],[Costos (En RD$/Tarea)]])</f>
        <v>-0.0544093137921376</v>
      </c>
      <c r="P2723" s="7" t="n">
        <f aca="false">Tabla2[[#This Row],[Rentabilidad (%)]]/12</f>
        <v>-0.00453410948267814</v>
      </c>
    </row>
    <row r="2724" customFormat="false" ht="14.25" hidden="false" customHeight="false" outlineLevel="0" collapsed="false">
      <c r="A2724" s="1" t="n">
        <v>43405</v>
      </c>
      <c r="B2724" s="2" t="s">
        <v>30</v>
      </c>
      <c r="C2724" s="3" t="n">
        <v>400100</v>
      </c>
      <c r="D2724" s="3" t="s">
        <v>31</v>
      </c>
      <c r="E2724" s="3" t="n">
        <f aca="false">IF(Tabla2[[#This Row],[Frecuencia]]="Annual", Tabla2[[#This Row],[Cosecha/Tarea]]/12,Tabla2[[#This Row],[Cosecha/Tarea]])</f>
        <v>33341.6666666667</v>
      </c>
      <c r="F2724" s="3" t="n">
        <v>1652909.4</v>
      </c>
      <c r="G2724" s="2" t="s">
        <v>18</v>
      </c>
      <c r="H2724" s="2" t="n">
        <f aca="false">F2724/Tabla2[[#This Row],[Cosecha Mensual]]</f>
        <v>49.5748882779305</v>
      </c>
      <c r="I2724" s="2" t="n">
        <f aca="false">H2724*_xlfn.XLOOKUP(Tabla2[[#This Row],[Unidad de producción]],Tabla3[Medida],Tabla3[Equivalencia en Kg],"ELVIS",0)</f>
        <v>2248.71693228693</v>
      </c>
      <c r="J2724" s="2" t="n">
        <v>131.40625</v>
      </c>
      <c r="K2724" s="2" t="s">
        <v>32</v>
      </c>
      <c r="L2724" s="2" t="n">
        <f aca="false">J2724/_xlfn.XLOOKUP(Tabla2[[#This Row],[Unidad de precio]],Tabla3[Medida],Tabla3[Equivalencia en Kg],"ELVIS",0)</f>
        <v>4.82933664094083</v>
      </c>
      <c r="M2724" s="3" t="n">
        <v>34069.662396</v>
      </c>
      <c r="N2724" s="3" t="n">
        <f aca="false">(Tabla2[[#This Row],[Productividad (kg/TAS)]]*Tabla2[[#This Row],[Precio por kg]]-Tabla2[[#This Row],[Costos (En RD$/Tarea)]])</f>
        <v>-23209.8513198027</v>
      </c>
      <c r="O2724" s="9" t="n">
        <f aca="false">IF(Tabla2[[#This Row],[Costos (En RD$/Tarea)]]=0,0,Tabla2[[#This Row],[Beneficio Neto  (En RD$/Tarea)]]/Tabla2[[#This Row],[Costos (En RD$/Tarea)]])</f>
        <v>-0.681246883224991</v>
      </c>
      <c r="P2724" s="7" t="n">
        <f aca="false">Tabla2[[#This Row],[Rentabilidad (%)]]/12</f>
        <v>-0.0567705736020826</v>
      </c>
    </row>
    <row r="2725" customFormat="false" ht="14.25" hidden="false" customHeight="false" outlineLevel="0" collapsed="false">
      <c r="A2725" s="1" t="n">
        <v>43405</v>
      </c>
      <c r="B2725" s="2" t="s">
        <v>33</v>
      </c>
      <c r="C2725" s="3" t="n">
        <v>755421</v>
      </c>
      <c r="D2725" s="3" t="s">
        <v>31</v>
      </c>
      <c r="E2725" s="3" t="n">
        <f aca="false">IF(Tabla2[[#This Row],[Frecuencia]]="Annual", Tabla2[[#This Row],[Cosecha/Tarea]]/12,Tabla2[[#This Row],[Cosecha/Tarea]])</f>
        <v>62951.75</v>
      </c>
      <c r="F2725" s="3" t="n">
        <v>1269189</v>
      </c>
      <c r="G2725" s="2" t="s">
        <v>18</v>
      </c>
      <c r="H2725" s="2" t="n">
        <f aca="false">F2725/Tabla2[[#This Row],[Cosecha Mensual]]</f>
        <v>20.1612981370653</v>
      </c>
      <c r="I2725" s="2" t="n">
        <f aca="false">H2725*_xlfn.XLOOKUP(Tabla2[[#This Row],[Unidad de producción]],Tabla3[Medida],Tabla3[Equivalencia en Kg],"ELVIS",0)</f>
        <v>914.516483497282</v>
      </c>
      <c r="J2725" s="2" t="n">
        <v>6619.93489583333</v>
      </c>
      <c r="K2725" s="2" t="s">
        <v>34</v>
      </c>
      <c r="L2725" s="2" t="n">
        <f aca="false">J2725/_xlfn.XLOOKUP(Tabla2[[#This Row],[Unidad de precio]],Tabla3[Medida],Tabla3[Equivalencia en Kg],"ELVIS",0)</f>
        <v>16.2193676242395</v>
      </c>
      <c r="M2725" s="3" t="n">
        <v>22932.1463359308</v>
      </c>
      <c r="N2725" s="3" t="n">
        <f aca="false">(Tabla2[[#This Row],[Productividad (kg/TAS)]]*Tabla2[[#This Row],[Precio por kg]]-Tabla2[[#This Row],[Costos (En RD$/Tarea)]])</f>
        <v>-8099.26729166168</v>
      </c>
      <c r="O2725" s="9" t="n">
        <f aca="false">IF(Tabla2[[#This Row],[Costos (En RD$/Tarea)]]=0,0,Tabla2[[#This Row],[Beneficio Neto  (En RD$/Tarea)]]/Tabla2[[#This Row],[Costos (En RD$/Tarea)]])</f>
        <v>-0.35318400523947</v>
      </c>
      <c r="P2725" s="7" t="n">
        <f aca="false">Tabla2[[#This Row],[Rentabilidad (%)]]/12</f>
        <v>-0.0294320004366225</v>
      </c>
    </row>
    <row r="2726" customFormat="false" ht="14.25" hidden="false" customHeight="false" outlineLevel="0" collapsed="false">
      <c r="A2726" s="1" t="n">
        <v>43435</v>
      </c>
      <c r="B2726" s="2" t="s">
        <v>16</v>
      </c>
      <c r="C2726" s="3" t="n">
        <v>104598</v>
      </c>
      <c r="D2726" s="8" t="s">
        <v>17</v>
      </c>
      <c r="E2726" s="3" t="n">
        <f aca="false">IF(Tabla2[[#This Row],[Frecuencia]]="Annual", Tabla2[[#This Row],[Cosecha/Tarea]]/12,Tabla2[[#This Row],[Cosecha/Tarea]])</f>
        <v>104598</v>
      </c>
      <c r="F2726" s="3" t="n">
        <v>407654</v>
      </c>
      <c r="G2726" s="2" t="s">
        <v>18</v>
      </c>
      <c r="H2726" s="2" t="n">
        <f aca="false">F2726/Tabla2[[#This Row],[Cosecha Mensual]]</f>
        <v>3.89734029331345</v>
      </c>
      <c r="I2726" s="2" t="n">
        <f aca="false">H2726*_xlfn.XLOOKUP(Tabla2[[#This Row],[Unidad de producción]],Tabla3[Medida],Tabla3[Equivalencia en Kg],"ELVIS",0)</f>
        <v>176.783355704698</v>
      </c>
      <c r="J2726" s="2" t="n">
        <v>2145.73722038871</v>
      </c>
      <c r="K2726" s="2" t="s">
        <v>19</v>
      </c>
      <c r="L2726" s="2" t="n">
        <f aca="false">J2726/_xlfn.XLOOKUP(Tabla2[[#This Row],[Unidad de precio]],Tabla3[Medida],Tabla3[Equivalencia en Kg],"ELVIS",0)</f>
        <v>19.5067020035337</v>
      </c>
      <c r="M2726" s="2" t="n">
        <v>6204.17820654867</v>
      </c>
      <c r="N2726" s="3" t="n">
        <f aca="false">(Tabla2[[#This Row],[Productividad (kg/TAS)]]*Tabla2[[#This Row],[Precio por kg]]-Tabla2[[#This Row],[Costos (En RD$/Tarea)]])</f>
        <v>-2755.71796763242</v>
      </c>
      <c r="O2726" s="9" t="n">
        <f aca="false">IF(Tabla2[[#This Row],[Costos (En RD$/Tarea)]]=0,0,Tabla2[[#This Row],[Beneficio Neto  (En RD$/Tarea)]]/Tabla2[[#This Row],[Costos (En RD$/Tarea)]])</f>
        <v>-0.444171310992275</v>
      </c>
      <c r="P2726" s="7" t="n">
        <f aca="false">Tabla2[[#This Row],[Rentabilidad (%)]]/12</f>
        <v>-0.0370142759160229</v>
      </c>
    </row>
    <row r="2727" customFormat="false" ht="14.25" hidden="false" customHeight="false" outlineLevel="0" collapsed="false">
      <c r="A2727" s="1" t="n">
        <v>43435</v>
      </c>
      <c r="B2727" s="2" t="s">
        <v>20</v>
      </c>
      <c r="C2727" s="3" t="n">
        <v>52354</v>
      </c>
      <c r="D2727" s="8" t="s">
        <v>17</v>
      </c>
      <c r="E2727" s="3" t="n">
        <f aca="false">IF(Tabla2[[#This Row],[Frecuencia]]="Annual", Tabla2[[#This Row],[Cosecha/Tarea]]/12,Tabla2[[#This Row],[Cosecha/Tarea]])</f>
        <v>52354</v>
      </c>
      <c r="F2727" s="3" t="n">
        <v>99598</v>
      </c>
      <c r="G2727" s="2" t="s">
        <v>18</v>
      </c>
      <c r="H2727" s="2" t="n">
        <f aca="false">F2727/Tabla2[[#This Row],[Cosecha Mensual]]</f>
        <v>1.90239523245597</v>
      </c>
      <c r="I2727" s="2" t="n">
        <f aca="false">H2727*_xlfn.XLOOKUP(Tabla2[[#This Row],[Unidad de producción]],Tabla3[Medida],Tabla3[Equivalencia en Kg],"ELVIS",0)</f>
        <v>86.2926477442029</v>
      </c>
      <c r="J2727" s="2" t="n">
        <v>904.922619047619</v>
      </c>
      <c r="K2727" s="2" t="s">
        <v>18</v>
      </c>
      <c r="L2727" s="2" t="n">
        <f aca="false">J2727/_xlfn.XLOOKUP(Tabla2[[#This Row],[Unidad de precio]],Tabla3[Medida],Tabla3[Equivalencia en Kg],"ELVIS",0)</f>
        <v>19.9497931888805</v>
      </c>
      <c r="M2727" s="2" t="n">
        <v>2494.8799608792</v>
      </c>
      <c r="N2727" s="3" t="n">
        <f aca="false">(Tabla2[[#This Row],[Productividad (kg/TAS)]]*Tabla2[[#This Row],[Precio por kg]]-Tabla2[[#This Row],[Costos (En RD$/Tarea)]])</f>
        <v>-773.359484661437</v>
      </c>
      <c r="O2727" s="9" t="n">
        <f aca="false">IF(Tabla2[[#This Row],[Costos (En RD$/Tarea)]]=0,0,Tabla2[[#This Row],[Beneficio Neto  (En RD$/Tarea)]]/Tabla2[[#This Row],[Costos (En RD$/Tarea)]])</f>
        <v>-0.309978634959617</v>
      </c>
      <c r="P2727" s="7" t="n">
        <f aca="false">Tabla2[[#This Row],[Rentabilidad (%)]]/12</f>
        <v>-0.0258315529133014</v>
      </c>
    </row>
    <row r="2728" customFormat="false" ht="14.25" hidden="false" customHeight="false" outlineLevel="0" collapsed="false">
      <c r="A2728" s="1" t="n">
        <v>43435</v>
      </c>
      <c r="B2728" s="2" t="s">
        <v>21</v>
      </c>
      <c r="C2728" s="3" t="n">
        <v>8945</v>
      </c>
      <c r="D2728" s="8" t="s">
        <v>17</v>
      </c>
      <c r="E2728" s="3" t="n">
        <f aca="false">IF(Tabla2[[#This Row],[Frecuencia]]="Annual", Tabla2[[#This Row],[Cosecha/Tarea]]/12,Tabla2[[#This Row],[Cosecha/Tarea]])</f>
        <v>8945</v>
      </c>
      <c r="F2728" s="3" t="n">
        <v>94814</v>
      </c>
      <c r="G2728" s="2" t="s">
        <v>18</v>
      </c>
      <c r="H2728" s="2" t="n">
        <f aca="false">F2728/Tabla2[[#This Row],[Cosecha Mensual]]</f>
        <v>10.5996646171045</v>
      </c>
      <c r="I2728" s="2" t="n">
        <f aca="false">H2728*_xlfn.XLOOKUP(Tabla2[[#This Row],[Unidad de producción]],Tabla3[Medida],Tabla3[Equivalencia en Kg],"ELVIS",0)</f>
        <v>480.800787031861</v>
      </c>
      <c r="J2728" s="2" t="n">
        <v>681.880357888889</v>
      </c>
      <c r="K2728" s="2" t="s">
        <v>18</v>
      </c>
      <c r="L2728" s="2" t="n">
        <f aca="false">J2728/_xlfn.XLOOKUP(Tabla2[[#This Row],[Unidad de precio]],Tabla3[Medida],Tabla3[Equivalencia en Kg],"ELVIS",0)</f>
        <v>15.0326357559279</v>
      </c>
      <c r="M2728" s="2" t="n">
        <v>5415.921577332</v>
      </c>
      <c r="N2728" s="3" t="n">
        <f aca="false">(Tabla2[[#This Row],[Productividad (kg/TAS)]]*Tabla2[[#This Row],[Precio por kg]]-Tabla2[[#This Row],[Costos (En RD$/Tarea)]])</f>
        <v>1811.78152528143</v>
      </c>
      <c r="O2728" s="9" t="n">
        <f aca="false">IF(Tabla2[[#This Row],[Costos (En RD$/Tarea)]]=0,0,Tabla2[[#This Row],[Beneficio Neto  (En RD$/Tarea)]]/Tabla2[[#This Row],[Costos (En RD$/Tarea)]])</f>
        <v>0.334528759216996</v>
      </c>
      <c r="P2728" s="7" t="n">
        <f aca="false">Tabla2[[#This Row],[Rentabilidad (%)]]/12</f>
        <v>0.0278773966014163</v>
      </c>
    </row>
    <row r="2729" customFormat="false" ht="14.25" hidden="false" customHeight="false" outlineLevel="0" collapsed="false">
      <c r="A2729" s="1" t="n">
        <v>43435</v>
      </c>
      <c r="B2729" s="2" t="s">
        <v>22</v>
      </c>
      <c r="C2729" s="3" t="n">
        <v>7004</v>
      </c>
      <c r="D2729" s="8" t="s">
        <v>17</v>
      </c>
      <c r="E2729" s="3" t="n">
        <f aca="false">IF(Tabla2[[#This Row],[Frecuencia]]="Annual", Tabla2[[#This Row],[Cosecha/Tarea]]/12,Tabla2[[#This Row],[Cosecha/Tarea]])</f>
        <v>7004</v>
      </c>
      <c r="F2729" s="3" t="n">
        <v>59844</v>
      </c>
      <c r="G2729" s="2" t="s">
        <v>18</v>
      </c>
      <c r="H2729" s="2" t="n">
        <f aca="false">F2729/Tabla2[[#This Row],[Cosecha Mensual]]</f>
        <v>8.54426042261565</v>
      </c>
      <c r="I2729" s="2" t="n">
        <f aca="false">H2729*_xlfn.XLOOKUP(Tabla2[[#This Row],[Unidad de producción]],Tabla3[Medida],Tabla3[Equivalencia en Kg],"ELVIS",0)</f>
        <v>387.567652769846</v>
      </c>
      <c r="J2729" s="2" t="n">
        <v>1942.48554396992</v>
      </c>
      <c r="K2729" s="2" t="s">
        <v>18</v>
      </c>
      <c r="L2729" s="2" t="n">
        <f aca="false">J2729/_xlfn.XLOOKUP(Tabla2[[#This Row],[Unidad de precio]],Tabla3[Medida],Tabla3[Equivalencia en Kg],"ELVIS",0)</f>
        <v>42.8237553785256</v>
      </c>
      <c r="M2729" s="2" t="n">
        <v>10167.2711784</v>
      </c>
      <c r="N2729" s="3" t="n">
        <f aca="false">(Tabla2[[#This Row],[Productividad (kg/TAS)]]*Tabla2[[#This Row],[Precio por kg]]-Tabla2[[#This Row],[Costos (En RD$/Tarea)]])</f>
        <v>6429.83117644522</v>
      </c>
      <c r="O2729" s="9" t="n">
        <f aca="false">IF(Tabla2[[#This Row],[Costos (En RD$/Tarea)]]=0,0,Tabla2[[#This Row],[Beneficio Neto  (En RD$/Tarea)]]/Tabla2[[#This Row],[Costos (En RD$/Tarea)]])</f>
        <v>0.632404807900193</v>
      </c>
      <c r="P2729" s="7" t="n">
        <f aca="false">Tabla2[[#This Row],[Rentabilidad (%)]]/12</f>
        <v>0.0527004006583494</v>
      </c>
    </row>
    <row r="2730" customFormat="false" ht="14.25" hidden="false" customHeight="false" outlineLevel="0" collapsed="false">
      <c r="A2730" s="1" t="n">
        <v>43435</v>
      </c>
      <c r="B2730" s="2" t="s">
        <v>23</v>
      </c>
      <c r="C2730" s="3" t="n">
        <v>4775</v>
      </c>
      <c r="D2730" s="8" t="s">
        <v>17</v>
      </c>
      <c r="E2730" s="3" t="n">
        <f aca="false">IF(Tabla2[[#This Row],[Frecuencia]]="Annual", Tabla2[[#This Row],[Cosecha/Tarea]]/12,Tabla2[[#This Row],[Cosecha/Tarea]])</f>
        <v>4775</v>
      </c>
      <c r="F2730" s="3" t="n">
        <v>170898</v>
      </c>
      <c r="G2730" s="2" t="s">
        <v>18</v>
      </c>
      <c r="H2730" s="2" t="n">
        <f aca="false">F2730/Tabla2[[#This Row],[Cosecha Mensual]]</f>
        <v>35.7901570680628</v>
      </c>
      <c r="I2730" s="2" t="n">
        <f aca="false">H2730*_xlfn.XLOOKUP(Tabla2[[#This Row],[Unidad de producción]],Tabla3[Medida],Tabla3[Equivalencia en Kg],"ELVIS",0)</f>
        <v>1623.44152460733</v>
      </c>
      <c r="J2730" s="2" t="n">
        <v>1145.40857290858</v>
      </c>
      <c r="K2730" s="2" t="s">
        <v>18</v>
      </c>
      <c r="L2730" s="2" t="n">
        <f aca="false">J2730/_xlfn.XLOOKUP(Tabla2[[#This Row],[Unidad de precio]],Tabla3[Medida],Tabla3[Equivalencia en Kg],"ELVIS",0)</f>
        <v>25.2515117484255</v>
      </c>
      <c r="M2730" s="2" t="n">
        <v>23803.1923056373</v>
      </c>
      <c r="N2730" s="3" t="n">
        <f aca="false">(Tabla2[[#This Row],[Productividad (kg/TAS)]]*Tabla2[[#This Row],[Precio por kg]]-Tabla2[[#This Row],[Costos (En RD$/Tarea)]])</f>
        <v>17191.1604258665</v>
      </c>
      <c r="O2730" s="9" t="n">
        <f aca="false">IF(Tabla2[[#This Row],[Costos (En RD$/Tarea)]]=0,0,Tabla2[[#This Row],[Beneficio Neto  (En RD$/Tarea)]]/Tabla2[[#This Row],[Costos (En RD$/Tarea)]])</f>
        <v>0.722220793124252</v>
      </c>
      <c r="P2730" s="7" t="n">
        <f aca="false">Tabla2[[#This Row],[Rentabilidad (%)]]/12</f>
        <v>0.0601850660936877</v>
      </c>
    </row>
    <row r="2731" customFormat="false" ht="14.25" hidden="false" customHeight="false" outlineLevel="0" collapsed="false">
      <c r="A2731" s="1" t="n">
        <v>43435</v>
      </c>
      <c r="B2731" s="2" t="s">
        <v>24</v>
      </c>
      <c r="C2731" s="3" t="n">
        <v>8245</v>
      </c>
      <c r="D2731" s="8" t="s">
        <v>17</v>
      </c>
      <c r="E2731" s="3" t="n">
        <f aca="false">IF(Tabla2[[#This Row],[Frecuencia]]="Annual", Tabla2[[#This Row],[Cosecha/Tarea]]/12,Tabla2[[#This Row],[Cosecha/Tarea]])</f>
        <v>8245</v>
      </c>
      <c r="F2731" s="3" t="n">
        <v>82457</v>
      </c>
      <c r="G2731" s="2" t="s">
        <v>18</v>
      </c>
      <c r="H2731" s="2" t="n">
        <f aca="false">F2731/Tabla2[[#This Row],[Cosecha Mensual]]</f>
        <v>10.0008489993936</v>
      </c>
      <c r="I2731" s="2" t="n">
        <f aca="false">H2731*_xlfn.XLOOKUP(Tabla2[[#This Row],[Unidad de producción]],Tabla3[Medida],Tabla3[Equivalencia en Kg],"ELVIS",0)</f>
        <v>453.638510612492</v>
      </c>
      <c r="J2731" s="2" t="n">
        <v>2678.89841269841</v>
      </c>
      <c r="K2731" s="2" t="s">
        <v>18</v>
      </c>
      <c r="L2731" s="2" t="n">
        <f aca="false">J2731/_xlfn.XLOOKUP(Tabla2[[#This Row],[Unidad de precio]],Tabla3[Medida],Tabla3[Equivalencia en Kg],"ELVIS",0)</f>
        <v>59.0586069818874</v>
      </c>
      <c r="M2731" s="2" t="n">
        <v>9413.7321988512</v>
      </c>
      <c r="N2731" s="3" t="n">
        <f aca="false">(Tabla2[[#This Row],[Productividad (kg/TAS)]]*Tabla2[[#This Row],[Precio por kg]]-Tabla2[[#This Row],[Costos (En RD$/Tarea)]])</f>
        <v>17377.5263112607</v>
      </c>
      <c r="O2731" s="9" t="n">
        <f aca="false">IF(Tabla2[[#This Row],[Costos (En RD$/Tarea)]]=0,0,Tabla2[[#This Row],[Beneficio Neto  (En RD$/Tarea)]]/Tabla2[[#This Row],[Costos (En RD$/Tarea)]])</f>
        <v>1.84597627637861</v>
      </c>
      <c r="P2731" s="7" t="n">
        <f aca="false">Tabla2[[#This Row],[Rentabilidad (%)]]/12</f>
        <v>0.153831356364884</v>
      </c>
    </row>
    <row r="2732" customFormat="false" ht="14.25" hidden="false" customHeight="false" outlineLevel="0" collapsed="false">
      <c r="A2732" s="1" t="n">
        <v>43435</v>
      </c>
      <c r="B2732" s="2" t="s">
        <v>25</v>
      </c>
      <c r="C2732" s="3" t="n">
        <v>28599</v>
      </c>
      <c r="D2732" s="8" t="s">
        <v>17</v>
      </c>
      <c r="E2732" s="3" t="n">
        <f aca="false">IF(Tabla2[[#This Row],[Frecuencia]]="Annual", Tabla2[[#This Row],[Cosecha/Tarea]]/12,Tabla2[[#This Row],[Cosecha/Tarea]])</f>
        <v>28599</v>
      </c>
      <c r="F2732" s="3" t="n">
        <v>333569</v>
      </c>
      <c r="G2732" s="2" t="s">
        <v>18</v>
      </c>
      <c r="H2732" s="2" t="n">
        <f aca="false">F2732/Tabla2[[#This Row],[Cosecha Mensual]]</f>
        <v>11.6636595685164</v>
      </c>
      <c r="I2732" s="2" t="n">
        <f aca="false">H2732*_xlfn.XLOOKUP(Tabla2[[#This Row],[Unidad de producción]],Tabla3[Medida],Tabla3[Equivalencia en Kg],"ELVIS",0)</f>
        <v>529.063598027903</v>
      </c>
      <c r="J2732" s="2" t="n">
        <v>866.284904761905</v>
      </c>
      <c r="K2732" s="2" t="s">
        <v>18</v>
      </c>
      <c r="L2732" s="2" t="n">
        <f aca="false">J2732/_xlfn.XLOOKUP(Tabla2[[#This Row],[Unidad de precio]],Tabla3[Medida],Tabla3[Equivalencia en Kg],"ELVIS",0)</f>
        <v>19.0979917275552</v>
      </c>
      <c r="M2732" s="2" t="n">
        <v>4549.76899317218</v>
      </c>
      <c r="N2732" s="3" t="n">
        <f aca="false">(Tabla2[[#This Row],[Productividad (kg/TAS)]]*Tabla2[[#This Row],[Precio por kg]]-Tabla2[[#This Row],[Costos (En RD$/Tarea)]])</f>
        <v>5554.28322531532</v>
      </c>
      <c r="O2732" s="9" t="n">
        <f aca="false">IF(Tabla2[[#This Row],[Costos (En RD$/Tarea)]]=0,0,Tabla2[[#This Row],[Beneficio Neto  (En RD$/Tarea)]]/Tabla2[[#This Row],[Costos (En RD$/Tarea)]])</f>
        <v>1.22078356805601</v>
      </c>
      <c r="P2732" s="7" t="n">
        <f aca="false">Tabla2[[#This Row],[Rentabilidad (%)]]/12</f>
        <v>0.101731964004667</v>
      </c>
    </row>
    <row r="2733" customFormat="false" ht="14.25" hidden="false" customHeight="false" outlineLevel="0" collapsed="false">
      <c r="A2733" s="1" t="n">
        <v>43435</v>
      </c>
      <c r="B2733" s="2" t="s">
        <v>26</v>
      </c>
      <c r="C2733" s="3" t="n">
        <v>14201</v>
      </c>
      <c r="D2733" s="8" t="s">
        <v>17</v>
      </c>
      <c r="E2733" s="3" t="n">
        <f aca="false">IF(Tabla2[[#This Row],[Frecuencia]]="Annual", Tabla2[[#This Row],[Cosecha/Tarea]]/12,Tabla2[[#This Row],[Cosecha/Tarea]])</f>
        <v>14201</v>
      </c>
      <c r="F2733" s="3" t="n">
        <v>98998</v>
      </c>
      <c r="G2733" s="2" t="s">
        <v>18</v>
      </c>
      <c r="H2733" s="2" t="n">
        <f aca="false">F2733/Tabla2[[#This Row],[Cosecha Mensual]]</f>
        <v>6.97119921132315</v>
      </c>
      <c r="I2733" s="2" t="n">
        <f aca="false">H2733*_xlfn.XLOOKUP(Tabla2[[#This Row],[Unidad de producción]],Tabla3[Medida],Tabla3[Equivalencia en Kg],"ELVIS",0)</f>
        <v>316.213596225618</v>
      </c>
      <c r="J2733" s="2" t="n">
        <v>942.523809523809</v>
      </c>
      <c r="K2733" s="2" t="s">
        <v>18</v>
      </c>
      <c r="L2733" s="2" t="n">
        <f aca="false">J2733/_xlfn.XLOOKUP(Tabla2[[#This Row],[Unidad de precio]],Tabla3[Medida],Tabla3[Equivalencia en Kg],"ELVIS",0)</f>
        <v>20.7787435962039</v>
      </c>
      <c r="M2733" s="2" t="n">
        <v>1733.52094425</v>
      </c>
      <c r="N2733" s="3" t="n">
        <f aca="false">(Tabla2[[#This Row],[Productividad (kg/TAS)]]*Tabla2[[#This Row],[Precio por kg]]-Tabla2[[#This Row],[Costos (En RD$/Tarea)]])</f>
        <v>4837.00029335566</v>
      </c>
      <c r="O2733" s="9" t="n">
        <f aca="false">IF(Tabla2[[#This Row],[Costos (En RD$/Tarea)]]=0,0,Tabla2[[#This Row],[Beneficio Neto  (En RD$/Tarea)]]/Tabla2[[#This Row],[Costos (En RD$/Tarea)]])</f>
        <v>2.79027508112881</v>
      </c>
      <c r="P2733" s="7" t="n">
        <f aca="false">Tabla2[[#This Row],[Rentabilidad (%)]]/12</f>
        <v>0.232522923427401</v>
      </c>
    </row>
    <row r="2734" customFormat="false" ht="14.25" hidden="false" customHeight="false" outlineLevel="0" collapsed="false">
      <c r="A2734" s="1" t="n">
        <v>43435</v>
      </c>
      <c r="B2734" s="2" t="s">
        <v>27</v>
      </c>
      <c r="C2734" s="3" t="n">
        <v>7674</v>
      </c>
      <c r="D2734" s="8" t="s">
        <v>17</v>
      </c>
      <c r="E2734" s="3" t="n">
        <f aca="false">IF(Tabla2[[#This Row],[Frecuencia]]="Annual", Tabla2[[#This Row],[Cosecha/Tarea]]/12,Tabla2[[#This Row],[Cosecha/Tarea]])</f>
        <v>7674</v>
      </c>
      <c r="F2734" s="3" t="n">
        <v>47087</v>
      </c>
      <c r="G2734" s="2" t="s">
        <v>18</v>
      </c>
      <c r="H2734" s="2" t="n">
        <f aca="false">F2734/Tabla2[[#This Row],[Cosecha Mensual]]</f>
        <v>6.13591347406828</v>
      </c>
      <c r="I2734" s="2" t="n">
        <f aca="false">H2734*_xlfn.XLOOKUP(Tabla2[[#This Row],[Unidad de producción]],Tabla3[Medida],Tabla3[Equivalencia en Kg],"ELVIS",0)</f>
        <v>278.325035183737</v>
      </c>
      <c r="J2734" s="2" t="n">
        <v>788.833333333333</v>
      </c>
      <c r="K2734" s="2" t="s">
        <v>18</v>
      </c>
      <c r="L2734" s="2" t="n">
        <f aca="false">J2734/_xlfn.XLOOKUP(Tabla2[[#This Row],[Unidad de precio]],Tabla3[Medida],Tabla3[Equivalencia en Kg],"ELVIS",0)</f>
        <v>17.39050558495</v>
      </c>
      <c r="M2734" s="2" t="n">
        <v>9289.57547778</v>
      </c>
      <c r="N2734" s="3" t="n">
        <f aca="false">(Tabla2[[#This Row],[Productividad (kg/TAS)]]*Tabla2[[#This Row],[Precio por kg]]-Tabla2[[#This Row],[Costos (En RD$/Tarea)]])</f>
        <v>-4449.3623989858</v>
      </c>
      <c r="O2734" s="9" t="n">
        <f aca="false">IF(Tabla2[[#This Row],[Costos (En RD$/Tarea)]]=0,0,Tabla2[[#This Row],[Beneficio Neto  (En RD$/Tarea)]]/Tabla2[[#This Row],[Costos (En RD$/Tarea)]])</f>
        <v>-0.47896294180809</v>
      </c>
      <c r="P2734" s="7" t="n">
        <f aca="false">Tabla2[[#This Row],[Rentabilidad (%)]]/12</f>
        <v>-0.0399135784840075</v>
      </c>
    </row>
    <row r="2735" customFormat="false" ht="14.25" hidden="false" customHeight="false" outlineLevel="0" collapsed="false">
      <c r="A2735" s="1" t="n">
        <v>43435</v>
      </c>
      <c r="B2735" s="2" t="s">
        <v>28</v>
      </c>
      <c r="C2735" s="3" t="n">
        <v>67845</v>
      </c>
      <c r="D2735" s="8" t="s">
        <v>17</v>
      </c>
      <c r="E2735" s="3" t="n">
        <f aca="false">IF(Tabla2[[#This Row],[Frecuencia]]="Annual", Tabla2[[#This Row],[Cosecha/Tarea]]/12,Tabla2[[#This Row],[Cosecha/Tarea]])</f>
        <v>67845</v>
      </c>
      <c r="F2735" s="3" t="n">
        <v>1382892</v>
      </c>
      <c r="G2735" s="2" t="s">
        <v>18</v>
      </c>
      <c r="H2735" s="2" t="n">
        <f aca="false">F2735/Tabla2[[#This Row],[Cosecha Mensual]]</f>
        <v>20.383108556268</v>
      </c>
      <c r="I2735" s="2" t="n">
        <f aca="false">H2735*_xlfn.XLOOKUP(Tabla2[[#This Row],[Unidad de producción]],Tabla3[Medida],Tabla3[Equivalencia en Kg],"ELVIS",0)</f>
        <v>924.577804112315</v>
      </c>
      <c r="J2735" s="2" t="n">
        <v>6563.38666666667</v>
      </c>
      <c r="K2735" s="2" t="s">
        <v>29</v>
      </c>
      <c r="L2735" s="2" t="n">
        <f aca="false">J2735/_xlfn.XLOOKUP(Tabla2[[#This Row],[Unidad de precio]],Tabla3[Medida],Tabla3[Equivalencia en Kg],"ELVIS",0)</f>
        <v>11.6715628741805</v>
      </c>
      <c r="M2735" s="2" t="n">
        <v>7167.67993212066</v>
      </c>
      <c r="N2735" s="3" t="n">
        <f aca="false">(Tabla2[[#This Row],[Productividad (kg/TAS)]]*Tabla2[[#This Row],[Precio por kg]]-Tabla2[[#This Row],[Costos (En RD$/Tarea)]])</f>
        <v>3623.58804064798</v>
      </c>
      <c r="O2735" s="9" t="n">
        <f aca="false">IF(Tabla2[[#This Row],[Costos (En RD$/Tarea)]]=0,0,Tabla2[[#This Row],[Beneficio Neto  (En RD$/Tarea)]]/Tabla2[[#This Row],[Costos (En RD$/Tarea)]])</f>
        <v>0.505545458916144</v>
      </c>
      <c r="P2735" s="7" t="n">
        <f aca="false">Tabla2[[#This Row],[Rentabilidad (%)]]/12</f>
        <v>0.042128788243012</v>
      </c>
    </row>
    <row r="2736" customFormat="false" ht="14.25" hidden="false" customHeight="false" outlineLevel="0" collapsed="false">
      <c r="A2736" s="1" t="n">
        <v>43435</v>
      </c>
      <c r="B2736" s="2" t="s">
        <v>30</v>
      </c>
      <c r="C2736" s="3" t="n">
        <v>398021</v>
      </c>
      <c r="D2736" s="3" t="s">
        <v>31</v>
      </c>
      <c r="E2736" s="3" t="n">
        <f aca="false">IF(Tabla2[[#This Row],[Frecuencia]]="Annual", Tabla2[[#This Row],[Cosecha/Tarea]]/12,Tabla2[[#This Row],[Cosecha/Tarea]])</f>
        <v>33168.4166666667</v>
      </c>
      <c r="F2736" s="3" t="n">
        <v>2081164.8</v>
      </c>
      <c r="G2736" s="2" t="s">
        <v>18</v>
      </c>
      <c r="H2736" s="2" t="n">
        <f aca="false">F2736/Tabla2[[#This Row],[Cosecha Mensual]]</f>
        <v>62.7453767514779</v>
      </c>
      <c r="I2736" s="2" t="n">
        <f aca="false">H2736*_xlfn.XLOOKUP(Tabla2[[#This Row],[Unidad de producción]],Tabla3[Medida],Tabla3[Equivalencia en Kg],"ELVIS",0)</f>
        <v>2846.13028944704</v>
      </c>
      <c r="J2736" s="2" t="n">
        <v>141.565476190476</v>
      </c>
      <c r="K2736" s="2" t="s">
        <v>32</v>
      </c>
      <c r="L2736" s="2" t="n">
        <f aca="false">J2736/_xlfn.XLOOKUP(Tabla2[[#This Row],[Unidad de precio]],Tabla3[Medida],Tabla3[Equivalencia en Kg],"ELVIS",0)</f>
        <v>5.20270033776097</v>
      </c>
      <c r="M2736" s="3" t="n">
        <v>34069.662396</v>
      </c>
      <c r="N2736" s="3" t="n">
        <f aca="false">(Tabla2[[#This Row],[Productividad (kg/TAS)]]*Tabla2[[#This Row],[Precio por kg]]-Tabla2[[#This Row],[Costos (En RD$/Tarea)]])</f>
        <v>-19262.0993777822</v>
      </c>
      <c r="O2736" s="9" t="n">
        <f aca="false">IF(Tabla2[[#This Row],[Costos (En RD$/Tarea)]]=0,0,Tabla2[[#This Row],[Beneficio Neto  (En RD$/Tarea)]]/Tabla2[[#This Row],[Costos (En RD$/Tarea)]])</f>
        <v>-0.565373943360344</v>
      </c>
      <c r="P2736" s="7" t="n">
        <f aca="false">Tabla2[[#This Row],[Rentabilidad (%)]]/12</f>
        <v>-0.0471144952800287</v>
      </c>
    </row>
    <row r="2737" customFormat="false" ht="14.25" hidden="false" customHeight="false" outlineLevel="0" collapsed="false">
      <c r="A2737" s="1" t="n">
        <v>43435</v>
      </c>
      <c r="B2737" s="2" t="s">
        <v>33</v>
      </c>
      <c r="C2737" s="3" t="n">
        <v>789541</v>
      </c>
      <c r="D2737" s="3" t="s">
        <v>31</v>
      </c>
      <c r="E2737" s="3" t="n">
        <f aca="false">IF(Tabla2[[#This Row],[Frecuencia]]="Annual", Tabla2[[#This Row],[Cosecha/Tarea]]/12,Tabla2[[#This Row],[Cosecha/Tarea]])</f>
        <v>65795.0833333333</v>
      </c>
      <c r="F2737" s="3" t="n">
        <v>1387943.89659524</v>
      </c>
      <c r="G2737" s="2" t="s">
        <v>18</v>
      </c>
      <c r="H2737" s="2" t="n">
        <f aca="false">F2737/Tabla2[[#This Row],[Cosecha Mensual]]</f>
        <v>21.0949485323028</v>
      </c>
      <c r="I2737" s="2" t="n">
        <f aca="false">H2737*_xlfn.XLOOKUP(Tabla2[[#This Row],[Unidad de producción]],Tabla3[Medida],Tabla3[Equivalencia en Kg],"ELVIS",0)</f>
        <v>956.866865425255</v>
      </c>
      <c r="J2737" s="2" t="n">
        <v>6962.17857142857</v>
      </c>
      <c r="K2737" s="2" t="s">
        <v>34</v>
      </c>
      <c r="L2737" s="2" t="n">
        <f aca="false">J2737/_xlfn.XLOOKUP(Tabla2[[#This Row],[Unidad de precio]],Tabla3[Medida],Tabla3[Equivalencia en Kg],"ELVIS",0)</f>
        <v>17.0578918814861</v>
      </c>
      <c r="M2737" s="3" t="n">
        <v>22932.1463359308</v>
      </c>
      <c r="N2737" s="3" t="n">
        <f aca="false">(Tabla2[[#This Row],[Productividad (kg/TAS)]]*Tabla2[[#This Row],[Precio por kg]]-Tabla2[[#This Row],[Costos (En RD$/Tarea)]])</f>
        <v>-6610.01480053025</v>
      </c>
      <c r="O2737" s="9" t="n">
        <f aca="false">IF(Tabla2[[#This Row],[Costos (En RD$/Tarea)]]=0,0,Tabla2[[#This Row],[Beneficio Neto  (En RD$/Tarea)]]/Tabla2[[#This Row],[Costos (En RD$/Tarea)]])</f>
        <v>-0.288242308578568</v>
      </c>
      <c r="P2737" s="7" t="n">
        <f aca="false">Tabla2[[#This Row],[Rentabilidad (%)]]/12</f>
        <v>-0.0240201923815474</v>
      </c>
    </row>
    <row r="2738" customFormat="false" ht="14.25" hidden="false" customHeight="false" outlineLevel="0" collapsed="false">
      <c r="A2738" s="1" t="n">
        <v>43466</v>
      </c>
      <c r="B2738" s="2" t="s">
        <v>16</v>
      </c>
      <c r="C2738" s="3" t="n">
        <v>21379</v>
      </c>
      <c r="D2738" s="8" t="s">
        <v>17</v>
      </c>
      <c r="E2738" s="3" t="n">
        <f aca="false">IF(Tabla2[[#This Row],[Frecuencia]]="Annual", Tabla2[[#This Row],[Cosecha/Tarea]]/12,Tabla2[[#This Row],[Cosecha/Tarea]])</f>
        <v>21379</v>
      </c>
      <c r="F2738" s="3" t="n">
        <v>75147</v>
      </c>
      <c r="G2738" s="2" t="s">
        <v>18</v>
      </c>
      <c r="H2738" s="2" t="n">
        <f aca="false">F2738/Tabla2[[#This Row],[Cosecha Mensual]]</f>
        <v>3.51499134664858</v>
      </c>
      <c r="I2738" s="2" t="n">
        <f aca="false">H2738*_xlfn.XLOOKUP(Tabla2[[#This Row],[Unidad de producción]],Tabla3[Medida],Tabla3[Equivalencia en Kg],"ELVIS",0)</f>
        <v>159.44000748398</v>
      </c>
      <c r="J2738" s="2" t="n">
        <v>2202.1838864442</v>
      </c>
      <c r="K2738" s="2" t="s">
        <v>19</v>
      </c>
      <c r="L2738" s="2" t="n">
        <f aca="false">J2738/_xlfn.XLOOKUP(Tabla2[[#This Row],[Unidad de precio]],Tabla3[Medida],Tabla3[Equivalencia en Kg],"ELVIS",0)</f>
        <v>20.0198535131291</v>
      </c>
      <c r="M2738" s="2" t="n">
        <v>6284.7907932017</v>
      </c>
      <c r="N2738" s="3" t="n">
        <f aca="false">(Tabla2[[#This Row],[Productividad (kg/TAS)]]*Tabla2[[#This Row],[Precio por kg]]-Tabla2[[#This Row],[Costos (En RD$/Tarea)]])</f>
        <v>-3092.82519924022</v>
      </c>
      <c r="O2738" s="9" t="n">
        <f aca="false">IF(Tabla2[[#This Row],[Costos (En RD$/Tarea)]]=0,0,Tabla2[[#This Row],[Beneficio Neto  (En RD$/Tarea)]]/Tabla2[[#This Row],[Costos (En RD$/Tarea)]])</f>
        <v>-0.492112673437874</v>
      </c>
      <c r="P2738" s="7" t="n">
        <f aca="false">Tabla2[[#This Row],[Rentabilidad (%)]]/12</f>
        <v>-0.0410093894531561</v>
      </c>
    </row>
    <row r="2739" customFormat="false" ht="14.25" hidden="false" customHeight="false" outlineLevel="0" collapsed="false">
      <c r="A2739" s="1" t="n">
        <v>43466</v>
      </c>
      <c r="B2739" s="2" t="s">
        <v>20</v>
      </c>
      <c r="C2739" s="3" t="n">
        <v>54602</v>
      </c>
      <c r="D2739" s="8" t="s">
        <v>17</v>
      </c>
      <c r="E2739" s="3" t="n">
        <f aca="false">IF(Tabla2[[#This Row],[Frecuencia]]="Annual", Tabla2[[#This Row],[Cosecha/Tarea]]/12,Tabla2[[#This Row],[Cosecha/Tarea]])</f>
        <v>54602</v>
      </c>
      <c r="F2739" s="3" t="n">
        <v>101201</v>
      </c>
      <c r="G2739" s="2" t="s">
        <v>18</v>
      </c>
      <c r="H2739" s="2" t="n">
        <f aca="false">F2739/Tabla2[[#This Row],[Cosecha Mensual]]</f>
        <v>1.85343027727922</v>
      </c>
      <c r="I2739" s="2" t="n">
        <f aca="false">H2739*_xlfn.XLOOKUP(Tabla2[[#This Row],[Unidad de producción]],Tabla3[Medida],Tabla3[Equivalencia en Kg],"ELVIS",0)</f>
        <v>84.0715973773854</v>
      </c>
      <c r="J2739" s="2" t="n">
        <v>941.220182291667</v>
      </c>
      <c r="K2739" s="2" t="s">
        <v>18</v>
      </c>
      <c r="L2739" s="2" t="n">
        <f aca="false">J2739/_xlfn.XLOOKUP(Tabla2[[#This Row],[Unidad de precio]],Tabla3[Medida],Tabla3[Equivalencia en Kg],"ELVIS",0)</f>
        <v>20.7500040187757</v>
      </c>
      <c r="M2739" s="2" t="n">
        <v>2409.24360044496</v>
      </c>
      <c r="N2739" s="3" t="n">
        <f aca="false">(Tabla2[[#This Row],[Productividad (kg/TAS)]]*Tabla2[[#This Row],[Precio por kg]]-Tabla2[[#This Row],[Costos (En RD$/Tarea)]])</f>
        <v>-664.757616999317</v>
      </c>
      <c r="O2739" s="9" t="n">
        <f aca="false">IF(Tabla2[[#This Row],[Costos (En RD$/Tarea)]]=0,0,Tabla2[[#This Row],[Beneficio Neto  (En RD$/Tarea)]]/Tabla2[[#This Row],[Costos (En RD$/Tarea)]])</f>
        <v>-0.275919635887606</v>
      </c>
      <c r="P2739" s="7" t="n">
        <f aca="false">Tabla2[[#This Row],[Rentabilidad (%)]]/12</f>
        <v>-0.0229933029906338</v>
      </c>
    </row>
    <row r="2740" customFormat="false" ht="14.25" hidden="false" customHeight="false" outlineLevel="0" collapsed="false">
      <c r="A2740" s="1" t="n">
        <v>43466</v>
      </c>
      <c r="B2740" s="2" t="s">
        <v>21</v>
      </c>
      <c r="C2740" s="3" t="n">
        <v>6098</v>
      </c>
      <c r="D2740" s="8" t="s">
        <v>17</v>
      </c>
      <c r="E2740" s="3" t="n">
        <f aca="false">IF(Tabla2[[#This Row],[Frecuencia]]="Annual", Tabla2[[#This Row],[Cosecha/Tarea]]/12,Tabla2[[#This Row],[Cosecha/Tarea]])</f>
        <v>6098</v>
      </c>
      <c r="F2740" s="3" t="n">
        <v>82847</v>
      </c>
      <c r="G2740" s="2" t="s">
        <v>18</v>
      </c>
      <c r="H2740" s="2" t="n">
        <f aca="false">F2740/Tabla2[[#This Row],[Cosecha Mensual]]</f>
        <v>13.5859298130535</v>
      </c>
      <c r="I2740" s="2" t="n">
        <f aca="false">H2740*_xlfn.XLOOKUP(Tabla2[[#This Row],[Unidad de producción]],Tabla3[Medida],Tabla3[Equivalencia en Kg],"ELVIS",0)</f>
        <v>616.257776320105</v>
      </c>
      <c r="J2740" s="2" t="n">
        <v>600.776785714286</v>
      </c>
      <c r="K2740" s="2" t="s">
        <v>18</v>
      </c>
      <c r="L2740" s="2" t="n">
        <f aca="false">J2740/_xlfn.XLOOKUP(Tabla2[[#This Row],[Unidad de precio]],Tabla3[Medida],Tabla3[Equivalencia en Kg],"ELVIS",0)</f>
        <v>13.244638133031</v>
      </c>
      <c r="M2740" s="2" t="n">
        <v>5846.970079582</v>
      </c>
      <c r="N2740" s="3" t="n">
        <f aca="false">(Tabla2[[#This Row],[Productividad (kg/TAS)]]*Tabla2[[#This Row],[Precio por kg]]-Tabla2[[#This Row],[Costos (En RD$/Tarea)]])</f>
        <v>2315.14116444415</v>
      </c>
      <c r="O2740" s="9" t="n">
        <f aca="false">IF(Tabla2[[#This Row],[Costos (En RD$/Tarea)]]=0,0,Tabla2[[#This Row],[Beneficio Neto  (En RD$/Tarea)]]/Tabla2[[#This Row],[Costos (En RD$/Tarea)]])</f>
        <v>0.395955705764387</v>
      </c>
      <c r="P2740" s="7" t="n">
        <f aca="false">Tabla2[[#This Row],[Rentabilidad (%)]]/12</f>
        <v>0.032996308813699</v>
      </c>
    </row>
    <row r="2741" customFormat="false" ht="14.25" hidden="false" customHeight="false" outlineLevel="0" collapsed="false">
      <c r="A2741" s="1" t="n">
        <v>43466</v>
      </c>
      <c r="B2741" s="2" t="s">
        <v>22</v>
      </c>
      <c r="C2741" s="3" t="n">
        <v>10214</v>
      </c>
      <c r="D2741" s="8" t="s">
        <v>17</v>
      </c>
      <c r="E2741" s="3" t="n">
        <f aca="false">IF(Tabla2[[#This Row],[Frecuencia]]="Annual", Tabla2[[#This Row],[Cosecha/Tarea]]/12,Tabla2[[#This Row],[Cosecha/Tarea]])</f>
        <v>10214</v>
      </c>
      <c r="F2741" s="3" t="n">
        <v>85412</v>
      </c>
      <c r="G2741" s="2" t="s">
        <v>18</v>
      </c>
      <c r="H2741" s="2" t="n">
        <f aca="false">F2741/Tabla2[[#This Row],[Cosecha Mensual]]</f>
        <v>8.36224789504602</v>
      </c>
      <c r="I2741" s="2" t="n">
        <f aca="false">H2741*_xlfn.XLOOKUP(Tabla2[[#This Row],[Unidad de producción]],Tabla3[Medida],Tabla3[Equivalencia en Kg],"ELVIS",0)</f>
        <v>379.311564519287</v>
      </c>
      <c r="J2741" s="2" t="n">
        <v>1255.2265625</v>
      </c>
      <c r="K2741" s="2" t="s">
        <v>18</v>
      </c>
      <c r="L2741" s="2" t="n">
        <f aca="false">J2741/_xlfn.XLOOKUP(Tabla2[[#This Row],[Unidad de precio]],Tabla3[Medida],Tabla3[Equivalencia en Kg],"ELVIS",0)</f>
        <v>27.6725432649912</v>
      </c>
      <c r="M2741" s="2" t="n">
        <v>10137.37206528</v>
      </c>
      <c r="N2741" s="3" t="n">
        <f aca="false">(Tabla2[[#This Row],[Productividad (kg/TAS)]]*Tabla2[[#This Row],[Precio por kg]]-Tabla2[[#This Row],[Costos (En RD$/Tarea)]])</f>
        <v>359.143614791472</v>
      </c>
      <c r="O2741" s="9" t="n">
        <f aca="false">IF(Tabla2[[#This Row],[Costos (En RD$/Tarea)]]=0,0,Tabla2[[#This Row],[Beneficio Neto  (En RD$/Tarea)]]/Tabla2[[#This Row],[Costos (En RD$/Tarea)]])</f>
        <v>0.0354276840663194</v>
      </c>
      <c r="P2741" s="7" t="n">
        <f aca="false">Tabla2[[#This Row],[Rentabilidad (%)]]/12</f>
        <v>0.00295230700552662</v>
      </c>
    </row>
    <row r="2742" customFormat="false" ht="14.25" hidden="false" customHeight="false" outlineLevel="0" collapsed="false">
      <c r="A2742" s="1" t="n">
        <v>43466</v>
      </c>
      <c r="B2742" s="2" t="s">
        <v>23</v>
      </c>
      <c r="C2742" s="3" t="n">
        <v>5001</v>
      </c>
      <c r="D2742" s="8" t="s">
        <v>17</v>
      </c>
      <c r="E2742" s="3" t="n">
        <f aca="false">IF(Tabla2[[#This Row],[Frecuencia]]="Annual", Tabla2[[#This Row],[Cosecha/Tarea]]/12,Tabla2[[#This Row],[Cosecha/Tarea]])</f>
        <v>5001</v>
      </c>
      <c r="F2742" s="3" t="n">
        <v>142578</v>
      </c>
      <c r="G2742" s="2" t="s">
        <v>18</v>
      </c>
      <c r="H2742" s="2" t="n">
        <f aca="false">F2742/Tabla2[[#This Row],[Cosecha Mensual]]</f>
        <v>28.5098980203959</v>
      </c>
      <c r="I2742" s="2" t="n">
        <f aca="false">H2742*_xlfn.XLOOKUP(Tabla2[[#This Row],[Unidad de producción]],Tabla3[Medida],Tabla3[Equivalencia en Kg],"ELVIS",0)</f>
        <v>1293.20897420516</v>
      </c>
      <c r="J2742" s="2" t="n">
        <v>925.166666666667</v>
      </c>
      <c r="K2742" s="2" t="s">
        <v>18</v>
      </c>
      <c r="L2742" s="2" t="n">
        <f aca="false">J2742/_xlfn.XLOOKUP(Tabla2[[#This Row],[Unidad de precio]],Tabla3[Medida],Tabla3[Equivalencia en Kg],"ELVIS",0)</f>
        <v>20.3960905349794</v>
      </c>
      <c r="M2742" s="2" t="n">
        <v>26088.2600080873</v>
      </c>
      <c r="N2742" s="3" t="n">
        <f aca="false">(Tabla2[[#This Row],[Productividad (kg/TAS)]]*Tabla2[[#This Row],[Precio por kg]]-Tabla2[[#This Row],[Costos (En RD$/Tarea)]])</f>
        <v>288.147310449</v>
      </c>
      <c r="O2742" s="9" t="n">
        <f aca="false">IF(Tabla2[[#This Row],[Costos (En RD$/Tarea)]]=0,0,Tabla2[[#This Row],[Beneficio Neto  (En RD$/Tarea)]]/Tabla2[[#This Row],[Costos (En RD$/Tarea)]])</f>
        <v>0.0110450950105402</v>
      </c>
      <c r="P2742" s="7" t="n">
        <f aca="false">Tabla2[[#This Row],[Rentabilidad (%)]]/12</f>
        <v>0.000920424584211681</v>
      </c>
    </row>
    <row r="2743" customFormat="false" ht="14.25" hidden="false" customHeight="false" outlineLevel="0" collapsed="false">
      <c r="A2743" s="1" t="n">
        <v>43466</v>
      </c>
      <c r="B2743" s="2" t="s">
        <v>24</v>
      </c>
      <c r="C2743" s="3" t="n">
        <v>5421</v>
      </c>
      <c r="D2743" s="8" t="s">
        <v>17</v>
      </c>
      <c r="E2743" s="3" t="n">
        <f aca="false">IF(Tabla2[[#This Row],[Frecuencia]]="Annual", Tabla2[[#This Row],[Cosecha/Tarea]]/12,Tabla2[[#This Row],[Cosecha/Tarea]])</f>
        <v>5421</v>
      </c>
      <c r="F2743" s="3" t="n">
        <v>65214</v>
      </c>
      <c r="G2743" s="2" t="s">
        <v>18</v>
      </c>
      <c r="H2743" s="2" t="n">
        <f aca="false">F2743/Tabla2[[#This Row],[Cosecha Mensual]]</f>
        <v>12.0298837852795</v>
      </c>
      <c r="I2743" s="2" t="n">
        <f aca="false">H2743*_xlfn.XLOOKUP(Tabla2[[#This Row],[Unidad de producción]],Tabla3[Medida],Tabla3[Equivalencia en Kg],"ELVIS",0)</f>
        <v>545.675528500277</v>
      </c>
      <c r="J2743" s="2" t="n">
        <v>2439.69427083333</v>
      </c>
      <c r="K2743" s="2" t="s">
        <v>18</v>
      </c>
      <c r="L2743" s="2" t="n">
        <f aca="false">J2743/_xlfn.XLOOKUP(Tabla2[[#This Row],[Unidad de precio]],Tabla3[Medida],Tabla3[Equivalencia en Kg],"ELVIS",0)</f>
        <v>53.7851470642269</v>
      </c>
      <c r="M2743" s="2" t="n">
        <v>8388.8026628832</v>
      </c>
      <c r="N2743" s="3" t="n">
        <f aca="false">(Tabla2[[#This Row],[Productividad (kg/TAS)]]*Tabla2[[#This Row],[Precio por kg]]-Tabla2[[#This Row],[Costos (En RD$/Tarea)]])</f>
        <v>20960.4358868539</v>
      </c>
      <c r="O2743" s="9" t="n">
        <f aca="false">IF(Tabla2[[#This Row],[Costos (En RD$/Tarea)]]=0,0,Tabla2[[#This Row],[Beneficio Neto  (En RD$/Tarea)]]/Tabla2[[#This Row],[Costos (En RD$/Tarea)]])</f>
        <v>2.49862068869431</v>
      </c>
      <c r="P2743" s="7" t="n">
        <f aca="false">Tabla2[[#This Row],[Rentabilidad (%)]]/12</f>
        <v>0.208218390724526</v>
      </c>
    </row>
    <row r="2744" customFormat="false" ht="14.25" hidden="false" customHeight="false" outlineLevel="0" collapsed="false">
      <c r="A2744" s="1" t="n">
        <v>43466</v>
      </c>
      <c r="B2744" s="2" t="s">
        <v>25</v>
      </c>
      <c r="C2744" s="3" t="n">
        <v>25641</v>
      </c>
      <c r="D2744" s="8" t="s">
        <v>17</v>
      </c>
      <c r="E2744" s="3" t="n">
        <f aca="false">IF(Tabla2[[#This Row],[Frecuencia]]="Annual", Tabla2[[#This Row],[Cosecha/Tarea]]/12,Tabla2[[#This Row],[Cosecha/Tarea]])</f>
        <v>25641</v>
      </c>
      <c r="F2744" s="3" t="n">
        <v>271548</v>
      </c>
      <c r="G2744" s="2" t="s">
        <v>18</v>
      </c>
      <c r="H2744" s="2" t="n">
        <f aca="false">F2744/Tabla2[[#This Row],[Cosecha Mensual]]</f>
        <v>10.5903825903826</v>
      </c>
      <c r="I2744" s="2" t="n">
        <f aca="false">H2744*_xlfn.XLOOKUP(Tabla2[[#This Row],[Unidad de producción]],Tabla3[Medida],Tabla3[Equivalencia en Kg],"ELVIS",0)</f>
        <v>480.379754299754</v>
      </c>
      <c r="J2744" s="2" t="n">
        <v>835.757395833333</v>
      </c>
      <c r="K2744" s="2" t="s">
        <v>18</v>
      </c>
      <c r="L2744" s="2" t="n">
        <f aca="false">J2744/_xlfn.XLOOKUP(Tabla2[[#This Row],[Unidad de precio]],Tabla3[Medida],Tabla3[Equivalencia en Kg],"ELVIS",0)</f>
        <v>18.424986680629</v>
      </c>
      <c r="M2744" s="2" t="n">
        <v>4718.29149012608</v>
      </c>
      <c r="N2744" s="3" t="n">
        <f aca="false">(Tabla2[[#This Row],[Productividad (kg/TAS)]]*Tabla2[[#This Row],[Precio por kg]]-Tabla2[[#This Row],[Costos (En RD$/Tarea)]])</f>
        <v>4132.69908449074</v>
      </c>
      <c r="O2744" s="9" t="n">
        <f aca="false">IF(Tabla2[[#This Row],[Costos (En RD$/Tarea)]]=0,0,Tabla2[[#This Row],[Beneficio Neto  (En RD$/Tarea)]]/Tabla2[[#This Row],[Costos (En RD$/Tarea)]])</f>
        <v>0.875888887564323</v>
      </c>
      <c r="P2744" s="7" t="n">
        <f aca="false">Tabla2[[#This Row],[Rentabilidad (%)]]/12</f>
        <v>0.0729907406303602</v>
      </c>
    </row>
    <row r="2745" customFormat="false" ht="14.25" hidden="false" customHeight="false" outlineLevel="0" collapsed="false">
      <c r="A2745" s="1" t="n">
        <v>43466</v>
      </c>
      <c r="B2745" s="2" t="s">
        <v>26</v>
      </c>
      <c r="C2745" s="3" t="n">
        <v>13542</v>
      </c>
      <c r="D2745" s="8" t="s">
        <v>17</v>
      </c>
      <c r="E2745" s="3" t="n">
        <f aca="false">IF(Tabla2[[#This Row],[Frecuencia]]="Annual", Tabla2[[#This Row],[Cosecha/Tarea]]/12,Tabla2[[#This Row],[Cosecha/Tarea]])</f>
        <v>13542</v>
      </c>
      <c r="F2745" s="3" t="n">
        <v>87524</v>
      </c>
      <c r="G2745" s="2" t="s">
        <v>18</v>
      </c>
      <c r="H2745" s="2" t="n">
        <f aca="false">F2745/Tabla2[[#This Row],[Cosecha Mensual]]</f>
        <v>6.46315167626643</v>
      </c>
      <c r="I2745" s="2" t="n">
        <f aca="false">H2745*_xlfn.XLOOKUP(Tabla2[[#This Row],[Unidad de producción]],Tabla3[Medida],Tabla3[Equivalencia en Kg],"ELVIS",0)</f>
        <v>293.168560035445</v>
      </c>
      <c r="J2745" s="2" t="n">
        <v>908.926695833333</v>
      </c>
      <c r="K2745" s="2" t="s">
        <v>18</v>
      </c>
      <c r="L2745" s="2" t="n">
        <f aca="false">J2745/_xlfn.XLOOKUP(Tabla2[[#This Row],[Unidad de precio]],Tabla3[Medida],Tabla3[Equivalencia en Kg],"ELVIS",0)</f>
        <v>20.0380664866255</v>
      </c>
      <c r="M2745" s="2" t="n">
        <v>1668.6966112895</v>
      </c>
      <c r="N2745" s="3" t="n">
        <f aca="false">(Tabla2[[#This Row],[Productividad (kg/TAS)]]*Tabla2[[#This Row],[Precio por kg]]-Tabla2[[#This Row],[Costos (En RD$/Tarea)]])</f>
        <v>4205.83448648901</v>
      </c>
      <c r="O2745" s="9" t="n">
        <f aca="false">IF(Tabla2[[#This Row],[Costos (En RD$/Tarea)]]=0,0,Tabla2[[#This Row],[Beneficio Neto  (En RD$/Tarea)]]/Tabla2[[#This Row],[Costos (En RD$/Tarea)]])</f>
        <v>2.52043089081299</v>
      </c>
      <c r="P2745" s="7" t="n">
        <f aca="false">Tabla2[[#This Row],[Rentabilidad (%)]]/12</f>
        <v>0.210035907567749</v>
      </c>
    </row>
    <row r="2746" customFormat="false" ht="14.25" hidden="false" customHeight="false" outlineLevel="0" collapsed="false">
      <c r="A2746" s="1" t="n">
        <v>43466</v>
      </c>
      <c r="B2746" s="2" t="s">
        <v>27</v>
      </c>
      <c r="C2746" s="3" t="n">
        <v>7120</v>
      </c>
      <c r="D2746" s="8" t="s">
        <v>17</v>
      </c>
      <c r="E2746" s="3" t="n">
        <f aca="false">IF(Tabla2[[#This Row],[Frecuencia]]="Annual", Tabla2[[#This Row],[Cosecha/Tarea]]/12,Tabla2[[#This Row],[Cosecha/Tarea]])</f>
        <v>7120</v>
      </c>
      <c r="F2746" s="3" t="n">
        <v>61424</v>
      </c>
      <c r="G2746" s="2" t="s">
        <v>18</v>
      </c>
      <c r="H2746" s="2" t="n">
        <f aca="false">F2746/Tabla2[[#This Row],[Cosecha Mensual]]</f>
        <v>8.62696629213483</v>
      </c>
      <c r="I2746" s="2" t="n">
        <f aca="false">H2746*_xlfn.XLOOKUP(Tabla2[[#This Row],[Unidad de producción]],Tabla3[Medida],Tabla3[Equivalencia en Kg],"ELVIS",0)</f>
        <v>391.319191011236</v>
      </c>
      <c r="J2746" s="2" t="n">
        <v>707.915104166667</v>
      </c>
      <c r="K2746" s="2" t="s">
        <v>18</v>
      </c>
      <c r="L2746" s="2" t="n">
        <f aca="false">J2746/_xlfn.XLOOKUP(Tabla2[[#This Row],[Unidad de precio]],Tabla3[Medida],Tabla3[Equivalencia en Kg],"ELVIS",0)</f>
        <v>15.6065940072017</v>
      </c>
      <c r="M2746" s="2" t="n">
        <v>9222.1943510245</v>
      </c>
      <c r="N2746" s="3" t="n">
        <f aca="false">(Tabla2[[#This Row],[Productividad (kg/TAS)]]*Tabla2[[#This Row],[Precio por kg]]-Tabla2[[#This Row],[Costos (En RD$/Tarea)]])</f>
        <v>-3115.03460968555</v>
      </c>
      <c r="O2746" s="9" t="n">
        <f aca="false">IF(Tabla2[[#This Row],[Costos (En RD$/Tarea)]]=0,0,Tabla2[[#This Row],[Beneficio Neto  (En RD$/Tarea)]]/Tabla2[[#This Row],[Costos (En RD$/Tarea)]])</f>
        <v>-0.337775858013608</v>
      </c>
      <c r="P2746" s="7" t="n">
        <f aca="false">Tabla2[[#This Row],[Rentabilidad (%)]]/12</f>
        <v>-0.0281479881678006</v>
      </c>
    </row>
    <row r="2747" customFormat="false" ht="14.25" hidden="false" customHeight="false" outlineLevel="0" collapsed="false">
      <c r="A2747" s="1" t="n">
        <v>43466</v>
      </c>
      <c r="B2747" s="2" t="s">
        <v>28</v>
      </c>
      <c r="C2747" s="3" t="n">
        <v>68878</v>
      </c>
      <c r="D2747" s="8" t="s">
        <v>17</v>
      </c>
      <c r="E2747" s="3" t="n">
        <f aca="false">IF(Tabla2[[#This Row],[Frecuencia]]="Annual", Tabla2[[#This Row],[Cosecha/Tarea]]/12,Tabla2[[#This Row],[Cosecha/Tarea]])</f>
        <v>68878</v>
      </c>
      <c r="F2747" s="3" t="n">
        <v>1229448</v>
      </c>
      <c r="G2747" s="2" t="s">
        <v>18</v>
      </c>
      <c r="H2747" s="2" t="n">
        <f aca="false">F2747/Tabla2[[#This Row],[Cosecha Mensual]]</f>
        <v>17.8496472022997</v>
      </c>
      <c r="I2747" s="2" t="n">
        <f aca="false">H2747*_xlfn.XLOOKUP(Tabla2[[#This Row],[Unidad de producción]],Tabla3[Medida],Tabla3[Equivalencia en Kg],"ELVIS",0)</f>
        <v>809.659997096315</v>
      </c>
      <c r="J2747" s="2" t="n">
        <v>7223.75</v>
      </c>
      <c r="K2747" s="2" t="s">
        <v>29</v>
      </c>
      <c r="L2747" s="2" t="n">
        <f aca="false">J2747/_xlfn.XLOOKUP(Tabla2[[#This Row],[Unidad de precio]],Tabla3[Medida],Tabla3[Equivalencia en Kg],"ELVIS",0)</f>
        <v>12.84587616033</v>
      </c>
      <c r="M2747" s="2" t="n">
        <v>7149.9398177165</v>
      </c>
      <c r="N2747" s="3" t="n">
        <f aca="false">(Tabla2[[#This Row],[Productividad (kg/TAS)]]*Tabla2[[#This Row],[Precio por kg]]-Tabla2[[#This Row],[Costos (En RD$/Tarea)]])</f>
        <v>3250.85223695595</v>
      </c>
      <c r="O2747" s="9" t="n">
        <f aca="false">IF(Tabla2[[#This Row],[Costos (En RD$/Tarea)]]=0,0,Tabla2[[#This Row],[Beneficio Neto  (En RD$/Tarea)]]/Tabla2[[#This Row],[Costos (En RD$/Tarea)]])</f>
        <v>0.454668475516509</v>
      </c>
      <c r="P2747" s="7" t="n">
        <f aca="false">Tabla2[[#This Row],[Rentabilidad (%)]]/12</f>
        <v>0.0378890396263758</v>
      </c>
    </row>
    <row r="2748" customFormat="false" ht="14.25" hidden="false" customHeight="false" outlineLevel="0" collapsed="false">
      <c r="A2748" s="1" t="n">
        <v>43466</v>
      </c>
      <c r="B2748" s="2" t="s">
        <v>30</v>
      </c>
      <c r="C2748" s="3" t="n">
        <v>410214</v>
      </c>
      <c r="D2748" s="3" t="s">
        <v>31</v>
      </c>
      <c r="E2748" s="3" t="n">
        <f aca="false">IF(Tabla2[[#This Row],[Frecuencia]]="Annual", Tabla2[[#This Row],[Cosecha/Tarea]]/12,Tabla2[[#This Row],[Cosecha/Tarea]])</f>
        <v>34184.5</v>
      </c>
      <c r="F2748" s="3" t="n">
        <v>1872272.4</v>
      </c>
      <c r="G2748" s="2" t="s">
        <v>18</v>
      </c>
      <c r="H2748" s="2" t="n">
        <f aca="false">F2748/Tabla2[[#This Row],[Cosecha Mensual]]</f>
        <v>54.7696295104506</v>
      </c>
      <c r="I2748" s="2" t="n">
        <f aca="false">H2748*_xlfn.XLOOKUP(Tabla2[[#This Row],[Unidad de producción]],Tabla3[Medida],Tabla3[Equivalencia en Kg],"ELVIS",0)</f>
        <v>2484.35039459404</v>
      </c>
      <c r="J2748" s="2" t="n">
        <v>164.672916666667</v>
      </c>
      <c r="K2748" s="2" t="s">
        <v>32</v>
      </c>
      <c r="L2748" s="2" t="n">
        <f aca="false">J2748/_xlfn.XLOOKUP(Tabla2[[#This Row],[Unidad de precio]],Tabla3[Medida],Tabla3[Equivalencia en Kg],"ELVIS",0)</f>
        <v>6.0519263751072</v>
      </c>
      <c r="M2748" s="3" t="n">
        <v>35445.71794842</v>
      </c>
      <c r="N2748" s="3" t="n">
        <f aca="false">(Tabla2[[#This Row],[Productividad (kg/TAS)]]*Tabla2[[#This Row],[Precio por kg]]-Tabla2[[#This Row],[Costos (En RD$/Tarea)]])</f>
        <v>-20410.6122703683</v>
      </c>
      <c r="O2748" s="9" t="n">
        <f aca="false">IF(Tabla2[[#This Row],[Costos (En RD$/Tarea)]]=0,0,Tabla2[[#This Row],[Beneficio Neto  (En RD$/Tarea)]]/Tabla2[[#This Row],[Costos (En RD$/Tarea)]])</f>
        <v>-0.575827305855943</v>
      </c>
      <c r="P2748" s="7" t="n">
        <f aca="false">Tabla2[[#This Row],[Rentabilidad (%)]]/12</f>
        <v>-0.0479856088213286</v>
      </c>
    </row>
    <row r="2749" customFormat="false" ht="14.25" hidden="false" customHeight="false" outlineLevel="0" collapsed="false">
      <c r="A2749" s="1" t="n">
        <v>43466</v>
      </c>
      <c r="B2749" s="2" t="s">
        <v>33</v>
      </c>
      <c r="C2749" s="3" t="n">
        <v>721458</v>
      </c>
      <c r="D2749" s="3" t="s">
        <v>31</v>
      </c>
      <c r="E2749" s="3" t="n">
        <f aca="false">IF(Tabla2[[#This Row],[Frecuencia]]="Annual", Tabla2[[#This Row],[Cosecha/Tarea]]/12,Tabla2[[#This Row],[Cosecha/Tarea]])</f>
        <v>60121.5</v>
      </c>
      <c r="F2749" s="3" t="n">
        <v>1343916</v>
      </c>
      <c r="G2749" s="2" t="s">
        <v>18</v>
      </c>
      <c r="H2749" s="2" t="n">
        <f aca="false">F2749/Tabla2[[#This Row],[Cosecha Mensual]]</f>
        <v>22.3533344976423</v>
      </c>
      <c r="I2749" s="2" t="n">
        <f aca="false">H2749*_xlfn.XLOOKUP(Tabla2[[#This Row],[Unidad de producción]],Tabla3[Medida],Tabla3[Equivalencia en Kg],"ELVIS",0)</f>
        <v>1013.94725281305</v>
      </c>
      <c r="J2749" s="2" t="n">
        <v>6789.609375</v>
      </c>
      <c r="K2749" s="2" t="s">
        <v>34</v>
      </c>
      <c r="L2749" s="2" t="n">
        <f aca="false">J2749/_xlfn.XLOOKUP(Tabla2[[#This Row],[Unidad de precio]],Tabla3[Medida],Tabla3[Equivalencia en Kg],"ELVIS",0)</f>
        <v>16.6350836089673</v>
      </c>
      <c r="M2749" s="3" t="n">
        <v>22691.3984505224</v>
      </c>
      <c r="N2749" s="3" t="n">
        <f aca="false">(Tabla2[[#This Row],[Productividad (kg/TAS)]]*Tabla2[[#This Row],[Precio por kg]]-Tabla2[[#This Row],[Costos (En RD$/Tarea)]])</f>
        <v>-5824.30112489456</v>
      </c>
      <c r="O2749" s="9" t="n">
        <f aca="false">IF(Tabla2[[#This Row],[Costos (En RD$/Tarea)]]=0,0,Tabla2[[#This Row],[Beneficio Neto  (En RD$/Tarea)]]/Tabla2[[#This Row],[Costos (En RD$/Tarea)]])</f>
        <v>-0.256674401870567</v>
      </c>
      <c r="P2749" s="7" t="n">
        <f aca="false">Tabla2[[#This Row],[Rentabilidad (%)]]/12</f>
        <v>-0.0213895334892139</v>
      </c>
    </row>
    <row r="2750" customFormat="false" ht="14.25" hidden="false" customHeight="false" outlineLevel="0" collapsed="false">
      <c r="A2750" s="1" t="n">
        <v>43497</v>
      </c>
      <c r="B2750" s="2" t="s">
        <v>16</v>
      </c>
      <c r="C2750" s="3" t="n">
        <v>3361</v>
      </c>
      <c r="D2750" s="8" t="s">
        <v>17</v>
      </c>
      <c r="E2750" s="3" t="n">
        <f aca="false">IF(Tabla2[[#This Row],[Frecuencia]]="Annual", Tabla2[[#This Row],[Cosecha/Tarea]]/12,Tabla2[[#This Row],[Cosecha/Tarea]])</f>
        <v>3361</v>
      </c>
      <c r="F2750" s="3" t="n">
        <v>11505</v>
      </c>
      <c r="G2750" s="2" t="s">
        <v>18</v>
      </c>
      <c r="H2750" s="2" t="n">
        <f aca="false">F2750/Tabla2[[#This Row],[Cosecha Mensual]]</f>
        <v>3.42308836655757</v>
      </c>
      <c r="I2750" s="2" t="n">
        <f aca="false">H2750*_xlfn.XLOOKUP(Tabla2[[#This Row],[Unidad de producción]],Tabla3[Medida],Tabla3[Equivalencia en Kg],"ELVIS",0)</f>
        <v>155.271288307051</v>
      </c>
      <c r="J2750" s="2" t="n">
        <v>2153.67775791468</v>
      </c>
      <c r="K2750" s="2" t="s">
        <v>19</v>
      </c>
      <c r="L2750" s="2" t="n">
        <f aca="false">J2750/_xlfn.XLOOKUP(Tabla2[[#This Row],[Unidad de precio]],Tabla3[Medida],Tabla3[Equivalencia en Kg],"ELVIS",0)</f>
        <v>19.5788887083153</v>
      </c>
      <c r="M2750" s="2" t="n">
        <v>6284.7907932017</v>
      </c>
      <c r="N2750" s="3" t="n">
        <f aca="false">(Tabla2[[#This Row],[Productividad (kg/TAS)]]*Tabla2[[#This Row],[Precio por kg]]-Tabla2[[#This Row],[Costos (En RD$/Tarea)]])</f>
        <v>-3244.7515198412</v>
      </c>
      <c r="O2750" s="9" t="n">
        <f aca="false">IF(Tabla2[[#This Row],[Costos (En RD$/Tarea)]]=0,0,Tabla2[[#This Row],[Beneficio Neto  (En RD$/Tarea)]]/Tabla2[[#This Row],[Costos (En RD$/Tarea)]])</f>
        <v>-0.516286321471683</v>
      </c>
      <c r="P2750" s="7" t="n">
        <f aca="false">Tabla2[[#This Row],[Rentabilidad (%)]]/12</f>
        <v>-0.0430238601226402</v>
      </c>
    </row>
    <row r="2751" customFormat="false" ht="14.25" hidden="false" customHeight="false" outlineLevel="0" collapsed="false">
      <c r="A2751" s="1" t="n">
        <v>43497</v>
      </c>
      <c r="B2751" s="2" t="s">
        <v>20</v>
      </c>
      <c r="C2751" s="3" t="n">
        <v>32003</v>
      </c>
      <c r="D2751" s="8" t="s">
        <v>17</v>
      </c>
      <c r="E2751" s="3" t="n">
        <f aca="false">IF(Tabla2[[#This Row],[Frecuencia]]="Annual", Tabla2[[#This Row],[Cosecha/Tarea]]/12,Tabla2[[#This Row],[Cosecha/Tarea]])</f>
        <v>32003</v>
      </c>
      <c r="F2751" s="3" t="n">
        <v>79566</v>
      </c>
      <c r="G2751" s="2" t="s">
        <v>18</v>
      </c>
      <c r="H2751" s="2" t="n">
        <f aca="false">F2751/Tabla2[[#This Row],[Cosecha Mensual]]</f>
        <v>2.48620441833578</v>
      </c>
      <c r="I2751" s="2" t="n">
        <f aca="false">H2751*_xlfn.XLOOKUP(Tabla2[[#This Row],[Unidad de producción]],Tabla3[Medida],Tabla3[Equivalencia en Kg],"ELVIS",0)</f>
        <v>112.774232415711</v>
      </c>
      <c r="J2751" s="2" t="n">
        <v>981.841145833333</v>
      </c>
      <c r="K2751" s="2" t="s">
        <v>18</v>
      </c>
      <c r="L2751" s="2" t="n">
        <f aca="false">J2751/_xlfn.XLOOKUP(Tabla2[[#This Row],[Unidad de precio]],Tabla3[Medida],Tabla3[Equivalencia en Kg],"ELVIS",0)</f>
        <v>21.6455279063786</v>
      </c>
      <c r="M2751" s="2" t="n">
        <v>2409.24360044496</v>
      </c>
      <c r="N2751" s="3" t="n">
        <f aca="false">(Tabla2[[#This Row],[Productividad (kg/TAS)]]*Tabla2[[#This Row],[Precio por kg]]-Tabla2[[#This Row],[Costos (En RD$/Tarea)]])</f>
        <v>31.8141944297381</v>
      </c>
      <c r="O2751" s="9" t="n">
        <f aca="false">IF(Tabla2[[#This Row],[Costos (En RD$/Tarea)]]=0,0,Tabla2[[#This Row],[Beneficio Neto  (En RD$/Tarea)]]/Tabla2[[#This Row],[Costos (En RD$/Tarea)]])</f>
        <v>0.0132050550736598</v>
      </c>
      <c r="P2751" s="7" t="n">
        <f aca="false">Tabla2[[#This Row],[Rentabilidad (%)]]/12</f>
        <v>0.00110042125613832</v>
      </c>
    </row>
    <row r="2752" customFormat="false" ht="14.25" hidden="false" customHeight="false" outlineLevel="0" collapsed="false">
      <c r="A2752" s="1" t="n">
        <v>43497</v>
      </c>
      <c r="B2752" s="2" t="s">
        <v>21</v>
      </c>
      <c r="C2752" s="3" t="n">
        <v>11204</v>
      </c>
      <c r="D2752" s="8" t="s">
        <v>17</v>
      </c>
      <c r="E2752" s="3" t="n">
        <f aca="false">IF(Tabla2[[#This Row],[Frecuencia]]="Annual", Tabla2[[#This Row],[Cosecha/Tarea]]/12,Tabla2[[#This Row],[Cosecha/Tarea]])</f>
        <v>11204</v>
      </c>
      <c r="F2752" s="3" t="n">
        <v>108978</v>
      </c>
      <c r="G2752" s="2" t="s">
        <v>18</v>
      </c>
      <c r="H2752" s="2" t="n">
        <f aca="false">F2752/Tabla2[[#This Row],[Cosecha Mensual]]</f>
        <v>9.72670474830418</v>
      </c>
      <c r="I2752" s="2" t="n">
        <f aca="false">H2752*_xlfn.XLOOKUP(Tabla2[[#This Row],[Unidad de producción]],Tabla3[Medida],Tabla3[Equivalencia en Kg],"ELVIS",0)</f>
        <v>441.203327383077</v>
      </c>
      <c r="J2752" s="2" t="n">
        <v>540.934523809524</v>
      </c>
      <c r="K2752" s="2" t="s">
        <v>18</v>
      </c>
      <c r="L2752" s="2" t="n">
        <f aca="false">J2752/_xlfn.XLOOKUP(Tabla2[[#This Row],[Unidad de precio]],Tabla3[Medida],Tabla3[Equivalencia en Kg],"ELVIS",0)</f>
        <v>11.9253642815151</v>
      </c>
      <c r="M2752" s="2" t="n">
        <v>5846.970079582</v>
      </c>
      <c r="N2752" s="3" t="n">
        <f aca="false">(Tabla2[[#This Row],[Productividad (kg/TAS)]]*Tabla2[[#This Row],[Precio por kg]]-Tabla2[[#This Row],[Costos (En RD$/Tarea)]])</f>
        <v>-585.459678322245</v>
      </c>
      <c r="O2752" s="9" t="n">
        <f aca="false">IF(Tabla2[[#This Row],[Costos (En RD$/Tarea)]]=0,0,Tabla2[[#This Row],[Beneficio Neto  (En RD$/Tarea)]]/Tabla2[[#This Row],[Costos (En RD$/Tarea)]])</f>
        <v>-0.100130438561112</v>
      </c>
      <c r="P2752" s="7" t="n">
        <f aca="false">Tabla2[[#This Row],[Rentabilidad (%)]]/12</f>
        <v>-0.00834420321342599</v>
      </c>
    </row>
    <row r="2753" customFormat="false" ht="14.25" hidden="false" customHeight="false" outlineLevel="0" collapsed="false">
      <c r="A2753" s="1" t="n">
        <v>43497</v>
      </c>
      <c r="B2753" s="2" t="s">
        <v>22</v>
      </c>
      <c r="C2753" s="3" t="n">
        <v>10241</v>
      </c>
      <c r="D2753" s="8" t="s">
        <v>17</v>
      </c>
      <c r="E2753" s="3" t="n">
        <f aca="false">IF(Tabla2[[#This Row],[Frecuencia]]="Annual", Tabla2[[#This Row],[Cosecha/Tarea]]/12,Tabla2[[#This Row],[Cosecha/Tarea]])</f>
        <v>10241</v>
      </c>
      <c r="F2753" s="3" t="n">
        <v>91242</v>
      </c>
      <c r="G2753" s="2" t="s">
        <v>18</v>
      </c>
      <c r="H2753" s="2" t="n">
        <f aca="false">F2753/Tabla2[[#This Row],[Cosecha Mensual]]</f>
        <v>8.90948149594766</v>
      </c>
      <c r="I2753" s="2" t="n">
        <f aca="false">H2753*_xlfn.XLOOKUP(Tabla2[[#This Row],[Unidad de producción]],Tabla3[Medida],Tabla3[Equivalencia en Kg],"ELVIS",0)</f>
        <v>404.134080656186</v>
      </c>
      <c r="J2753" s="2" t="n">
        <v>1341.8203125</v>
      </c>
      <c r="K2753" s="2" t="s">
        <v>18</v>
      </c>
      <c r="L2753" s="2" t="n">
        <f aca="false">J2753/_xlfn.XLOOKUP(Tabla2[[#This Row],[Unidad de precio]],Tabla3[Medida],Tabla3[Equivalencia en Kg],"ELVIS",0)</f>
        <v>29.5815765542328</v>
      </c>
      <c r="M2753" s="2" t="n">
        <v>10137.37206528</v>
      </c>
      <c r="N2753" s="3" t="n">
        <f aca="false">(Tabla2[[#This Row],[Productividad (kg/TAS)]]*Tabla2[[#This Row],[Precio por kg]]-Tabla2[[#This Row],[Costos (En RD$/Tarea)]])</f>
        <v>1817.55117982546</v>
      </c>
      <c r="O2753" s="9" t="n">
        <f aca="false">IF(Tabla2[[#This Row],[Costos (En RD$/Tarea)]]=0,0,Tabla2[[#This Row],[Beneficio Neto  (En RD$/Tarea)]]/Tabla2[[#This Row],[Costos (En RD$/Tarea)]])</f>
        <v>0.179292144761114</v>
      </c>
      <c r="P2753" s="7" t="n">
        <f aca="false">Tabla2[[#This Row],[Rentabilidad (%)]]/12</f>
        <v>0.0149410120634262</v>
      </c>
    </row>
    <row r="2754" customFormat="false" ht="14.25" hidden="false" customHeight="false" outlineLevel="0" collapsed="false">
      <c r="A2754" s="1" t="n">
        <v>43497</v>
      </c>
      <c r="B2754" s="2" t="s">
        <v>23</v>
      </c>
      <c r="C2754" s="3" t="n">
        <v>5512</v>
      </c>
      <c r="D2754" s="8" t="s">
        <v>17</v>
      </c>
      <c r="E2754" s="3" t="n">
        <f aca="false">IF(Tabla2[[#This Row],[Frecuencia]]="Annual", Tabla2[[#This Row],[Cosecha/Tarea]]/12,Tabla2[[#This Row],[Cosecha/Tarea]])</f>
        <v>5512</v>
      </c>
      <c r="F2754" s="3" t="n">
        <v>189875</v>
      </c>
      <c r="G2754" s="2" t="s">
        <v>18</v>
      </c>
      <c r="H2754" s="2" t="n">
        <f aca="false">F2754/Tabla2[[#This Row],[Cosecha Mensual]]</f>
        <v>34.4475689404935</v>
      </c>
      <c r="I2754" s="2" t="n">
        <f aca="false">H2754*_xlfn.XLOOKUP(Tabla2[[#This Row],[Unidad de producción]],Tabla3[Medida],Tabla3[Equivalencia en Kg],"ELVIS",0)</f>
        <v>1562.54172714078</v>
      </c>
      <c r="J2754" s="2" t="n">
        <v>1039.16666666667</v>
      </c>
      <c r="K2754" s="2" t="s">
        <v>18</v>
      </c>
      <c r="L2754" s="2" t="n">
        <f aca="false">J2754/_xlfn.XLOOKUP(Tabla2[[#This Row],[Unidad de precio]],Tabla3[Medida],Tabla3[Equivalencia en Kg],"ELVIS",0)</f>
        <v>22.909318048207</v>
      </c>
      <c r="M2754" s="2" t="n">
        <v>26088.2600080873</v>
      </c>
      <c r="N2754" s="3" t="n">
        <f aca="false">(Tabla2[[#This Row],[Productividad (kg/TAS)]]*Tabla2[[#This Row],[Precio por kg]]-Tabla2[[#This Row],[Costos (En RD$/Tarea)]])</f>
        <v>9708.5053825756</v>
      </c>
      <c r="O2754" s="9" t="n">
        <f aca="false">IF(Tabla2[[#This Row],[Costos (En RD$/Tarea)]]=0,0,Tabla2[[#This Row],[Beneficio Neto  (En RD$/Tarea)]]/Tabla2[[#This Row],[Costos (En RD$/Tarea)]])</f>
        <v>0.372140778249143</v>
      </c>
      <c r="P2754" s="7" t="n">
        <f aca="false">Tabla2[[#This Row],[Rentabilidad (%)]]/12</f>
        <v>0.0310117315207619</v>
      </c>
    </row>
    <row r="2755" customFormat="false" ht="14.25" hidden="false" customHeight="false" outlineLevel="0" collapsed="false">
      <c r="A2755" s="1" t="n">
        <v>43497</v>
      </c>
      <c r="B2755" s="2" t="s">
        <v>24</v>
      </c>
      <c r="C2755" s="3" t="n">
        <v>7308</v>
      </c>
      <c r="D2755" s="8" t="s">
        <v>17</v>
      </c>
      <c r="E2755" s="3" t="n">
        <f aca="false">IF(Tabla2[[#This Row],[Frecuencia]]="Annual", Tabla2[[#This Row],[Cosecha/Tarea]]/12,Tabla2[[#This Row],[Cosecha/Tarea]])</f>
        <v>7308</v>
      </c>
      <c r="F2755" s="3" t="n">
        <v>69215</v>
      </c>
      <c r="G2755" s="2" t="s">
        <v>18</v>
      </c>
      <c r="H2755" s="2" t="n">
        <f aca="false">F2755/Tabla2[[#This Row],[Cosecha Mensual]]</f>
        <v>9.47112753147236</v>
      </c>
      <c r="I2755" s="2" t="n">
        <f aca="false">H2755*_xlfn.XLOOKUP(Tabla2[[#This Row],[Unidad de producción]],Tabla3[Medida],Tabla3[Equivalencia en Kg],"ELVIS",0)</f>
        <v>429.610344827586</v>
      </c>
      <c r="J2755" s="2" t="n">
        <v>2509.490625</v>
      </c>
      <c r="K2755" s="2" t="s">
        <v>18</v>
      </c>
      <c r="L2755" s="2" t="n">
        <f aca="false">J2755/_xlfn.XLOOKUP(Tabla2[[#This Row],[Unidad de precio]],Tabla3[Medida],Tabla3[Equivalencia en Kg],"ELVIS",0)</f>
        <v>55.3238673941799</v>
      </c>
      <c r="M2755" s="2" t="n">
        <v>8388.8026628832</v>
      </c>
      <c r="N2755" s="3" t="n">
        <f aca="false">(Tabla2[[#This Row],[Productividad (kg/TAS)]]*Tabla2[[#This Row],[Precio por kg]]-Tabla2[[#This Row],[Costos (En RD$/Tarea)]])</f>
        <v>15378.9030855261</v>
      </c>
      <c r="O2755" s="9" t="n">
        <f aca="false">IF(Tabla2[[#This Row],[Costos (En RD$/Tarea)]]=0,0,Tabla2[[#This Row],[Beneficio Neto  (En RD$/Tarea)]]/Tabla2[[#This Row],[Costos (En RD$/Tarea)]])</f>
        <v>1.83326556882438</v>
      </c>
      <c r="P2755" s="7" t="n">
        <f aca="false">Tabla2[[#This Row],[Rentabilidad (%)]]/12</f>
        <v>0.152772130735365</v>
      </c>
    </row>
    <row r="2756" customFormat="false" ht="14.25" hidden="false" customHeight="false" outlineLevel="0" collapsed="false">
      <c r="A2756" s="1" t="n">
        <v>43497</v>
      </c>
      <c r="B2756" s="2" t="s">
        <v>25</v>
      </c>
      <c r="C2756" s="3" t="n">
        <v>35542</v>
      </c>
      <c r="D2756" s="8" t="s">
        <v>17</v>
      </c>
      <c r="E2756" s="3" t="n">
        <f aca="false">IF(Tabla2[[#This Row],[Frecuencia]]="Annual", Tabla2[[#This Row],[Cosecha/Tarea]]/12,Tabla2[[#This Row],[Cosecha/Tarea]])</f>
        <v>35542</v>
      </c>
      <c r="F2756" s="3" t="n">
        <v>397548</v>
      </c>
      <c r="G2756" s="2" t="s">
        <v>18</v>
      </c>
      <c r="H2756" s="2" t="n">
        <f aca="false">F2756/Tabla2[[#This Row],[Cosecha Mensual]]</f>
        <v>11.185301896348</v>
      </c>
      <c r="I2756" s="2" t="n">
        <f aca="false">H2756*_xlfn.XLOOKUP(Tabla2[[#This Row],[Unidad de producción]],Tabla3[Medida],Tabla3[Equivalencia en Kg],"ELVIS",0)</f>
        <v>507.365294018345</v>
      </c>
      <c r="J2756" s="2" t="n">
        <v>807.103904166667</v>
      </c>
      <c r="K2756" s="2" t="s">
        <v>18</v>
      </c>
      <c r="L2756" s="2" t="n">
        <f aca="false">J2756/_xlfn.XLOOKUP(Tabla2[[#This Row],[Unidad de precio]],Tabla3[Medida],Tabla3[Equivalencia en Kg],"ELVIS",0)</f>
        <v>17.7932959472369</v>
      </c>
      <c r="M2756" s="2" t="n">
        <v>4718.29149012608</v>
      </c>
      <c r="N2756" s="3" t="n">
        <f aca="false">(Tabla2[[#This Row],[Productividad (kg/TAS)]]*Tabla2[[#This Row],[Precio por kg]]-Tabla2[[#This Row],[Costos (En RD$/Tarea)]])</f>
        <v>4309.4093396992</v>
      </c>
      <c r="O2756" s="9" t="n">
        <f aca="false">IF(Tabla2[[#This Row],[Costos (En RD$/Tarea)]]=0,0,Tabla2[[#This Row],[Beneficio Neto  (En RD$/Tarea)]]/Tabla2[[#This Row],[Costos (En RD$/Tarea)]])</f>
        <v>0.91334105760898</v>
      </c>
      <c r="P2756" s="7" t="n">
        <f aca="false">Tabla2[[#This Row],[Rentabilidad (%)]]/12</f>
        <v>0.0761117548007483</v>
      </c>
    </row>
    <row r="2757" customFormat="false" ht="14.25" hidden="false" customHeight="false" outlineLevel="0" collapsed="false">
      <c r="A2757" s="1" t="n">
        <v>43497</v>
      </c>
      <c r="B2757" s="2" t="s">
        <v>26</v>
      </c>
      <c r="C2757" s="3" t="n">
        <v>11454</v>
      </c>
      <c r="D2757" s="8" t="s">
        <v>17</v>
      </c>
      <c r="E2757" s="3" t="n">
        <f aca="false">IF(Tabla2[[#This Row],[Frecuencia]]="Annual", Tabla2[[#This Row],[Cosecha/Tarea]]/12,Tabla2[[#This Row],[Cosecha/Tarea]])</f>
        <v>11454</v>
      </c>
      <c r="F2757" s="3" t="n">
        <v>74864</v>
      </c>
      <c r="G2757" s="2" t="s">
        <v>18</v>
      </c>
      <c r="H2757" s="2" t="n">
        <f aca="false">F2757/Tabla2[[#This Row],[Cosecha Mensual]]</f>
        <v>6.53605727256854</v>
      </c>
      <c r="I2757" s="2" t="n">
        <f aca="false">H2757*_xlfn.XLOOKUP(Tabla2[[#This Row],[Unidad de producción]],Tabla3[Medida],Tabla3[Equivalencia en Kg],"ELVIS",0)</f>
        <v>296.475557883709</v>
      </c>
      <c r="J2757" s="2" t="n">
        <v>940.385416666667</v>
      </c>
      <c r="K2757" s="2" t="s">
        <v>18</v>
      </c>
      <c r="L2757" s="2" t="n">
        <f aca="false">J2757/_xlfn.XLOOKUP(Tabla2[[#This Row],[Unidad de precio]],Tabla3[Medida],Tabla3[Equivalencia en Kg],"ELVIS",0)</f>
        <v>20.7316008965315</v>
      </c>
      <c r="M2757" s="2" t="n">
        <v>1668.6966112895</v>
      </c>
      <c r="N2757" s="3" t="n">
        <f aca="false">(Tabla2[[#This Row],[Productividad (kg/TAS)]]*Tabla2[[#This Row],[Precio por kg]]-Tabla2[[#This Row],[Costos (En RD$/Tarea)]])</f>
        <v>4477.71633033206</v>
      </c>
      <c r="O2757" s="9" t="n">
        <f aca="false">IF(Tabla2[[#This Row],[Costos (En RD$/Tarea)]]=0,0,Tabla2[[#This Row],[Beneficio Neto  (En RD$/Tarea)]]/Tabla2[[#This Row],[Costos (En RD$/Tarea)]])</f>
        <v>2.68336155298588</v>
      </c>
      <c r="P2757" s="7" t="n">
        <f aca="false">Tabla2[[#This Row],[Rentabilidad (%)]]/12</f>
        <v>0.223613462748823</v>
      </c>
    </row>
    <row r="2758" customFormat="false" ht="14.25" hidden="false" customHeight="false" outlineLevel="0" collapsed="false">
      <c r="A2758" s="1" t="n">
        <v>43497</v>
      </c>
      <c r="B2758" s="2" t="s">
        <v>27</v>
      </c>
      <c r="C2758" s="3" t="n">
        <v>6925</v>
      </c>
      <c r="D2758" s="8" t="s">
        <v>17</v>
      </c>
      <c r="E2758" s="3" t="n">
        <f aca="false">IF(Tabla2[[#This Row],[Frecuencia]]="Annual", Tabla2[[#This Row],[Cosecha/Tarea]]/12,Tabla2[[#This Row],[Cosecha/Tarea]])</f>
        <v>6925</v>
      </c>
      <c r="F2758" s="3" t="n">
        <v>61983</v>
      </c>
      <c r="G2758" s="2" t="s">
        <v>18</v>
      </c>
      <c r="H2758" s="2" t="n">
        <f aca="false">F2758/Tabla2[[#This Row],[Cosecha Mensual]]</f>
        <v>8.95061371841155</v>
      </c>
      <c r="I2758" s="2" t="n">
        <f aca="false">H2758*_xlfn.XLOOKUP(Tabla2[[#This Row],[Unidad de producción]],Tabla3[Medida],Tabla3[Equivalencia en Kg],"ELVIS",0)</f>
        <v>405.999838267148</v>
      </c>
      <c r="J2758" s="2" t="n">
        <v>726.9278</v>
      </c>
      <c r="K2758" s="2" t="s">
        <v>18</v>
      </c>
      <c r="L2758" s="2" t="n">
        <f aca="false">J2758/_xlfn.XLOOKUP(Tabla2[[#This Row],[Unidad de precio]],Tabla3[Medida],Tabla3[Equivalencia en Kg],"ELVIS",0)</f>
        <v>16.0257451499118</v>
      </c>
      <c r="M2758" s="2" t="n">
        <v>9222.1943510245</v>
      </c>
      <c r="N2758" s="3" t="n">
        <f aca="false">(Tabla2[[#This Row],[Productividad (kg/TAS)]]*Tabla2[[#This Row],[Precio por kg]]-Tabla2[[#This Row],[Costos (En RD$/Tarea)]])</f>
        <v>-2715.74441204977</v>
      </c>
      <c r="O2758" s="9" t="n">
        <f aca="false">IF(Tabla2[[#This Row],[Costos (En RD$/Tarea)]]=0,0,Tabla2[[#This Row],[Beneficio Neto  (En RD$/Tarea)]]/Tabla2[[#This Row],[Costos (En RD$/Tarea)]])</f>
        <v>-0.294479199708915</v>
      </c>
      <c r="P2758" s="7" t="n">
        <f aca="false">Tabla2[[#This Row],[Rentabilidad (%)]]/12</f>
        <v>-0.0245399333090762</v>
      </c>
    </row>
    <row r="2759" customFormat="false" ht="14.25" hidden="false" customHeight="false" outlineLevel="0" collapsed="false">
      <c r="A2759" s="1" t="n">
        <v>43497</v>
      </c>
      <c r="B2759" s="2" t="s">
        <v>28</v>
      </c>
      <c r="C2759" s="3" t="n">
        <v>92301</v>
      </c>
      <c r="D2759" s="8" t="s">
        <v>17</v>
      </c>
      <c r="E2759" s="3" t="n">
        <f aca="false">IF(Tabla2[[#This Row],[Frecuencia]]="Annual", Tabla2[[#This Row],[Cosecha/Tarea]]/12,Tabla2[[#This Row],[Cosecha/Tarea]])</f>
        <v>92301</v>
      </c>
      <c r="F2759" s="3" t="n">
        <v>1875384</v>
      </c>
      <c r="G2759" s="2" t="s">
        <v>18</v>
      </c>
      <c r="H2759" s="2" t="n">
        <f aca="false">F2759/Tabla2[[#This Row],[Cosecha Mensual]]</f>
        <v>20.3181330646472</v>
      </c>
      <c r="I2759" s="2" t="n">
        <f aca="false">H2759*_xlfn.XLOOKUP(Tabla2[[#This Row],[Unidad de producción]],Tabla3[Medida],Tabla3[Equivalencia en Kg],"ELVIS",0)</f>
        <v>921.630515812396</v>
      </c>
      <c r="J2759" s="2" t="n">
        <v>4250</v>
      </c>
      <c r="K2759" s="2" t="s">
        <v>29</v>
      </c>
      <c r="L2759" s="2" t="n">
        <f aca="false">J2759/_xlfn.XLOOKUP(Tabla2[[#This Row],[Unidad de precio]],Tabla3[Medida],Tabla3[Equivalencia en Kg],"ELVIS",0)</f>
        <v>7.5577053028417</v>
      </c>
      <c r="M2759" s="2" t="n">
        <v>7149.9398177165</v>
      </c>
      <c r="N2759" s="3" t="n">
        <f aca="false">(Tabla2[[#This Row],[Productividad (kg/TAS)]]*Tabla2[[#This Row],[Precio por kg]]-Tabla2[[#This Row],[Costos (En RD$/Tarea)]])</f>
        <v>-184.527981100424</v>
      </c>
      <c r="O2759" s="9" t="n">
        <f aca="false">IF(Tabla2[[#This Row],[Costos (En RD$/Tarea)]]=0,0,Tabla2[[#This Row],[Beneficio Neto  (En RD$/Tarea)]]/Tabla2[[#This Row],[Costos (En RD$/Tarea)]])</f>
        <v>-0.0258083264761461</v>
      </c>
      <c r="P2759" s="7" t="n">
        <f aca="false">Tabla2[[#This Row],[Rentabilidad (%)]]/12</f>
        <v>-0.00215069387301217</v>
      </c>
    </row>
    <row r="2760" customFormat="false" ht="14.25" hidden="false" customHeight="false" outlineLevel="0" collapsed="false">
      <c r="A2760" s="1" t="n">
        <v>43497</v>
      </c>
      <c r="B2760" s="2" t="s">
        <v>30</v>
      </c>
      <c r="C2760" s="3" t="n">
        <v>472690</v>
      </c>
      <c r="D2760" s="3" t="s">
        <v>31</v>
      </c>
      <c r="E2760" s="3" t="n">
        <f aca="false">IF(Tabla2[[#This Row],[Frecuencia]]="Annual", Tabla2[[#This Row],[Cosecha/Tarea]]/12,Tabla2[[#This Row],[Cosecha/Tarea]])</f>
        <v>39390.8333333333</v>
      </c>
      <c r="F2760" s="3" t="n">
        <v>2125844.4</v>
      </c>
      <c r="G2760" s="2" t="s">
        <v>18</v>
      </c>
      <c r="H2760" s="2" t="n">
        <f aca="false">F2760/Tabla2[[#This Row],[Cosecha Mensual]]</f>
        <v>53.9679976305824</v>
      </c>
      <c r="I2760" s="2" t="n">
        <f aca="false">H2760*_xlfn.XLOOKUP(Tabla2[[#This Row],[Unidad de producción]],Tabla3[Medida],Tabla3[Equivalencia en Kg],"ELVIS",0)</f>
        <v>2447.98837252322</v>
      </c>
      <c r="J2760" s="2" t="n">
        <v>134.613020833333</v>
      </c>
      <c r="K2760" s="2" t="s">
        <v>32</v>
      </c>
      <c r="L2760" s="2" t="n">
        <f aca="false">J2760/_xlfn.XLOOKUP(Tabla2[[#This Row],[Unidad de precio]],Tabla3[Medida],Tabla3[Equivalencia en Kg],"ELVIS",0)</f>
        <v>4.94718929927721</v>
      </c>
      <c r="M2760" s="3" t="n">
        <v>35445.71794842</v>
      </c>
      <c r="N2760" s="3" t="n">
        <f aca="false">(Tabla2[[#This Row],[Productividad (kg/TAS)]]*Tabla2[[#This Row],[Precio por kg]]-Tabla2[[#This Row],[Costos (En RD$/Tarea)]])</f>
        <v>-23335.0560671181</v>
      </c>
      <c r="O2760" s="9" t="n">
        <f aca="false">IF(Tabla2[[#This Row],[Costos (En RD$/Tarea)]]=0,0,Tabla2[[#This Row],[Beneficio Neto  (En RD$/Tarea)]]/Tabla2[[#This Row],[Costos (En RD$/Tarea)]])</f>
        <v>-0.658332160208318</v>
      </c>
      <c r="P2760" s="7" t="n">
        <f aca="false">Tabla2[[#This Row],[Rentabilidad (%)]]/12</f>
        <v>-0.0548610133506932</v>
      </c>
    </row>
    <row r="2761" customFormat="false" ht="14.25" hidden="false" customHeight="false" outlineLevel="0" collapsed="false">
      <c r="A2761" s="1" t="n">
        <v>43497</v>
      </c>
      <c r="B2761" s="2" t="s">
        <v>33</v>
      </c>
      <c r="C2761" s="3" t="n">
        <v>777976</v>
      </c>
      <c r="D2761" s="3" t="s">
        <v>31</v>
      </c>
      <c r="E2761" s="3" t="n">
        <f aca="false">IF(Tabla2[[#This Row],[Frecuencia]]="Annual", Tabla2[[#This Row],[Cosecha/Tarea]]/12,Tabla2[[#This Row],[Cosecha/Tarea]])</f>
        <v>64831.3333333333</v>
      </c>
      <c r="F2761" s="3" t="n">
        <v>1460088</v>
      </c>
      <c r="G2761" s="2" t="s">
        <v>18</v>
      </c>
      <c r="H2761" s="2" t="n">
        <f aca="false">F2761/Tabla2[[#This Row],[Cosecha Mensual]]</f>
        <v>22.5213322776024</v>
      </c>
      <c r="I2761" s="2" t="n">
        <f aca="false">H2761*_xlfn.XLOOKUP(Tabla2[[#This Row],[Unidad de producción]],Tabla3[Medida],Tabla3[Equivalencia en Kg],"ELVIS",0)</f>
        <v>1021.56763211204</v>
      </c>
      <c r="J2761" s="2" t="n">
        <v>7095.16145833333</v>
      </c>
      <c r="K2761" s="2" t="s">
        <v>34</v>
      </c>
      <c r="L2761" s="2" t="n">
        <f aca="false">J2761/_xlfn.XLOOKUP(Tabla2[[#This Row],[Unidad de precio]],Tabla3[Medida],Tabla3[Equivalencia en Kg],"ELVIS",0)</f>
        <v>17.3837105435093</v>
      </c>
      <c r="M2761" s="3" t="n">
        <v>22691.3984505224</v>
      </c>
      <c r="N2761" s="3" t="n">
        <f aca="false">(Tabla2[[#This Row],[Productividad (kg/TAS)]]*Tabla2[[#This Row],[Precio por kg]]-Tabla2[[#This Row],[Costos (En RD$/Tarea)]])</f>
        <v>-4932.7624332684</v>
      </c>
      <c r="O2761" s="9" t="n">
        <f aca="false">IF(Tabla2[[#This Row],[Costos (En RD$/Tarea)]]=0,0,Tabla2[[#This Row],[Beneficio Neto  (En RD$/Tarea)]]/Tabla2[[#This Row],[Costos (En RD$/Tarea)]])</f>
        <v>-0.217384681866306</v>
      </c>
      <c r="P2761" s="7" t="n">
        <f aca="false">Tabla2[[#This Row],[Rentabilidad (%)]]/12</f>
        <v>-0.0181153901555255</v>
      </c>
    </row>
    <row r="2762" customFormat="false" ht="14.25" hidden="false" customHeight="false" outlineLevel="0" collapsed="false">
      <c r="A2762" s="1" t="n">
        <v>43525</v>
      </c>
      <c r="B2762" s="2" t="s">
        <v>16</v>
      </c>
      <c r="C2762" s="3" t="n">
        <v>110572</v>
      </c>
      <c r="D2762" s="8" t="s">
        <v>17</v>
      </c>
      <c r="E2762" s="3" t="n">
        <f aca="false">IF(Tabla2[[#This Row],[Frecuencia]]="Annual", Tabla2[[#This Row],[Cosecha/Tarea]]/12,Tabla2[[#This Row],[Cosecha/Tarea]])</f>
        <v>110572</v>
      </c>
      <c r="F2762" s="3" t="n">
        <v>528128</v>
      </c>
      <c r="G2762" s="2" t="s">
        <v>18</v>
      </c>
      <c r="H2762" s="2" t="n">
        <f aca="false">F2762/Tabla2[[#This Row],[Cosecha Mensual]]</f>
        <v>4.77632673732952</v>
      </c>
      <c r="I2762" s="2" t="n">
        <f aca="false">H2762*_xlfn.XLOOKUP(Tabla2[[#This Row],[Unidad de producción]],Tabla3[Medida],Tabla3[Equivalencia en Kg],"ELVIS",0)</f>
        <v>216.654180805267</v>
      </c>
      <c r="J2762" s="2" t="n">
        <v>2278.22994114411</v>
      </c>
      <c r="K2762" s="2" t="s">
        <v>19</v>
      </c>
      <c r="L2762" s="2" t="n">
        <f aca="false">J2762/_xlfn.XLOOKUP(Tabla2[[#This Row],[Unidad de precio]],Tabla3[Medida],Tabla3[Equivalencia en Kg],"ELVIS",0)</f>
        <v>20.7111812831283</v>
      </c>
      <c r="M2762" s="2" t="n">
        <v>6284.7907932017</v>
      </c>
      <c r="N2762" s="3" t="n">
        <f aca="false">(Tabla2[[#This Row],[Productividad (kg/TAS)]]*Tabla2[[#This Row],[Precio por kg]]-Tabla2[[#This Row],[Costos (En RD$/Tarea)]])</f>
        <v>-1797.62677879616</v>
      </c>
      <c r="O2762" s="9" t="n">
        <f aca="false">IF(Tabla2[[#This Row],[Costos (En RD$/Tarea)]]=0,0,Tabla2[[#This Row],[Beneficio Neto  (En RD$/Tarea)]]/Tabla2[[#This Row],[Costos (En RD$/Tarea)]])</f>
        <v>-0.286028101482816</v>
      </c>
      <c r="P2762" s="7" t="n">
        <f aca="false">Tabla2[[#This Row],[Rentabilidad (%)]]/12</f>
        <v>-0.023835675123568</v>
      </c>
    </row>
    <row r="2763" customFormat="false" ht="14.25" hidden="false" customHeight="false" outlineLevel="0" collapsed="false">
      <c r="A2763" s="1" t="n">
        <v>43525</v>
      </c>
      <c r="B2763" s="2" t="s">
        <v>20</v>
      </c>
      <c r="C2763" s="3" t="n">
        <v>29899</v>
      </c>
      <c r="D2763" s="8" t="s">
        <v>17</v>
      </c>
      <c r="E2763" s="3" t="n">
        <f aca="false">IF(Tabla2[[#This Row],[Frecuencia]]="Annual", Tabla2[[#This Row],[Cosecha/Tarea]]/12,Tabla2[[#This Row],[Cosecha/Tarea]])</f>
        <v>29899</v>
      </c>
      <c r="F2763" s="3" t="n">
        <v>73011.9999999999</v>
      </c>
      <c r="G2763" s="2" t="s">
        <v>18</v>
      </c>
      <c r="H2763" s="2" t="n">
        <f aca="false">F2763/Tabla2[[#This Row],[Cosecha Mensual]]</f>
        <v>2.44195458042075</v>
      </c>
      <c r="I2763" s="2" t="n">
        <f aca="false">H2763*_xlfn.XLOOKUP(Tabla2[[#This Row],[Unidad de producción]],Tabla3[Medida],Tabla3[Equivalencia en Kg],"ELVIS",0)</f>
        <v>110.767059767885</v>
      </c>
      <c r="J2763" s="2" t="n">
        <v>1089.4609375</v>
      </c>
      <c r="K2763" s="2" t="s">
        <v>18</v>
      </c>
      <c r="L2763" s="2" t="n">
        <f aca="false">J2763/_xlfn.XLOOKUP(Tabla2[[#This Row],[Unidad de precio]],Tabla3[Medida],Tabla3[Equivalencia en Kg],"ELVIS",0)</f>
        <v>24.0180982694004</v>
      </c>
      <c r="M2763" s="2" t="n">
        <v>2409.24360044496</v>
      </c>
      <c r="N2763" s="3" t="n">
        <f aca="false">(Tabla2[[#This Row],[Productividad (kg/TAS)]]*Tabla2[[#This Row],[Precio por kg]]-Tabla2[[#This Row],[Costos (En RD$/Tarea)]])</f>
        <v>251.170526072646</v>
      </c>
      <c r="O2763" s="9" t="n">
        <f aca="false">IF(Tabla2[[#This Row],[Costos (En RD$/Tarea)]]=0,0,Tabla2[[#This Row],[Beneficio Neto  (En RD$/Tarea)]]/Tabla2[[#This Row],[Costos (En RD$/Tarea)]])</f>
        <v>0.104252855969507</v>
      </c>
      <c r="P2763" s="7" t="n">
        <f aca="false">Tabla2[[#This Row],[Rentabilidad (%)]]/12</f>
        <v>0.00868773799745895</v>
      </c>
    </row>
    <row r="2764" customFormat="false" ht="14.25" hidden="false" customHeight="false" outlineLevel="0" collapsed="false">
      <c r="A2764" s="1" t="n">
        <v>43525</v>
      </c>
      <c r="B2764" s="2" t="s">
        <v>21</v>
      </c>
      <c r="C2764" s="3" t="n">
        <v>10214</v>
      </c>
      <c r="D2764" s="8" t="s">
        <v>17</v>
      </c>
      <c r="E2764" s="3" t="n">
        <f aca="false">IF(Tabla2[[#This Row],[Frecuencia]]="Annual", Tabla2[[#This Row],[Cosecha/Tarea]]/12,Tabla2[[#This Row],[Cosecha/Tarea]])</f>
        <v>10214</v>
      </c>
      <c r="F2764" s="3" t="n">
        <v>122145</v>
      </c>
      <c r="G2764" s="2" t="s">
        <v>18</v>
      </c>
      <c r="H2764" s="2" t="n">
        <f aca="false">F2764/Tabla2[[#This Row],[Cosecha Mensual]]</f>
        <v>11.958586254161</v>
      </c>
      <c r="I2764" s="2" t="n">
        <f aca="false">H2764*_xlfn.XLOOKUP(Tabla2[[#This Row],[Unidad de producción]],Tabla3[Medida],Tabla3[Equivalencia en Kg],"ELVIS",0)</f>
        <v>542.441472488741</v>
      </c>
      <c r="J2764" s="2" t="n">
        <v>551.285714285714</v>
      </c>
      <c r="K2764" s="2" t="s">
        <v>18</v>
      </c>
      <c r="L2764" s="2" t="n">
        <f aca="false">J2764/_xlfn.XLOOKUP(Tabla2[[#This Row],[Unidad de precio]],Tabla3[Medida],Tabla3[Equivalencia en Kg],"ELVIS",0)</f>
        <v>12.1535651297556</v>
      </c>
      <c r="M2764" s="2" t="n">
        <v>5846.970079582</v>
      </c>
      <c r="N2764" s="3" t="n">
        <f aca="false">(Tabla2[[#This Row],[Productividad (kg/TAS)]]*Tabla2[[#This Row],[Precio por kg]]-Tabla2[[#This Row],[Costos (En RD$/Tarea)]])</f>
        <v>745.627685390444</v>
      </c>
      <c r="O2764" s="9" t="n">
        <f aca="false">IF(Tabla2[[#This Row],[Costos (En RD$/Tarea)]]=0,0,Tabla2[[#This Row],[Beneficio Neto  (En RD$/Tarea)]]/Tabla2[[#This Row],[Costos (En RD$/Tarea)]])</f>
        <v>0.127523773038317</v>
      </c>
      <c r="P2764" s="7" t="n">
        <f aca="false">Tabla2[[#This Row],[Rentabilidad (%)]]/12</f>
        <v>0.0106269810865264</v>
      </c>
    </row>
    <row r="2765" customFormat="false" ht="14.25" hidden="false" customHeight="false" outlineLevel="0" collapsed="false">
      <c r="A2765" s="1" t="n">
        <v>43525</v>
      </c>
      <c r="B2765" s="2" t="s">
        <v>22</v>
      </c>
      <c r="C2765" s="3" t="n">
        <v>7452</v>
      </c>
      <c r="D2765" s="8" t="s">
        <v>17</v>
      </c>
      <c r="E2765" s="3" t="n">
        <f aca="false">IF(Tabla2[[#This Row],[Frecuencia]]="Annual", Tabla2[[#This Row],[Cosecha/Tarea]]/12,Tabla2[[#This Row],[Cosecha/Tarea]])</f>
        <v>7452</v>
      </c>
      <c r="F2765" s="3" t="n">
        <v>75421</v>
      </c>
      <c r="G2765" s="2" t="s">
        <v>18</v>
      </c>
      <c r="H2765" s="2" t="n">
        <f aca="false">F2765/Tabla2[[#This Row],[Cosecha Mensual]]</f>
        <v>10.1209071390231</v>
      </c>
      <c r="I2765" s="2" t="n">
        <f aca="false">H2765*_xlfn.XLOOKUP(Tabla2[[#This Row],[Unidad de producción]],Tabla3[Medida],Tabla3[Equivalencia en Kg],"ELVIS",0)</f>
        <v>459.084347826087</v>
      </c>
      <c r="J2765" s="2" t="n">
        <v>1360.296875</v>
      </c>
      <c r="K2765" s="2" t="s">
        <v>18</v>
      </c>
      <c r="L2765" s="2" t="n">
        <f aca="false">J2765/_xlfn.XLOOKUP(Tabla2[[#This Row],[Unidad de precio]],Tabla3[Medida],Tabla3[Equivalencia en Kg],"ELVIS",0)</f>
        <v>29.9889081790123</v>
      </c>
      <c r="M2765" s="2" t="n">
        <v>10137.37206528</v>
      </c>
      <c r="N2765" s="3" t="n">
        <f aca="false">(Tabla2[[#This Row],[Productividad (kg/TAS)]]*Tabla2[[#This Row],[Precio por kg]]-Tabla2[[#This Row],[Costos (En RD$/Tarea)]])</f>
        <v>3630.06628809829</v>
      </c>
      <c r="O2765" s="9" t="n">
        <f aca="false">IF(Tabla2[[#This Row],[Costos (En RD$/Tarea)]]=0,0,Tabla2[[#This Row],[Beneficio Neto  (En RD$/Tarea)]]/Tabla2[[#This Row],[Costos (En RD$/Tarea)]])</f>
        <v>0.358087506774175</v>
      </c>
      <c r="P2765" s="7" t="n">
        <f aca="false">Tabla2[[#This Row],[Rentabilidad (%)]]/12</f>
        <v>0.0298406255645146</v>
      </c>
    </row>
    <row r="2766" customFormat="false" ht="14.25" hidden="false" customHeight="false" outlineLevel="0" collapsed="false">
      <c r="A2766" s="1" t="n">
        <v>43525</v>
      </c>
      <c r="B2766" s="2" t="s">
        <v>23</v>
      </c>
      <c r="C2766" s="3" t="n">
        <v>4683.47</v>
      </c>
      <c r="D2766" s="8" t="s">
        <v>17</v>
      </c>
      <c r="E2766" s="3" t="n">
        <f aca="false">IF(Tabla2[[#This Row],[Frecuencia]]="Annual", Tabla2[[#This Row],[Cosecha/Tarea]]/12,Tabla2[[#This Row],[Cosecha/Tarea]])</f>
        <v>4683.47</v>
      </c>
      <c r="F2766" s="3" t="n">
        <v>210250</v>
      </c>
      <c r="G2766" s="2" t="s">
        <v>18</v>
      </c>
      <c r="H2766" s="2" t="n">
        <f aca="false">F2766/Tabla2[[#This Row],[Cosecha Mensual]]</f>
        <v>44.8919284205941</v>
      </c>
      <c r="I2766" s="2" t="n">
        <f aca="false">H2766*_xlfn.XLOOKUP(Tabla2[[#This Row],[Unidad de producción]],Tabla3[Medida],Tabla3[Equivalencia en Kg],"ELVIS",0)</f>
        <v>2036.29787315815</v>
      </c>
      <c r="J2766" s="2" t="n">
        <v>908.333333333333</v>
      </c>
      <c r="K2766" s="2" t="s">
        <v>18</v>
      </c>
      <c r="L2766" s="2" t="n">
        <f aca="false">J2766/_xlfn.XLOOKUP(Tabla2[[#This Row],[Unidad de precio]],Tabla3[Medida],Tabla3[Equivalencia en Kg],"ELVIS",0)</f>
        <v>20.0249853027631</v>
      </c>
      <c r="M2766" s="2" t="n">
        <v>26088.2600080873</v>
      </c>
      <c r="N2766" s="3" t="n">
        <f aca="false">(Tabla2[[#This Row],[Productividad (kg/TAS)]]*Tabla2[[#This Row],[Precio por kg]]-Tabla2[[#This Row],[Costos (En RD$/Tarea)]])</f>
        <v>14688.5749739524</v>
      </c>
      <c r="O2766" s="9" t="n">
        <f aca="false">IF(Tabla2[[#This Row],[Costos (En RD$/Tarea)]]=0,0,Tabla2[[#This Row],[Beneficio Neto  (En RD$/Tarea)]]/Tabla2[[#This Row],[Costos (En RD$/Tarea)]])</f>
        <v>0.563033907566044</v>
      </c>
      <c r="P2766" s="7" t="n">
        <f aca="false">Tabla2[[#This Row],[Rentabilidad (%)]]/12</f>
        <v>0.0469194922971704</v>
      </c>
    </row>
    <row r="2767" customFormat="false" ht="14.25" hidden="false" customHeight="false" outlineLevel="0" collapsed="false">
      <c r="A2767" s="1" t="n">
        <v>43525</v>
      </c>
      <c r="B2767" s="2" t="s">
        <v>24</v>
      </c>
      <c r="C2767" s="3" t="n">
        <v>6214</v>
      </c>
      <c r="D2767" s="8" t="s">
        <v>17</v>
      </c>
      <c r="E2767" s="3" t="n">
        <f aca="false">IF(Tabla2[[#This Row],[Frecuencia]]="Annual", Tabla2[[#This Row],[Cosecha/Tarea]]/12,Tabla2[[#This Row],[Cosecha/Tarea]])</f>
        <v>6214</v>
      </c>
      <c r="F2767" s="3" t="n">
        <v>52141</v>
      </c>
      <c r="G2767" s="2" t="s">
        <v>18</v>
      </c>
      <c r="H2767" s="2" t="n">
        <f aca="false">F2767/Tabla2[[#This Row],[Cosecha Mensual]]</f>
        <v>8.390891535243</v>
      </c>
      <c r="I2767" s="2" t="n">
        <f aca="false">H2767*_xlfn.XLOOKUP(Tabla2[[#This Row],[Unidad de producción]],Tabla3[Medida],Tabla3[Equivalencia en Kg],"ELVIS",0)</f>
        <v>380.610840038623</v>
      </c>
      <c r="J2767" s="2" t="n">
        <v>2680.296875</v>
      </c>
      <c r="K2767" s="2" t="s">
        <v>18</v>
      </c>
      <c r="L2767" s="2" t="n">
        <f aca="false">J2767/_xlfn.XLOOKUP(Tabla2[[#This Row],[Unidad de precio]],Tabla3[Medida],Tabla3[Equivalencia en Kg],"ELVIS",0)</f>
        <v>59.0894372795415</v>
      </c>
      <c r="M2767" s="2" t="n">
        <v>8388.8026628832</v>
      </c>
      <c r="N2767" s="3" t="n">
        <f aca="false">(Tabla2[[#This Row],[Productividad (kg/TAS)]]*Tabla2[[#This Row],[Precio por kg]]-Tabla2[[#This Row],[Costos (En RD$/Tarea)]])</f>
        <v>14101.2776974926</v>
      </c>
      <c r="O2767" s="9" t="n">
        <f aca="false">IF(Tabla2[[#This Row],[Costos (En RD$/Tarea)]]=0,0,Tabla2[[#This Row],[Beneficio Neto  (En RD$/Tarea)]]/Tabla2[[#This Row],[Costos (En RD$/Tarea)]])</f>
        <v>1.68096428825112</v>
      </c>
      <c r="P2767" s="7" t="n">
        <f aca="false">Tabla2[[#This Row],[Rentabilidad (%)]]/12</f>
        <v>0.14008035735426</v>
      </c>
    </row>
    <row r="2768" customFormat="false" ht="14.25" hidden="false" customHeight="false" outlineLevel="0" collapsed="false">
      <c r="A2768" s="1" t="n">
        <v>43525</v>
      </c>
      <c r="B2768" s="2" t="s">
        <v>25</v>
      </c>
      <c r="C2768" s="3" t="n">
        <v>28145</v>
      </c>
      <c r="D2768" s="8" t="s">
        <v>17</v>
      </c>
      <c r="E2768" s="3" t="n">
        <f aca="false">IF(Tabla2[[#This Row],[Frecuencia]]="Annual", Tabla2[[#This Row],[Cosecha/Tarea]]/12,Tabla2[[#This Row],[Cosecha/Tarea]])</f>
        <v>28145</v>
      </c>
      <c r="F2768" s="3" t="n">
        <v>269841</v>
      </c>
      <c r="G2768" s="2" t="s">
        <v>18</v>
      </c>
      <c r="H2768" s="2" t="n">
        <f aca="false">F2768/Tabla2[[#This Row],[Cosecha Mensual]]</f>
        <v>9.58752886836028</v>
      </c>
      <c r="I2768" s="2" t="n">
        <f aca="false">H2768*_xlfn.XLOOKUP(Tabla2[[#This Row],[Unidad de producción]],Tabla3[Medida],Tabla3[Equivalencia en Kg],"ELVIS",0)</f>
        <v>434.890309468822</v>
      </c>
      <c r="J2768" s="2" t="n">
        <v>805.391716666667</v>
      </c>
      <c r="K2768" s="2" t="s">
        <v>18</v>
      </c>
      <c r="L2768" s="2" t="n">
        <f aca="false">J2768/_xlfn.XLOOKUP(Tabla2[[#This Row],[Unidad de precio]],Tabla3[Medida],Tabla3[Equivalencia en Kg],"ELVIS",0)</f>
        <v>17.7555493092299</v>
      </c>
      <c r="M2768" s="2" t="n">
        <v>4718.29149012608</v>
      </c>
      <c r="N2768" s="3" t="n">
        <f aca="false">(Tabla2[[#This Row],[Productividad (kg/TAS)]]*Tabla2[[#This Row],[Precio por kg]]-Tabla2[[#This Row],[Costos (En RD$/Tarea)]])</f>
        <v>3003.42484375383</v>
      </c>
      <c r="O2768" s="9" t="n">
        <f aca="false">IF(Tabla2[[#This Row],[Costos (En RD$/Tarea)]]=0,0,Tabla2[[#This Row],[Beneficio Neto  (En RD$/Tarea)]]/Tabla2[[#This Row],[Costos (En RD$/Tarea)]])</f>
        <v>0.636549236103591</v>
      </c>
      <c r="P2768" s="7" t="n">
        <f aca="false">Tabla2[[#This Row],[Rentabilidad (%)]]/12</f>
        <v>0.0530457696752992</v>
      </c>
    </row>
    <row r="2769" customFormat="false" ht="14.25" hidden="false" customHeight="false" outlineLevel="0" collapsed="false">
      <c r="A2769" s="1" t="n">
        <v>43525</v>
      </c>
      <c r="B2769" s="2" t="s">
        <v>26</v>
      </c>
      <c r="C2769" s="3" t="n">
        <v>14202</v>
      </c>
      <c r="D2769" s="8" t="s">
        <v>17</v>
      </c>
      <c r="E2769" s="3" t="n">
        <f aca="false">IF(Tabla2[[#This Row],[Frecuencia]]="Annual", Tabla2[[#This Row],[Cosecha/Tarea]]/12,Tabla2[[#This Row],[Cosecha/Tarea]])</f>
        <v>14202</v>
      </c>
      <c r="F2769" s="3" t="n">
        <v>79542</v>
      </c>
      <c r="G2769" s="2" t="s">
        <v>18</v>
      </c>
      <c r="H2769" s="2" t="n">
        <f aca="false">F2769/Tabla2[[#This Row],[Cosecha Mensual]]</f>
        <v>5.60076045627376</v>
      </c>
      <c r="I2769" s="2" t="n">
        <f aca="false">H2769*_xlfn.XLOOKUP(Tabla2[[#This Row],[Unidad de producción]],Tabla3[Medida],Tabla3[Equivalencia en Kg],"ELVIS",0)</f>
        <v>254.050494296578</v>
      </c>
      <c r="J2769" s="2" t="n">
        <v>1018.65364583333</v>
      </c>
      <c r="K2769" s="2" t="s">
        <v>18</v>
      </c>
      <c r="L2769" s="2" t="n">
        <f aca="false">J2769/_xlfn.XLOOKUP(Tabla2[[#This Row],[Unidad de precio]],Tabla3[Medida],Tabla3[Equivalencia en Kg],"ELVIS",0)</f>
        <v>22.4570909575249</v>
      </c>
      <c r="M2769" s="2" t="n">
        <v>1668.6966112895</v>
      </c>
      <c r="N2769" s="3" t="n">
        <f aca="false">(Tabla2[[#This Row],[Productividad (kg/TAS)]]*Tabla2[[#This Row],[Precio por kg]]-Tabla2[[#This Row],[Costos (En RD$/Tarea)]])</f>
        <v>4036.53844693291</v>
      </c>
      <c r="O2769" s="9" t="n">
        <f aca="false">IF(Tabla2[[#This Row],[Costos (En RD$/Tarea)]]=0,0,Tabla2[[#This Row],[Beneficio Neto  (En RD$/Tarea)]]/Tabla2[[#This Row],[Costos (En RD$/Tarea)]])</f>
        <v>2.41897683474868</v>
      </c>
      <c r="P2769" s="7" t="n">
        <f aca="false">Tabla2[[#This Row],[Rentabilidad (%)]]/12</f>
        <v>0.201581402895723</v>
      </c>
    </row>
    <row r="2770" customFormat="false" ht="14.25" hidden="false" customHeight="false" outlineLevel="0" collapsed="false">
      <c r="A2770" s="1" t="n">
        <v>43525</v>
      </c>
      <c r="B2770" s="2" t="s">
        <v>27</v>
      </c>
      <c r="C2770" s="3" t="n">
        <v>5985</v>
      </c>
      <c r="D2770" s="8" t="s">
        <v>17</v>
      </c>
      <c r="E2770" s="3" t="n">
        <f aca="false">IF(Tabla2[[#This Row],[Frecuencia]]="Annual", Tabla2[[#This Row],[Cosecha/Tarea]]/12,Tabla2[[#This Row],[Cosecha/Tarea]])</f>
        <v>5985</v>
      </c>
      <c r="F2770" s="3" t="n">
        <v>56254</v>
      </c>
      <c r="G2770" s="2" t="s">
        <v>18</v>
      </c>
      <c r="H2770" s="2" t="n">
        <f aca="false">F2770/Tabla2[[#This Row],[Cosecha Mensual]]</f>
        <v>9.39916457811195</v>
      </c>
      <c r="I2770" s="2" t="n">
        <f aca="false">H2770*_xlfn.XLOOKUP(Tabla2[[#This Row],[Unidad de producción]],Tabla3[Medida],Tabla3[Equivalencia en Kg],"ELVIS",0)</f>
        <v>426.346105263158</v>
      </c>
      <c r="J2770" s="2" t="n">
        <v>801.388888888889</v>
      </c>
      <c r="K2770" s="2" t="s">
        <v>18</v>
      </c>
      <c r="L2770" s="2" t="n">
        <f aca="false">J2770/_xlfn.XLOOKUP(Tabla2[[#This Row],[Unidad de precio]],Tabla3[Medida],Tabla3[Equivalencia en Kg],"ELVIS",0)</f>
        <v>17.6673035469332</v>
      </c>
      <c r="M2770" s="2" t="n">
        <v>9222.1943510245</v>
      </c>
      <c r="N2770" s="3" t="n">
        <f aca="false">(Tabla2[[#This Row],[Productividad (kg/TAS)]]*Tabla2[[#This Row],[Precio por kg]]-Tabla2[[#This Row],[Costos (En RD$/Tarea)]])</f>
        <v>-1689.80829328756</v>
      </c>
      <c r="O2770" s="9" t="n">
        <f aca="false">IF(Tabla2[[#This Row],[Costos (En RD$/Tarea)]]=0,0,Tabla2[[#This Row],[Beneficio Neto  (En RD$/Tarea)]]/Tabla2[[#This Row],[Costos (En RD$/Tarea)]])</f>
        <v>-0.183232778335434</v>
      </c>
      <c r="P2770" s="7" t="n">
        <f aca="false">Tabla2[[#This Row],[Rentabilidad (%)]]/12</f>
        <v>-0.0152693981946195</v>
      </c>
    </row>
    <row r="2771" customFormat="false" ht="14.25" hidden="false" customHeight="false" outlineLevel="0" collapsed="false">
      <c r="A2771" s="1" t="n">
        <v>43525</v>
      </c>
      <c r="B2771" s="2" t="s">
        <v>28</v>
      </c>
      <c r="C2771" s="3" t="n">
        <v>73328.182</v>
      </c>
      <c r="D2771" s="8" t="s">
        <v>17</v>
      </c>
      <c r="E2771" s="3" t="n">
        <f aca="false">IF(Tabla2[[#This Row],[Frecuencia]]="Annual", Tabla2[[#This Row],[Cosecha/Tarea]]/12,Tabla2[[#This Row],[Cosecha/Tarea]])</f>
        <v>73328.182</v>
      </c>
      <c r="F2771" s="3" t="n">
        <v>1182238.368</v>
      </c>
      <c r="G2771" s="2" t="s">
        <v>18</v>
      </c>
      <c r="H2771" s="2" t="n">
        <f aca="false">F2771/Tabla2[[#This Row],[Cosecha Mensual]]</f>
        <v>16.1225648278039</v>
      </c>
      <c r="I2771" s="2" t="n">
        <f aca="false">H2771*_xlfn.XLOOKUP(Tabla2[[#This Row],[Unidad de producción]],Tabla3[Medida],Tabla3[Equivalencia en Kg],"ELVIS",0)</f>
        <v>731.319540589183</v>
      </c>
      <c r="J2771" s="2" t="n">
        <v>23177.0833333333</v>
      </c>
      <c r="K2771" s="2" t="s">
        <v>29</v>
      </c>
      <c r="L2771" s="2" t="n">
        <f aca="false">J2771/_xlfn.XLOOKUP(Tabla2[[#This Row],[Unidad de precio]],Tabla3[Medida],Tabla3[Equivalencia en Kg],"ELVIS",0)</f>
        <v>41.2154272029969</v>
      </c>
      <c r="M2771" s="2" t="n">
        <v>7149.9398177165</v>
      </c>
      <c r="N2771" s="3" t="n">
        <f aca="false">(Tabla2[[#This Row],[Productividad (kg/TAS)]]*Tabla2[[#This Row],[Precio por kg]]-Tabla2[[#This Row],[Costos (En RD$/Tarea)]])</f>
        <v>22991.7074695661</v>
      </c>
      <c r="O2771" s="9" t="n">
        <f aca="false">IF(Tabla2[[#This Row],[Costos (En RD$/Tarea)]]=0,0,Tabla2[[#This Row],[Beneficio Neto  (En RD$/Tarea)]]/Tabla2[[#This Row],[Costos (En RD$/Tarea)]])</f>
        <v>3.21565048877699</v>
      </c>
      <c r="P2771" s="7" t="n">
        <f aca="false">Tabla2[[#This Row],[Rentabilidad (%)]]/12</f>
        <v>0.267970874064749</v>
      </c>
    </row>
    <row r="2772" customFormat="false" ht="14.25" hidden="false" customHeight="false" outlineLevel="0" collapsed="false">
      <c r="A2772" s="1" t="n">
        <v>43525</v>
      </c>
      <c r="B2772" s="2" t="s">
        <v>30</v>
      </c>
      <c r="C2772" s="3" t="n">
        <v>479985</v>
      </c>
      <c r="D2772" s="3" t="s">
        <v>31</v>
      </c>
      <c r="E2772" s="3" t="n">
        <f aca="false">IF(Tabla2[[#This Row],[Frecuencia]]="Annual", Tabla2[[#This Row],[Cosecha/Tarea]]/12,Tabla2[[#This Row],[Cosecha/Tarea]])</f>
        <v>39998.75</v>
      </c>
      <c r="F2772" s="3" t="n">
        <v>2173903.10208</v>
      </c>
      <c r="G2772" s="2" t="s">
        <v>18</v>
      </c>
      <c r="H2772" s="2" t="n">
        <f aca="false">F2772/Tabla2[[#This Row],[Cosecha Mensual]]</f>
        <v>54.349275966874</v>
      </c>
      <c r="I2772" s="2" t="n">
        <f aca="false">H2772*_xlfn.XLOOKUP(Tabla2[[#This Row],[Unidad de producción]],Tabla3[Medida],Tabla3[Equivalencia en Kg],"ELVIS",0)</f>
        <v>2465.2831578574</v>
      </c>
      <c r="J2772" s="2" t="n">
        <v>140.867708333333</v>
      </c>
      <c r="K2772" s="2" t="s">
        <v>32</v>
      </c>
      <c r="L2772" s="2" t="n">
        <f aca="false">J2772/_xlfn.XLOOKUP(Tabla2[[#This Row],[Unidad de precio]],Tabla3[Medida],Tabla3[Equivalencia en Kg],"ELVIS",0)</f>
        <v>5.17705653558739</v>
      </c>
      <c r="M2772" s="3" t="n">
        <v>35445.71794842</v>
      </c>
      <c r="N2772" s="3" t="n">
        <f aca="false">(Tabla2[[#This Row],[Productividad (kg/TAS)]]*Tabla2[[#This Row],[Precio por kg]]-Tabla2[[#This Row],[Costos (En RD$/Tarea)]])</f>
        <v>-22682.8076639608</v>
      </c>
      <c r="O2772" s="9" t="n">
        <f aca="false">IF(Tabla2[[#This Row],[Costos (En RD$/Tarea)]]=0,0,Tabla2[[#This Row],[Beneficio Neto  (En RD$/Tarea)]]/Tabla2[[#This Row],[Costos (En RD$/Tarea)]])</f>
        <v>-0.639930828794847</v>
      </c>
      <c r="P2772" s="7" t="n">
        <f aca="false">Tabla2[[#This Row],[Rentabilidad (%)]]/12</f>
        <v>-0.0533275690662373</v>
      </c>
    </row>
    <row r="2773" customFormat="false" ht="14.25" hidden="false" customHeight="false" outlineLevel="0" collapsed="false">
      <c r="A2773" s="1" t="n">
        <v>43525</v>
      </c>
      <c r="B2773" s="2" t="s">
        <v>33</v>
      </c>
      <c r="C2773" s="3" t="n">
        <v>745210</v>
      </c>
      <c r="D2773" s="3" t="s">
        <v>31</v>
      </c>
      <c r="E2773" s="3" t="n">
        <f aca="false">IF(Tabla2[[#This Row],[Frecuencia]]="Annual", Tabla2[[#This Row],[Cosecha/Tarea]]/12,Tabla2[[#This Row],[Cosecha/Tarea]])</f>
        <v>62100.8333333333</v>
      </c>
      <c r="F2773" s="3" t="n">
        <v>1649894.94</v>
      </c>
      <c r="G2773" s="2" t="s">
        <v>18</v>
      </c>
      <c r="H2773" s="2" t="n">
        <f aca="false">F2773/Tabla2[[#This Row],[Cosecha Mensual]]</f>
        <v>26.568</v>
      </c>
      <c r="I2773" s="2" t="n">
        <f aca="false">H2773*_xlfn.XLOOKUP(Tabla2[[#This Row],[Unidad de producción]],Tabla3[Medida],Tabla3[Equivalencia en Kg],"ELVIS",0)</f>
        <v>1205.12448</v>
      </c>
      <c r="J2773" s="2" t="n">
        <v>7108.47916666667</v>
      </c>
      <c r="K2773" s="2" t="s">
        <v>34</v>
      </c>
      <c r="L2773" s="2" t="n">
        <f aca="false">J2773/_xlfn.XLOOKUP(Tabla2[[#This Row],[Unidad de precio]],Tabla3[Medida],Tabla3[Equivalencia en Kg],"ELVIS",0)</f>
        <v>17.416339989383</v>
      </c>
      <c r="M2773" s="3" t="n">
        <v>22691.3984505224</v>
      </c>
      <c r="N2773" s="3" t="n">
        <f aca="false">(Tabla2[[#This Row],[Productividad (kg/TAS)]]*Tabla2[[#This Row],[Precio por kg]]-Tabla2[[#This Row],[Costos (En RD$/Tarea)]])</f>
        <v>-1702.54077731401</v>
      </c>
      <c r="O2773" s="9" t="n">
        <f aca="false">IF(Tabla2[[#This Row],[Costos (En RD$/Tarea)]]=0,0,Tabla2[[#This Row],[Beneficio Neto  (En RD$/Tarea)]]/Tabla2[[#This Row],[Costos (En RD$/Tarea)]])</f>
        <v>-0.0750302270274935</v>
      </c>
      <c r="P2773" s="7" t="n">
        <f aca="false">Tabla2[[#This Row],[Rentabilidad (%)]]/12</f>
        <v>-0.00625251891895779</v>
      </c>
    </row>
    <row r="2774" customFormat="false" ht="14.25" hidden="false" customHeight="false" outlineLevel="0" collapsed="false">
      <c r="A2774" s="1" t="n">
        <v>43556</v>
      </c>
      <c r="B2774" s="2" t="s">
        <v>16</v>
      </c>
      <c r="C2774" s="3" t="n">
        <v>506059</v>
      </c>
      <c r="D2774" s="8" t="s">
        <v>17</v>
      </c>
      <c r="E2774" s="3" t="n">
        <f aca="false">IF(Tabla2[[#This Row],[Frecuencia]]="Annual", Tabla2[[#This Row],[Cosecha/Tarea]]/12,Tabla2[[#This Row],[Cosecha/Tarea]])</f>
        <v>506059</v>
      </c>
      <c r="F2774" s="3" t="n">
        <v>2655472</v>
      </c>
      <c r="G2774" s="2" t="s">
        <v>18</v>
      </c>
      <c r="H2774" s="2" t="n">
        <f aca="false">F2774/Tabla2[[#This Row],[Cosecha Mensual]]</f>
        <v>5.24735653352672</v>
      </c>
      <c r="I2774" s="2" t="n">
        <f aca="false">H2774*_xlfn.XLOOKUP(Tabla2[[#This Row],[Unidad de producción]],Tabla3[Medida],Tabla3[Equivalencia en Kg],"ELVIS",0)</f>
        <v>238.020092360772</v>
      </c>
      <c r="J2774" s="2" t="n">
        <v>2226.58122478915</v>
      </c>
      <c r="K2774" s="2" t="s">
        <v>19</v>
      </c>
      <c r="L2774" s="2" t="n">
        <f aca="false">J2774/_xlfn.XLOOKUP(Tabla2[[#This Row],[Unidad de precio]],Tabla3[Medida],Tabla3[Equivalencia en Kg],"ELVIS",0)</f>
        <v>20.2416474980832</v>
      </c>
      <c r="M2774" s="2" t="n">
        <v>6284.7907932017</v>
      </c>
      <c r="N2774" s="3" t="n">
        <f aca="false">(Tabla2[[#This Row],[Productividad (kg/TAS)]]*Tabla2[[#This Row],[Precio por kg]]-Tabla2[[#This Row],[Costos (En RD$/Tarea)]])</f>
        <v>-1466.87198617375</v>
      </c>
      <c r="O2774" s="9" t="n">
        <f aca="false">IF(Tabla2[[#This Row],[Costos (En RD$/Tarea)]]=0,0,Tabla2[[#This Row],[Beneficio Neto  (En RD$/Tarea)]]/Tabla2[[#This Row],[Costos (En RD$/Tarea)]])</f>
        <v>-0.233400288798869</v>
      </c>
      <c r="P2774" s="7" t="n">
        <f aca="false">Tabla2[[#This Row],[Rentabilidad (%)]]/12</f>
        <v>-0.0194500240665724</v>
      </c>
    </row>
    <row r="2775" customFormat="false" ht="14.25" hidden="false" customHeight="false" outlineLevel="0" collapsed="false">
      <c r="A2775" s="1" t="n">
        <v>43556</v>
      </c>
      <c r="B2775" s="2" t="s">
        <v>20</v>
      </c>
      <c r="C2775" s="3" t="n">
        <v>28147</v>
      </c>
      <c r="D2775" s="8" t="s">
        <v>17</v>
      </c>
      <c r="E2775" s="3" t="n">
        <f aca="false">IF(Tabla2[[#This Row],[Frecuencia]]="Annual", Tabla2[[#This Row],[Cosecha/Tarea]]/12,Tabla2[[#This Row],[Cosecha/Tarea]])</f>
        <v>28147</v>
      </c>
      <c r="F2775" s="3" t="n">
        <v>68745</v>
      </c>
      <c r="G2775" s="2" t="s">
        <v>18</v>
      </c>
      <c r="H2775" s="2" t="n">
        <f aca="false">F2775/Tabla2[[#This Row],[Cosecha Mensual]]</f>
        <v>2.44235620137137</v>
      </c>
      <c r="I2775" s="2" t="n">
        <f aca="false">H2775*_xlfn.XLOOKUP(Tabla2[[#This Row],[Unidad de producción]],Tabla3[Medida],Tabla3[Equivalencia en Kg],"ELVIS",0)</f>
        <v>110.785277294205</v>
      </c>
      <c r="J2775" s="2" t="n">
        <v>1063.86604166667</v>
      </c>
      <c r="K2775" s="2" t="s">
        <v>18</v>
      </c>
      <c r="L2775" s="2" t="n">
        <f aca="false">J2775/_xlfn.XLOOKUP(Tabla2[[#This Row],[Unidad de precio]],Tabla3[Medida],Tabla3[Equivalencia en Kg],"ELVIS",0)</f>
        <v>23.4538368974134</v>
      </c>
      <c r="M2775" s="2" t="n">
        <v>2409.24360044496</v>
      </c>
      <c r="N2775" s="3" t="n">
        <f aca="false">(Tabla2[[#This Row],[Productividad (kg/TAS)]]*Tabla2[[#This Row],[Precio por kg]]-Tabla2[[#This Row],[Costos (En RD$/Tarea)]])</f>
        <v>189.096223848046</v>
      </c>
      <c r="O2775" s="9" t="n">
        <f aca="false">IF(Tabla2[[#This Row],[Costos (En RD$/Tarea)]]=0,0,Tabla2[[#This Row],[Beneficio Neto  (En RD$/Tarea)]]/Tabla2[[#This Row],[Costos (En RD$/Tarea)]])</f>
        <v>0.0784877975033831</v>
      </c>
      <c r="P2775" s="7" t="n">
        <f aca="false">Tabla2[[#This Row],[Rentabilidad (%)]]/12</f>
        <v>0.00654064979194859</v>
      </c>
    </row>
    <row r="2776" customFormat="false" ht="14.25" hidden="false" customHeight="false" outlineLevel="0" collapsed="false">
      <c r="A2776" s="1" t="n">
        <v>43556</v>
      </c>
      <c r="B2776" s="2" t="s">
        <v>21</v>
      </c>
      <c r="C2776" s="3" t="n">
        <v>11984</v>
      </c>
      <c r="D2776" s="8" t="s">
        <v>17</v>
      </c>
      <c r="E2776" s="3" t="n">
        <f aca="false">IF(Tabla2[[#This Row],[Frecuencia]]="Annual", Tabla2[[#This Row],[Cosecha/Tarea]]/12,Tabla2[[#This Row],[Cosecha/Tarea]])</f>
        <v>11984</v>
      </c>
      <c r="F2776" s="3" t="n">
        <v>139587</v>
      </c>
      <c r="G2776" s="2" t="s">
        <v>18</v>
      </c>
      <c r="H2776" s="2" t="n">
        <f aca="false">F2776/Tabla2[[#This Row],[Cosecha Mensual]]</f>
        <v>11.6477803738318</v>
      </c>
      <c r="I2776" s="2" t="n">
        <f aca="false">H2776*_xlfn.XLOOKUP(Tabla2[[#This Row],[Unidad de producción]],Tabla3[Medida],Tabla3[Equivalencia en Kg],"ELVIS",0)</f>
        <v>528.343317757009</v>
      </c>
      <c r="J2776" s="2" t="n">
        <v>665.1640625</v>
      </c>
      <c r="K2776" s="2" t="s">
        <v>18</v>
      </c>
      <c r="L2776" s="2" t="n">
        <f aca="false">J2776/_xlfn.XLOOKUP(Tabla2[[#This Row],[Unidad de precio]],Tabla3[Medida],Tabla3[Equivalencia en Kg],"ELVIS",0)</f>
        <v>14.6641107253086</v>
      </c>
      <c r="M2776" s="2" t="n">
        <v>5846.970079582</v>
      </c>
      <c r="N2776" s="3" t="n">
        <f aca="false">(Tabla2[[#This Row],[Productividad (kg/TAS)]]*Tabla2[[#This Row],[Precio por kg]]-Tabla2[[#This Row],[Costos (En RD$/Tarea)]])</f>
        <v>1900.71483298371</v>
      </c>
      <c r="O2776" s="9" t="n">
        <f aca="false">IF(Tabla2[[#This Row],[Costos (En RD$/Tarea)]]=0,0,Tabla2[[#This Row],[Beneficio Neto  (En RD$/Tarea)]]/Tabla2[[#This Row],[Costos (En RD$/Tarea)]])</f>
        <v>0.325076887193443</v>
      </c>
      <c r="P2776" s="7" t="n">
        <f aca="false">Tabla2[[#This Row],[Rentabilidad (%)]]/12</f>
        <v>0.0270897405994536</v>
      </c>
    </row>
    <row r="2777" customFormat="false" ht="14.25" hidden="false" customHeight="false" outlineLevel="0" collapsed="false">
      <c r="A2777" s="1" t="n">
        <v>43556</v>
      </c>
      <c r="B2777" s="2" t="s">
        <v>22</v>
      </c>
      <c r="C2777" s="3" t="n">
        <v>9248.00000000001</v>
      </c>
      <c r="D2777" s="8" t="s">
        <v>17</v>
      </c>
      <c r="E2777" s="3" t="n">
        <f aca="false">IF(Tabla2[[#This Row],[Frecuencia]]="Annual", Tabla2[[#This Row],[Cosecha/Tarea]]/12,Tabla2[[#This Row],[Cosecha/Tarea]])</f>
        <v>9248.00000000001</v>
      </c>
      <c r="F2777" s="3" t="n">
        <v>90561.2</v>
      </c>
      <c r="G2777" s="2" t="s">
        <v>18</v>
      </c>
      <c r="H2777" s="2" t="n">
        <f aca="false">F2777/Tabla2[[#This Row],[Cosecha Mensual]]</f>
        <v>9.79251730103805</v>
      </c>
      <c r="I2777" s="2" t="n">
        <f aca="false">H2777*_xlfn.XLOOKUP(Tabla2[[#This Row],[Unidad de producción]],Tabla3[Medida],Tabla3[Equivalencia en Kg],"ELVIS",0)</f>
        <v>444.188584775086</v>
      </c>
      <c r="J2777" s="2" t="n">
        <v>1456.21354166667</v>
      </c>
      <c r="K2777" s="2" t="s">
        <v>18</v>
      </c>
      <c r="L2777" s="2" t="n">
        <f aca="false">J2777/_xlfn.XLOOKUP(Tabla2[[#This Row],[Unidad de precio]],Tabla3[Medida],Tabla3[Equivalencia en Kg],"ELVIS",0)</f>
        <v>32.1034731407996</v>
      </c>
      <c r="M2777" s="2" t="n">
        <v>10137.37206528</v>
      </c>
      <c r="N2777" s="3" t="n">
        <f aca="false">(Tabla2[[#This Row],[Productividad (kg/TAS)]]*Tabla2[[#This Row],[Precio por kg]]-Tabla2[[#This Row],[Costos (En RD$/Tarea)]])</f>
        <v>4122.62423549676</v>
      </c>
      <c r="O2777" s="9" t="n">
        <f aca="false">IF(Tabla2[[#This Row],[Costos (En RD$/Tarea)]]=0,0,Tabla2[[#This Row],[Beneficio Neto  (En RD$/Tarea)]]/Tabla2[[#This Row],[Costos (En RD$/Tarea)]])</f>
        <v>0.406675833633111</v>
      </c>
      <c r="P2777" s="7" t="n">
        <f aca="false">Tabla2[[#This Row],[Rentabilidad (%)]]/12</f>
        <v>0.0338896528027593</v>
      </c>
    </row>
    <row r="2778" customFormat="false" ht="14.25" hidden="false" customHeight="false" outlineLevel="0" collapsed="false">
      <c r="A2778" s="1" t="n">
        <v>43556</v>
      </c>
      <c r="B2778" s="2" t="s">
        <v>23</v>
      </c>
      <c r="C2778" s="3" t="n">
        <v>4345</v>
      </c>
      <c r="D2778" s="8" t="s">
        <v>17</v>
      </c>
      <c r="E2778" s="3" t="n">
        <f aca="false">IF(Tabla2[[#This Row],[Frecuencia]]="Annual", Tabla2[[#This Row],[Cosecha/Tarea]]/12,Tabla2[[#This Row],[Cosecha/Tarea]])</f>
        <v>4345</v>
      </c>
      <c r="F2778" s="3" t="n">
        <v>165471</v>
      </c>
      <c r="G2778" s="2" t="s">
        <v>18</v>
      </c>
      <c r="H2778" s="2" t="n">
        <f aca="false">F2778/Tabla2[[#This Row],[Cosecha Mensual]]</f>
        <v>38.083084004603</v>
      </c>
      <c r="I2778" s="2" t="n">
        <f aca="false">H2778*_xlfn.XLOOKUP(Tabla2[[#This Row],[Unidad de producción]],Tabla3[Medida],Tabla3[Equivalencia en Kg],"ELVIS",0)</f>
        <v>1727.44869044879</v>
      </c>
      <c r="J2778" s="2" t="n">
        <v>969.333333333333</v>
      </c>
      <c r="K2778" s="2" t="s">
        <v>18</v>
      </c>
      <c r="L2778" s="2" t="n">
        <f aca="false">J2778/_xlfn.XLOOKUP(Tabla2[[#This Row],[Unidad de precio]],Tabla3[Medida],Tabla3[Equivalencia en Kg],"ELVIS",0)</f>
        <v>21.3697824808936</v>
      </c>
      <c r="M2778" s="2" t="n">
        <v>26088.2600080873</v>
      </c>
      <c r="N2778" s="3" t="n">
        <f aca="false">(Tabla2[[#This Row],[Productividad (kg/TAS)]]*Tabla2[[#This Row],[Precio por kg]]-Tabla2[[#This Row],[Costos (En RD$/Tarea)]])</f>
        <v>10826.9427537079</v>
      </c>
      <c r="O2778" s="9" t="n">
        <f aca="false">IF(Tabla2[[#This Row],[Costos (En RD$/Tarea)]]=0,0,Tabla2[[#This Row],[Beneficio Neto  (En RD$/Tarea)]]/Tabla2[[#This Row],[Costos (En RD$/Tarea)]])</f>
        <v>0.415012068660445</v>
      </c>
      <c r="P2778" s="7" t="n">
        <f aca="false">Tabla2[[#This Row],[Rentabilidad (%)]]/12</f>
        <v>0.0345843390550371</v>
      </c>
    </row>
    <row r="2779" customFormat="false" ht="14.25" hidden="false" customHeight="false" outlineLevel="0" collapsed="false">
      <c r="A2779" s="1" t="n">
        <v>43556</v>
      </c>
      <c r="B2779" s="2" t="s">
        <v>24</v>
      </c>
      <c r="C2779" s="3" t="n">
        <v>6587</v>
      </c>
      <c r="D2779" s="8" t="s">
        <v>17</v>
      </c>
      <c r="E2779" s="3" t="n">
        <f aca="false">IF(Tabla2[[#This Row],[Frecuencia]]="Annual", Tabla2[[#This Row],[Cosecha/Tarea]]/12,Tabla2[[#This Row],[Cosecha/Tarea]])</f>
        <v>6587</v>
      </c>
      <c r="F2779" s="3" t="n">
        <v>62627.4</v>
      </c>
      <c r="G2779" s="2" t="s">
        <v>18</v>
      </c>
      <c r="H2779" s="2" t="n">
        <f aca="false">F2779/Tabla2[[#This Row],[Cosecha Mensual]]</f>
        <v>9.50772734173372</v>
      </c>
      <c r="I2779" s="2" t="n">
        <f aca="false">H2779*_xlfn.XLOOKUP(Tabla2[[#This Row],[Unidad de producción]],Tabla3[Medida],Tabla3[Equivalencia en Kg],"ELVIS",0)</f>
        <v>431.270512221041</v>
      </c>
      <c r="J2779" s="2" t="n">
        <v>2575.234375</v>
      </c>
      <c r="K2779" s="2" t="s">
        <v>18</v>
      </c>
      <c r="L2779" s="2" t="n">
        <f aca="false">J2779/_xlfn.XLOOKUP(Tabla2[[#This Row],[Unidad de precio]],Tabla3[Medida],Tabla3[Equivalencia en Kg],"ELVIS",0)</f>
        <v>56.7732445987654</v>
      </c>
      <c r="M2779" s="2" t="n">
        <v>8388.8026628832</v>
      </c>
      <c r="N2779" s="3" t="n">
        <f aca="false">(Tabla2[[#This Row],[Productividad (kg/TAS)]]*Tabla2[[#This Row],[Precio por kg]]-Tabla2[[#This Row],[Costos (En RD$/Tarea)]])</f>
        <v>16095.8236156768</v>
      </c>
      <c r="O2779" s="9" t="n">
        <f aca="false">IF(Tabla2[[#This Row],[Costos (En RD$/Tarea)]]=0,0,Tabla2[[#This Row],[Beneficio Neto  (En RD$/Tarea)]]/Tabla2[[#This Row],[Costos (En RD$/Tarea)]])</f>
        <v>1.91872717269818</v>
      </c>
      <c r="P2779" s="7" t="n">
        <f aca="false">Tabla2[[#This Row],[Rentabilidad (%)]]/12</f>
        <v>0.159893931058182</v>
      </c>
    </row>
    <row r="2780" customFormat="false" ht="14.25" hidden="false" customHeight="false" outlineLevel="0" collapsed="false">
      <c r="A2780" s="1" t="n">
        <v>43556</v>
      </c>
      <c r="B2780" s="2" t="s">
        <v>25</v>
      </c>
      <c r="C2780" s="3" t="n">
        <v>29456.8</v>
      </c>
      <c r="D2780" s="8" t="s">
        <v>17</v>
      </c>
      <c r="E2780" s="3" t="n">
        <f aca="false">IF(Tabla2[[#This Row],[Frecuencia]]="Annual", Tabla2[[#This Row],[Cosecha/Tarea]]/12,Tabla2[[#This Row],[Cosecha/Tarea]])</f>
        <v>29456.8</v>
      </c>
      <c r="F2780" s="3" t="n">
        <v>282955</v>
      </c>
      <c r="G2780" s="2" t="s">
        <v>18</v>
      </c>
      <c r="H2780" s="2" t="n">
        <f aca="false">F2780/Tabla2[[#This Row],[Cosecha Mensual]]</f>
        <v>9.60576165774965</v>
      </c>
      <c r="I2780" s="2" t="n">
        <f aca="false">H2780*_xlfn.XLOOKUP(Tabla2[[#This Row],[Unidad de producción]],Tabla3[Medida],Tabla3[Equivalencia en Kg],"ELVIS",0)</f>
        <v>435.717348795524</v>
      </c>
      <c r="J2780" s="2" t="n">
        <v>867.573020833333</v>
      </c>
      <c r="K2780" s="2" t="s">
        <v>18</v>
      </c>
      <c r="L2780" s="2" t="n">
        <f aca="false">J2780/_xlfn.XLOOKUP(Tabla2[[#This Row],[Unidad de precio]],Tabla3[Medida],Tabla3[Equivalencia en Kg],"ELVIS",0)</f>
        <v>19.1263893481775</v>
      </c>
      <c r="M2780" s="2" t="n">
        <v>4718.29149012608</v>
      </c>
      <c r="N2780" s="3" t="n">
        <f aca="false">(Tabla2[[#This Row],[Productividad (kg/TAS)]]*Tabla2[[#This Row],[Precio por kg]]-Tabla2[[#This Row],[Costos (En RD$/Tarea)]])</f>
        <v>3615.40816869279</v>
      </c>
      <c r="O2780" s="9" t="n">
        <f aca="false">IF(Tabla2[[#This Row],[Costos (En RD$/Tarea)]]=0,0,Tabla2[[#This Row],[Beneficio Neto  (En RD$/Tarea)]]/Tabla2[[#This Row],[Costos (En RD$/Tarea)]])</f>
        <v>0.766253669629933</v>
      </c>
      <c r="P2780" s="7" t="n">
        <f aca="false">Tabla2[[#This Row],[Rentabilidad (%)]]/12</f>
        <v>0.0638544724691611</v>
      </c>
    </row>
    <row r="2781" customFormat="false" ht="14.25" hidden="false" customHeight="false" outlineLevel="0" collapsed="false">
      <c r="A2781" s="1" t="n">
        <v>43556</v>
      </c>
      <c r="B2781" s="2" t="s">
        <v>26</v>
      </c>
      <c r="C2781" s="3" t="n">
        <v>8251.79999999999</v>
      </c>
      <c r="D2781" s="8" t="s">
        <v>17</v>
      </c>
      <c r="E2781" s="3" t="n">
        <f aca="false">IF(Tabla2[[#This Row],[Frecuencia]]="Annual", Tabla2[[#This Row],[Cosecha/Tarea]]/12,Tabla2[[#This Row],[Cosecha/Tarea]])</f>
        <v>8251.79999999999</v>
      </c>
      <c r="F2781" s="3" t="n">
        <v>60741.6</v>
      </c>
      <c r="G2781" s="2" t="s">
        <v>18</v>
      </c>
      <c r="H2781" s="2" t="n">
        <f aca="false">F2781/Tabla2[[#This Row],[Cosecha Mensual]]</f>
        <v>7.36101214280521</v>
      </c>
      <c r="I2781" s="2" t="n">
        <f aca="false">H2781*_xlfn.XLOOKUP(Tabla2[[#This Row],[Unidad de producción]],Tabla3[Medida],Tabla3[Equivalencia en Kg],"ELVIS",0)</f>
        <v>333.895510797645</v>
      </c>
      <c r="J2781" s="2" t="n">
        <v>1167.4375</v>
      </c>
      <c r="K2781" s="2" t="s">
        <v>18</v>
      </c>
      <c r="L2781" s="2" t="n">
        <f aca="false">J2781/_xlfn.XLOOKUP(Tabla2[[#This Row],[Unidad de precio]],Tabla3[Medida],Tabla3[Equivalencia en Kg],"ELVIS",0)</f>
        <v>25.7371582892416</v>
      </c>
      <c r="M2781" s="2" t="n">
        <v>1668.6966112895</v>
      </c>
      <c r="N2781" s="3" t="n">
        <f aca="false">(Tabla2[[#This Row],[Productividad (kg/TAS)]]*Tabla2[[#This Row],[Precio por kg]]-Tabla2[[#This Row],[Costos (En RD$/Tarea)]])</f>
        <v>6924.82500217666</v>
      </c>
      <c r="O2781" s="9" t="n">
        <f aca="false">IF(Tabla2[[#This Row],[Costos (En RD$/Tarea)]]=0,0,Tabla2[[#This Row],[Beneficio Neto  (En RD$/Tarea)]]/Tabla2[[#This Row],[Costos (En RD$/Tarea)]])</f>
        <v>4.14984063329849</v>
      </c>
      <c r="P2781" s="7" t="n">
        <f aca="false">Tabla2[[#This Row],[Rentabilidad (%)]]/12</f>
        <v>0.345820052774874</v>
      </c>
    </row>
    <row r="2782" customFormat="false" ht="14.25" hidden="false" customHeight="false" outlineLevel="0" collapsed="false">
      <c r="A2782" s="1" t="n">
        <v>43556</v>
      </c>
      <c r="B2782" s="2" t="s">
        <v>27</v>
      </c>
      <c r="C2782" s="3" t="n">
        <v>2076.2</v>
      </c>
      <c r="D2782" s="8" t="s">
        <v>17</v>
      </c>
      <c r="E2782" s="3" t="n">
        <f aca="false">IF(Tabla2[[#This Row],[Frecuencia]]="Annual", Tabla2[[#This Row],[Cosecha/Tarea]]/12,Tabla2[[#This Row],[Cosecha/Tarea]])</f>
        <v>2076.2</v>
      </c>
      <c r="F2782" s="3" t="n">
        <v>52032</v>
      </c>
      <c r="G2782" s="2" t="s">
        <v>18</v>
      </c>
      <c r="H2782" s="2" t="n">
        <f aca="false">F2782/Tabla2[[#This Row],[Cosecha Mensual]]</f>
        <v>25.0611694441769</v>
      </c>
      <c r="I2782" s="2" t="n">
        <f aca="false">H2782*_xlfn.XLOOKUP(Tabla2[[#This Row],[Unidad de producción]],Tabla3[Medida],Tabla3[Equivalencia en Kg],"ELVIS",0)</f>
        <v>1136.77464598786</v>
      </c>
      <c r="J2782" s="2" t="n">
        <v>786.642361111111</v>
      </c>
      <c r="K2782" s="2" t="s">
        <v>18</v>
      </c>
      <c r="L2782" s="2" t="n">
        <f aca="false">J2782/_xlfn.XLOOKUP(Tabla2[[#This Row],[Unidad de precio]],Tabla3[Medida],Tabla3[Equivalencia en Kg],"ELVIS",0)</f>
        <v>17.3422037281991</v>
      </c>
      <c r="M2782" s="2" t="n">
        <v>9222.1943510245</v>
      </c>
      <c r="N2782" s="3" t="n">
        <f aca="false">(Tabla2[[#This Row],[Productividad (kg/TAS)]]*Tabla2[[#This Row],[Precio por kg]]-Tabla2[[#This Row],[Costos (En RD$/Tarea)]])</f>
        <v>10491.9831527484</v>
      </c>
      <c r="O2782" s="9" t="n">
        <f aca="false">IF(Tabla2[[#This Row],[Costos (En RD$/Tarea)]]=0,0,Tabla2[[#This Row],[Beneficio Neto  (En RD$/Tarea)]]/Tabla2[[#This Row],[Costos (En RD$/Tarea)]])</f>
        <v>1.13768835847434</v>
      </c>
      <c r="P2782" s="7" t="n">
        <f aca="false">Tabla2[[#This Row],[Rentabilidad (%)]]/12</f>
        <v>0.0948073632061952</v>
      </c>
    </row>
    <row r="2783" customFormat="false" ht="14.25" hidden="false" customHeight="false" outlineLevel="0" collapsed="false">
      <c r="A2783" s="1" t="n">
        <v>43556</v>
      </c>
      <c r="B2783" s="2" t="s">
        <v>28</v>
      </c>
      <c r="C2783" s="3" t="n">
        <v>12245</v>
      </c>
      <c r="D2783" s="8" t="s">
        <v>17</v>
      </c>
      <c r="E2783" s="3" t="n">
        <f aca="false">IF(Tabla2[[#This Row],[Frecuencia]]="Annual", Tabla2[[#This Row],[Cosecha/Tarea]]/12,Tabla2[[#This Row],[Cosecha/Tarea]])</f>
        <v>12245</v>
      </c>
      <c r="F2783" s="3" t="n">
        <v>162492</v>
      </c>
      <c r="G2783" s="2" t="s">
        <v>18</v>
      </c>
      <c r="H2783" s="2" t="n">
        <f aca="false">F2783/Tabla2[[#This Row],[Cosecha Mensual]]</f>
        <v>13.2700694160882</v>
      </c>
      <c r="I2783" s="2" t="n">
        <f aca="false">H2783*_xlfn.XLOOKUP(Tabla2[[#This Row],[Unidad de producción]],Tabla3[Medida],Tabla3[Equivalencia en Kg],"ELVIS",0)</f>
        <v>601.930348713761</v>
      </c>
      <c r="J2783" s="2" t="n">
        <v>5666.66666666667</v>
      </c>
      <c r="K2783" s="2" t="s">
        <v>29</v>
      </c>
      <c r="L2783" s="2" t="n">
        <f aca="false">J2783/_xlfn.XLOOKUP(Tabla2[[#This Row],[Unidad de precio]],Tabla3[Medida],Tabla3[Equivalencia en Kg],"ELVIS",0)</f>
        <v>10.0769404037889</v>
      </c>
      <c r="M2783" s="2" t="n">
        <v>7149.9398177165</v>
      </c>
      <c r="N2783" s="3" t="n">
        <f aca="false">(Tabla2[[#This Row],[Productividad (kg/TAS)]]*Tabla2[[#This Row],[Precio por kg]]-Tabla2[[#This Row],[Costos (En RD$/Tarea)]])</f>
        <v>-1084.32356649604</v>
      </c>
      <c r="O2783" s="9" t="n">
        <f aca="false">IF(Tabla2[[#This Row],[Costos (En RD$/Tarea)]]=0,0,Tabla2[[#This Row],[Beneficio Neto  (En RD$/Tarea)]]/Tabla2[[#This Row],[Costos (En RD$/Tarea)]])</f>
        <v>-0.15165492215882</v>
      </c>
      <c r="P2783" s="7" t="n">
        <f aca="false">Tabla2[[#This Row],[Rentabilidad (%)]]/12</f>
        <v>-0.0126379101799017</v>
      </c>
    </row>
    <row r="2784" customFormat="false" ht="14.25" hidden="false" customHeight="false" outlineLevel="0" collapsed="false">
      <c r="A2784" s="1" t="n">
        <v>43556</v>
      </c>
      <c r="B2784" s="2" t="s">
        <v>30</v>
      </c>
      <c r="C2784" s="3" t="n">
        <v>468545</v>
      </c>
      <c r="D2784" s="3" t="s">
        <v>31</v>
      </c>
      <c r="E2784" s="3" t="n">
        <f aca="false">IF(Tabla2[[#This Row],[Frecuencia]]="Annual", Tabla2[[#This Row],[Cosecha/Tarea]]/12,Tabla2[[#This Row],[Cosecha/Tarea]])</f>
        <v>39045.4166666667</v>
      </c>
      <c r="F2784" s="3" t="n">
        <v>2294706.6</v>
      </c>
      <c r="G2784" s="2" t="s">
        <v>18</v>
      </c>
      <c r="H2784" s="2" t="n">
        <f aca="false">F2784/Tabla2[[#This Row],[Cosecha Mensual]]</f>
        <v>58.7701911235847</v>
      </c>
      <c r="I2784" s="2" t="n">
        <f aca="false">H2784*_xlfn.XLOOKUP(Tabla2[[#This Row],[Unidad de producción]],Tabla3[Medida],Tabla3[Equivalencia en Kg],"ELVIS",0)</f>
        <v>2665.8158693658</v>
      </c>
      <c r="J2784" s="2" t="n">
        <v>195.674479166667</v>
      </c>
      <c r="K2784" s="2" t="s">
        <v>32</v>
      </c>
      <c r="L2784" s="2" t="n">
        <f aca="false">J2784/_xlfn.XLOOKUP(Tabla2[[#This Row],[Unidad de precio]],Tabla3[Medida],Tabla3[Equivalencia en Kg],"ELVIS",0)</f>
        <v>7.19127082567685</v>
      </c>
      <c r="M2784" s="3" t="n">
        <v>35445.71794842</v>
      </c>
      <c r="N2784" s="3" t="n">
        <f aca="false">(Tabla2[[#This Row],[Productividad (kg/TAS)]]*Tabla2[[#This Row],[Precio por kg]]-Tabla2[[#This Row],[Costos (En RD$/Tarea)]])</f>
        <v>-16275.1140604233</v>
      </c>
      <c r="O2784" s="9" t="n">
        <f aca="false">IF(Tabla2[[#This Row],[Costos (En RD$/Tarea)]]=0,0,Tabla2[[#This Row],[Beneficio Neto  (En RD$/Tarea)]]/Tabla2[[#This Row],[Costos (En RD$/Tarea)]])</f>
        <v>-0.45915599972066</v>
      </c>
      <c r="P2784" s="7" t="n">
        <f aca="false">Tabla2[[#This Row],[Rentabilidad (%)]]/12</f>
        <v>-0.0382629999767217</v>
      </c>
    </row>
    <row r="2785" customFormat="false" ht="14.25" hidden="false" customHeight="false" outlineLevel="0" collapsed="false">
      <c r="A2785" s="1" t="n">
        <v>43556</v>
      </c>
      <c r="B2785" s="2" t="s">
        <v>33</v>
      </c>
      <c r="C2785" s="3" t="n">
        <v>788541.999999999</v>
      </c>
      <c r="D2785" s="3" t="s">
        <v>31</v>
      </c>
      <c r="E2785" s="11" t="n">
        <f aca="false">IF(Tabla2[[#This Row],[Frecuencia]]="Annual", Tabla2[[#This Row],[Cosecha/Tarea]]/12,Tabla2[[#This Row],[Cosecha/Tarea]])</f>
        <v>65711.8333333332</v>
      </c>
      <c r="F2785" s="3" t="n">
        <v>3202623</v>
      </c>
      <c r="G2785" s="2" t="s">
        <v>18</v>
      </c>
      <c r="H2785" s="2" t="n">
        <f aca="false">F2785/Tabla2[[#This Row],[Cosecha Mensual]]</f>
        <v>48.7373862140508</v>
      </c>
      <c r="I2785" s="2" t="n">
        <f aca="false">H2785*_xlfn.XLOOKUP(Tabla2[[#This Row],[Unidad de producción]],Tabla3[Medida],Tabla3[Equivalencia en Kg],"ELVIS",0)</f>
        <v>2210.72783866934</v>
      </c>
      <c r="J2785" s="2" t="n">
        <v>7333.73697916667</v>
      </c>
      <c r="K2785" s="2" t="s">
        <v>34</v>
      </c>
      <c r="L2785" s="2" t="n">
        <f aca="false">J2785/_xlfn.XLOOKUP(Tabla2[[#This Row],[Unidad de precio]],Tabla3[Medida],Tabla3[Equivalencia en Kg],"ELVIS",0)</f>
        <v>17.9682395667443</v>
      </c>
      <c r="M2785" s="3" t="n">
        <v>22691.3984505224</v>
      </c>
      <c r="N2785" s="3" t="n">
        <f aca="false">(Tabla2[[#This Row],[Productividad (kg/TAS)]]*Tabla2[[#This Row],[Precio por kg]]-Tabla2[[#This Row],[Costos (En RD$/Tarea)]])</f>
        <v>17031.4889715592</v>
      </c>
      <c r="O2785" s="9" t="n">
        <f aca="false">IF(Tabla2[[#This Row],[Costos (En RD$/Tarea)]]=0,0,Tabla2[[#This Row],[Beneficio Neto  (En RD$/Tarea)]]/Tabla2[[#This Row],[Costos (En RD$/Tarea)]])</f>
        <v>0.750570266028141</v>
      </c>
      <c r="P2785" s="7" t="n">
        <f aca="false">Tabla2[[#This Row],[Rentabilidad (%)]]/12</f>
        <v>0.0625475221690118</v>
      </c>
    </row>
    <row r="2786" customFormat="false" ht="14.25" hidden="false" customHeight="false" outlineLevel="0" collapsed="false">
      <c r="A2786" s="1" t="n">
        <v>43586</v>
      </c>
      <c r="B2786" s="2" t="s">
        <v>16</v>
      </c>
      <c r="C2786" s="3" t="n">
        <v>485214</v>
      </c>
      <c r="D2786" s="8" t="s">
        <v>17</v>
      </c>
      <c r="E2786" s="3" t="n">
        <f aca="false">IF(Tabla2[[#This Row],[Frecuencia]]="Annual", Tabla2[[#This Row],[Cosecha/Tarea]]/12,Tabla2[[#This Row],[Cosecha/Tarea]])</f>
        <v>485214</v>
      </c>
      <c r="F2786" s="3" t="n">
        <v>2546311</v>
      </c>
      <c r="G2786" s="2" t="s">
        <v>18</v>
      </c>
      <c r="H2786" s="2" t="n">
        <f aca="false">F2786/Tabla2[[#This Row],[Cosecha Mensual]]</f>
        <v>5.24781024455189</v>
      </c>
      <c r="I2786" s="2" t="n">
        <f aca="false">H2786*_xlfn.XLOOKUP(Tabla2[[#This Row],[Unidad de producción]],Tabla3[Medida],Tabla3[Equivalencia en Kg],"ELVIS",0)</f>
        <v>238.040672692874</v>
      </c>
      <c r="J2786" s="2" t="n">
        <v>2371.05796815793</v>
      </c>
      <c r="K2786" s="2" t="s">
        <v>19</v>
      </c>
      <c r="L2786" s="2" t="n">
        <f aca="false">J2786/_xlfn.XLOOKUP(Tabla2[[#This Row],[Unidad de precio]],Tabla3[Medida],Tabla3[Equivalencia en Kg],"ELVIS",0)</f>
        <v>21.5550724377994</v>
      </c>
      <c r="M2786" s="2" t="n">
        <v>6284.7907932017</v>
      </c>
      <c r="N2786" s="3" t="n">
        <f aca="false">(Tabla2[[#This Row],[Productividad (kg/TAS)]]*Tabla2[[#This Row],[Precio por kg]]-Tabla2[[#This Row],[Costos (En RD$/Tarea)]])</f>
        <v>-1153.80685016432</v>
      </c>
      <c r="O2786" s="9" t="n">
        <f aca="false">IF(Tabla2[[#This Row],[Costos (En RD$/Tarea)]]=0,0,Tabla2[[#This Row],[Beneficio Neto  (En RD$/Tarea)]]/Tabla2[[#This Row],[Costos (En RD$/Tarea)]])</f>
        <v>-0.183587153197271</v>
      </c>
      <c r="P2786" s="7" t="n">
        <f aca="false">Tabla2[[#This Row],[Rentabilidad (%)]]/12</f>
        <v>-0.0152989294331059</v>
      </c>
    </row>
    <row r="2787" customFormat="false" ht="14.25" hidden="false" customHeight="false" outlineLevel="0" collapsed="false">
      <c r="A2787" s="1" t="n">
        <v>43586</v>
      </c>
      <c r="B2787" s="2" t="s">
        <v>20</v>
      </c>
      <c r="C2787" s="3" t="n">
        <v>22140</v>
      </c>
      <c r="D2787" s="8" t="s">
        <v>17</v>
      </c>
      <c r="E2787" s="3" t="n">
        <f aca="false">IF(Tabla2[[#This Row],[Frecuencia]]="Annual", Tabla2[[#This Row],[Cosecha/Tarea]]/12,Tabla2[[#This Row],[Cosecha/Tarea]])</f>
        <v>22140</v>
      </c>
      <c r="F2787" s="3" t="n">
        <v>78998</v>
      </c>
      <c r="G2787" s="2" t="s">
        <v>18</v>
      </c>
      <c r="H2787" s="2" t="n">
        <f aca="false">F2787/Tabla2[[#This Row],[Cosecha Mensual]]</f>
        <v>3.56811201445348</v>
      </c>
      <c r="I2787" s="2" t="n">
        <f aca="false">H2787*_xlfn.XLOOKUP(Tabla2[[#This Row],[Unidad de producción]],Tabla3[Medida],Tabla3[Equivalencia en Kg],"ELVIS",0)</f>
        <v>161.84956097561</v>
      </c>
      <c r="J2787" s="2" t="n">
        <v>1118.20729166667</v>
      </c>
      <c r="K2787" s="2" t="s">
        <v>18</v>
      </c>
      <c r="L2787" s="2" t="n">
        <f aca="false">J2787/_xlfn.XLOOKUP(Tabla2[[#This Row],[Unidad de precio]],Tabla3[Medida],Tabla3[Equivalencia en Kg],"ELVIS",0)</f>
        <v>24.6518362360377</v>
      </c>
      <c r="M2787" s="2" t="n">
        <v>2409.24360044496</v>
      </c>
      <c r="N2787" s="3" t="n">
        <f aca="false">(Tabla2[[#This Row],[Productividad (kg/TAS)]]*Tabla2[[#This Row],[Precio por kg]]-Tabla2[[#This Row],[Costos (En RD$/Tarea)]])</f>
        <v>1580.64527160037</v>
      </c>
      <c r="O2787" s="9" t="n">
        <f aca="false">IF(Tabla2[[#This Row],[Costos (En RD$/Tarea)]]=0,0,Tabla2[[#This Row],[Beneficio Neto  (En RD$/Tarea)]]/Tabla2[[#This Row],[Costos (En RD$/Tarea)]])</f>
        <v>0.656075322274776</v>
      </c>
      <c r="P2787" s="7" t="n">
        <f aca="false">Tabla2[[#This Row],[Rentabilidad (%)]]/12</f>
        <v>0.054672943522898</v>
      </c>
    </row>
    <row r="2788" customFormat="false" ht="14.25" hidden="false" customHeight="false" outlineLevel="0" collapsed="false">
      <c r="A2788" s="1" t="n">
        <v>43586</v>
      </c>
      <c r="B2788" s="2" t="s">
        <v>21</v>
      </c>
      <c r="C2788" s="3" t="n">
        <v>9541</v>
      </c>
      <c r="D2788" s="8" t="s">
        <v>17</v>
      </c>
      <c r="E2788" s="3" t="n">
        <f aca="false">IF(Tabla2[[#This Row],[Frecuencia]]="Annual", Tabla2[[#This Row],[Cosecha/Tarea]]/12,Tabla2[[#This Row],[Cosecha/Tarea]])</f>
        <v>9541</v>
      </c>
      <c r="F2788" s="3" t="n">
        <v>109989</v>
      </c>
      <c r="G2788" s="2" t="s">
        <v>18</v>
      </c>
      <c r="H2788" s="2" t="n">
        <f aca="false">F2788/Tabla2[[#This Row],[Cosecha Mensual]]</f>
        <v>11.5280368934074</v>
      </c>
      <c r="I2788" s="2" t="n">
        <f aca="false">H2788*_xlfn.XLOOKUP(Tabla2[[#This Row],[Unidad de producción]],Tabla3[Medida],Tabla3[Equivalencia en Kg],"ELVIS",0)</f>
        <v>522.91175348496</v>
      </c>
      <c r="J2788" s="2" t="n">
        <v>743.973958333333</v>
      </c>
      <c r="K2788" s="2" t="s">
        <v>18</v>
      </c>
      <c r="L2788" s="2" t="n">
        <f aca="false">J2788/_xlfn.XLOOKUP(Tabla2[[#This Row],[Unidad de precio]],Tabla3[Medida],Tabla3[Equivalencia en Kg],"ELVIS",0)</f>
        <v>16.4015422912992</v>
      </c>
      <c r="M2788" s="2" t="n">
        <v>5846.970079582</v>
      </c>
      <c r="N2788" s="3" t="n">
        <f aca="false">(Tabla2[[#This Row],[Productividad (kg/TAS)]]*Tabla2[[#This Row],[Precio por kg]]-Tabla2[[#This Row],[Costos (En RD$/Tarea)]])</f>
        <v>2729.589159819</v>
      </c>
      <c r="O2788" s="9" t="n">
        <f aca="false">IF(Tabla2[[#This Row],[Costos (En RD$/Tarea)]]=0,0,Tabla2[[#This Row],[Beneficio Neto  (En RD$/Tarea)]]/Tabla2[[#This Row],[Costos (En RD$/Tarea)]])</f>
        <v>0.466838229487595</v>
      </c>
      <c r="P2788" s="7" t="n">
        <f aca="false">Tabla2[[#This Row],[Rentabilidad (%)]]/12</f>
        <v>0.0389031857906329</v>
      </c>
    </row>
    <row r="2789" customFormat="false" ht="14.25" hidden="false" customHeight="false" outlineLevel="0" collapsed="false">
      <c r="A2789" s="1" t="n">
        <v>43586</v>
      </c>
      <c r="B2789" s="2" t="s">
        <v>22</v>
      </c>
      <c r="C2789" s="3" t="n">
        <v>5654</v>
      </c>
      <c r="D2789" s="8" t="s">
        <v>17</v>
      </c>
      <c r="E2789" s="3" t="n">
        <f aca="false">IF(Tabla2[[#This Row],[Frecuencia]]="Annual", Tabla2[[#This Row],[Cosecha/Tarea]]/12,Tabla2[[#This Row],[Cosecha/Tarea]])</f>
        <v>5654</v>
      </c>
      <c r="F2789" s="3" t="n">
        <v>58411</v>
      </c>
      <c r="G2789" s="2" t="s">
        <v>18</v>
      </c>
      <c r="H2789" s="2" t="n">
        <f aca="false">F2789/Tabla2[[#This Row],[Cosecha Mensual]]</f>
        <v>10.3309161655465</v>
      </c>
      <c r="I2789" s="2" t="n">
        <f aca="false">H2789*_xlfn.XLOOKUP(Tabla2[[#This Row],[Unidad de producción]],Tabla3[Medida],Tabla3[Equivalencia en Kg],"ELVIS",0)</f>
        <v>468.61035726919</v>
      </c>
      <c r="J2789" s="2" t="n">
        <v>1446.89047619048</v>
      </c>
      <c r="K2789" s="2" t="s">
        <v>18</v>
      </c>
      <c r="L2789" s="2" t="n">
        <f aca="false">J2789/_xlfn.XLOOKUP(Tabla2[[#This Row],[Unidad de precio]],Tabla3[Medida],Tabla3[Equivalencia en Kg],"ELVIS",0)</f>
        <v>31.8979381876208</v>
      </c>
      <c r="M2789" s="2" t="n">
        <v>10137.37206528</v>
      </c>
      <c r="N2789" s="3" t="n">
        <f aca="false">(Tabla2[[#This Row],[Productividad (kg/TAS)]]*Tabla2[[#This Row],[Precio por kg]]-Tabla2[[#This Row],[Costos (En RD$/Tarea)]])</f>
        <v>4810.33214497153</v>
      </c>
      <c r="O2789" s="9" t="n">
        <f aca="false">IF(Tabla2[[#This Row],[Costos (En RD$/Tarea)]]=0,0,Tabla2[[#This Row],[Beneficio Neto  (En RD$/Tarea)]]/Tabla2[[#This Row],[Costos (En RD$/Tarea)]])</f>
        <v>0.474514707953423</v>
      </c>
      <c r="P2789" s="7" t="n">
        <f aca="false">Tabla2[[#This Row],[Rentabilidad (%)]]/12</f>
        <v>0.0395428923294519</v>
      </c>
    </row>
    <row r="2790" customFormat="false" ht="14.25" hidden="false" customHeight="false" outlineLevel="0" collapsed="false">
      <c r="A2790" s="1" t="n">
        <v>43586</v>
      </c>
      <c r="B2790" s="2" t="s">
        <v>23</v>
      </c>
      <c r="C2790" s="3" t="n">
        <v>5235</v>
      </c>
      <c r="D2790" s="8" t="s">
        <v>17</v>
      </c>
      <c r="E2790" s="3" t="n">
        <f aca="false">IF(Tabla2[[#This Row],[Frecuencia]]="Annual", Tabla2[[#This Row],[Cosecha/Tarea]]/12,Tabla2[[#This Row],[Cosecha/Tarea]])</f>
        <v>5235</v>
      </c>
      <c r="F2790" s="3" t="n">
        <v>206544</v>
      </c>
      <c r="G2790" s="2" t="s">
        <v>18</v>
      </c>
      <c r="H2790" s="2" t="n">
        <f aca="false">F2790/Tabla2[[#This Row],[Cosecha Mensual]]</f>
        <v>39.454441260745</v>
      </c>
      <c r="I2790" s="2" t="n">
        <f aca="false">H2790*_xlfn.XLOOKUP(Tabla2[[#This Row],[Unidad de producción]],Tabla3[Medida],Tabla3[Equivalencia en Kg],"ELVIS",0)</f>
        <v>1789.65345558739</v>
      </c>
      <c r="J2790" s="2" t="n">
        <v>972.375</v>
      </c>
      <c r="K2790" s="2" t="s">
        <v>18</v>
      </c>
      <c r="L2790" s="2" t="n">
        <f aca="false">J2790/_xlfn.XLOOKUP(Tabla2[[#This Row],[Unidad de precio]],Tabla3[Medida],Tabla3[Equivalencia en Kg],"ELVIS",0)</f>
        <v>21.4368386243386</v>
      </c>
      <c r="M2790" s="2" t="n">
        <v>26088.2600080873</v>
      </c>
      <c r="N2790" s="3" t="n">
        <f aca="false">(Tabla2[[#This Row],[Productividad (kg/TAS)]]*Tabla2[[#This Row],[Precio por kg]]-Tabla2[[#This Row],[Costos (En RD$/Tarea)]])</f>
        <v>12276.2523128296</v>
      </c>
      <c r="O2790" s="9" t="n">
        <f aca="false">IF(Tabla2[[#This Row],[Costos (En RD$/Tarea)]]=0,0,Tabla2[[#This Row],[Beneficio Neto  (En RD$/Tarea)]]/Tabla2[[#This Row],[Costos (En RD$/Tarea)]])</f>
        <v>0.470566159223497</v>
      </c>
      <c r="P2790" s="7" t="n">
        <f aca="false">Tabla2[[#This Row],[Rentabilidad (%)]]/12</f>
        <v>0.0392138466019581</v>
      </c>
    </row>
    <row r="2791" customFormat="false" ht="14.25" hidden="false" customHeight="false" outlineLevel="0" collapsed="false">
      <c r="A2791" s="1" t="n">
        <v>43586</v>
      </c>
      <c r="B2791" s="2" t="s">
        <v>24</v>
      </c>
      <c r="C2791" s="3" t="n">
        <v>5745</v>
      </c>
      <c r="D2791" s="8" t="s">
        <v>17</v>
      </c>
      <c r="E2791" s="3" t="n">
        <f aca="false">IF(Tabla2[[#This Row],[Frecuencia]]="Annual", Tabla2[[#This Row],[Cosecha/Tarea]]/12,Tabla2[[#This Row],[Cosecha/Tarea]])</f>
        <v>5745</v>
      </c>
      <c r="F2791" s="3" t="n">
        <v>36214</v>
      </c>
      <c r="G2791" s="2" t="s">
        <v>18</v>
      </c>
      <c r="H2791" s="2" t="n">
        <f aca="false">F2791/Tabla2[[#This Row],[Cosecha Mensual]]</f>
        <v>6.3035683202785</v>
      </c>
      <c r="I2791" s="2" t="n">
        <f aca="false">H2791*_xlfn.XLOOKUP(Tabla2[[#This Row],[Unidad de producción]],Tabla3[Medida],Tabla3[Equivalencia en Kg],"ELVIS",0)</f>
        <v>285.929859007833</v>
      </c>
      <c r="J2791" s="2" t="n">
        <v>2740.6453125</v>
      </c>
      <c r="K2791" s="2" t="s">
        <v>18</v>
      </c>
      <c r="L2791" s="2" t="n">
        <f aca="false">J2791/_xlfn.XLOOKUP(Tabla2[[#This Row],[Unidad de precio]],Tabla3[Medida],Tabla3[Equivalencia en Kg],"ELVIS",0)</f>
        <v>60.4198702050265</v>
      </c>
      <c r="M2791" s="2" t="n">
        <v>8388.8026628832</v>
      </c>
      <c r="N2791" s="3" t="n">
        <f aca="false">(Tabla2[[#This Row],[Productividad (kg/TAS)]]*Tabla2[[#This Row],[Precio por kg]]-Tabla2[[#This Row],[Costos (En RD$/Tarea)]])</f>
        <v>8887.04230611157</v>
      </c>
      <c r="O2791" s="9" t="n">
        <f aca="false">IF(Tabla2[[#This Row],[Costos (En RD$/Tarea)]]=0,0,Tabla2[[#This Row],[Beneficio Neto  (En RD$/Tarea)]]/Tabla2[[#This Row],[Costos (En RD$/Tarea)]])</f>
        <v>1.05939341563402</v>
      </c>
      <c r="P2791" s="7" t="n">
        <f aca="false">Tabla2[[#This Row],[Rentabilidad (%)]]/12</f>
        <v>0.0882827846361681</v>
      </c>
    </row>
    <row r="2792" customFormat="false" ht="14.25" hidden="false" customHeight="false" outlineLevel="0" collapsed="false">
      <c r="A2792" s="1" t="n">
        <v>43586</v>
      </c>
      <c r="B2792" s="2" t="s">
        <v>25</v>
      </c>
      <c r="C2792" s="3" t="n">
        <v>25644</v>
      </c>
      <c r="D2792" s="8" t="s">
        <v>17</v>
      </c>
      <c r="E2792" s="3" t="n">
        <f aca="false">IF(Tabla2[[#This Row],[Frecuencia]]="Annual", Tabla2[[#This Row],[Cosecha/Tarea]]/12,Tabla2[[#This Row],[Cosecha/Tarea]])</f>
        <v>25644</v>
      </c>
      <c r="F2792" s="3" t="n">
        <v>262487</v>
      </c>
      <c r="G2792" s="2" t="s">
        <v>18</v>
      </c>
      <c r="H2792" s="2" t="n">
        <f aca="false">F2792/Tabla2[[#This Row],[Cosecha Mensual]]</f>
        <v>10.235805646545</v>
      </c>
      <c r="I2792" s="2" t="n">
        <f aca="false">H2792*_xlfn.XLOOKUP(Tabla2[[#This Row],[Unidad de producción]],Tabla3[Medida],Tabla3[Equivalencia en Kg],"ELVIS",0)</f>
        <v>464.296144127281</v>
      </c>
      <c r="J2792" s="2" t="n">
        <v>933.288784722222</v>
      </c>
      <c r="K2792" s="2" t="s">
        <v>18</v>
      </c>
      <c r="L2792" s="2" t="n">
        <f aca="false">J2792/_xlfn.XLOOKUP(Tabla2[[#This Row],[Unidad de precio]],Tabla3[Medida],Tabla3[Equivalencia en Kg],"ELVIS",0)</f>
        <v>20.5751495750049</v>
      </c>
      <c r="M2792" s="2" t="n">
        <v>4718.29149012608</v>
      </c>
      <c r="N2792" s="3" t="n">
        <f aca="false">(Tabla2[[#This Row],[Productividad (kg/TAS)]]*Tabla2[[#This Row],[Precio por kg]]-Tabla2[[#This Row],[Costos (En RD$/Tarea)]])</f>
        <v>4834.67112239076</v>
      </c>
      <c r="O2792" s="9" t="n">
        <f aca="false">IF(Tabla2[[#This Row],[Costos (En RD$/Tarea)]]=0,0,Tabla2[[#This Row],[Beneficio Neto  (En RD$/Tarea)]]/Tabla2[[#This Row],[Costos (En RD$/Tarea)]])</f>
        <v>1.02466563002905</v>
      </c>
      <c r="P2792" s="7" t="n">
        <f aca="false">Tabla2[[#This Row],[Rentabilidad (%)]]/12</f>
        <v>0.0853888025024211</v>
      </c>
    </row>
    <row r="2793" customFormat="false" ht="14.25" hidden="false" customHeight="false" outlineLevel="0" collapsed="false">
      <c r="A2793" s="1" t="n">
        <v>43586</v>
      </c>
      <c r="B2793" s="2" t="s">
        <v>26</v>
      </c>
      <c r="C2793" s="3" t="n">
        <v>9879</v>
      </c>
      <c r="D2793" s="8" t="s">
        <v>17</v>
      </c>
      <c r="E2793" s="3" t="n">
        <f aca="false">IF(Tabla2[[#This Row],[Frecuencia]]="Annual", Tabla2[[#This Row],[Cosecha/Tarea]]/12,Tabla2[[#This Row],[Cosecha/Tarea]])</f>
        <v>9879</v>
      </c>
      <c r="F2793" s="3" t="n">
        <v>68985</v>
      </c>
      <c r="G2793" s="2" t="s">
        <v>18</v>
      </c>
      <c r="H2793" s="2" t="n">
        <f aca="false">F2793/Tabla2[[#This Row],[Cosecha Mensual]]</f>
        <v>6.98299423018524</v>
      </c>
      <c r="I2793" s="2" t="n">
        <f aca="false">H2793*_xlfn.XLOOKUP(Tabla2[[#This Row],[Unidad de producción]],Tabla3[Medida],Tabla3[Equivalencia en Kg],"ELVIS",0)</f>
        <v>316.748618281203</v>
      </c>
      <c r="J2793" s="2" t="n">
        <v>1183.15833333333</v>
      </c>
      <c r="K2793" s="2" t="s">
        <v>18</v>
      </c>
      <c r="L2793" s="2" t="n">
        <f aca="false">J2793/_xlfn.XLOOKUP(Tabla2[[#This Row],[Unidad de precio]],Tabla3[Medida],Tabla3[Equivalencia en Kg],"ELVIS",0)</f>
        <v>26.0837375073485</v>
      </c>
      <c r="M2793" s="2" t="n">
        <v>1668.6966112895</v>
      </c>
      <c r="N2793" s="3" t="n">
        <f aca="false">(Tabla2[[#This Row],[Productividad (kg/TAS)]]*Tabla2[[#This Row],[Precio por kg]]-Tabla2[[#This Row],[Costos (En RD$/Tarea)]])</f>
        <v>6593.29120377273</v>
      </c>
      <c r="O2793" s="9" t="n">
        <f aca="false">IF(Tabla2[[#This Row],[Costos (En RD$/Tarea)]]=0,0,Tabla2[[#This Row],[Beneficio Neto  (En RD$/Tarea)]]/Tabla2[[#This Row],[Costos (En RD$/Tarea)]])</f>
        <v>3.95116233781868</v>
      </c>
      <c r="P2793" s="7" t="n">
        <f aca="false">Tabla2[[#This Row],[Rentabilidad (%)]]/12</f>
        <v>0.329263528151557</v>
      </c>
    </row>
    <row r="2794" customFormat="false" ht="14.25" hidden="false" customHeight="false" outlineLevel="0" collapsed="false">
      <c r="A2794" s="1" t="n">
        <v>43586</v>
      </c>
      <c r="B2794" s="2" t="s">
        <v>27</v>
      </c>
      <c r="C2794" s="3" t="n">
        <v>4821</v>
      </c>
      <c r="D2794" s="8" t="s">
        <v>17</v>
      </c>
      <c r="E2794" s="3" t="n">
        <f aca="false">IF(Tabla2[[#This Row],[Frecuencia]]="Annual", Tabla2[[#This Row],[Cosecha/Tarea]]/12,Tabla2[[#This Row],[Cosecha/Tarea]])</f>
        <v>4821</v>
      </c>
      <c r="F2794" s="3" t="n">
        <v>53214</v>
      </c>
      <c r="G2794" s="2" t="s">
        <v>18</v>
      </c>
      <c r="H2794" s="2" t="n">
        <f aca="false">F2794/Tabla2[[#This Row],[Cosecha Mensual]]</f>
        <v>11.0379589296826</v>
      </c>
      <c r="I2794" s="2" t="n">
        <f aca="false">H2794*_xlfn.XLOOKUP(Tabla2[[#This Row],[Unidad de producción]],Tabla3[Medida],Tabla3[Equivalencia en Kg],"ELVIS",0)</f>
        <v>500.681817050404</v>
      </c>
      <c r="J2794" s="2" t="n">
        <v>693.734904761905</v>
      </c>
      <c r="K2794" s="2" t="s">
        <v>18</v>
      </c>
      <c r="L2794" s="2" t="n">
        <f aca="false">J2794/_xlfn.XLOOKUP(Tabla2[[#This Row],[Unidad de precio]],Tabla3[Medida],Tabla3[Equivalencia en Kg],"ELVIS",0)</f>
        <v>15.2939793818762</v>
      </c>
      <c r="M2794" s="2" t="n">
        <v>9222.1943510245</v>
      </c>
      <c r="N2794" s="3" t="n">
        <f aca="false">(Tabla2[[#This Row],[Productividad (kg/TAS)]]*Tabla2[[#This Row],[Precio por kg]]-Tabla2[[#This Row],[Costos (En RD$/Tarea)]])</f>
        <v>-1564.7769641753</v>
      </c>
      <c r="O2794" s="9" t="n">
        <f aca="false">IF(Tabla2[[#This Row],[Costos (En RD$/Tarea)]]=0,0,Tabla2[[#This Row],[Beneficio Neto  (En RD$/Tarea)]]/Tabla2[[#This Row],[Costos (En RD$/Tarea)]])</f>
        <v>-0.169675123361661</v>
      </c>
      <c r="P2794" s="7" t="n">
        <f aca="false">Tabla2[[#This Row],[Rentabilidad (%)]]/12</f>
        <v>-0.0141395936134718</v>
      </c>
    </row>
    <row r="2795" customFormat="false" ht="14.25" hidden="false" customHeight="false" outlineLevel="0" collapsed="false">
      <c r="A2795" s="1" t="n">
        <v>43586</v>
      </c>
      <c r="B2795" s="2" t="s">
        <v>28</v>
      </c>
      <c r="C2795" s="3" t="n">
        <v>11452</v>
      </c>
      <c r="D2795" s="8" t="s">
        <v>17</v>
      </c>
      <c r="E2795" s="3" t="n">
        <f aca="false">IF(Tabla2[[#This Row],[Frecuencia]]="Annual", Tabla2[[#This Row],[Cosecha/Tarea]]/12,Tabla2[[#This Row],[Cosecha/Tarea]])</f>
        <v>11452</v>
      </c>
      <c r="F2795" s="3" t="n">
        <v>331008</v>
      </c>
      <c r="G2795" s="2" t="s">
        <v>18</v>
      </c>
      <c r="H2795" s="2" t="n">
        <f aca="false">F2795/Tabla2[[#This Row],[Cosecha Mensual]]</f>
        <v>28.9039469088369</v>
      </c>
      <c r="I2795" s="2" t="n">
        <f aca="false">H2795*_xlfn.XLOOKUP(Tabla2[[#This Row],[Unidad de producción]],Tabla3[Medida],Tabla3[Equivalencia en Kg],"ELVIS",0)</f>
        <v>1311.08303178484</v>
      </c>
      <c r="J2795" s="2" t="n">
        <v>12567.2</v>
      </c>
      <c r="K2795" s="2" t="s">
        <v>29</v>
      </c>
      <c r="L2795" s="2" t="n">
        <f aca="false">J2795/_xlfn.XLOOKUP(Tabla2[[#This Row],[Unidad de precio]],Tabla3[Medida],Tabla3[Equivalencia en Kg],"ELVIS",0)</f>
        <v>22.3480456663229</v>
      </c>
      <c r="M2795" s="2" t="n">
        <v>7149.9398177165</v>
      </c>
      <c r="N2795" s="3" t="n">
        <f aca="false">(Tabla2[[#This Row],[Productividad (kg/TAS)]]*Tabla2[[#This Row],[Precio por kg]]-Tabla2[[#This Row],[Costos (En RD$/Tarea)]])</f>
        <v>22150.2036489522</v>
      </c>
      <c r="O2795" s="9" t="n">
        <f aca="false">IF(Tabla2[[#This Row],[Costos (En RD$/Tarea)]]=0,0,Tabla2[[#This Row],[Beneficio Neto  (En RD$/Tarea)]]/Tabla2[[#This Row],[Costos (En RD$/Tarea)]])</f>
        <v>3.09795665609201</v>
      </c>
      <c r="P2795" s="7" t="n">
        <f aca="false">Tabla2[[#This Row],[Rentabilidad (%)]]/12</f>
        <v>0.258163054674335</v>
      </c>
    </row>
    <row r="2796" customFormat="false" ht="14.25" hidden="false" customHeight="false" outlineLevel="0" collapsed="false">
      <c r="A2796" s="1" t="n">
        <v>43586</v>
      </c>
      <c r="B2796" s="2" t="s">
        <v>30</v>
      </c>
      <c r="C2796" s="3" t="n">
        <v>501210</v>
      </c>
      <c r="D2796" s="3" t="s">
        <v>31</v>
      </c>
      <c r="E2796" s="3" t="n">
        <f aca="false">IF(Tabla2[[#This Row],[Frecuencia]]="Annual", Tabla2[[#This Row],[Cosecha/Tarea]]/12,Tabla2[[#This Row],[Cosecha/Tarea]])</f>
        <v>41767.5</v>
      </c>
      <c r="F2796" s="3" t="n">
        <v>2314447.2</v>
      </c>
      <c r="G2796" s="2" t="s">
        <v>18</v>
      </c>
      <c r="H2796" s="2" t="n">
        <f aca="false">F2796/Tabla2[[#This Row],[Cosecha Mensual]]</f>
        <v>55.4126342251751</v>
      </c>
      <c r="I2796" s="2" t="n">
        <f aca="false">H2796*_xlfn.XLOOKUP(Tabla2[[#This Row],[Unidad de producción]],Tabla3[Medida],Tabla3[Equivalencia en Kg],"ELVIS",0)</f>
        <v>2513.51708845394</v>
      </c>
      <c r="J2796" s="2" t="n">
        <v>165.0546875</v>
      </c>
      <c r="K2796" s="2" t="s">
        <v>32</v>
      </c>
      <c r="L2796" s="2" t="n">
        <f aca="false">J2796/_xlfn.XLOOKUP(Tabla2[[#This Row],[Unidad de precio]],Tabla3[Medida],Tabla3[Equivalencia en Kg],"ELVIS",0)</f>
        <v>6.06595690922455</v>
      </c>
      <c r="M2796" s="3" t="n">
        <v>35445.71794842</v>
      </c>
      <c r="N2796" s="3" t="n">
        <f aca="false">(Tabla2[[#This Row],[Productividad (kg/TAS)]]*Tabla2[[#This Row],[Precio por kg]]-Tabla2[[#This Row],[Costos (En RD$/Tarea)]])</f>
        <v>-20198.8315992588</v>
      </c>
      <c r="O2796" s="9" t="n">
        <f aca="false">IF(Tabla2[[#This Row],[Costos (En RD$/Tarea)]]=0,0,Tabla2[[#This Row],[Beneficio Neto  (En RD$/Tarea)]]/Tabla2[[#This Row],[Costos (En RD$/Tarea)]])</f>
        <v>-0.569852517267441</v>
      </c>
      <c r="P2796" s="7" t="n">
        <f aca="false">Tabla2[[#This Row],[Rentabilidad (%)]]/12</f>
        <v>-0.0474877097722867</v>
      </c>
    </row>
    <row r="2797" customFormat="false" ht="14.25" hidden="false" customHeight="false" outlineLevel="0" collapsed="false">
      <c r="A2797" s="1" t="n">
        <v>43586</v>
      </c>
      <c r="B2797" s="2" t="s">
        <v>33</v>
      </c>
      <c r="C2797" s="3" t="n">
        <v>821400</v>
      </c>
      <c r="D2797" s="3" t="s">
        <v>31</v>
      </c>
      <c r="E2797" s="11" t="n">
        <f aca="false">IF(Tabla2[[#This Row],[Frecuencia]]="Annual", Tabla2[[#This Row],[Cosecha/Tarea]]/12,Tabla2[[#This Row],[Cosecha/Tarea]])</f>
        <v>68450</v>
      </c>
      <c r="F2797" s="3" t="n">
        <v>2839176</v>
      </c>
      <c r="G2797" s="2" t="s">
        <v>18</v>
      </c>
      <c r="H2797" s="2" t="n">
        <f aca="false">F2797/Tabla2[[#This Row],[Cosecha Mensual]]</f>
        <v>41.4781008035062</v>
      </c>
      <c r="I2797" s="2" t="n">
        <f aca="false">H2797*_xlfn.XLOOKUP(Tabla2[[#This Row],[Unidad de producción]],Tabla3[Medida],Tabla3[Equivalencia en Kg],"ELVIS",0)</f>
        <v>1881.44665244704</v>
      </c>
      <c r="J2797" s="2" t="n">
        <v>7405.13697916667</v>
      </c>
      <c r="K2797" s="2" t="s">
        <v>34</v>
      </c>
      <c r="L2797" s="2" t="n">
        <f aca="false">J2797/_xlfn.XLOOKUP(Tabla2[[#This Row],[Unidad de precio]],Tabla3[Medida],Tabla3[Equivalencia en Kg],"ELVIS",0)</f>
        <v>18.143175252154</v>
      </c>
      <c r="M2797" s="3" t="n">
        <v>22691.3984505224</v>
      </c>
      <c r="N2797" s="3" t="n">
        <f aca="false">(Tabla2[[#This Row],[Productividad (kg/TAS)]]*Tabla2[[#This Row],[Precio por kg]]-Tabla2[[#This Row],[Costos (En RD$/Tarea)]])</f>
        <v>11444.0178924028</v>
      </c>
      <c r="O2797" s="9" t="n">
        <f aca="false">IF(Tabla2[[#This Row],[Costos (En RD$/Tarea)]]=0,0,Tabla2[[#This Row],[Beneficio Neto  (En RD$/Tarea)]]/Tabla2[[#This Row],[Costos (En RD$/Tarea)]])</f>
        <v>0.504332860636862</v>
      </c>
      <c r="P2797" s="7" t="n">
        <f aca="false">Tabla2[[#This Row],[Rentabilidad (%)]]/12</f>
        <v>0.0420277383864052</v>
      </c>
    </row>
    <row r="2798" customFormat="false" ht="14.25" hidden="false" customHeight="false" outlineLevel="0" collapsed="false">
      <c r="A2798" s="1" t="n">
        <v>43617</v>
      </c>
      <c r="B2798" s="2" t="s">
        <v>16</v>
      </c>
      <c r="C2798" s="3" t="n">
        <v>206245</v>
      </c>
      <c r="D2798" s="8" t="s">
        <v>17</v>
      </c>
      <c r="E2798" s="3" t="n">
        <f aca="false">IF(Tabla2[[#This Row],[Frecuencia]]="Annual", Tabla2[[#This Row],[Cosecha/Tarea]]/12,Tabla2[[#This Row],[Cosecha/Tarea]])</f>
        <v>206245</v>
      </c>
      <c r="F2798" s="3" t="n">
        <v>1032459</v>
      </c>
      <c r="G2798" s="2" t="s">
        <v>18</v>
      </c>
      <c r="H2798" s="2" t="n">
        <f aca="false">F2798/Tabla2[[#This Row],[Cosecha Mensual]]</f>
        <v>5.00598317534971</v>
      </c>
      <c r="I2798" s="2" t="n">
        <f aca="false">H2798*_xlfn.XLOOKUP(Tabla2[[#This Row],[Unidad de producción]],Tabla3[Medida],Tabla3[Equivalencia en Kg],"ELVIS",0)</f>
        <v>227.071396833863</v>
      </c>
      <c r="J2798" s="2" t="n">
        <v>2364.58728532576</v>
      </c>
      <c r="K2798" s="2" t="s">
        <v>19</v>
      </c>
      <c r="L2798" s="2" t="n">
        <f aca="false">J2798/_xlfn.XLOOKUP(Tabla2[[#This Row],[Unidad de precio]],Tabla3[Medida],Tabla3[Equivalencia en Kg],"ELVIS",0)</f>
        <v>21.496248048416</v>
      </c>
      <c r="M2798" s="2" t="n">
        <v>6284.7907932017</v>
      </c>
      <c r="N2798" s="3" t="n">
        <f aca="false">(Tabla2[[#This Row],[Productividad (kg/TAS)]]*Tabla2[[#This Row],[Precio por kg]]-Tabla2[[#This Row],[Costos (En RD$/Tarea)]])</f>
        <v>-1403.60772216069</v>
      </c>
      <c r="O2798" s="9" t="n">
        <f aca="false">IF(Tabla2[[#This Row],[Costos (En RD$/Tarea)]]=0,0,Tabla2[[#This Row],[Beneficio Neto  (En RD$/Tarea)]]/Tabla2[[#This Row],[Costos (En RD$/Tarea)]])</f>
        <v>-0.223334040598293</v>
      </c>
      <c r="P2798" s="7" t="n">
        <f aca="false">Tabla2[[#This Row],[Rentabilidad (%)]]/12</f>
        <v>-0.0186111700498577</v>
      </c>
    </row>
    <row r="2799" customFormat="false" ht="14.25" hidden="false" customHeight="false" outlineLevel="0" collapsed="false">
      <c r="A2799" s="1" t="n">
        <v>43617</v>
      </c>
      <c r="B2799" s="2" t="s">
        <v>20</v>
      </c>
      <c r="C2799" s="3" t="n">
        <v>39879</v>
      </c>
      <c r="D2799" s="8" t="s">
        <v>17</v>
      </c>
      <c r="E2799" s="3" t="n">
        <f aca="false">IF(Tabla2[[#This Row],[Frecuencia]]="Annual", Tabla2[[#This Row],[Cosecha/Tarea]]/12,Tabla2[[#This Row],[Cosecha/Tarea]])</f>
        <v>39879</v>
      </c>
      <c r="F2799" s="3" t="n">
        <v>101289</v>
      </c>
      <c r="G2799" s="2" t="s">
        <v>18</v>
      </c>
      <c r="H2799" s="2" t="n">
        <f aca="false">F2799/Tabla2[[#This Row],[Cosecha Mensual]]</f>
        <v>2.53990822237268</v>
      </c>
      <c r="I2799" s="2" t="n">
        <f aca="false">H2799*_xlfn.XLOOKUP(Tabla2[[#This Row],[Unidad de producción]],Tabla3[Medida],Tabla3[Equivalencia en Kg],"ELVIS",0)</f>
        <v>115.210236966825</v>
      </c>
      <c r="J2799" s="2" t="n">
        <v>1097.51822916667</v>
      </c>
      <c r="K2799" s="2" t="s">
        <v>18</v>
      </c>
      <c r="L2799" s="2" t="n">
        <f aca="false">J2799/_xlfn.XLOOKUP(Tabla2[[#This Row],[Unidad de precio]],Tabla3[Medida],Tabla3[Equivalencia en Kg],"ELVIS",0)</f>
        <v>24.1957281562317</v>
      </c>
      <c r="M2799" s="2" t="n">
        <v>2409.24360044496</v>
      </c>
      <c r="N2799" s="3" t="n">
        <f aca="false">(Tabla2[[#This Row],[Productividad (kg/TAS)]]*Tabla2[[#This Row],[Precio por kg]]-Tabla2[[#This Row],[Costos (En RD$/Tarea)]])</f>
        <v>378.351974019365</v>
      </c>
      <c r="O2799" s="9" t="n">
        <f aca="false">IF(Tabla2[[#This Row],[Costos (En RD$/Tarea)]]=0,0,Tabla2[[#This Row],[Beneficio Neto  (En RD$/Tarea)]]/Tabla2[[#This Row],[Costos (En RD$/Tarea)]])</f>
        <v>0.15704180928383</v>
      </c>
      <c r="P2799" s="7" t="n">
        <f aca="false">Tabla2[[#This Row],[Rentabilidad (%)]]/12</f>
        <v>0.0130868174403192</v>
      </c>
    </row>
    <row r="2800" customFormat="false" ht="14.25" hidden="false" customHeight="false" outlineLevel="0" collapsed="false">
      <c r="A2800" s="1" t="n">
        <v>43617</v>
      </c>
      <c r="B2800" s="2" t="s">
        <v>21</v>
      </c>
      <c r="C2800" s="3" t="n">
        <v>8345</v>
      </c>
      <c r="D2800" s="8" t="s">
        <v>17</v>
      </c>
      <c r="E2800" s="3" t="n">
        <f aca="false">IF(Tabla2[[#This Row],[Frecuencia]]="Annual", Tabla2[[#This Row],[Cosecha/Tarea]]/12,Tabla2[[#This Row],[Cosecha/Tarea]])</f>
        <v>8345</v>
      </c>
      <c r="F2800" s="3" t="n">
        <v>96898</v>
      </c>
      <c r="G2800" s="2" t="s">
        <v>18</v>
      </c>
      <c r="H2800" s="2" t="n">
        <f aca="false">F2800/Tabla2[[#This Row],[Cosecha Mensual]]</f>
        <v>11.6115038945476</v>
      </c>
      <c r="I2800" s="2" t="n">
        <f aca="false">H2800*_xlfn.XLOOKUP(Tabla2[[#This Row],[Unidad de producción]],Tabla3[Medida],Tabla3[Equivalencia en Kg],"ELVIS",0)</f>
        <v>526.697816656681</v>
      </c>
      <c r="J2800" s="2" t="n">
        <v>844.013020833334</v>
      </c>
      <c r="K2800" s="2" t="s">
        <v>18</v>
      </c>
      <c r="L2800" s="2" t="n">
        <f aca="false">J2800/_xlfn.XLOOKUP(Tabla2[[#This Row],[Unidad de precio]],Tabla3[Medida],Tabla3[Equivalencia en Kg],"ELVIS",0)</f>
        <v>18.6069889954439</v>
      </c>
      <c r="M2800" s="2" t="n">
        <v>5846.970079582</v>
      </c>
      <c r="N2800" s="3" t="n">
        <f aca="false">(Tabla2[[#This Row],[Productividad (kg/TAS)]]*Tabla2[[#This Row],[Precio por kg]]-Tabla2[[#This Row],[Costos (En RD$/Tarea)]])</f>
        <v>3953.29039887317</v>
      </c>
      <c r="O2800" s="9" t="n">
        <f aca="false">IF(Tabla2[[#This Row],[Costos (En RD$/Tarea)]]=0,0,Tabla2[[#This Row],[Beneficio Neto  (En RD$/Tarea)]]/Tabla2[[#This Row],[Costos (En RD$/Tarea)]])</f>
        <v>0.676126326125444</v>
      </c>
      <c r="P2800" s="7" t="n">
        <f aca="false">Tabla2[[#This Row],[Rentabilidad (%)]]/12</f>
        <v>0.0563438605104537</v>
      </c>
    </row>
    <row r="2801" customFormat="false" ht="14.25" hidden="false" customHeight="false" outlineLevel="0" collapsed="false">
      <c r="A2801" s="1" t="n">
        <v>43617</v>
      </c>
      <c r="B2801" s="2" t="s">
        <v>22</v>
      </c>
      <c r="C2801" s="3" t="n">
        <v>6621</v>
      </c>
      <c r="D2801" s="8" t="s">
        <v>17</v>
      </c>
      <c r="E2801" s="3" t="n">
        <f aca="false">IF(Tabla2[[#This Row],[Frecuencia]]="Annual", Tabla2[[#This Row],[Cosecha/Tarea]]/12,Tabla2[[#This Row],[Cosecha/Tarea]])</f>
        <v>6621</v>
      </c>
      <c r="F2801" s="3" t="n">
        <v>48214</v>
      </c>
      <c r="G2801" s="2" t="s">
        <v>18</v>
      </c>
      <c r="H2801" s="2" t="n">
        <f aca="false">F2801/Tabla2[[#This Row],[Cosecha Mensual]]</f>
        <v>7.2819815737804</v>
      </c>
      <c r="I2801" s="2" t="n">
        <f aca="false">H2801*_xlfn.XLOOKUP(Tabla2[[#This Row],[Unidad de producción]],Tabla3[Medida],Tabla3[Equivalencia en Kg],"ELVIS",0)</f>
        <v>330.310684186679</v>
      </c>
      <c r="J2801" s="2" t="n">
        <v>1388.66071428571</v>
      </c>
      <c r="K2801" s="2" t="s">
        <v>18</v>
      </c>
      <c r="L2801" s="2" t="n">
        <f aca="false">J2801/_xlfn.XLOOKUP(Tabla2[[#This Row],[Unidad de precio]],Tabla3[Medida],Tabla3[Equivalencia en Kg],"ELVIS",0)</f>
        <v>30.6142132779037</v>
      </c>
      <c r="M2801" s="2" t="n">
        <v>10137.37206528</v>
      </c>
      <c r="N2801" s="3" t="n">
        <f aca="false">(Tabla2[[#This Row],[Productividad (kg/TAS)]]*Tabla2[[#This Row],[Precio por kg]]-Tabla2[[#This Row],[Costos (En RD$/Tarea)]])</f>
        <v>-25.1703316187377</v>
      </c>
      <c r="O2801" s="9" t="n">
        <f aca="false">IF(Tabla2[[#This Row],[Costos (En RD$/Tarea)]]=0,0,Tabla2[[#This Row],[Beneficio Neto  (En RD$/Tarea)]]/Tabla2[[#This Row],[Costos (En RD$/Tarea)]])</f>
        <v>-0.00248292471230733</v>
      </c>
      <c r="P2801" s="7" t="n">
        <f aca="false">Tabla2[[#This Row],[Rentabilidad (%)]]/12</f>
        <v>-0.000206910392692277</v>
      </c>
    </row>
    <row r="2802" customFormat="false" ht="14.25" hidden="false" customHeight="false" outlineLevel="0" collapsed="false">
      <c r="A2802" s="1" t="n">
        <v>43617</v>
      </c>
      <c r="B2802" s="2" t="s">
        <v>23</v>
      </c>
      <c r="C2802" s="3" t="n">
        <v>4165</v>
      </c>
      <c r="D2802" s="8" t="s">
        <v>17</v>
      </c>
      <c r="E2802" s="3" t="n">
        <f aca="false">IF(Tabla2[[#This Row],[Frecuencia]]="Annual", Tabla2[[#This Row],[Cosecha/Tarea]]/12,Tabla2[[#This Row],[Cosecha/Tarea]])</f>
        <v>4165</v>
      </c>
      <c r="F2802" s="3" t="n">
        <v>159668</v>
      </c>
      <c r="G2802" s="2" t="s">
        <v>18</v>
      </c>
      <c r="H2802" s="2" t="n">
        <f aca="false">F2802/Tabla2[[#This Row],[Cosecha Mensual]]</f>
        <v>38.3356542617047</v>
      </c>
      <c r="I2802" s="2" t="n">
        <f aca="false">H2802*_xlfn.XLOOKUP(Tabla2[[#This Row],[Unidad de producción]],Tabla3[Medida],Tabla3[Equivalencia en Kg],"ELVIS",0)</f>
        <v>1738.90527731092</v>
      </c>
      <c r="J2802" s="2" t="n">
        <v>1070.5</v>
      </c>
      <c r="K2802" s="2" t="s">
        <v>18</v>
      </c>
      <c r="L2802" s="2" t="n">
        <f aca="false">J2802/_xlfn.XLOOKUP(Tabla2[[#This Row],[Unidad de precio]],Tabla3[Medida],Tabla3[Equivalencia en Kg],"ELVIS",0)</f>
        <v>23.6000881834215</v>
      </c>
      <c r="M2802" s="2" t="n">
        <v>26088.2600080873</v>
      </c>
      <c r="N2802" s="3" t="n">
        <f aca="false">(Tabla2[[#This Row],[Productividad (kg/TAS)]]*Tabla2[[#This Row],[Precio por kg]]-Tabla2[[#This Row],[Costos (En RD$/Tarea)]])</f>
        <v>14950.0578790676</v>
      </c>
      <c r="O2802" s="9" t="n">
        <f aca="false">IF(Tabla2[[#This Row],[Costos (En RD$/Tarea)]]=0,0,Tabla2[[#This Row],[Beneficio Neto  (En RD$/Tarea)]]/Tabla2[[#This Row],[Costos (En RD$/Tarea)]])</f>
        <v>0.57305691810926</v>
      </c>
      <c r="P2802" s="7" t="n">
        <f aca="false">Tabla2[[#This Row],[Rentabilidad (%)]]/12</f>
        <v>0.0477547431757717</v>
      </c>
    </row>
    <row r="2803" customFormat="false" ht="14.25" hidden="false" customHeight="false" outlineLevel="0" collapsed="false">
      <c r="A2803" s="1" t="n">
        <v>43617</v>
      </c>
      <c r="B2803" s="2" t="s">
        <v>24</v>
      </c>
      <c r="C2803" s="3" t="n">
        <v>6012</v>
      </c>
      <c r="D2803" s="8" t="s">
        <v>17</v>
      </c>
      <c r="E2803" s="3" t="n">
        <f aca="false">IF(Tabla2[[#This Row],[Frecuencia]]="Annual", Tabla2[[#This Row],[Cosecha/Tarea]]/12,Tabla2[[#This Row],[Cosecha/Tarea]])</f>
        <v>6012</v>
      </c>
      <c r="F2803" s="3" t="n">
        <v>57899</v>
      </c>
      <c r="G2803" s="2" t="s">
        <v>18</v>
      </c>
      <c r="H2803" s="2" t="n">
        <f aca="false">F2803/Tabla2[[#This Row],[Cosecha Mensual]]</f>
        <v>9.63057218895542</v>
      </c>
      <c r="I2803" s="2" t="n">
        <f aca="false">H2803*_xlfn.XLOOKUP(Tabla2[[#This Row],[Unidad de producción]],Tabla3[Medida],Tabla3[Equivalencia en Kg],"ELVIS",0)</f>
        <v>436.842754491018</v>
      </c>
      <c r="J2803" s="2" t="n">
        <v>2824.43489583333</v>
      </c>
      <c r="K2803" s="2" t="s">
        <v>18</v>
      </c>
      <c r="L2803" s="2" t="n">
        <f aca="false">J2803/_xlfn.XLOOKUP(Tabla2[[#This Row],[Unidad de precio]],Tabla3[Medida],Tabla3[Equivalencia en Kg],"ELVIS",0)</f>
        <v>62.2670832414755</v>
      </c>
      <c r="M2803" s="2" t="n">
        <v>8388.8026628832</v>
      </c>
      <c r="N2803" s="3" t="n">
        <f aca="false">(Tabla2[[#This Row],[Productividad (kg/TAS)]]*Tabla2[[#This Row],[Precio por kg]]-Tabla2[[#This Row],[Costos (En RD$/Tarea)]])</f>
        <v>18812.1214944445</v>
      </c>
      <c r="O2803" s="9" t="n">
        <f aca="false">IF(Tabla2[[#This Row],[Costos (En RD$/Tarea)]]=0,0,Tabla2[[#This Row],[Beneficio Neto  (En RD$/Tarea)]]/Tabla2[[#This Row],[Costos (En RD$/Tarea)]])</f>
        <v>2.24252759904342</v>
      </c>
      <c r="P2803" s="7" t="n">
        <f aca="false">Tabla2[[#This Row],[Rentabilidad (%)]]/12</f>
        <v>0.186877299920285</v>
      </c>
    </row>
    <row r="2804" customFormat="false" ht="14.25" hidden="false" customHeight="false" outlineLevel="0" collapsed="false">
      <c r="A2804" s="1" t="n">
        <v>43617</v>
      </c>
      <c r="B2804" s="2" t="s">
        <v>25</v>
      </c>
      <c r="C2804" s="3" t="n">
        <v>30854</v>
      </c>
      <c r="D2804" s="8" t="s">
        <v>17</v>
      </c>
      <c r="E2804" s="3" t="n">
        <f aca="false">IF(Tabla2[[#This Row],[Frecuencia]]="Annual", Tabla2[[#This Row],[Cosecha/Tarea]]/12,Tabla2[[#This Row],[Cosecha/Tarea]])</f>
        <v>30854</v>
      </c>
      <c r="F2804" s="3" t="n">
        <v>295487</v>
      </c>
      <c r="G2804" s="2" t="s">
        <v>18</v>
      </c>
      <c r="H2804" s="2" t="n">
        <f aca="false">F2804/Tabla2[[#This Row],[Cosecha Mensual]]</f>
        <v>9.57694302197446</v>
      </c>
      <c r="I2804" s="2" t="n">
        <f aca="false">H2804*_xlfn.XLOOKUP(Tabla2[[#This Row],[Unidad de producción]],Tabla3[Medida],Tabla3[Equivalencia en Kg],"ELVIS",0)</f>
        <v>434.410135476761</v>
      </c>
      <c r="J2804" s="2" t="n">
        <v>927.714166666667</v>
      </c>
      <c r="K2804" s="2" t="s">
        <v>18</v>
      </c>
      <c r="L2804" s="2" t="n">
        <f aca="false">J2804/_xlfn.XLOOKUP(Tabla2[[#This Row],[Unidad de precio]],Tabla3[Medida],Tabla3[Equivalencia en Kg],"ELVIS",0)</f>
        <v>20.4522523515579</v>
      </c>
      <c r="M2804" s="2" t="n">
        <v>4718.29149012608</v>
      </c>
      <c r="N2804" s="3" t="n">
        <f aca="false">(Tabla2[[#This Row],[Productividad (kg/TAS)]]*Tabla2[[#This Row],[Precio por kg]]-Tabla2[[#This Row],[Costos (En RD$/Tarea)]])</f>
        <v>4166.37422471911</v>
      </c>
      <c r="O2804" s="9" t="n">
        <f aca="false">IF(Tabla2[[#This Row],[Costos (En RD$/Tarea)]]=0,0,Tabla2[[#This Row],[Beneficio Neto  (En RD$/Tarea)]]/Tabla2[[#This Row],[Costos (En RD$/Tarea)]])</f>
        <v>0.883026034622497</v>
      </c>
      <c r="P2804" s="7" t="n">
        <f aca="false">Tabla2[[#This Row],[Rentabilidad (%)]]/12</f>
        <v>0.0735855028852081</v>
      </c>
    </row>
    <row r="2805" customFormat="false" ht="14.25" hidden="false" customHeight="false" outlineLevel="0" collapsed="false">
      <c r="A2805" s="1" t="n">
        <v>43617</v>
      </c>
      <c r="B2805" s="2" t="s">
        <v>26</v>
      </c>
      <c r="C2805" s="3" t="n">
        <v>11321</v>
      </c>
      <c r="D2805" s="8" t="s">
        <v>17</v>
      </c>
      <c r="E2805" s="3" t="n">
        <f aca="false">IF(Tabla2[[#This Row],[Frecuencia]]="Annual", Tabla2[[#This Row],[Cosecha/Tarea]]/12,Tabla2[[#This Row],[Cosecha/Tarea]])</f>
        <v>11321</v>
      </c>
      <c r="F2805" s="3" t="n">
        <v>68954</v>
      </c>
      <c r="G2805" s="2" t="s">
        <v>18</v>
      </c>
      <c r="H2805" s="2" t="n">
        <f aca="false">F2805/Tabla2[[#This Row],[Cosecha Mensual]]</f>
        <v>6.09080469923152</v>
      </c>
      <c r="I2805" s="2" t="n">
        <f aca="false">H2805*_xlfn.XLOOKUP(Tabla2[[#This Row],[Unidad de producción]],Tabla3[Medida],Tabla3[Equivalencia en Kg],"ELVIS",0)</f>
        <v>276.278901157142</v>
      </c>
      <c r="J2805" s="2" t="n">
        <v>1152.22145833333</v>
      </c>
      <c r="K2805" s="2" t="s">
        <v>18</v>
      </c>
      <c r="L2805" s="2" t="n">
        <f aca="false">J2805/_xlfn.XLOOKUP(Tabla2[[#This Row],[Unidad de precio]],Tabla3[Medida],Tabla3[Equivalencia en Kg],"ELVIS",0)</f>
        <v>25.4017076352145</v>
      </c>
      <c r="M2805" s="2" t="n">
        <v>1668.6966112895</v>
      </c>
      <c r="N2805" s="3" t="n">
        <f aca="false">(Tabla2[[#This Row],[Productividad (kg/TAS)]]*Tabla2[[#This Row],[Precio por kg]]-Tabla2[[#This Row],[Costos (En RD$/Tarea)]])</f>
        <v>5349.25926168254</v>
      </c>
      <c r="O2805" s="9" t="n">
        <f aca="false">IF(Tabla2[[#This Row],[Costos (En RD$/Tarea)]]=0,0,Tabla2[[#This Row],[Beneficio Neto  (En RD$/Tarea)]]/Tabla2[[#This Row],[Costos (En RD$/Tarea)]])</f>
        <v>3.20565118038374</v>
      </c>
      <c r="P2805" s="7" t="n">
        <f aca="false">Tabla2[[#This Row],[Rentabilidad (%)]]/12</f>
        <v>0.267137598365312</v>
      </c>
    </row>
    <row r="2806" customFormat="false" ht="14.25" hidden="false" customHeight="false" outlineLevel="0" collapsed="false">
      <c r="A2806" s="1" t="n">
        <v>43617</v>
      </c>
      <c r="B2806" s="2" t="s">
        <v>27</v>
      </c>
      <c r="C2806" s="3" t="n">
        <v>8452</v>
      </c>
      <c r="D2806" s="8" t="s">
        <v>17</v>
      </c>
      <c r="E2806" s="3" t="n">
        <f aca="false">IF(Tabla2[[#This Row],[Frecuencia]]="Annual", Tabla2[[#This Row],[Cosecha/Tarea]]/12,Tabla2[[#This Row],[Cosecha/Tarea]])</f>
        <v>8452</v>
      </c>
      <c r="F2806" s="3" t="n">
        <v>58954</v>
      </c>
      <c r="G2806" s="2" t="s">
        <v>18</v>
      </c>
      <c r="H2806" s="2" t="n">
        <f aca="false">F2806/Tabla2[[#This Row],[Cosecha Mensual]]</f>
        <v>6.97515380974917</v>
      </c>
      <c r="I2806" s="2" t="n">
        <f aca="false">H2806*_xlfn.XLOOKUP(Tabla2[[#This Row],[Unidad de producción]],Tabla3[Medida],Tabla3[Equivalencia en Kg],"ELVIS",0)</f>
        <v>316.392976810222</v>
      </c>
      <c r="J2806" s="2" t="n">
        <v>719.632380952381</v>
      </c>
      <c r="K2806" s="2" t="s">
        <v>18</v>
      </c>
      <c r="L2806" s="2" t="n">
        <f aca="false">J2806/_xlfn.XLOOKUP(Tabla2[[#This Row],[Unidad de precio]],Tabla3[Medida],Tabla3[Equivalencia en Kg],"ELVIS",0)</f>
        <v>15.8649113966574</v>
      </c>
      <c r="M2806" s="2" t="n">
        <v>9222.1943510245</v>
      </c>
      <c r="N2806" s="3" t="n">
        <f aca="false">(Tabla2[[#This Row],[Productividad (kg/TAS)]]*Tabla2[[#This Row],[Precio por kg]]-Tabla2[[#This Row],[Costos (En RD$/Tarea)]])</f>
        <v>-4202.64780740563</v>
      </c>
      <c r="O2806" s="9" t="n">
        <f aca="false">IF(Tabla2[[#This Row],[Costos (En RD$/Tarea)]]=0,0,Tabla2[[#This Row],[Beneficio Neto  (En RD$/Tarea)]]/Tabla2[[#This Row],[Costos (En RD$/Tarea)]])</f>
        <v>-0.455710175630679</v>
      </c>
      <c r="P2806" s="7" t="n">
        <f aca="false">Tabla2[[#This Row],[Rentabilidad (%)]]/12</f>
        <v>-0.0379758479692233</v>
      </c>
    </row>
    <row r="2807" customFormat="false" ht="14.25" hidden="false" customHeight="false" outlineLevel="0" collapsed="false">
      <c r="A2807" s="1" t="n">
        <v>43617</v>
      </c>
      <c r="B2807" s="2" t="s">
        <v>28</v>
      </c>
      <c r="C2807" s="3" t="n">
        <v>44899</v>
      </c>
      <c r="D2807" s="8" t="s">
        <v>17</v>
      </c>
      <c r="E2807" s="3" t="n">
        <f aca="false">IF(Tabla2[[#This Row],[Frecuencia]]="Annual", Tabla2[[#This Row],[Cosecha/Tarea]]/12,Tabla2[[#This Row],[Cosecha/Tarea]])</f>
        <v>44899</v>
      </c>
      <c r="F2807" s="3" t="n">
        <v>1255176</v>
      </c>
      <c r="G2807" s="2" t="s">
        <v>18</v>
      </c>
      <c r="H2807" s="2" t="n">
        <f aca="false">F2807/Tabla2[[#This Row],[Cosecha Mensual]]</f>
        <v>27.9555446669191</v>
      </c>
      <c r="I2807" s="2" t="n">
        <f aca="false">H2807*_xlfn.XLOOKUP(Tabla2[[#This Row],[Unidad de producción]],Tabla3[Medida],Tabla3[Equivalencia en Kg],"ELVIS",0)</f>
        <v>1268.06350609145</v>
      </c>
      <c r="J2807" s="2" t="n">
        <v>9167.91666666667</v>
      </c>
      <c r="K2807" s="2" t="s">
        <v>29</v>
      </c>
      <c r="L2807" s="2" t="n">
        <f aca="false">J2807/_xlfn.XLOOKUP(Tabla2[[#This Row],[Unidad de precio]],Tabla3[Medida],Tabla3[Equivalencia en Kg],"ELVIS",0)</f>
        <v>16.30315586063</v>
      </c>
      <c r="M2807" s="2" t="n">
        <v>7149.9398177165</v>
      </c>
      <c r="N2807" s="3" t="n">
        <f aca="false">(Tabla2[[#This Row],[Productividad (kg/TAS)]]*Tabla2[[#This Row],[Precio por kg]]-Tabla2[[#This Row],[Costos (En RD$/Tarea)]])</f>
        <v>13523.4971632693</v>
      </c>
      <c r="O2807" s="9" t="n">
        <f aca="false">IF(Tabla2[[#This Row],[Costos (En RD$/Tarea)]]=0,0,Tabla2[[#This Row],[Beneficio Neto  (En RD$/Tarea)]]/Tabla2[[#This Row],[Costos (En RD$/Tarea)]])</f>
        <v>1.89141412487978</v>
      </c>
      <c r="P2807" s="7" t="n">
        <f aca="false">Tabla2[[#This Row],[Rentabilidad (%)]]/12</f>
        <v>0.157617843739981</v>
      </c>
    </row>
    <row r="2808" customFormat="false" ht="14.25" hidden="false" customHeight="false" outlineLevel="0" collapsed="false">
      <c r="A2808" s="1" t="n">
        <v>43617</v>
      </c>
      <c r="B2808" s="2" t="s">
        <v>30</v>
      </c>
      <c r="C2808" s="3" t="n">
        <v>482144</v>
      </c>
      <c r="D2808" s="3" t="s">
        <v>31</v>
      </c>
      <c r="E2808" s="3" t="n">
        <f aca="false">IF(Tabla2[[#This Row],[Frecuencia]]="Annual", Tabla2[[#This Row],[Cosecha/Tarea]]/12,Tabla2[[#This Row],[Cosecha/Tarea]])</f>
        <v>40178.6666666667</v>
      </c>
      <c r="F2808" s="3" t="n">
        <v>2391299.4</v>
      </c>
      <c r="G2808" s="2" t="s">
        <v>18</v>
      </c>
      <c r="H2808" s="2" t="n">
        <f aca="false">F2808/Tabla2[[#This Row],[Cosecha Mensual]]</f>
        <v>59.5166439901772</v>
      </c>
      <c r="I2808" s="2" t="n">
        <f aca="false">H2808*_xlfn.XLOOKUP(Tabla2[[#This Row],[Unidad de producción]],Tabla3[Medida],Tabla3[Equivalencia en Kg],"ELVIS",0)</f>
        <v>2699.67497139444</v>
      </c>
      <c r="J2808" s="2" t="n">
        <v>168.0578125</v>
      </c>
      <c r="K2808" s="2" t="s">
        <v>32</v>
      </c>
      <c r="L2808" s="2" t="n">
        <f aca="false">J2808/_xlfn.XLOOKUP(Tabla2[[#This Row],[Unidad de precio]],Tabla3[Medida],Tabla3[Equivalencia en Kg],"ELVIS",0)</f>
        <v>6.17632533994855</v>
      </c>
      <c r="M2808" s="3" t="n">
        <v>35445.71794842</v>
      </c>
      <c r="N2808" s="3" t="n">
        <f aca="false">(Tabla2[[#This Row],[Productividad (kg/TAS)]]*Tabla2[[#This Row],[Precio por kg]]-Tabla2[[#This Row],[Costos (En RD$/Tarea)]])</f>
        <v>-18771.6470129717</v>
      </c>
      <c r="O2808" s="9" t="n">
        <f aca="false">IF(Tabla2[[#This Row],[Costos (En RD$/Tarea)]]=0,0,Tabla2[[#This Row],[Beneficio Neto  (En RD$/Tarea)]]/Tabla2[[#This Row],[Costos (En RD$/Tarea)]])</f>
        <v>-0.529588568082831</v>
      </c>
      <c r="P2808" s="7" t="n">
        <f aca="false">Tabla2[[#This Row],[Rentabilidad (%)]]/12</f>
        <v>-0.0441323806735693</v>
      </c>
    </row>
    <row r="2809" customFormat="false" ht="14.25" hidden="false" customHeight="false" outlineLevel="0" collapsed="false">
      <c r="A2809" s="1" t="n">
        <v>43617</v>
      </c>
      <c r="B2809" s="2" t="s">
        <v>33</v>
      </c>
      <c r="C2809" s="3" t="n">
        <v>822198</v>
      </c>
      <c r="D2809" s="3" t="s">
        <v>31</v>
      </c>
      <c r="E2809" s="11" t="n">
        <f aca="false">IF(Tabla2[[#This Row],[Frecuencia]]="Annual", Tabla2[[#This Row],[Cosecha/Tarea]]/12,Tabla2[[#This Row],[Cosecha/Tarea]])</f>
        <v>68516.5</v>
      </c>
      <c r="F2809" s="3" t="n">
        <v>1855305</v>
      </c>
      <c r="G2809" s="2" t="s">
        <v>18</v>
      </c>
      <c r="H2809" s="2" t="n">
        <f aca="false">F2809/Tabla2[[#This Row],[Cosecha Mensual]]</f>
        <v>27.0782220341086</v>
      </c>
      <c r="I2809" s="2" t="n">
        <f aca="false">H2809*_xlfn.XLOOKUP(Tabla2[[#This Row],[Unidad de producción]],Tabla3[Medida],Tabla3[Equivalencia en Kg],"ELVIS",0)</f>
        <v>1228.26815146717</v>
      </c>
      <c r="J2809" s="2" t="n">
        <v>8261.1875</v>
      </c>
      <c r="K2809" s="2" t="s">
        <v>34</v>
      </c>
      <c r="L2809" s="2" t="n">
        <f aca="false">J2809/_xlfn.XLOOKUP(Tabla2[[#This Row],[Unidad de precio]],Tabla3[Medida],Tabla3[Equivalencia en Kg],"ELVIS",0)</f>
        <v>20.2405671934338</v>
      </c>
      <c r="M2809" s="3" t="n">
        <v>22691.3984505224</v>
      </c>
      <c r="N2809" s="3" t="n">
        <f aca="false">(Tabla2[[#This Row],[Productividad (kg/TAS)]]*Tabla2[[#This Row],[Precio por kg]]-Tabla2[[#This Row],[Costos (En RD$/Tarea)]])</f>
        <v>2169.44560080346</v>
      </c>
      <c r="O2809" s="9" t="n">
        <f aca="false">IF(Tabla2[[#This Row],[Costos (En RD$/Tarea)]]=0,0,Tabla2[[#This Row],[Beneficio Neto  (En RD$/Tarea)]]/Tabla2[[#This Row],[Costos (En RD$/Tarea)]])</f>
        <v>0.0956065182819754</v>
      </c>
      <c r="P2809" s="7" t="n">
        <f aca="false">Tabla2[[#This Row],[Rentabilidad (%)]]/12</f>
        <v>0.00796720985683128</v>
      </c>
    </row>
    <row r="2810" customFormat="false" ht="14.25" hidden="false" customHeight="false" outlineLevel="0" collapsed="false">
      <c r="A2810" s="1" t="n">
        <v>43647</v>
      </c>
      <c r="B2810" s="2" t="s">
        <v>16</v>
      </c>
      <c r="C2810" s="3" t="n">
        <v>145245</v>
      </c>
      <c r="D2810" s="8" t="s">
        <v>17</v>
      </c>
      <c r="E2810" s="3" t="n">
        <f aca="false">IF(Tabla2[[#This Row],[Frecuencia]]="Annual", Tabla2[[#This Row],[Cosecha/Tarea]]/12,Tabla2[[#This Row],[Cosecha/Tarea]])</f>
        <v>145245</v>
      </c>
      <c r="F2810" s="3" t="n">
        <v>517667</v>
      </c>
      <c r="G2810" s="2" t="s">
        <v>18</v>
      </c>
      <c r="H2810" s="2" t="n">
        <f aca="false">F2810/Tabla2[[#This Row],[Cosecha Mensual]]</f>
        <v>3.56409514957486</v>
      </c>
      <c r="I2810" s="2" t="n">
        <f aca="false">H2810*_xlfn.XLOOKUP(Tabla2[[#This Row],[Unidad de producción]],Tabla3[Medida],Tabla3[Equivalencia en Kg],"ELVIS",0)</f>
        <v>161.667355984715</v>
      </c>
      <c r="J2810" s="2" t="n">
        <v>2321.79881818849</v>
      </c>
      <c r="K2810" s="2" t="s">
        <v>19</v>
      </c>
      <c r="L2810" s="2" t="n">
        <f aca="false">J2810/_xlfn.XLOOKUP(Tabla2[[#This Row],[Unidad de precio]],Tabla3[Medida],Tabla3[Equivalencia en Kg],"ELVIS",0)</f>
        <v>21.1072619835317</v>
      </c>
      <c r="M2810" s="2" t="n">
        <v>6284.7907932017</v>
      </c>
      <c r="N2810" s="3" t="n">
        <f aca="false">(Tabla2[[#This Row],[Productividad (kg/TAS)]]*Tabla2[[#This Row],[Precio por kg]]-Tabla2[[#This Row],[Costos (En RD$/Tarea)]])</f>
        <v>-2872.43555624742</v>
      </c>
      <c r="O2810" s="9" t="n">
        <f aca="false">IF(Tabla2[[#This Row],[Costos (En RD$/Tarea)]]=0,0,Tabla2[[#This Row],[Beneficio Neto  (En RD$/Tarea)]]/Tabla2[[#This Row],[Costos (En RD$/Tarea)]])</f>
        <v>-0.457045532741449</v>
      </c>
      <c r="P2810" s="7" t="n">
        <f aca="false">Tabla2[[#This Row],[Rentabilidad (%)]]/12</f>
        <v>-0.0380871277284541</v>
      </c>
    </row>
    <row r="2811" customFormat="false" ht="14.25" hidden="false" customHeight="false" outlineLevel="0" collapsed="false">
      <c r="A2811" s="1" t="n">
        <v>43647</v>
      </c>
      <c r="B2811" s="2" t="s">
        <v>20</v>
      </c>
      <c r="C2811" s="3" t="n">
        <v>38749</v>
      </c>
      <c r="D2811" s="8" t="s">
        <v>17</v>
      </c>
      <c r="E2811" s="3" t="n">
        <f aca="false">IF(Tabla2[[#This Row],[Frecuencia]]="Annual", Tabla2[[#This Row],[Cosecha/Tarea]]/12,Tabla2[[#This Row],[Cosecha/Tarea]])</f>
        <v>38749</v>
      </c>
      <c r="F2811" s="3" t="n">
        <v>123713</v>
      </c>
      <c r="G2811" s="2" t="s">
        <v>18</v>
      </c>
      <c r="H2811" s="2" t="n">
        <f aca="false">F2811/Tabla2[[#This Row],[Cosecha Mensual]]</f>
        <v>3.19267594002426</v>
      </c>
      <c r="I2811" s="2" t="n">
        <f aca="false">H2811*_xlfn.XLOOKUP(Tabla2[[#This Row],[Unidad de producción]],Tabla3[Medida],Tabla3[Equivalencia en Kg],"ELVIS",0)</f>
        <v>144.8197806395</v>
      </c>
      <c r="J2811" s="2" t="n">
        <v>1088.82261904762</v>
      </c>
      <c r="K2811" s="2" t="s">
        <v>18</v>
      </c>
      <c r="L2811" s="2" t="n">
        <f aca="false">J2811/_xlfn.XLOOKUP(Tabla2[[#This Row],[Unidad de precio]],Tabla3[Medida],Tabla3[Equivalencia en Kg],"ELVIS",0)</f>
        <v>24.0040259931133</v>
      </c>
      <c r="M2811" s="2" t="n">
        <v>2409.24360044496</v>
      </c>
      <c r="N2811" s="3" t="n">
        <f aca="false">(Tabla2[[#This Row],[Productividad (kg/TAS)]]*Tabla2[[#This Row],[Precio por kg]]-Tabla2[[#This Row],[Costos (En RD$/Tarea)]])</f>
        <v>1067.01417834258</v>
      </c>
      <c r="O2811" s="9" t="n">
        <f aca="false">IF(Tabla2[[#This Row],[Costos (En RD$/Tarea)]]=0,0,Tabla2[[#This Row],[Beneficio Neto  (En RD$/Tarea)]]/Tabla2[[#This Row],[Costos (En RD$/Tarea)]])</f>
        <v>0.442883475189271</v>
      </c>
      <c r="P2811" s="7" t="n">
        <f aca="false">Tabla2[[#This Row],[Rentabilidad (%)]]/12</f>
        <v>0.0369069562657726</v>
      </c>
    </row>
    <row r="2812" customFormat="false" ht="14.25" hidden="false" customHeight="false" outlineLevel="0" collapsed="false">
      <c r="A2812" s="1" t="n">
        <v>43647</v>
      </c>
      <c r="B2812" s="2" t="s">
        <v>21</v>
      </c>
      <c r="C2812" s="3" t="n">
        <v>7999</v>
      </c>
      <c r="D2812" s="8" t="s">
        <v>17</v>
      </c>
      <c r="E2812" s="3" t="n">
        <f aca="false">IF(Tabla2[[#This Row],[Frecuencia]]="Annual", Tabla2[[#This Row],[Cosecha/Tarea]]/12,Tabla2[[#This Row],[Cosecha/Tarea]])</f>
        <v>7999</v>
      </c>
      <c r="F2812" s="3" t="n">
        <v>95987</v>
      </c>
      <c r="G2812" s="2" t="s">
        <v>18</v>
      </c>
      <c r="H2812" s="2" t="n">
        <f aca="false">F2812/Tabla2[[#This Row],[Cosecha Mensual]]</f>
        <v>11.999874984373</v>
      </c>
      <c r="I2812" s="2" t="n">
        <f aca="false">H2812*_xlfn.XLOOKUP(Tabla2[[#This Row],[Unidad de producción]],Tabla3[Medida],Tabla3[Equivalencia en Kg],"ELVIS",0)</f>
        <v>544.314329291162</v>
      </c>
      <c r="J2812" s="2" t="n">
        <v>882.548611111111</v>
      </c>
      <c r="K2812" s="2" t="s">
        <v>18</v>
      </c>
      <c r="L2812" s="2" t="n">
        <f aca="false">J2812/_xlfn.XLOOKUP(Tabla2[[#This Row],[Unidad de precio]],Tabla3[Medida],Tabla3[Equivalencia en Kg],"ELVIS",0)</f>
        <v>19.4565390456594</v>
      </c>
      <c r="M2812" s="2" t="n">
        <v>5846.970079582</v>
      </c>
      <c r="N2812" s="3" t="n">
        <f aca="false">(Tabla2[[#This Row],[Productividad (kg/TAS)]]*Tabla2[[#This Row],[Precio por kg]]-Tabla2[[#This Row],[Costos (En RD$/Tarea)]])</f>
        <v>4743.5029213834</v>
      </c>
      <c r="O2812" s="9" t="n">
        <f aca="false">IF(Tabla2[[#This Row],[Costos (En RD$/Tarea)]]=0,0,Tabla2[[#This Row],[Beneficio Neto  (En RD$/Tarea)]]/Tabla2[[#This Row],[Costos (En RD$/Tarea)]])</f>
        <v>0.811275388247328</v>
      </c>
      <c r="P2812" s="7" t="n">
        <f aca="false">Tabla2[[#This Row],[Rentabilidad (%)]]/12</f>
        <v>0.067606282353944</v>
      </c>
    </row>
    <row r="2813" customFormat="false" ht="14.25" hidden="false" customHeight="false" outlineLevel="0" collapsed="false">
      <c r="A2813" s="1" t="n">
        <v>43647</v>
      </c>
      <c r="B2813" s="2" t="s">
        <v>22</v>
      </c>
      <c r="C2813" s="3" t="n">
        <v>4320</v>
      </c>
      <c r="D2813" s="8" t="s">
        <v>17</v>
      </c>
      <c r="E2813" s="3" t="n">
        <f aca="false">IF(Tabla2[[#This Row],[Frecuencia]]="Annual", Tabla2[[#This Row],[Cosecha/Tarea]]/12,Tabla2[[#This Row],[Cosecha/Tarea]])</f>
        <v>4320</v>
      </c>
      <c r="F2813" s="3" t="n">
        <v>41899</v>
      </c>
      <c r="G2813" s="2" t="s">
        <v>18</v>
      </c>
      <c r="H2813" s="2" t="n">
        <f aca="false">F2813/Tabla2[[#This Row],[Cosecha Mensual]]</f>
        <v>9.69884259259259</v>
      </c>
      <c r="I2813" s="2" t="n">
        <f aca="false">H2813*_xlfn.XLOOKUP(Tabla2[[#This Row],[Unidad de producción]],Tabla3[Medida],Tabla3[Equivalencia en Kg],"ELVIS",0)</f>
        <v>439.9395</v>
      </c>
      <c r="J2813" s="2" t="n">
        <v>1870.12133333333</v>
      </c>
      <c r="K2813" s="2" t="s">
        <v>18</v>
      </c>
      <c r="L2813" s="2" t="n">
        <f aca="false">J2813/_xlfn.XLOOKUP(Tabla2[[#This Row],[Unidad de precio]],Tabla3[Medida],Tabla3[Equivalencia en Kg],"ELVIS",0)</f>
        <v>41.2284244562022</v>
      </c>
      <c r="M2813" s="2" t="n">
        <v>10137.37206528</v>
      </c>
      <c r="N2813" s="3" t="n">
        <f aca="false">(Tabla2[[#This Row],[Productividad (kg/TAS)]]*Tabla2[[#This Row],[Precio por kg]]-Tabla2[[#This Row],[Costos (En RD$/Tarea)]])</f>
        <v>8000.64037576935</v>
      </c>
      <c r="O2813" s="9" t="n">
        <f aca="false">IF(Tabla2[[#This Row],[Costos (En RD$/Tarea)]]=0,0,Tabla2[[#This Row],[Beneficio Neto  (En RD$/Tarea)]]/Tabla2[[#This Row],[Costos (En RD$/Tarea)]])</f>
        <v>0.789222327467998</v>
      </c>
      <c r="P2813" s="7" t="n">
        <f aca="false">Tabla2[[#This Row],[Rentabilidad (%)]]/12</f>
        <v>0.0657685272889999</v>
      </c>
    </row>
    <row r="2814" customFormat="false" ht="14.25" hidden="false" customHeight="false" outlineLevel="0" collapsed="false">
      <c r="A2814" s="1" t="n">
        <v>43647</v>
      </c>
      <c r="B2814" s="2" t="s">
        <v>23</v>
      </c>
      <c r="C2814" s="3" t="n">
        <v>3547</v>
      </c>
      <c r="D2814" s="8" t="s">
        <v>17</v>
      </c>
      <c r="E2814" s="3" t="n">
        <f aca="false">IF(Tabla2[[#This Row],[Frecuencia]]="Annual", Tabla2[[#This Row],[Cosecha/Tarea]]/12,Tabla2[[#This Row],[Cosecha/Tarea]])</f>
        <v>3547</v>
      </c>
      <c r="F2814" s="3" t="n">
        <v>125987</v>
      </c>
      <c r="G2814" s="2" t="s">
        <v>18</v>
      </c>
      <c r="H2814" s="2" t="n">
        <f aca="false">F2814/Tabla2[[#This Row],[Cosecha Mensual]]</f>
        <v>35.5193120947279</v>
      </c>
      <c r="I2814" s="2" t="n">
        <f aca="false">H2814*_xlfn.XLOOKUP(Tabla2[[#This Row],[Unidad de producción]],Tabla3[Medida],Tabla3[Equivalencia en Kg],"ELVIS",0)</f>
        <v>1611.15599661686</v>
      </c>
      <c r="J2814" s="2" t="n">
        <v>1145</v>
      </c>
      <c r="K2814" s="2" t="s">
        <v>18</v>
      </c>
      <c r="L2814" s="2" t="n">
        <f aca="false">J2814/_xlfn.XLOOKUP(Tabla2[[#This Row],[Unidad de precio]],Tabla3[Medida],Tabla3[Equivalencia en Kg],"ELVIS",0)</f>
        <v>25.2425044091711</v>
      </c>
      <c r="M2814" s="2" t="n">
        <v>26088.2600080873</v>
      </c>
      <c r="N2814" s="3" t="n">
        <f aca="false">(Tabla2[[#This Row],[Productividad (kg/TAS)]]*Tabla2[[#This Row],[Precio por kg]]-Tabla2[[#This Row],[Costos (En RD$/Tarea)]])</f>
        <v>14581.3523403762</v>
      </c>
      <c r="O2814" s="9" t="n">
        <f aca="false">IF(Tabla2[[#This Row],[Costos (En RD$/Tarea)]]=0,0,Tabla2[[#This Row],[Beneficio Neto  (En RD$/Tarea)]]/Tabla2[[#This Row],[Costos (En RD$/Tarea)]])</f>
        <v>0.558923911976345</v>
      </c>
      <c r="P2814" s="7" t="n">
        <f aca="false">Tabla2[[#This Row],[Rentabilidad (%)]]/12</f>
        <v>0.0465769926646954</v>
      </c>
    </row>
    <row r="2815" customFormat="false" ht="14.25" hidden="false" customHeight="false" outlineLevel="0" collapsed="false">
      <c r="A2815" s="1" t="n">
        <v>43647</v>
      </c>
      <c r="B2815" s="2" t="s">
        <v>24</v>
      </c>
      <c r="C2815" s="3" t="n">
        <v>4699</v>
      </c>
      <c r="D2815" s="8" t="s">
        <v>17</v>
      </c>
      <c r="E2815" s="3" t="n">
        <f aca="false">IF(Tabla2[[#This Row],[Frecuencia]]="Annual", Tabla2[[#This Row],[Cosecha/Tarea]]/12,Tabla2[[#This Row],[Cosecha/Tarea]])</f>
        <v>4699</v>
      </c>
      <c r="F2815" s="3" t="n">
        <v>44010</v>
      </c>
      <c r="G2815" s="2" t="s">
        <v>18</v>
      </c>
      <c r="H2815" s="2" t="n">
        <f aca="false">F2815/Tabla2[[#This Row],[Cosecha Mensual]]</f>
        <v>9.36582251542881</v>
      </c>
      <c r="I2815" s="2" t="n">
        <f aca="false">H2815*_xlfn.XLOOKUP(Tabla2[[#This Row],[Unidad de producción]],Tabla3[Medida],Tabla3[Equivalencia en Kg],"ELVIS",0)</f>
        <v>424.833709299851</v>
      </c>
      <c r="J2815" s="2" t="n">
        <v>2984.14476190476</v>
      </c>
      <c r="K2815" s="2" t="s">
        <v>18</v>
      </c>
      <c r="L2815" s="2" t="n">
        <f aca="false">J2815/_xlfn.XLOOKUP(Tabla2[[#This Row],[Unidad de precio]],Tabla3[Medida],Tabla3[Equivalencia en Kg],"ELVIS",0)</f>
        <v>65.7880238515159</v>
      </c>
      <c r="M2815" s="2" t="n">
        <v>8388.8026628832</v>
      </c>
      <c r="N2815" s="3" t="n">
        <f aca="false">(Tabla2[[#This Row],[Productividad (kg/TAS)]]*Tabla2[[#This Row],[Precio por kg]]-Tabla2[[#This Row],[Costos (En RD$/Tarea)]])</f>
        <v>19560.1675374634</v>
      </c>
      <c r="O2815" s="9" t="n">
        <f aca="false">IF(Tabla2[[#This Row],[Costos (En RD$/Tarea)]]=0,0,Tabla2[[#This Row],[Beneficio Neto  (En RD$/Tarea)]]/Tabla2[[#This Row],[Costos (En RD$/Tarea)]])</f>
        <v>2.33169956709181</v>
      </c>
      <c r="P2815" s="7" t="n">
        <f aca="false">Tabla2[[#This Row],[Rentabilidad (%)]]/12</f>
        <v>0.194308297257651</v>
      </c>
    </row>
    <row r="2816" customFormat="false" ht="14.25" hidden="false" customHeight="false" outlineLevel="0" collapsed="false">
      <c r="A2816" s="1" t="n">
        <v>43647</v>
      </c>
      <c r="B2816" s="2" t="s">
        <v>25</v>
      </c>
      <c r="C2816" s="3" t="n">
        <v>22144</v>
      </c>
      <c r="D2816" s="8" t="s">
        <v>17</v>
      </c>
      <c r="E2816" s="3" t="n">
        <f aca="false">IF(Tabla2[[#This Row],[Frecuencia]]="Annual", Tabla2[[#This Row],[Cosecha/Tarea]]/12,Tabla2[[#This Row],[Cosecha/Tarea]])</f>
        <v>22144</v>
      </c>
      <c r="F2816" s="3" t="n">
        <v>221998</v>
      </c>
      <c r="G2816" s="2" t="s">
        <v>18</v>
      </c>
      <c r="H2816" s="2" t="n">
        <f aca="false">F2816/Tabla2[[#This Row],[Cosecha Mensual]]</f>
        <v>10.025198699422</v>
      </c>
      <c r="I2816" s="2" t="n">
        <f aca="false">H2816*_xlfn.XLOOKUP(Tabla2[[#This Row],[Unidad de producción]],Tabla3[Medida],Tabla3[Equivalencia en Kg],"ELVIS",0)</f>
        <v>454.74301300578</v>
      </c>
      <c r="J2816" s="2" t="n">
        <v>984.291654761905</v>
      </c>
      <c r="K2816" s="2" t="s">
        <v>18</v>
      </c>
      <c r="L2816" s="2" t="n">
        <f aca="false">J2816/_xlfn.XLOOKUP(Tabla2[[#This Row],[Unidad de precio]],Tabla3[Medida],Tabla3[Equivalencia en Kg],"ELVIS",0)</f>
        <v>21.6995514718233</v>
      </c>
      <c r="M2816" s="2" t="n">
        <v>4718.29149012608</v>
      </c>
      <c r="N2816" s="3" t="n">
        <f aca="false">(Tabla2[[#This Row],[Productividad (kg/TAS)]]*Tabla2[[#This Row],[Precio por kg]]-Tabla2[[#This Row],[Costos (En RD$/Tarea)]])</f>
        <v>5149.42792704486</v>
      </c>
      <c r="O2816" s="9" t="n">
        <f aca="false">IF(Tabla2[[#This Row],[Costos (En RD$/Tarea)]]=0,0,Tabla2[[#This Row],[Beneficio Neto  (En RD$/Tarea)]]/Tabla2[[#This Row],[Costos (En RD$/Tarea)]])</f>
        <v>1.09137554087555</v>
      </c>
      <c r="P2816" s="7" t="n">
        <f aca="false">Tabla2[[#This Row],[Rentabilidad (%)]]/12</f>
        <v>0.0909479617396293</v>
      </c>
    </row>
    <row r="2817" customFormat="false" ht="14.25" hidden="false" customHeight="false" outlineLevel="0" collapsed="false">
      <c r="A2817" s="1" t="n">
        <v>43647</v>
      </c>
      <c r="B2817" s="2" t="s">
        <v>26</v>
      </c>
      <c r="C2817" s="3" t="n">
        <v>11874</v>
      </c>
      <c r="D2817" s="8" t="s">
        <v>17</v>
      </c>
      <c r="E2817" s="3" t="n">
        <f aca="false">IF(Tabla2[[#This Row],[Frecuencia]]="Annual", Tabla2[[#This Row],[Cosecha/Tarea]]/12,Tabla2[[#This Row],[Cosecha/Tarea]])</f>
        <v>11874</v>
      </c>
      <c r="F2817" s="3" t="n">
        <v>62705</v>
      </c>
      <c r="G2817" s="2" t="s">
        <v>18</v>
      </c>
      <c r="H2817" s="2" t="n">
        <f aca="false">F2817/Tabla2[[#This Row],[Cosecha Mensual]]</f>
        <v>5.28086575711639</v>
      </c>
      <c r="I2817" s="2" t="n">
        <f aca="false">H2817*_xlfn.XLOOKUP(Tabla2[[#This Row],[Unidad de producción]],Tabla3[Medida],Tabla3[Equivalencia en Kg],"ELVIS",0)</f>
        <v>239.540070742799</v>
      </c>
      <c r="J2817" s="2" t="n">
        <v>940.385714285714</v>
      </c>
      <c r="K2817" s="2" t="s">
        <v>18</v>
      </c>
      <c r="L2817" s="2" t="n">
        <f aca="false">J2817/_xlfn.XLOOKUP(Tabla2[[#This Row],[Unidad de precio]],Tabla3[Medida],Tabla3[Equivalencia en Kg],"ELVIS",0)</f>
        <v>20.7316074577979</v>
      </c>
      <c r="M2817" s="2" t="n">
        <v>1668.6966112895</v>
      </c>
      <c r="N2817" s="3" t="n">
        <f aca="false">(Tabla2[[#This Row],[Productividad (kg/TAS)]]*Tabla2[[#This Row],[Precio por kg]]-Tabla2[[#This Row],[Costos (En RD$/Tarea)]])</f>
        <v>3297.35410576336</v>
      </c>
      <c r="O2817" s="9" t="n">
        <f aca="false">IF(Tabla2[[#This Row],[Costos (En RD$/Tarea)]]=0,0,Tabla2[[#This Row],[Beneficio Neto  (En RD$/Tarea)]]/Tabla2[[#This Row],[Costos (En RD$/Tarea)]])</f>
        <v>1.97600575410488</v>
      </c>
      <c r="P2817" s="7" t="n">
        <f aca="false">Tabla2[[#This Row],[Rentabilidad (%)]]/12</f>
        <v>0.164667146175407</v>
      </c>
    </row>
    <row r="2818" customFormat="false" ht="14.25" hidden="false" customHeight="false" outlineLevel="0" collapsed="false">
      <c r="A2818" s="1" t="n">
        <v>43647</v>
      </c>
      <c r="B2818" s="2" t="s">
        <v>27</v>
      </c>
      <c r="C2818" s="3" t="n">
        <v>5201</v>
      </c>
      <c r="D2818" s="8" t="s">
        <v>17</v>
      </c>
      <c r="E2818" s="3" t="n">
        <f aca="false">IF(Tabla2[[#This Row],[Frecuencia]]="Annual", Tabla2[[#This Row],[Cosecha/Tarea]]/12,Tabla2[[#This Row],[Cosecha/Tarea]])</f>
        <v>5201</v>
      </c>
      <c r="F2818" s="3" t="n">
        <v>52142</v>
      </c>
      <c r="G2818" s="2" t="s">
        <v>18</v>
      </c>
      <c r="H2818" s="2" t="n">
        <f aca="false">F2818/Tabla2[[#This Row],[Cosecha Mensual]]</f>
        <v>10.0253797346664</v>
      </c>
      <c r="I2818" s="2" t="n">
        <f aca="false">H2818*_xlfn.XLOOKUP(Tabla2[[#This Row],[Unidad de producción]],Tabla3[Medida],Tabla3[Equivalencia en Kg],"ELVIS",0)</f>
        <v>454.751224764468</v>
      </c>
      <c r="J2818" s="2" t="n">
        <v>753.030444444445</v>
      </c>
      <c r="K2818" s="2" t="s">
        <v>18</v>
      </c>
      <c r="L2818" s="2" t="n">
        <f aca="false">J2818/_xlfn.XLOOKUP(Tabla2[[#This Row],[Unidad de precio]],Tabla3[Medida],Tabla3[Equivalencia en Kg],"ELVIS",0)</f>
        <v>16.6012002743484</v>
      </c>
      <c r="M2818" s="2" t="n">
        <v>9222.1943510245</v>
      </c>
      <c r="N2818" s="3" t="n">
        <f aca="false">(Tabla2[[#This Row],[Productividad (kg/TAS)]]*Tabla2[[#This Row],[Precio por kg]]-Tabla2[[#This Row],[Costos (En RD$/Tarea)]])</f>
        <v>-1672.77819370432</v>
      </c>
      <c r="O2818" s="9" t="n">
        <f aca="false">IF(Tabla2[[#This Row],[Costos (En RD$/Tarea)]]=0,0,Tabla2[[#This Row],[Beneficio Neto  (En RD$/Tarea)]]/Tabla2[[#This Row],[Costos (En RD$/Tarea)]])</f>
        <v>-0.181386135450343</v>
      </c>
      <c r="P2818" s="7" t="n">
        <f aca="false">Tabla2[[#This Row],[Rentabilidad (%)]]/12</f>
        <v>-0.0151155112875286</v>
      </c>
    </row>
    <row r="2819" customFormat="false" ht="14.25" hidden="false" customHeight="false" outlineLevel="0" collapsed="false">
      <c r="A2819" s="1" t="n">
        <v>43647</v>
      </c>
      <c r="B2819" s="2" t="s">
        <v>28</v>
      </c>
      <c r="C2819" s="3" t="n">
        <v>33021</v>
      </c>
      <c r="D2819" s="8" t="s">
        <v>17</v>
      </c>
      <c r="E2819" s="3" t="n">
        <f aca="false">IF(Tabla2[[#This Row],[Frecuencia]]="Annual", Tabla2[[#This Row],[Cosecha/Tarea]]/12,Tabla2[[#This Row],[Cosecha/Tarea]])</f>
        <v>33021</v>
      </c>
      <c r="F2819" s="3" t="n">
        <v>1182480</v>
      </c>
      <c r="G2819" s="2" t="s">
        <v>18</v>
      </c>
      <c r="H2819" s="2" t="n">
        <f aca="false">F2819/Tabla2[[#This Row],[Cosecha Mensual]]</f>
        <v>35.8099391296448</v>
      </c>
      <c r="I2819" s="2" t="n">
        <f aca="false">H2819*_xlfn.XLOOKUP(Tabla2[[#This Row],[Unidad de producción]],Tabla3[Medida],Tabla3[Equivalencia en Kg],"ELVIS",0)</f>
        <v>1624.33883892069</v>
      </c>
      <c r="J2819" s="2" t="n">
        <v>6710</v>
      </c>
      <c r="K2819" s="2" t="s">
        <v>29</v>
      </c>
      <c r="L2819" s="2" t="n">
        <f aca="false">J2819/_xlfn.XLOOKUP(Tabla2[[#This Row],[Unidad de precio]],Tabla3[Medida],Tabla3[Equivalencia en Kg],"ELVIS",0)</f>
        <v>11.9322829604865</v>
      </c>
      <c r="M2819" s="2" t="n">
        <v>7149.9398177165</v>
      </c>
      <c r="N2819" s="3" t="n">
        <f aca="false">(Tabla2[[#This Row],[Productividad (kg/TAS)]]*Tabla2[[#This Row],[Precio por kg]]-Tabla2[[#This Row],[Costos (En RD$/Tarea)]])</f>
        <v>12232.1308319933</v>
      </c>
      <c r="O2819" s="9" t="n">
        <f aca="false">IF(Tabla2[[#This Row],[Costos (En RD$/Tarea)]]=0,0,Tabla2[[#This Row],[Beneficio Neto  (En RD$/Tarea)]]/Tabla2[[#This Row],[Costos (En RD$/Tarea)]])</f>
        <v>1.71080192894545</v>
      </c>
      <c r="P2819" s="7" t="n">
        <f aca="false">Tabla2[[#This Row],[Rentabilidad (%)]]/12</f>
        <v>0.142566827412121</v>
      </c>
    </row>
    <row r="2820" customFormat="false" ht="14.25" hidden="false" customHeight="false" outlineLevel="0" collapsed="false">
      <c r="A2820" s="1" t="n">
        <v>43647</v>
      </c>
      <c r="B2820" s="2" t="s">
        <v>30</v>
      </c>
      <c r="C2820" s="3" t="n">
        <v>462154</v>
      </c>
      <c r="D2820" s="3" t="s">
        <v>31</v>
      </c>
      <c r="E2820" s="3" t="n">
        <f aca="false">IF(Tabla2[[#This Row],[Frecuencia]]="Annual", Tabla2[[#This Row],[Cosecha/Tarea]]/12,Tabla2[[#This Row],[Cosecha/Tarea]])</f>
        <v>38512.8333333333</v>
      </c>
      <c r="F2820" s="3" t="n">
        <v>2472012.6</v>
      </c>
      <c r="G2820" s="2" t="s">
        <v>18</v>
      </c>
      <c r="H2820" s="2" t="n">
        <f aca="false">F2820/Tabla2[[#This Row],[Cosecha Mensual]]</f>
        <v>64.1867239058842</v>
      </c>
      <c r="I2820" s="2" t="n">
        <f aca="false">H2820*_xlfn.XLOOKUP(Tabla2[[#This Row],[Unidad de producción]],Tabla3[Medida],Tabla3[Equivalencia en Kg],"ELVIS",0)</f>
        <v>2911.50979637091</v>
      </c>
      <c r="J2820" s="2" t="n">
        <v>186.355952380952</v>
      </c>
      <c r="K2820" s="2" t="s">
        <v>32</v>
      </c>
      <c r="L2820" s="2" t="n">
        <f aca="false">J2820/_xlfn.XLOOKUP(Tabla2[[#This Row],[Unidad de precio]],Tabla3[Medida],Tabla3[Equivalencia en Kg],"ELVIS",0)</f>
        <v>6.84880383612466</v>
      </c>
      <c r="M2820" s="3" t="n">
        <v>35445.71794842</v>
      </c>
      <c r="N2820" s="3" t="n">
        <f aca="false">(Tabla2[[#This Row],[Productividad (kg/TAS)]]*Tabla2[[#This Row],[Precio por kg]]-Tabla2[[#This Row],[Costos (En RD$/Tarea)]])</f>
        <v>-15505.3584861204</v>
      </c>
      <c r="O2820" s="9" t="n">
        <f aca="false">IF(Tabla2[[#This Row],[Costos (En RD$/Tarea)]]=0,0,Tabla2[[#This Row],[Beneficio Neto  (En RD$/Tarea)]]/Tabla2[[#This Row],[Costos (En RD$/Tarea)]])</f>
        <v>-0.437439538075757</v>
      </c>
      <c r="P2820" s="7" t="n">
        <f aca="false">Tabla2[[#This Row],[Rentabilidad (%)]]/12</f>
        <v>-0.0364532948396464</v>
      </c>
    </row>
    <row r="2821" customFormat="false" ht="14.25" hidden="false" customHeight="false" outlineLevel="0" collapsed="false">
      <c r="A2821" s="1" t="n">
        <v>43647</v>
      </c>
      <c r="B2821" s="2" t="s">
        <v>33</v>
      </c>
      <c r="C2821" s="3" t="n">
        <v>799854</v>
      </c>
      <c r="D2821" s="3" t="s">
        <v>31</v>
      </c>
      <c r="E2821" s="11" t="n">
        <f aca="false">IF(Tabla2[[#This Row],[Frecuencia]]="Annual", Tabla2[[#This Row],[Cosecha/Tarea]]/12,Tabla2[[#This Row],[Cosecha/Tarea]])</f>
        <v>66654.5</v>
      </c>
      <c r="F2821" s="3" t="n">
        <v>2083122</v>
      </c>
      <c r="G2821" s="2" t="s">
        <v>18</v>
      </c>
      <c r="H2821" s="2" t="n">
        <f aca="false">F2821/Tabla2[[#This Row],[Cosecha Mensual]]</f>
        <v>31.2525335873797</v>
      </c>
      <c r="I2821" s="2" t="n">
        <f aca="false">H2821*_xlfn.XLOOKUP(Tabla2[[#This Row],[Unidad de producción]],Tabla3[Medida],Tabla3[Equivalencia en Kg],"ELVIS",0)</f>
        <v>1417.61492352354</v>
      </c>
      <c r="J2821" s="2" t="n">
        <v>9252.45833333333</v>
      </c>
      <c r="K2821" s="2" t="s">
        <v>34</v>
      </c>
      <c r="L2821" s="2" t="n">
        <f aca="false">J2821/_xlfn.XLOOKUP(Tabla2[[#This Row],[Unidad de precio]],Tabla3[Medida],Tabla3[Equivalencia en Kg],"ELVIS",0)</f>
        <v>22.6692596676059</v>
      </c>
      <c r="M2821" s="3" t="n">
        <v>22691.3984505224</v>
      </c>
      <c r="N2821" s="3" t="n">
        <f aca="false">(Tabla2[[#This Row],[Productividad (kg/TAS)]]*Tabla2[[#This Row],[Precio por kg]]-Tabla2[[#This Row],[Costos (En RD$/Tarea)]])</f>
        <v>9444.88235950602</v>
      </c>
      <c r="O2821" s="9" t="n">
        <f aca="false">IF(Tabla2[[#This Row],[Costos (En RD$/Tarea)]]=0,0,Tabla2[[#This Row],[Beneficio Neto  (En RD$/Tarea)]]/Tabla2[[#This Row],[Costos (En RD$/Tarea)]])</f>
        <v>0.416231832520158</v>
      </c>
      <c r="P2821" s="7" t="n">
        <f aca="false">Tabla2[[#This Row],[Rentabilidad (%)]]/12</f>
        <v>0.0346859860433465</v>
      </c>
    </row>
    <row r="2822" customFormat="false" ht="14.25" hidden="false" customHeight="false" outlineLevel="0" collapsed="false">
      <c r="A2822" s="1" t="n">
        <v>43678</v>
      </c>
      <c r="B2822" s="2" t="s">
        <v>16</v>
      </c>
      <c r="C2822" s="3" t="n">
        <v>285791</v>
      </c>
      <c r="D2822" s="8" t="s">
        <v>17</v>
      </c>
      <c r="E2822" s="3" t="n">
        <f aca="false">IF(Tabla2[[#This Row],[Frecuencia]]="Annual", Tabla2[[#This Row],[Cosecha/Tarea]]/12,Tabla2[[#This Row],[Cosecha/Tarea]])</f>
        <v>285791</v>
      </c>
      <c r="F2822" s="3" t="n">
        <v>1184973</v>
      </c>
      <c r="G2822" s="2" t="s">
        <v>18</v>
      </c>
      <c r="H2822" s="2" t="n">
        <f aca="false">F2822/Tabla2[[#This Row],[Cosecha Mensual]]</f>
        <v>4.14629222053879</v>
      </c>
      <c r="I2822" s="2" t="n">
        <f aca="false">H2822*_xlfn.XLOOKUP(Tabla2[[#This Row],[Unidad de producción]],Tabla3[Medida],Tabla3[Equivalencia en Kg],"ELVIS",0)</f>
        <v>188.075815123639</v>
      </c>
      <c r="J2822" s="2" t="n">
        <v>2221.88144213727</v>
      </c>
      <c r="K2822" s="2" t="s">
        <v>19</v>
      </c>
      <c r="L2822" s="2" t="n">
        <f aca="false">J2822/_xlfn.XLOOKUP(Tabla2[[#This Row],[Unidad de precio]],Tabla3[Medida],Tabla3[Equivalencia en Kg],"ELVIS",0)</f>
        <v>20.1989222012479</v>
      </c>
      <c r="M2822" s="2" t="n">
        <v>6284.7907932017</v>
      </c>
      <c r="N2822" s="3" t="n">
        <f aca="false">(Tabla2[[#This Row],[Productividad (kg/TAS)]]*Tabla2[[#This Row],[Precio por kg]]-Tabla2[[#This Row],[Costos (En RD$/Tarea)]])</f>
        <v>-2485.86203558303</v>
      </c>
      <c r="O2822" s="9" t="n">
        <f aca="false">IF(Tabla2[[#This Row],[Costos (En RD$/Tarea)]]=0,0,Tabla2[[#This Row],[Beneficio Neto  (En RD$/Tarea)]]/Tabla2[[#This Row],[Costos (En RD$/Tarea)]])</f>
        <v>-0.395536162997183</v>
      </c>
      <c r="P2822" s="7" t="n">
        <f aca="false">Tabla2[[#This Row],[Rentabilidad (%)]]/12</f>
        <v>-0.032961346916432</v>
      </c>
    </row>
    <row r="2823" customFormat="false" ht="14.25" hidden="false" customHeight="false" outlineLevel="0" collapsed="false">
      <c r="A2823" s="1" t="n">
        <v>43678</v>
      </c>
      <c r="B2823" s="2" t="s">
        <v>20</v>
      </c>
      <c r="C2823" s="3" t="n">
        <v>40214</v>
      </c>
      <c r="D2823" s="8" t="s">
        <v>17</v>
      </c>
      <c r="E2823" s="3" t="n">
        <f aca="false">IF(Tabla2[[#This Row],[Frecuencia]]="Annual", Tabla2[[#This Row],[Cosecha/Tarea]]/12,Tabla2[[#This Row],[Cosecha/Tarea]])</f>
        <v>40214</v>
      </c>
      <c r="F2823" s="3" t="n">
        <v>84598</v>
      </c>
      <c r="G2823" s="2" t="s">
        <v>18</v>
      </c>
      <c r="H2823" s="2" t="n">
        <f aca="false">F2823/Tabla2[[#This Row],[Cosecha Mensual]]</f>
        <v>2.10369523051674</v>
      </c>
      <c r="I2823" s="2" t="n">
        <f aca="false">H2823*_xlfn.XLOOKUP(Tabla2[[#This Row],[Unidad de producción]],Tabla3[Medida],Tabla3[Equivalencia en Kg],"ELVIS",0)</f>
        <v>95.4236156562391</v>
      </c>
      <c r="J2823" s="2" t="n">
        <v>1039.363125</v>
      </c>
      <c r="K2823" s="2" t="s">
        <v>18</v>
      </c>
      <c r="L2823" s="2" t="n">
        <f aca="false">J2823/_xlfn.XLOOKUP(Tabla2[[#This Row],[Unidad de precio]],Tabla3[Medida],Tabla3[Equivalencia en Kg],"ELVIS",0)</f>
        <v>22.9136491402116</v>
      </c>
      <c r="M2823" s="2" t="n">
        <v>2409.24360044496</v>
      </c>
      <c r="N2823" s="3" t="n">
        <f aca="false">(Tabla2[[#This Row],[Productividad (kg/TAS)]]*Tabla2[[#This Row],[Precio por kg]]-Tabla2[[#This Row],[Costos (En RD$/Tarea)]])</f>
        <v>-222.74035160749</v>
      </c>
      <c r="O2823" s="9" t="n">
        <f aca="false">IF(Tabla2[[#This Row],[Costos (En RD$/Tarea)]]=0,0,Tabla2[[#This Row],[Beneficio Neto  (En RD$/Tarea)]]/Tabla2[[#This Row],[Costos (En RD$/Tarea)]])</f>
        <v>-0.0924523994030128</v>
      </c>
      <c r="P2823" s="7" t="n">
        <f aca="false">Tabla2[[#This Row],[Rentabilidad (%)]]/12</f>
        <v>-0.00770436661691774</v>
      </c>
    </row>
    <row r="2824" customFormat="false" ht="14.25" hidden="false" customHeight="false" outlineLevel="0" collapsed="false">
      <c r="A2824" s="1" t="n">
        <v>43678</v>
      </c>
      <c r="B2824" s="2" t="s">
        <v>21</v>
      </c>
      <c r="C2824" s="3" t="n">
        <v>7214</v>
      </c>
      <c r="D2824" s="8" t="s">
        <v>17</v>
      </c>
      <c r="E2824" s="3" t="n">
        <f aca="false">IF(Tabla2[[#This Row],[Frecuencia]]="Annual", Tabla2[[#This Row],[Cosecha/Tarea]]/12,Tabla2[[#This Row],[Cosecha/Tarea]])</f>
        <v>7214</v>
      </c>
      <c r="F2824" s="3" t="n">
        <v>86214</v>
      </c>
      <c r="G2824" s="2" t="s">
        <v>18</v>
      </c>
      <c r="H2824" s="2" t="n">
        <f aca="false">F2824/Tabla2[[#This Row],[Cosecha Mensual]]</f>
        <v>11.9509287496535</v>
      </c>
      <c r="I2824" s="2" t="n">
        <f aca="false">H2824*_xlfn.XLOOKUP(Tabla2[[#This Row],[Unidad de producción]],Tabla3[Medida],Tabla3[Equivalencia en Kg],"ELVIS",0)</f>
        <v>542.094128084281</v>
      </c>
      <c r="J2824" s="2" t="n">
        <v>1084.61297619048</v>
      </c>
      <c r="K2824" s="2" t="s">
        <v>18</v>
      </c>
      <c r="L2824" s="2" t="n">
        <f aca="false">J2824/_xlfn.XLOOKUP(Tabla2[[#This Row],[Unidad de precio]],Tabla3[Medida],Tabla3[Equivalencia en Kg],"ELVIS",0)</f>
        <v>23.9112208154868</v>
      </c>
      <c r="M2824" s="2" t="n">
        <v>5846.970079582</v>
      </c>
      <c r="N2824" s="3" t="n">
        <f aca="false">(Tabla2[[#This Row],[Productividad (kg/TAS)]]*Tabla2[[#This Row],[Precio por kg]]-Tabla2[[#This Row],[Costos (En RD$/Tarea)]])</f>
        <v>7115.16231982</v>
      </c>
      <c r="O2824" s="9" t="n">
        <f aca="false">IF(Tabla2[[#This Row],[Costos (En RD$/Tarea)]]=0,0,Tabla2[[#This Row],[Beneficio Neto  (En RD$/Tarea)]]/Tabla2[[#This Row],[Costos (En RD$/Tarea)]])</f>
        <v>1.21689733707833</v>
      </c>
      <c r="P2824" s="7" t="n">
        <f aca="false">Tabla2[[#This Row],[Rentabilidad (%)]]/12</f>
        <v>0.101408111423194</v>
      </c>
    </row>
    <row r="2825" customFormat="false" ht="14.25" hidden="false" customHeight="false" outlineLevel="0" collapsed="false">
      <c r="A2825" s="1" t="n">
        <v>43678</v>
      </c>
      <c r="B2825" s="2" t="s">
        <v>22</v>
      </c>
      <c r="C2825" s="3" t="n">
        <v>3865</v>
      </c>
      <c r="D2825" s="8" t="s">
        <v>17</v>
      </c>
      <c r="E2825" s="3" t="n">
        <f aca="false">IF(Tabla2[[#This Row],[Frecuencia]]="Annual", Tabla2[[#This Row],[Cosecha/Tarea]]/12,Tabla2[[#This Row],[Cosecha/Tarea]])</f>
        <v>3865</v>
      </c>
      <c r="F2825" s="3" t="n">
        <v>31950</v>
      </c>
      <c r="G2825" s="2" t="s">
        <v>18</v>
      </c>
      <c r="H2825" s="2" t="n">
        <f aca="false">F2825/Tabla2[[#This Row],[Cosecha Mensual]]</f>
        <v>8.26649417852523</v>
      </c>
      <c r="I2825" s="2" t="n">
        <f aca="false">H2825*_xlfn.XLOOKUP(Tabla2[[#This Row],[Unidad de producción]],Tabla3[Medida],Tabla3[Equivalencia en Kg],"ELVIS",0)</f>
        <v>374.968175937904</v>
      </c>
      <c r="J2825" s="2" t="n">
        <v>1780.30416666667</v>
      </c>
      <c r="K2825" s="2" t="s">
        <v>18</v>
      </c>
      <c r="L2825" s="2" t="n">
        <f aca="false">J2825/_xlfn.XLOOKUP(Tabla2[[#This Row],[Unidad de precio]],Tabla3[Medida],Tabla3[Equivalencia en Kg],"ELVIS",0)</f>
        <v>39.2483281893005</v>
      </c>
      <c r="M2825" s="2" t="n">
        <v>10137.37206528</v>
      </c>
      <c r="N2825" s="3" t="n">
        <f aca="false">(Tabla2[[#This Row],[Productividad (kg/TAS)]]*Tabla2[[#This Row],[Precio por kg]]-Tabla2[[#This Row],[Costos (En RD$/Tarea)]])</f>
        <v>4579.50196447423</v>
      </c>
      <c r="O2825" s="9" t="n">
        <f aca="false">IF(Tabla2[[#This Row],[Costos (En RD$/Tarea)]]=0,0,Tabla2[[#This Row],[Beneficio Neto  (En RD$/Tarea)]]/Tabla2[[#This Row],[Costos (En RD$/Tarea)]])</f>
        <v>0.451744489102733</v>
      </c>
      <c r="P2825" s="7" t="n">
        <f aca="false">Tabla2[[#This Row],[Rentabilidad (%)]]/12</f>
        <v>0.0376453740918944</v>
      </c>
    </row>
    <row r="2826" customFormat="false" ht="14.25" hidden="false" customHeight="false" outlineLevel="0" collapsed="false">
      <c r="A2826" s="1" t="n">
        <v>43678</v>
      </c>
      <c r="B2826" s="2" t="s">
        <v>23</v>
      </c>
      <c r="C2826" s="3" t="n">
        <v>4215</v>
      </c>
      <c r="D2826" s="8" t="s">
        <v>17</v>
      </c>
      <c r="E2826" s="3" t="n">
        <f aca="false">IF(Tabla2[[#This Row],[Frecuencia]]="Annual", Tabla2[[#This Row],[Cosecha/Tarea]]/12,Tabla2[[#This Row],[Cosecha/Tarea]])</f>
        <v>4215</v>
      </c>
      <c r="F2826" s="3" t="n">
        <v>159680</v>
      </c>
      <c r="G2826" s="2" t="s">
        <v>18</v>
      </c>
      <c r="H2826" s="2" t="n">
        <f aca="false">F2826/Tabla2[[#This Row],[Cosecha Mensual]]</f>
        <v>37.8837485172005</v>
      </c>
      <c r="I2826" s="2" t="n">
        <f aca="false">H2826*_xlfn.XLOOKUP(Tabla2[[#This Row],[Unidad de producción]],Tabla3[Medida],Tabla3[Equivalencia en Kg],"ELVIS",0)</f>
        <v>1718.40683274021</v>
      </c>
      <c r="J2826" s="2" t="n">
        <v>1173.38888888889</v>
      </c>
      <c r="K2826" s="2" t="s">
        <v>18</v>
      </c>
      <c r="L2826" s="2" t="n">
        <f aca="false">J2826/_xlfn.XLOOKUP(Tabla2[[#This Row],[Unidad de precio]],Tabla3[Medida],Tabla3[Equivalencia en Kg],"ELVIS",0)</f>
        <v>25.8683617479914</v>
      </c>
      <c r="M2826" s="2" t="n">
        <v>26088.2600080873</v>
      </c>
      <c r="N2826" s="3" t="n">
        <f aca="false">(Tabla2[[#This Row],[Productividad (kg/TAS)]]*Tabla2[[#This Row],[Precio por kg]]-Tabla2[[#This Row],[Costos (En RD$/Tarea)]])</f>
        <v>18364.1095714567</v>
      </c>
      <c r="O2826" s="9" t="n">
        <f aca="false">IF(Tabla2[[#This Row],[Costos (En RD$/Tarea)]]=0,0,Tabla2[[#This Row],[Beneficio Neto  (En RD$/Tarea)]]/Tabla2[[#This Row],[Costos (En RD$/Tarea)]])</f>
        <v>0.703922360700325</v>
      </c>
      <c r="P2826" s="7" t="n">
        <f aca="false">Tabla2[[#This Row],[Rentabilidad (%)]]/12</f>
        <v>0.0586601967250271</v>
      </c>
    </row>
    <row r="2827" customFormat="false" ht="14.25" hidden="false" customHeight="false" outlineLevel="0" collapsed="false">
      <c r="A2827" s="1" t="n">
        <v>43678</v>
      </c>
      <c r="B2827" s="2" t="s">
        <v>24</v>
      </c>
      <c r="C2827" s="3" t="n">
        <v>4601</v>
      </c>
      <c r="D2827" s="8" t="s">
        <v>17</v>
      </c>
      <c r="E2827" s="3" t="n">
        <f aca="false">IF(Tabla2[[#This Row],[Frecuencia]]="Annual", Tabla2[[#This Row],[Cosecha/Tarea]]/12,Tabla2[[#This Row],[Cosecha/Tarea]])</f>
        <v>4601</v>
      </c>
      <c r="F2827" s="3" t="n">
        <v>47521</v>
      </c>
      <c r="G2827" s="2" t="s">
        <v>18</v>
      </c>
      <c r="H2827" s="2" t="n">
        <f aca="false">F2827/Tabla2[[#This Row],[Cosecha Mensual]]</f>
        <v>10.3284068680722</v>
      </c>
      <c r="I2827" s="2" t="n">
        <f aca="false">H2827*_xlfn.XLOOKUP(Tabla2[[#This Row],[Unidad de producción]],Tabla3[Medida],Tabla3[Equivalencia en Kg],"ELVIS",0)</f>
        <v>468.496535535753</v>
      </c>
      <c r="J2827" s="2" t="n">
        <v>3158.42447916667</v>
      </c>
      <c r="K2827" s="2" t="s">
        <v>18</v>
      </c>
      <c r="L2827" s="2" t="n">
        <f aca="false">J2827/_xlfn.XLOOKUP(Tabla2[[#This Row],[Unidad de precio]],Tabla3[Medida],Tabla3[Equivalencia en Kg],"ELVIS",0)</f>
        <v>69.6301692937979</v>
      </c>
      <c r="M2827" s="2" t="n">
        <v>8388.8026628832</v>
      </c>
      <c r="N2827" s="3" t="n">
        <f aca="false">(Tabla2[[#This Row],[Productividad (kg/TAS)]]*Tabla2[[#This Row],[Precio por kg]]-Tabla2[[#This Row],[Costos (En RD$/Tarea)]])</f>
        <v>24232.6904200291</v>
      </c>
      <c r="O2827" s="9" t="n">
        <f aca="false">IF(Tabla2[[#This Row],[Costos (En RD$/Tarea)]]=0,0,Tabla2[[#This Row],[Beneficio Neto  (En RD$/Tarea)]]/Tabla2[[#This Row],[Costos (En RD$/Tarea)]])</f>
        <v>2.88869477491087</v>
      </c>
      <c r="P2827" s="7" t="n">
        <f aca="false">Tabla2[[#This Row],[Rentabilidad (%)]]/12</f>
        <v>0.240724564575906</v>
      </c>
    </row>
    <row r="2828" customFormat="false" ht="14.25" hidden="false" customHeight="false" outlineLevel="0" collapsed="false">
      <c r="A2828" s="1" t="n">
        <v>43678</v>
      </c>
      <c r="B2828" s="2" t="s">
        <v>25</v>
      </c>
      <c r="C2828" s="3" t="n">
        <v>30124</v>
      </c>
      <c r="D2828" s="8" t="s">
        <v>17</v>
      </c>
      <c r="E2828" s="3" t="n">
        <f aca="false">IF(Tabla2[[#This Row],[Frecuencia]]="Annual", Tabla2[[#This Row],[Cosecha/Tarea]]/12,Tabla2[[#This Row],[Cosecha/Tarea]])</f>
        <v>30124</v>
      </c>
      <c r="F2828" s="3" t="n">
        <v>320124</v>
      </c>
      <c r="G2828" s="2" t="s">
        <v>18</v>
      </c>
      <c r="H2828" s="2" t="n">
        <f aca="false">F2828/Tabla2[[#This Row],[Cosecha Mensual]]</f>
        <v>10.6268755809321</v>
      </c>
      <c r="I2828" s="2" t="n">
        <f aca="false">H2828*_xlfn.XLOOKUP(Tabla2[[#This Row],[Unidad de producción]],Tabla3[Medida],Tabla3[Equivalencia en Kg],"ELVIS",0)</f>
        <v>482.035076351082</v>
      </c>
      <c r="J2828" s="2" t="n">
        <v>1000.10083333333</v>
      </c>
      <c r="K2828" s="2" t="s">
        <v>18</v>
      </c>
      <c r="L2828" s="2" t="n">
        <f aca="false">J2828/_xlfn.XLOOKUP(Tabla2[[#This Row],[Unidad de precio]],Tabla3[Medida],Tabla3[Equivalencia en Kg],"ELVIS",0)</f>
        <v>22.0480783362727</v>
      </c>
      <c r="M2828" s="2" t="n">
        <v>4718.29149012608</v>
      </c>
      <c r="N2828" s="3" t="n">
        <f aca="false">(Tabla2[[#This Row],[Productividad (kg/TAS)]]*Tabla2[[#This Row],[Precio por kg]]-Tabla2[[#This Row],[Costos (En RD$/Tarea)]])</f>
        <v>5909.65563409377</v>
      </c>
      <c r="O2828" s="9" t="n">
        <f aca="false">IF(Tabla2[[#This Row],[Costos (En RD$/Tarea)]]=0,0,Tabla2[[#This Row],[Beneficio Neto  (En RD$/Tarea)]]/Tabla2[[#This Row],[Costos (En RD$/Tarea)]])</f>
        <v>1.25249905531713</v>
      </c>
      <c r="P2828" s="7" t="n">
        <f aca="false">Tabla2[[#This Row],[Rentabilidad (%)]]/12</f>
        <v>0.104374921276428</v>
      </c>
    </row>
    <row r="2829" customFormat="false" ht="14.25" hidden="false" customHeight="false" outlineLevel="0" collapsed="false">
      <c r="A2829" s="1" t="n">
        <v>43678</v>
      </c>
      <c r="B2829" s="2" t="s">
        <v>26</v>
      </c>
      <c r="C2829" s="3" t="n">
        <v>9654</v>
      </c>
      <c r="D2829" s="8" t="s">
        <v>17</v>
      </c>
      <c r="E2829" s="3" t="n">
        <f aca="false">IF(Tabla2[[#This Row],[Frecuencia]]="Annual", Tabla2[[#This Row],[Cosecha/Tarea]]/12,Tabla2[[#This Row],[Cosecha/Tarea]])</f>
        <v>9654</v>
      </c>
      <c r="F2829" s="3" t="n">
        <v>85241</v>
      </c>
      <c r="G2829" s="2" t="s">
        <v>18</v>
      </c>
      <c r="H2829" s="2" t="n">
        <f aca="false">F2829/Tabla2[[#This Row],[Cosecha Mensual]]</f>
        <v>8.82960430909468</v>
      </c>
      <c r="I2829" s="2" t="n">
        <f aca="false">H2829*_xlfn.XLOOKUP(Tabla2[[#This Row],[Unidad de producción]],Tabla3[Medida],Tabla3[Equivalencia en Kg],"ELVIS",0)</f>
        <v>400.510851460534</v>
      </c>
      <c r="J2829" s="2" t="n">
        <v>843.057708333333</v>
      </c>
      <c r="K2829" s="2" t="s">
        <v>18</v>
      </c>
      <c r="L2829" s="2" t="n">
        <f aca="false">J2829/_xlfn.XLOOKUP(Tabla2[[#This Row],[Unidad de precio]],Tabla3[Medida],Tabla3[Equivalencia en Kg],"ELVIS",0)</f>
        <v>18.5859283142269</v>
      </c>
      <c r="M2829" s="2" t="n">
        <v>1668.6966112895</v>
      </c>
      <c r="N2829" s="3" t="n">
        <f aca="false">(Tabla2[[#This Row],[Productividad (kg/TAS)]]*Tabla2[[#This Row],[Precio por kg]]-Tabla2[[#This Row],[Costos (En RD$/Tarea)]])</f>
        <v>5775.16936302598</v>
      </c>
      <c r="O2829" s="9" t="n">
        <f aca="false">IF(Tabla2[[#This Row],[Costos (En RD$/Tarea)]]=0,0,Tabla2[[#This Row],[Beneficio Neto  (En RD$/Tarea)]]/Tabla2[[#This Row],[Costos (En RD$/Tarea)]])</f>
        <v>3.46088637320547</v>
      </c>
      <c r="P2829" s="7" t="n">
        <f aca="false">Tabla2[[#This Row],[Rentabilidad (%)]]/12</f>
        <v>0.288407197767123</v>
      </c>
    </row>
    <row r="2830" customFormat="false" ht="14.25" hidden="false" customHeight="false" outlineLevel="0" collapsed="false">
      <c r="A2830" s="1" t="n">
        <v>43678</v>
      </c>
      <c r="B2830" s="2" t="s">
        <v>27</v>
      </c>
      <c r="C2830" s="3" t="n">
        <v>4874</v>
      </c>
      <c r="D2830" s="8" t="s">
        <v>17</v>
      </c>
      <c r="E2830" s="3" t="n">
        <f aca="false">IF(Tabla2[[#This Row],[Frecuencia]]="Annual", Tabla2[[#This Row],[Cosecha/Tarea]]/12,Tabla2[[#This Row],[Cosecha/Tarea]])</f>
        <v>4874</v>
      </c>
      <c r="F2830" s="3" t="n">
        <v>48959</v>
      </c>
      <c r="G2830" s="2" t="s">
        <v>18</v>
      </c>
      <c r="H2830" s="2" t="n">
        <f aca="false">F2830/Tabla2[[#This Row],[Cosecha Mensual]]</f>
        <v>10.0449322938039</v>
      </c>
      <c r="I2830" s="2" t="n">
        <f aca="false">H2830*_xlfn.XLOOKUP(Tabla2[[#This Row],[Unidad de producción]],Tabla3[Medida],Tabla3[Equivalencia en Kg],"ELVIS",0)</f>
        <v>455.638128846943</v>
      </c>
      <c r="J2830" s="2" t="n">
        <v>927.267857142857</v>
      </c>
      <c r="K2830" s="2" t="s">
        <v>18</v>
      </c>
      <c r="L2830" s="2" t="n">
        <f aca="false">J2830/_xlfn.XLOOKUP(Tabla2[[#This Row],[Unidad de precio]],Tabla3[Medida],Tabla3[Equivalencia en Kg],"ELVIS",0)</f>
        <v>20.4424130763416</v>
      </c>
      <c r="M2830" s="2" t="n">
        <v>9222.1943510245</v>
      </c>
      <c r="N2830" s="3" t="n">
        <f aca="false">(Tabla2[[#This Row],[Productividad (kg/TAS)]]*Tabla2[[#This Row],[Precio por kg]]-Tabla2[[#This Row],[Costos (En RD$/Tarea)]])</f>
        <v>92.1484921960855</v>
      </c>
      <c r="O2830" s="9" t="n">
        <f aca="false">IF(Tabla2[[#This Row],[Costos (En RD$/Tarea)]]=0,0,Tabla2[[#This Row],[Beneficio Neto  (En RD$/Tarea)]]/Tabla2[[#This Row],[Costos (En RD$/Tarea)]])</f>
        <v>0.00999203537559894</v>
      </c>
      <c r="P2830" s="7" t="n">
        <f aca="false">Tabla2[[#This Row],[Rentabilidad (%)]]/12</f>
        <v>0.000832669614633245</v>
      </c>
    </row>
    <row r="2831" customFormat="false" ht="14.25" hidden="false" customHeight="false" outlineLevel="0" collapsed="false">
      <c r="A2831" s="1" t="n">
        <v>43678</v>
      </c>
      <c r="B2831" s="2" t="s">
        <v>28</v>
      </c>
      <c r="C2831" s="3" t="n">
        <v>54212</v>
      </c>
      <c r="D2831" s="8" t="s">
        <v>17</v>
      </c>
      <c r="E2831" s="3" t="n">
        <f aca="false">IF(Tabla2[[#This Row],[Frecuencia]]="Annual", Tabla2[[#This Row],[Cosecha/Tarea]]/12,Tabla2[[#This Row],[Cosecha/Tarea]])</f>
        <v>54212</v>
      </c>
      <c r="F2831" s="3" t="n">
        <v>1427988</v>
      </c>
      <c r="G2831" s="2" t="s">
        <v>18</v>
      </c>
      <c r="H2831" s="2" t="n">
        <f aca="false">F2831/Tabla2[[#This Row],[Cosecha Mensual]]</f>
        <v>26.3408101527337</v>
      </c>
      <c r="I2831" s="2" t="n">
        <f aca="false">H2831*_xlfn.XLOOKUP(Tabla2[[#This Row],[Unidad de producción]],Tabla3[Medida],Tabla3[Equivalencia en Kg],"ELVIS",0)</f>
        <v>1194.819148528</v>
      </c>
      <c r="J2831" s="2" t="n">
        <v>6074.56597222222</v>
      </c>
      <c r="K2831" s="2" t="s">
        <v>29</v>
      </c>
      <c r="L2831" s="2" t="n">
        <f aca="false">J2831/_xlfn.XLOOKUP(Tabla2[[#This Row],[Unidad de precio]],Tabla3[Medida],Tabla3[Equivalencia en Kg],"ELVIS",0)</f>
        <v>10.8023010495825</v>
      </c>
      <c r="M2831" s="2" t="n">
        <v>7149.9398177165</v>
      </c>
      <c r="N2831" s="3" t="n">
        <f aca="false">(Tabla2[[#This Row],[Productividad (kg/TAS)]]*Tabla2[[#This Row],[Precio por kg]]-Tabla2[[#This Row],[Costos (En RD$/Tarea)]])</f>
        <v>5756.85632448879</v>
      </c>
      <c r="O2831" s="9" t="n">
        <f aca="false">IF(Tabla2[[#This Row],[Costos (En RD$/Tarea)]]=0,0,Tabla2[[#This Row],[Beneficio Neto  (En RD$/Tarea)]]/Tabla2[[#This Row],[Costos (En RD$/Tarea)]])</f>
        <v>0.805161507824744</v>
      </c>
      <c r="P2831" s="7" t="n">
        <f aca="false">Tabla2[[#This Row],[Rentabilidad (%)]]/12</f>
        <v>0.0670967923187286</v>
      </c>
    </row>
    <row r="2832" customFormat="false" ht="14.25" hidden="false" customHeight="false" outlineLevel="0" collapsed="false">
      <c r="A2832" s="1" t="n">
        <v>43678</v>
      </c>
      <c r="B2832" s="2" t="s">
        <v>30</v>
      </c>
      <c r="C2832" s="3" t="n">
        <v>472351</v>
      </c>
      <c r="D2832" s="3" t="s">
        <v>31</v>
      </c>
      <c r="E2832" s="3" t="n">
        <f aca="false">IF(Tabla2[[#This Row],[Frecuencia]]="Annual", Tabla2[[#This Row],[Cosecha/Tarea]]/12,Tabla2[[#This Row],[Cosecha/Tarea]])</f>
        <v>39362.5833333333</v>
      </c>
      <c r="F2832" s="3" t="n">
        <v>2475506.4</v>
      </c>
      <c r="G2832" s="2" t="s">
        <v>18</v>
      </c>
      <c r="H2832" s="2" t="n">
        <f aca="false">F2832/Tabla2[[#This Row],[Cosecha Mensual]]</f>
        <v>62.8898357365603</v>
      </c>
      <c r="I2832" s="2" t="n">
        <f aca="false">H2832*_xlfn.XLOOKUP(Tabla2[[#This Row],[Unidad de producción]],Tabla3[Medida],Tabla3[Equivalencia en Kg],"ELVIS",0)</f>
        <v>2852.68294901038</v>
      </c>
      <c r="J2832" s="2" t="n">
        <v>175.730952380952</v>
      </c>
      <c r="K2832" s="2" t="s">
        <v>32</v>
      </c>
      <c r="L2832" s="2" t="n">
        <f aca="false">J2832/_xlfn.XLOOKUP(Tabla2[[#This Row],[Unidad de precio]],Tabla3[Medida],Tabla3[Equivalencia en Kg],"ELVIS",0)</f>
        <v>6.45832239547784</v>
      </c>
      <c r="M2832" s="3" t="n">
        <v>35445.71794842</v>
      </c>
      <c r="N2832" s="3" t="n">
        <f aca="false">(Tabla2[[#This Row],[Productividad (kg/TAS)]]*Tabla2[[#This Row],[Precio por kg]]-Tabla2[[#This Row],[Costos (En RD$/Tarea)]])</f>
        <v>-17022.1717716285</v>
      </c>
      <c r="O2832" s="9" t="n">
        <f aca="false">IF(Tabla2[[#This Row],[Costos (En RD$/Tarea)]]=0,0,Tabla2[[#This Row],[Beneficio Neto  (En RD$/Tarea)]]/Tabla2[[#This Row],[Costos (En RD$/Tarea)]])</f>
        <v>-0.480232105790575</v>
      </c>
      <c r="P2832" s="7" t="n">
        <f aca="false">Tabla2[[#This Row],[Rentabilidad (%)]]/12</f>
        <v>-0.0400193421492146</v>
      </c>
    </row>
    <row r="2833" customFormat="false" ht="14.25" hidden="false" customHeight="false" outlineLevel="0" collapsed="false">
      <c r="A2833" s="1" t="n">
        <v>43678</v>
      </c>
      <c r="B2833" s="2" t="s">
        <v>33</v>
      </c>
      <c r="C2833" s="3" t="n">
        <v>793542</v>
      </c>
      <c r="D2833" s="3" t="s">
        <v>31</v>
      </c>
      <c r="E2833" s="11" t="n">
        <f aca="false">IF(Tabla2[[#This Row],[Frecuencia]]="Annual", Tabla2[[#This Row],[Cosecha/Tarea]]/12,Tabla2[[#This Row],[Cosecha/Tarea]])</f>
        <v>66128.5</v>
      </c>
      <c r="F2833" s="3" t="n">
        <v>2381265</v>
      </c>
      <c r="G2833" s="2" t="s">
        <v>18</v>
      </c>
      <c r="H2833" s="2" t="n">
        <f aca="false">F2833/Tabla2[[#This Row],[Cosecha Mensual]]</f>
        <v>36.0096630046047</v>
      </c>
      <c r="I2833" s="2" t="n">
        <f aca="false">H2833*_xlfn.XLOOKUP(Tabla2[[#This Row],[Unidad de producción]],Tabla3[Medida],Tabla3[Equivalencia en Kg],"ELVIS",0)</f>
        <v>1633.39831388887</v>
      </c>
      <c r="J2833" s="2" t="n">
        <v>9261.46354166667</v>
      </c>
      <c r="K2833" s="2" t="s">
        <v>34</v>
      </c>
      <c r="L2833" s="2" t="n">
        <f aca="false">J2833/_xlfn.XLOOKUP(Tabla2[[#This Row],[Unidad de precio]],Tabla3[Medida],Tabla3[Equivalencia en Kg],"ELVIS",0)</f>
        <v>22.6913231450856</v>
      </c>
      <c r="M2833" s="3" t="n">
        <v>22691.3984505224</v>
      </c>
      <c r="N2833" s="3" t="n">
        <f aca="false">(Tabla2[[#This Row],[Productividad (kg/TAS)]]*Tabla2[[#This Row],[Precio por kg]]-Tabla2[[#This Row],[Costos (En RD$/Tarea)]])</f>
        <v>14372.5705145678</v>
      </c>
      <c r="O2833" s="9" t="n">
        <f aca="false">IF(Tabla2[[#This Row],[Costos (En RD$/Tarea)]]=0,0,Tabla2[[#This Row],[Beneficio Neto  (En RD$/Tarea)]]/Tabla2[[#This Row],[Costos (En RD$/Tarea)]])</f>
        <v>0.633392893166393</v>
      </c>
      <c r="P2833" s="7" t="n">
        <f aca="false">Tabla2[[#This Row],[Rentabilidad (%)]]/12</f>
        <v>0.0527827410971994</v>
      </c>
    </row>
    <row r="2834" customFormat="false" ht="14.25" hidden="false" customHeight="false" outlineLevel="0" collapsed="false">
      <c r="A2834" s="1" t="n">
        <v>43709</v>
      </c>
      <c r="B2834" s="2" t="s">
        <v>16</v>
      </c>
      <c r="C2834" s="3" t="n">
        <v>337898</v>
      </c>
      <c r="D2834" s="8" t="s">
        <v>17</v>
      </c>
      <c r="E2834" s="3" t="n">
        <f aca="false">IF(Tabla2[[#This Row],[Frecuencia]]="Annual", Tabla2[[#This Row],[Cosecha/Tarea]]/12,Tabla2[[#This Row],[Cosecha/Tarea]])</f>
        <v>337898</v>
      </c>
      <c r="F2834" s="3" t="n">
        <v>1650188</v>
      </c>
      <c r="G2834" s="2" t="s">
        <v>18</v>
      </c>
      <c r="H2834" s="2" t="n">
        <f aca="false">F2834/Tabla2[[#This Row],[Cosecha Mensual]]</f>
        <v>4.88368679305589</v>
      </c>
      <c r="I2834" s="2" t="n">
        <f aca="false">H2834*_xlfn.XLOOKUP(Tabla2[[#This Row],[Unidad de producción]],Tabla3[Medida],Tabla3[Equivalencia en Kg],"ELVIS",0)</f>
        <v>221.524032933015</v>
      </c>
      <c r="J2834" s="2" t="n">
        <v>2243.74637949212</v>
      </c>
      <c r="K2834" s="2" t="s">
        <v>19</v>
      </c>
      <c r="L2834" s="2" t="n">
        <f aca="false">J2834/_xlfn.XLOOKUP(Tabla2[[#This Row],[Unidad de precio]],Tabla3[Medida],Tabla3[Equivalencia en Kg],"ELVIS",0)</f>
        <v>20.3976943590193</v>
      </c>
      <c r="M2834" s="2" t="n">
        <v>6284.7907932017</v>
      </c>
      <c r="N2834" s="3" t="n">
        <f aca="false">(Tabla2[[#This Row],[Productividad (kg/TAS)]]*Tabla2[[#This Row],[Precio por kg]]-Tabla2[[#This Row],[Costos (En RD$/Tarea)]])</f>
        <v>-1766.21127625673</v>
      </c>
      <c r="O2834" s="9" t="n">
        <f aca="false">IF(Tabla2[[#This Row],[Costos (En RD$/Tarea)]]=0,0,Tabla2[[#This Row],[Beneficio Neto  (En RD$/Tarea)]]/Tabla2[[#This Row],[Costos (En RD$/Tarea)]])</f>
        <v>-0.281029446225522</v>
      </c>
      <c r="P2834" s="7" t="n">
        <f aca="false">Tabla2[[#This Row],[Rentabilidad (%)]]/12</f>
        <v>-0.0234191205187935</v>
      </c>
    </row>
    <row r="2835" customFormat="false" ht="14.25" hidden="false" customHeight="false" outlineLevel="0" collapsed="false">
      <c r="A2835" s="1" t="n">
        <v>43709</v>
      </c>
      <c r="B2835" s="2" t="s">
        <v>20</v>
      </c>
      <c r="C2835" s="3" t="n">
        <v>49954</v>
      </c>
      <c r="D2835" s="8" t="s">
        <v>17</v>
      </c>
      <c r="E2835" s="3" t="n">
        <f aca="false">IF(Tabla2[[#This Row],[Frecuencia]]="Annual", Tabla2[[#This Row],[Cosecha/Tarea]]/12,Tabla2[[#This Row],[Cosecha/Tarea]])</f>
        <v>49954</v>
      </c>
      <c r="F2835" s="3" t="n">
        <v>125498</v>
      </c>
      <c r="G2835" s="2" t="s">
        <v>18</v>
      </c>
      <c r="H2835" s="2" t="n">
        <f aca="false">F2835/Tabla2[[#This Row],[Cosecha Mensual]]</f>
        <v>2.51227128958642</v>
      </c>
      <c r="I2835" s="2" t="n">
        <f aca="false">H2835*_xlfn.XLOOKUP(Tabla2[[#This Row],[Unidad de producción]],Tabla3[Medida],Tabla3[Equivalencia en Kg],"ELVIS",0)</f>
        <v>113.95662569564</v>
      </c>
      <c r="J2835" s="2" t="n">
        <v>988.979166666667</v>
      </c>
      <c r="K2835" s="2" t="s">
        <v>18</v>
      </c>
      <c r="L2835" s="2" t="n">
        <f aca="false">J2835/_xlfn.XLOOKUP(Tabla2[[#This Row],[Unidad de precio]],Tabla3[Medida],Tabla3[Equivalencia en Kg],"ELVIS",0)</f>
        <v>21.8028916813639</v>
      </c>
      <c r="M2835" s="2" t="n">
        <v>2409.24360044496</v>
      </c>
      <c r="N2835" s="3" t="n">
        <f aca="false">(Tabla2[[#This Row],[Productividad (kg/TAS)]]*Tabla2[[#This Row],[Precio por kg]]-Tabla2[[#This Row],[Costos (En RD$/Tarea)]])</f>
        <v>75.3403659708097</v>
      </c>
      <c r="O2835" s="9" t="n">
        <f aca="false">IF(Tabla2[[#This Row],[Costos (En RD$/Tarea)]]=0,0,Tabla2[[#This Row],[Beneficio Neto  (En RD$/Tarea)]]/Tabla2[[#This Row],[Costos (En RD$/Tarea)]])</f>
        <v>0.0312713774385019</v>
      </c>
      <c r="P2835" s="7" t="n">
        <f aca="false">Tabla2[[#This Row],[Rentabilidad (%)]]/12</f>
        <v>0.00260594811987516</v>
      </c>
    </row>
    <row r="2836" customFormat="false" ht="14.25" hidden="false" customHeight="false" outlineLevel="0" collapsed="false">
      <c r="A2836" s="1" t="n">
        <v>43709</v>
      </c>
      <c r="B2836" s="2" t="s">
        <v>21</v>
      </c>
      <c r="C2836" s="3" t="n">
        <v>7421</v>
      </c>
      <c r="D2836" s="8" t="s">
        <v>17</v>
      </c>
      <c r="E2836" s="3" t="n">
        <f aca="false">IF(Tabla2[[#This Row],[Frecuencia]]="Annual", Tabla2[[#This Row],[Cosecha/Tarea]]/12,Tabla2[[#This Row],[Cosecha/Tarea]])</f>
        <v>7421</v>
      </c>
      <c r="F2836" s="3" t="n">
        <v>75102</v>
      </c>
      <c r="G2836" s="2" t="s">
        <v>18</v>
      </c>
      <c r="H2836" s="2" t="n">
        <f aca="false">F2836/Tabla2[[#This Row],[Cosecha Mensual]]</f>
        <v>10.1201994340385</v>
      </c>
      <c r="I2836" s="2" t="n">
        <f aca="false">H2836*_xlfn.XLOOKUP(Tabla2[[#This Row],[Unidad de producción]],Tabla3[Medida],Tabla3[Equivalencia en Kg],"ELVIS",0)</f>
        <v>459.052246327988</v>
      </c>
      <c r="J2836" s="2" t="n">
        <v>1159.72222222222</v>
      </c>
      <c r="K2836" s="2" t="s">
        <v>18</v>
      </c>
      <c r="L2836" s="2" t="n">
        <f aca="false">J2836/_xlfn.XLOOKUP(Tabla2[[#This Row],[Unidad de precio]],Tabla3[Medida],Tabla3[Equivalencia en Kg],"ELVIS",0)</f>
        <v>25.5670683911424</v>
      </c>
      <c r="M2836" s="2" t="n">
        <v>5846.970079582</v>
      </c>
      <c r="N2836" s="3" t="n">
        <f aca="false">(Tabla2[[#This Row],[Productividad (kg/TAS)]]*Tabla2[[#This Row],[Precio por kg]]-Tabla2[[#This Row],[Costos (En RD$/Tarea)]])</f>
        <v>5889.65009739323</v>
      </c>
      <c r="O2836" s="9" t="n">
        <f aca="false">IF(Tabla2[[#This Row],[Costos (En RD$/Tarea)]]=0,0,Tabla2[[#This Row],[Beneficio Neto  (En RD$/Tarea)]]/Tabla2[[#This Row],[Costos (En RD$/Tarea)]])</f>
        <v>1.00729951021304</v>
      </c>
      <c r="P2836" s="7" t="n">
        <f aca="false">Tabla2[[#This Row],[Rentabilidad (%)]]/12</f>
        <v>0.0839416258510864</v>
      </c>
    </row>
    <row r="2837" customFormat="false" ht="14.25" hidden="false" customHeight="false" outlineLevel="0" collapsed="false">
      <c r="A2837" s="1" t="n">
        <v>43709</v>
      </c>
      <c r="B2837" s="2" t="s">
        <v>22</v>
      </c>
      <c r="C2837" s="3" t="n">
        <v>4852</v>
      </c>
      <c r="D2837" s="8" t="s">
        <v>17</v>
      </c>
      <c r="E2837" s="3" t="n">
        <f aca="false">IF(Tabla2[[#This Row],[Frecuencia]]="Annual", Tabla2[[#This Row],[Cosecha/Tarea]]/12,Tabla2[[#This Row],[Cosecha/Tarea]])</f>
        <v>4852</v>
      </c>
      <c r="F2837" s="3" t="n">
        <v>43011</v>
      </c>
      <c r="G2837" s="2" t="s">
        <v>18</v>
      </c>
      <c r="H2837" s="2" t="n">
        <f aca="false">F2837/Tabla2[[#This Row],[Cosecha Mensual]]</f>
        <v>8.86459192085738</v>
      </c>
      <c r="I2837" s="2" t="n">
        <f aca="false">H2837*_xlfn.XLOOKUP(Tabla2[[#This Row],[Unidad de producción]],Tabla3[Medida],Tabla3[Equivalencia en Kg],"ELVIS",0)</f>
        <v>402.097889530091</v>
      </c>
      <c r="J2837" s="2" t="n">
        <v>2183.0125</v>
      </c>
      <c r="K2837" s="2" t="s">
        <v>18</v>
      </c>
      <c r="L2837" s="2" t="n">
        <f aca="false">J2837/_xlfn.XLOOKUP(Tabla2[[#This Row],[Unidad de precio]],Tabla3[Medida],Tabla3[Equivalencia en Kg],"ELVIS",0)</f>
        <v>48.1263778659612</v>
      </c>
      <c r="M2837" s="2" t="n">
        <v>10137.37206528</v>
      </c>
      <c r="N2837" s="3" t="n">
        <f aca="false">(Tabla2[[#This Row],[Productividad (kg/TAS)]]*Tabla2[[#This Row],[Precio por kg]]-Tabla2[[#This Row],[Costos (En RD$/Tarea)]])</f>
        <v>9214.14290535067</v>
      </c>
      <c r="O2837" s="9" t="n">
        <f aca="false">IF(Tabla2[[#This Row],[Costos (En RD$/Tarea)]]=0,0,Tabla2[[#This Row],[Beneficio Neto  (En RD$/Tarea)]]/Tabla2[[#This Row],[Costos (En RD$/Tarea)]])</f>
        <v>0.908928156726994</v>
      </c>
      <c r="P2837" s="7" t="n">
        <f aca="false">Tabla2[[#This Row],[Rentabilidad (%)]]/12</f>
        <v>0.0757440130605828</v>
      </c>
    </row>
    <row r="2838" customFormat="false" ht="14.25" hidden="false" customHeight="false" outlineLevel="0" collapsed="false">
      <c r="A2838" s="1" t="n">
        <v>43709</v>
      </c>
      <c r="B2838" s="2" t="s">
        <v>23</v>
      </c>
      <c r="C2838" s="3" t="n">
        <v>4658</v>
      </c>
      <c r="D2838" s="8" t="s">
        <v>17</v>
      </c>
      <c r="E2838" s="3" t="n">
        <f aca="false">IF(Tabla2[[#This Row],[Frecuencia]]="Annual", Tabla2[[#This Row],[Cosecha/Tarea]]/12,Tabla2[[#This Row],[Cosecha/Tarea]])</f>
        <v>4658</v>
      </c>
      <c r="F2838" s="3" t="n">
        <v>193241</v>
      </c>
      <c r="G2838" s="2" t="s">
        <v>18</v>
      </c>
      <c r="H2838" s="2" t="n">
        <f aca="false">F2838/Tabla2[[#This Row],[Cosecha Mensual]]</f>
        <v>41.4858308286818</v>
      </c>
      <c r="I2838" s="2" t="n">
        <f aca="false">H2838*_xlfn.XLOOKUP(Tabla2[[#This Row],[Unidad de producción]],Tabla3[Medida],Tabla3[Equivalencia en Kg],"ELVIS",0)</f>
        <v>1881.79728638901</v>
      </c>
      <c r="J2838" s="2" t="n">
        <v>988</v>
      </c>
      <c r="K2838" s="2" t="s">
        <v>18</v>
      </c>
      <c r="L2838" s="2" t="n">
        <f aca="false">J2838/_xlfn.XLOOKUP(Tabla2[[#This Row],[Unidad de precio]],Tabla3[Medida],Tabla3[Equivalencia en Kg],"ELVIS",0)</f>
        <v>21.7813051146385</v>
      </c>
      <c r="M2838" s="2" t="n">
        <v>26088.2600080873</v>
      </c>
      <c r="N2838" s="3" t="n">
        <f aca="false">(Tabla2[[#This Row],[Productividad (kg/TAS)]]*Tabla2[[#This Row],[Precio por kg]]-Tabla2[[#This Row],[Costos (En RD$/Tarea)]])</f>
        <v>14899.7408506503</v>
      </c>
      <c r="O2838" s="9" t="n">
        <f aca="false">IF(Tabla2[[#This Row],[Costos (En RD$/Tarea)]]=0,0,Tabla2[[#This Row],[Beneficio Neto  (En RD$/Tarea)]]/Tabla2[[#This Row],[Costos (En RD$/Tarea)]])</f>
        <v>0.57112819505906</v>
      </c>
      <c r="P2838" s="7" t="n">
        <f aca="false">Tabla2[[#This Row],[Rentabilidad (%)]]/12</f>
        <v>0.0475940162549216</v>
      </c>
    </row>
    <row r="2839" customFormat="false" ht="14.25" hidden="false" customHeight="false" outlineLevel="0" collapsed="false">
      <c r="A2839" s="1" t="n">
        <v>43709</v>
      </c>
      <c r="B2839" s="2" t="s">
        <v>24</v>
      </c>
      <c r="C2839" s="3" t="n">
        <v>4524</v>
      </c>
      <c r="D2839" s="8" t="s">
        <v>17</v>
      </c>
      <c r="E2839" s="3" t="n">
        <f aca="false">IF(Tabla2[[#This Row],[Frecuencia]]="Annual", Tabla2[[#This Row],[Cosecha/Tarea]]/12,Tabla2[[#This Row],[Cosecha/Tarea]])</f>
        <v>4524</v>
      </c>
      <c r="F2839" s="3" t="n">
        <v>43124</v>
      </c>
      <c r="G2839" s="2" t="s">
        <v>18</v>
      </c>
      <c r="H2839" s="2" t="n">
        <f aca="false">F2839/Tabla2[[#This Row],[Cosecha Mensual]]</f>
        <v>9.53227232537577</v>
      </c>
      <c r="I2839" s="2" t="n">
        <f aca="false">H2839*_xlfn.XLOOKUP(Tabla2[[#This Row],[Unidad de producción]],Tabla3[Medida],Tabla3[Equivalencia en Kg],"ELVIS",0)</f>
        <v>432.383872679045</v>
      </c>
      <c r="J2839" s="2" t="n">
        <v>3384.59722222222</v>
      </c>
      <c r="K2839" s="2" t="s">
        <v>18</v>
      </c>
      <c r="L2839" s="2" t="n">
        <f aca="false">J2839/_xlfn.XLOOKUP(Tabla2[[#This Row],[Unidad de precio]],Tabla3[Medida],Tabla3[Equivalencia en Kg],"ELVIS",0)</f>
        <v>74.6163408779149</v>
      </c>
      <c r="M2839" s="2" t="n">
        <v>8388.8026628832</v>
      </c>
      <c r="N2839" s="3" t="n">
        <f aca="false">(Tabla2[[#This Row],[Productividad (kg/TAS)]]*Tabla2[[#This Row],[Precio por kg]]-Tabla2[[#This Row],[Costos (En RD$/Tarea)]])</f>
        <v>23874.0997710494</v>
      </c>
      <c r="O2839" s="9" t="n">
        <f aca="false">IF(Tabla2[[#This Row],[Costos (En RD$/Tarea)]]=0,0,Tabla2[[#This Row],[Beneficio Neto  (En RD$/Tarea)]]/Tabla2[[#This Row],[Costos (En RD$/Tarea)]])</f>
        <v>2.84594843036204</v>
      </c>
      <c r="P2839" s="7" t="n">
        <f aca="false">Tabla2[[#This Row],[Rentabilidad (%)]]/12</f>
        <v>0.237162369196837</v>
      </c>
    </row>
    <row r="2840" customFormat="false" ht="14.25" hidden="false" customHeight="false" outlineLevel="0" collapsed="false">
      <c r="A2840" s="1" t="n">
        <v>43709</v>
      </c>
      <c r="B2840" s="2" t="s">
        <v>25</v>
      </c>
      <c r="C2840" s="3" t="n">
        <v>29245</v>
      </c>
      <c r="D2840" s="8" t="s">
        <v>17</v>
      </c>
      <c r="E2840" s="3" t="n">
        <f aca="false">IF(Tabla2[[#This Row],[Frecuencia]]="Annual", Tabla2[[#This Row],[Cosecha/Tarea]]/12,Tabla2[[#This Row],[Cosecha/Tarea]])</f>
        <v>29245</v>
      </c>
      <c r="F2840" s="3" t="n">
        <v>332541</v>
      </c>
      <c r="G2840" s="2" t="s">
        <v>18</v>
      </c>
      <c r="H2840" s="2" t="n">
        <f aca="false">F2840/Tabla2[[#This Row],[Cosecha Mensual]]</f>
        <v>11.3708668148401</v>
      </c>
      <c r="I2840" s="2" t="n">
        <f aca="false">H2840*_xlfn.XLOOKUP(Tabla2[[#This Row],[Unidad de producción]],Tabla3[Medida],Tabla3[Equivalencia en Kg],"ELVIS",0)</f>
        <v>515.782518721149</v>
      </c>
      <c r="J2840" s="2" t="n">
        <v>939.002976190476</v>
      </c>
      <c r="K2840" s="2" t="s">
        <v>18</v>
      </c>
      <c r="L2840" s="2" t="n">
        <f aca="false">J2840/_xlfn.XLOOKUP(Tabla2[[#This Row],[Unidad de precio]],Tabla3[Medida],Tabla3[Equivalencia en Kg],"ELVIS",0)</f>
        <v>20.701123813723</v>
      </c>
      <c r="M2840" s="2" t="n">
        <v>4718.29149012608</v>
      </c>
      <c r="N2840" s="3" t="n">
        <f aca="false">(Tabla2[[#This Row],[Productividad (kg/TAS)]]*Tabla2[[#This Row],[Precio por kg]]-Tabla2[[#This Row],[Costos (En RD$/Tarea)]])</f>
        <v>5958.98629087433</v>
      </c>
      <c r="O2840" s="9" t="n">
        <f aca="false">IF(Tabla2[[#This Row],[Costos (En RD$/Tarea)]]=0,0,Tabla2[[#This Row],[Beneficio Neto  (En RD$/Tarea)]]/Tabla2[[#This Row],[Costos (En RD$/Tarea)]])</f>
        <v>1.26295425014428</v>
      </c>
      <c r="P2840" s="7" t="n">
        <f aca="false">Tabla2[[#This Row],[Rentabilidad (%)]]/12</f>
        <v>0.105246187512024</v>
      </c>
    </row>
    <row r="2841" customFormat="false" ht="14.25" hidden="false" customHeight="false" outlineLevel="0" collapsed="false">
      <c r="A2841" s="1" t="n">
        <v>43709</v>
      </c>
      <c r="B2841" s="2" t="s">
        <v>26</v>
      </c>
      <c r="C2841" s="3" t="n">
        <v>10654</v>
      </c>
      <c r="D2841" s="8" t="s">
        <v>17</v>
      </c>
      <c r="E2841" s="3" t="n">
        <f aca="false">IF(Tabla2[[#This Row],[Frecuencia]]="Annual", Tabla2[[#This Row],[Cosecha/Tarea]]/12,Tabla2[[#This Row],[Cosecha/Tarea]])</f>
        <v>10654</v>
      </c>
      <c r="F2841" s="3" t="n">
        <v>66985</v>
      </c>
      <c r="G2841" s="2" t="s">
        <v>18</v>
      </c>
      <c r="H2841" s="2" t="n">
        <f aca="false">F2841/Tabla2[[#This Row],[Cosecha Mensual]]</f>
        <v>6.28730993054252</v>
      </c>
      <c r="I2841" s="2" t="n">
        <f aca="false">H2841*_xlfn.XLOOKUP(Tabla2[[#This Row],[Unidad de producción]],Tabla3[Medida],Tabla3[Equivalencia en Kg],"ELVIS",0)</f>
        <v>285.192378449409</v>
      </c>
      <c r="J2841" s="2" t="n">
        <v>852.889880952381</v>
      </c>
      <c r="K2841" s="2" t="s">
        <v>18</v>
      </c>
      <c r="L2841" s="2" t="n">
        <f aca="false">J2841/_xlfn.XLOOKUP(Tabla2[[#This Row],[Unidad de precio]],Tabla3[Medida],Tabla3[Equivalencia en Kg],"ELVIS",0)</f>
        <v>18.8026869698497</v>
      </c>
      <c r="M2841" s="2" t="n">
        <v>1668.6966112895</v>
      </c>
      <c r="N2841" s="3" t="n">
        <f aca="false">(Tabla2[[#This Row],[Productividad (kg/TAS)]]*Tabla2[[#This Row],[Precio por kg]]-Tabla2[[#This Row],[Costos (En RD$/Tarea)]])</f>
        <v>3693.68640688163</v>
      </c>
      <c r="O2841" s="9" t="n">
        <f aca="false">IF(Tabla2[[#This Row],[Costos (En RD$/Tarea)]]=0,0,Tabla2[[#This Row],[Beneficio Neto  (En RD$/Tarea)]]/Tabla2[[#This Row],[Costos (En RD$/Tarea)]])</f>
        <v>2.21351585536409</v>
      </c>
      <c r="P2841" s="7" t="n">
        <f aca="false">Tabla2[[#This Row],[Rentabilidad (%)]]/12</f>
        <v>0.184459654613674</v>
      </c>
    </row>
    <row r="2842" customFormat="false" ht="14.25" hidden="false" customHeight="false" outlineLevel="0" collapsed="false">
      <c r="A2842" s="1" t="n">
        <v>43709</v>
      </c>
      <c r="B2842" s="2" t="s">
        <v>27</v>
      </c>
      <c r="C2842" s="3" t="n">
        <v>4995</v>
      </c>
      <c r="D2842" s="8" t="s">
        <v>17</v>
      </c>
      <c r="E2842" s="3" t="n">
        <f aca="false">IF(Tabla2[[#This Row],[Frecuencia]]="Annual", Tabla2[[#This Row],[Cosecha/Tarea]]/12,Tabla2[[#This Row],[Cosecha/Tarea]])</f>
        <v>4995</v>
      </c>
      <c r="F2842" s="3" t="n">
        <v>45698</v>
      </c>
      <c r="G2842" s="2" t="s">
        <v>18</v>
      </c>
      <c r="H2842" s="2" t="n">
        <f aca="false">F2842/Tabla2[[#This Row],[Cosecha Mensual]]</f>
        <v>9.14874874874875</v>
      </c>
      <c r="I2842" s="2" t="n">
        <f aca="false">H2842*_xlfn.XLOOKUP(Tabla2[[#This Row],[Unidad de producción]],Tabla3[Medida],Tabla3[Equivalencia en Kg],"ELVIS",0)</f>
        <v>414.987243243243</v>
      </c>
      <c r="J2842" s="2" t="n">
        <v>1175.53240740741</v>
      </c>
      <c r="K2842" s="2" t="s">
        <v>18</v>
      </c>
      <c r="L2842" s="2" t="n">
        <f aca="false">J2842/_xlfn.XLOOKUP(Tabla2[[#This Row],[Unidad de precio]],Tabla3[Medida],Tabla3[Equivalencia en Kg],"ELVIS",0)</f>
        <v>25.9156174472533</v>
      </c>
      <c r="M2842" s="2" t="n">
        <v>9222.1943510245</v>
      </c>
      <c r="N2842" s="3" t="n">
        <f aca="false">(Tabla2[[#This Row],[Productividad (kg/TAS)]]*Tabla2[[#This Row],[Precio por kg]]-Tabla2[[#This Row],[Costos (En RD$/Tarea)]])</f>
        <v>1532.45629035765</v>
      </c>
      <c r="O2842" s="9" t="n">
        <f aca="false">IF(Tabla2[[#This Row],[Costos (En RD$/Tarea)]]=0,0,Tabla2[[#This Row],[Beneficio Neto  (En RD$/Tarea)]]/Tabla2[[#This Row],[Costos (En RD$/Tarea)]])</f>
        <v>0.166170461392131</v>
      </c>
      <c r="P2842" s="7" t="n">
        <f aca="false">Tabla2[[#This Row],[Rentabilidad (%)]]/12</f>
        <v>0.0138475384493443</v>
      </c>
    </row>
    <row r="2843" customFormat="false" ht="14.25" hidden="false" customHeight="false" outlineLevel="0" collapsed="false">
      <c r="A2843" s="1" t="n">
        <v>43709</v>
      </c>
      <c r="B2843" s="2" t="s">
        <v>28</v>
      </c>
      <c r="C2843" s="3" t="n">
        <v>76521</v>
      </c>
      <c r="D2843" s="8" t="s">
        <v>17</v>
      </c>
      <c r="E2843" s="3" t="n">
        <f aca="false">IF(Tabla2[[#This Row],[Frecuencia]]="Annual", Tabla2[[#This Row],[Cosecha/Tarea]]/12,Tabla2[[#This Row],[Cosecha/Tarea]])</f>
        <v>76521</v>
      </c>
      <c r="F2843" s="3" t="n">
        <v>1727820</v>
      </c>
      <c r="G2843" s="2" t="s">
        <v>18</v>
      </c>
      <c r="H2843" s="2" t="n">
        <f aca="false">F2843/Tabla2[[#This Row],[Cosecha Mensual]]</f>
        <v>22.5796840083114</v>
      </c>
      <c r="I2843" s="2" t="n">
        <f aca="false">H2843*_xlfn.XLOOKUP(Tabla2[[#This Row],[Unidad de producción]],Tabla3[Medida],Tabla3[Equivalencia en Kg],"ELVIS",0)</f>
        <v>1024.21446661701</v>
      </c>
      <c r="J2843" s="2" t="n">
        <v>6436.99583333333</v>
      </c>
      <c r="K2843" s="2" t="s">
        <v>29</v>
      </c>
      <c r="L2843" s="2" t="n">
        <f aca="false">J2843/_xlfn.XLOOKUP(Tabla2[[#This Row],[Unidad de precio]],Tabla3[Medida],Tabla3[Equivalencia en Kg],"ELVIS",0)</f>
        <v>11.446804127989</v>
      </c>
      <c r="M2843" s="2" t="n">
        <v>7149.9398177165</v>
      </c>
      <c r="N2843" s="3" t="n">
        <f aca="false">(Tabla2[[#This Row],[Productividad (kg/TAS)]]*Tabla2[[#This Row],[Precio por kg]]-Tabla2[[#This Row],[Costos (En RD$/Tarea)]])</f>
        <v>4574.0425667011</v>
      </c>
      <c r="O2843" s="9" t="n">
        <f aca="false">IF(Tabla2[[#This Row],[Costos (En RD$/Tarea)]]=0,0,Tabla2[[#This Row],[Beneficio Neto  (En RD$/Tarea)]]/Tabla2[[#This Row],[Costos (En RD$/Tarea)]])</f>
        <v>0.639731617791704</v>
      </c>
      <c r="P2843" s="7" t="n">
        <f aca="false">Tabla2[[#This Row],[Rentabilidad (%)]]/12</f>
        <v>0.0533109681493087</v>
      </c>
    </row>
    <row r="2844" customFormat="false" ht="14.25" hidden="false" customHeight="false" outlineLevel="0" collapsed="false">
      <c r="A2844" s="1" t="n">
        <v>43709</v>
      </c>
      <c r="B2844" s="2" t="s">
        <v>30</v>
      </c>
      <c r="C2844" s="3" t="n">
        <v>438541</v>
      </c>
      <c r="D2844" s="3" t="s">
        <v>31</v>
      </c>
      <c r="E2844" s="3" t="n">
        <f aca="false">IF(Tabla2[[#This Row],[Frecuencia]]="Annual", Tabla2[[#This Row],[Cosecha/Tarea]]/12,Tabla2[[#This Row],[Cosecha/Tarea]])</f>
        <v>36545.0833333333</v>
      </c>
      <c r="F2844" s="3" t="n">
        <v>2153670.6</v>
      </c>
      <c r="G2844" s="2" t="s">
        <v>18</v>
      </c>
      <c r="H2844" s="2" t="n">
        <f aca="false">F2844/Tabla2[[#This Row],[Cosecha Mensual]]</f>
        <v>58.9318836779229</v>
      </c>
      <c r="I2844" s="2" t="n">
        <f aca="false">H2844*_xlfn.XLOOKUP(Tabla2[[#This Row],[Unidad de producción]],Tabla3[Medida],Tabla3[Equivalencia en Kg],"ELVIS",0)</f>
        <v>2673.15024363058</v>
      </c>
      <c r="J2844" s="2" t="n">
        <v>187.95119047619</v>
      </c>
      <c r="K2844" s="2" t="s">
        <v>32</v>
      </c>
      <c r="L2844" s="2" t="n">
        <f aca="false">J2844/_xlfn.XLOOKUP(Tabla2[[#This Row],[Unidad de precio]],Tabla3[Medida],Tabla3[Equivalencia en Kg],"ELVIS",0)</f>
        <v>6.90743074149908</v>
      </c>
      <c r="M2844" s="3" t="n">
        <v>35445.71794842</v>
      </c>
      <c r="N2844" s="3" t="n">
        <f aca="false">(Tabla2[[#This Row],[Productividad (kg/TAS)]]*Tabla2[[#This Row],[Precio por kg]]-Tabla2[[#This Row],[Costos (En RD$/Tarea)]])</f>
        <v>-16981.1177789204</v>
      </c>
      <c r="O2844" s="9" t="n">
        <f aca="false">IF(Tabla2[[#This Row],[Costos (En RD$/Tarea)]]=0,0,Tabla2[[#This Row],[Beneficio Neto  (En RD$/Tarea)]]/Tabla2[[#This Row],[Costos (En RD$/Tarea)]])</f>
        <v>-0.479073884287828</v>
      </c>
      <c r="P2844" s="7" t="n">
        <f aca="false">Tabla2[[#This Row],[Rentabilidad (%)]]/12</f>
        <v>-0.0399228236906523</v>
      </c>
    </row>
    <row r="2845" customFormat="false" ht="14.25" hidden="false" customHeight="false" outlineLevel="0" collapsed="false">
      <c r="A2845" s="1" t="n">
        <v>43709</v>
      </c>
      <c r="B2845" s="2" t="s">
        <v>33</v>
      </c>
      <c r="C2845" s="3" t="n">
        <v>753241</v>
      </c>
      <c r="D2845" s="3" t="s">
        <v>31</v>
      </c>
      <c r="E2845" s="11" t="n">
        <f aca="false">IF(Tabla2[[#This Row],[Frecuencia]]="Annual", Tabla2[[#This Row],[Cosecha/Tarea]]/12,Tabla2[[#This Row],[Cosecha/Tarea]])</f>
        <v>62770.0833333333</v>
      </c>
      <c r="F2845" s="3" t="n">
        <v>1836009</v>
      </c>
      <c r="G2845" s="2" t="s">
        <v>18</v>
      </c>
      <c r="H2845" s="2" t="n">
        <f aca="false">F2845/Tabla2[[#This Row],[Cosecha Mensual]]</f>
        <v>29.2497460971986</v>
      </c>
      <c r="I2845" s="2" t="n">
        <f aca="false">H2845*_xlfn.XLOOKUP(Tabla2[[#This Row],[Unidad de producción]],Tabla3[Medida],Tabla3[Equivalencia en Kg],"ELVIS",0)</f>
        <v>1326.76848296893</v>
      </c>
      <c r="J2845" s="2" t="n">
        <v>10347.4851190476</v>
      </c>
      <c r="K2845" s="2" t="s">
        <v>34</v>
      </c>
      <c r="L2845" s="2" t="n">
        <f aca="false">J2845/_xlfn.XLOOKUP(Tabla2[[#This Row],[Unidad de precio]],Tabla3[Medida],Tabla3[Equivalencia en Kg],"ELVIS",0)</f>
        <v>25.3521624869475</v>
      </c>
      <c r="M2845" s="3" t="n">
        <v>22691.3984505224</v>
      </c>
      <c r="N2845" s="3" t="n">
        <f aca="false">(Tabla2[[#This Row],[Productividad (kg/TAS)]]*Tabla2[[#This Row],[Precio por kg]]-Tabla2[[#This Row],[Costos (En RD$/Tarea)]])</f>
        <v>10945.0517122667</v>
      </c>
      <c r="O2845" s="9" t="n">
        <f aca="false">IF(Tabla2[[#This Row],[Costos (En RD$/Tarea)]]=0,0,Tabla2[[#This Row],[Beneficio Neto  (En RD$/Tarea)]]/Tabla2[[#This Row],[Costos (En RD$/Tarea)]])</f>
        <v>0.482343639424952</v>
      </c>
      <c r="P2845" s="7" t="n">
        <f aca="false">Tabla2[[#This Row],[Rentabilidad (%)]]/12</f>
        <v>0.0401953032854127</v>
      </c>
    </row>
    <row r="2846" customFormat="false" ht="14.25" hidden="false" customHeight="false" outlineLevel="0" collapsed="false">
      <c r="A2846" s="1" t="n">
        <v>43739</v>
      </c>
      <c r="B2846" s="2" t="s">
        <v>16</v>
      </c>
      <c r="C2846" s="3" t="n">
        <v>322532</v>
      </c>
      <c r="D2846" s="8" t="s">
        <v>17</v>
      </c>
      <c r="E2846" s="3" t="n">
        <f aca="false">IF(Tabla2[[#This Row],[Frecuencia]]="Annual", Tabla2[[#This Row],[Cosecha/Tarea]]/12,Tabla2[[#This Row],[Cosecha/Tarea]])</f>
        <v>322532</v>
      </c>
      <c r="F2846" s="3" t="n">
        <v>1324389</v>
      </c>
      <c r="G2846" s="2" t="s">
        <v>18</v>
      </c>
      <c r="H2846" s="2" t="n">
        <f aca="false">F2846/Tabla2[[#This Row],[Cosecha Mensual]]</f>
        <v>4.10622511874791</v>
      </c>
      <c r="I2846" s="2" t="n">
        <f aca="false">H2846*_xlfn.XLOOKUP(Tabla2[[#This Row],[Unidad de producción]],Tabla3[Medida],Tabla3[Equivalencia en Kg],"ELVIS",0)</f>
        <v>186.258371386405</v>
      </c>
      <c r="J2846" s="2" t="n">
        <v>2299.46189732307</v>
      </c>
      <c r="K2846" s="2" t="s">
        <v>19</v>
      </c>
      <c r="L2846" s="2" t="n">
        <f aca="false">J2846/_xlfn.XLOOKUP(Tabla2[[#This Row],[Unidad de precio]],Tabla3[Medida],Tabla3[Equivalencia en Kg],"ELVIS",0)</f>
        <v>20.9041990665734</v>
      </c>
      <c r="M2846" s="2" t="n">
        <v>6284.7907932017</v>
      </c>
      <c r="N2846" s="3" t="n">
        <f aca="false">(Tabla2[[#This Row],[Productividad (kg/TAS)]]*Tabla2[[#This Row],[Precio por kg]]-Tabla2[[#This Row],[Costos (En RD$/Tarea)]])</f>
        <v>-2391.20871992454</v>
      </c>
      <c r="O2846" s="9" t="n">
        <f aca="false">IF(Tabla2[[#This Row],[Costos (En RD$/Tarea)]]=0,0,Tabla2[[#This Row],[Beneficio Neto  (En RD$/Tarea)]]/Tabla2[[#This Row],[Costos (En RD$/Tarea)]])</f>
        <v>-0.380475468254428</v>
      </c>
      <c r="P2846" s="7" t="n">
        <f aca="false">Tabla2[[#This Row],[Rentabilidad (%)]]/12</f>
        <v>-0.0317062890212024</v>
      </c>
    </row>
    <row r="2847" customFormat="false" ht="14.25" hidden="false" customHeight="false" outlineLevel="0" collapsed="false">
      <c r="A2847" s="1" t="n">
        <v>43739</v>
      </c>
      <c r="B2847" s="2" t="s">
        <v>20</v>
      </c>
      <c r="C2847" s="3" t="n">
        <v>33245</v>
      </c>
      <c r="D2847" s="8" t="s">
        <v>17</v>
      </c>
      <c r="E2847" s="3" t="n">
        <f aca="false">IF(Tabla2[[#This Row],[Frecuencia]]="Annual", Tabla2[[#This Row],[Cosecha/Tarea]]/12,Tabla2[[#This Row],[Cosecha/Tarea]])</f>
        <v>33245</v>
      </c>
      <c r="F2847" s="3" t="n">
        <v>87564</v>
      </c>
      <c r="G2847" s="2" t="s">
        <v>18</v>
      </c>
      <c r="H2847" s="2" t="n">
        <f aca="false">F2847/Tabla2[[#This Row],[Cosecha Mensual]]</f>
        <v>2.63389983456159</v>
      </c>
      <c r="I2847" s="2" t="n">
        <f aca="false">H2847*_xlfn.XLOOKUP(Tabla2[[#This Row],[Unidad de producción]],Tabla3[Medida],Tabla3[Equivalencia en Kg],"ELVIS",0)</f>
        <v>119.473696495714</v>
      </c>
      <c r="J2847" s="2" t="n">
        <v>942.13671875</v>
      </c>
      <c r="K2847" s="2" t="s">
        <v>18</v>
      </c>
      <c r="L2847" s="2" t="n">
        <f aca="false">J2847/_xlfn.XLOOKUP(Tabla2[[#This Row],[Unidad de precio]],Tabla3[Medida],Tabla3[Equivalencia en Kg],"ELVIS",0)</f>
        <v>20.7702098489859</v>
      </c>
      <c r="M2847" s="2" t="n">
        <v>2409.24360044496</v>
      </c>
      <c r="N2847" s="3" t="n">
        <f aca="false">(Tabla2[[#This Row],[Productividad (kg/TAS)]]*Tabla2[[#This Row],[Precio por kg]]-Tabla2[[#This Row],[Costos (En RD$/Tarea)]])</f>
        <v>72.2501472050626</v>
      </c>
      <c r="O2847" s="9" t="n">
        <f aca="false">IF(Tabla2[[#This Row],[Costos (En RD$/Tarea)]]=0,0,Tabla2[[#This Row],[Beneficio Neto  (En RD$/Tarea)]]/Tabla2[[#This Row],[Costos (En RD$/Tarea)]])</f>
        <v>0.0299887264167554</v>
      </c>
      <c r="P2847" s="7" t="n">
        <f aca="false">Tabla2[[#This Row],[Rentabilidad (%)]]/12</f>
        <v>0.00249906053472961</v>
      </c>
    </row>
    <row r="2848" customFormat="false" ht="14.25" hidden="false" customHeight="false" outlineLevel="0" collapsed="false">
      <c r="A2848" s="1" t="n">
        <v>43739</v>
      </c>
      <c r="B2848" s="2" t="s">
        <v>21</v>
      </c>
      <c r="C2848" s="3" t="n">
        <v>6201</v>
      </c>
      <c r="D2848" s="8" t="s">
        <v>17</v>
      </c>
      <c r="E2848" s="3" t="n">
        <f aca="false">IF(Tabla2[[#This Row],[Frecuencia]]="Annual", Tabla2[[#This Row],[Cosecha/Tarea]]/12,Tabla2[[#This Row],[Cosecha/Tarea]])</f>
        <v>6201</v>
      </c>
      <c r="F2848" s="3" t="n">
        <v>79254</v>
      </c>
      <c r="G2848" s="2" t="s">
        <v>18</v>
      </c>
      <c r="H2848" s="2" t="n">
        <f aca="false">F2848/Tabla2[[#This Row],[Cosecha Mensual]]</f>
        <v>12.7808417997097</v>
      </c>
      <c r="I2848" s="2" t="n">
        <f aca="false">H2848*_xlfn.XLOOKUP(Tabla2[[#This Row],[Unidad de producción]],Tabla3[Medida],Tabla3[Equivalencia en Kg],"ELVIS",0)</f>
        <v>579.738984034833</v>
      </c>
      <c r="J2848" s="2" t="n">
        <v>1155.40261904762</v>
      </c>
      <c r="K2848" s="2" t="s">
        <v>18</v>
      </c>
      <c r="L2848" s="2" t="n">
        <f aca="false">J2848/_xlfn.XLOOKUP(Tabla2[[#This Row],[Unidad de precio]],Tabla3[Medida],Tabla3[Equivalencia en Kg],"ELVIS",0)</f>
        <v>25.4718390442597</v>
      </c>
      <c r="M2848" s="2" t="n">
        <v>5846.970079582</v>
      </c>
      <c r="N2848" s="3" t="n">
        <f aca="false">(Tabla2[[#This Row],[Productividad (kg/TAS)]]*Tabla2[[#This Row],[Precio por kg]]-Tabla2[[#This Row],[Costos (En RD$/Tarea)]])</f>
        <v>8920.04800943591</v>
      </c>
      <c r="O2848" s="9" t="n">
        <f aca="false">IF(Tabla2[[#This Row],[Costos (En RD$/Tarea)]]=0,0,Tabla2[[#This Row],[Beneficio Neto  (En RD$/Tarea)]]/Tabla2[[#This Row],[Costos (En RD$/Tarea)]])</f>
        <v>1.52558468540575</v>
      </c>
      <c r="P2848" s="7" t="n">
        <f aca="false">Tabla2[[#This Row],[Rentabilidad (%)]]/12</f>
        <v>0.127132057117145</v>
      </c>
    </row>
    <row r="2849" customFormat="false" ht="14.25" hidden="false" customHeight="false" outlineLevel="0" collapsed="false">
      <c r="A2849" s="1" t="n">
        <v>43739</v>
      </c>
      <c r="B2849" s="2" t="s">
        <v>22</v>
      </c>
      <c r="C2849" s="3" t="n">
        <v>3214</v>
      </c>
      <c r="D2849" s="8" t="s">
        <v>17</v>
      </c>
      <c r="E2849" s="3" t="n">
        <f aca="false">IF(Tabla2[[#This Row],[Frecuencia]]="Annual", Tabla2[[#This Row],[Cosecha/Tarea]]/12,Tabla2[[#This Row],[Cosecha/Tarea]])</f>
        <v>3214</v>
      </c>
      <c r="F2849" s="3" t="n">
        <v>33541</v>
      </c>
      <c r="G2849" s="2" t="s">
        <v>18</v>
      </c>
      <c r="H2849" s="2" t="n">
        <f aca="false">F2849/Tabla2[[#This Row],[Cosecha Mensual]]</f>
        <v>10.4359054138146</v>
      </c>
      <c r="I2849" s="2" t="n">
        <f aca="false">H2849*_xlfn.XLOOKUP(Tabla2[[#This Row],[Unidad de producción]],Tabla3[Medida],Tabla3[Equivalencia en Kg],"ELVIS",0)</f>
        <v>473.372669570629</v>
      </c>
      <c r="J2849" s="2" t="n">
        <v>1660.3125</v>
      </c>
      <c r="K2849" s="2" t="s">
        <v>18</v>
      </c>
      <c r="L2849" s="2" t="n">
        <f aca="false">J2849/_xlfn.XLOOKUP(Tabla2[[#This Row],[Unidad de precio]],Tabla3[Medida],Tabla3[Equivalencia en Kg],"ELVIS",0)</f>
        <v>36.6030092592593</v>
      </c>
      <c r="M2849" s="2" t="n">
        <v>10137.37206528</v>
      </c>
      <c r="N2849" s="3" t="n">
        <f aca="false">(Tabla2[[#This Row],[Productividad (kg/TAS)]]*Tabla2[[#This Row],[Precio por kg]]-Tabla2[[#This Row],[Costos (En RD$/Tarea)]])</f>
        <v>7189.49214209399</v>
      </c>
      <c r="O2849" s="9" t="n">
        <f aca="false">IF(Tabla2[[#This Row],[Costos (En RD$/Tarea)]]=0,0,Tabla2[[#This Row],[Beneficio Neto  (En RD$/Tarea)]]/Tabla2[[#This Row],[Costos (En RD$/Tarea)]])</f>
        <v>0.709206695364141</v>
      </c>
      <c r="P2849" s="7" t="n">
        <f aca="false">Tabla2[[#This Row],[Rentabilidad (%)]]/12</f>
        <v>0.0591005579470118</v>
      </c>
    </row>
    <row r="2850" customFormat="false" ht="14.25" hidden="false" customHeight="false" outlineLevel="0" collapsed="false">
      <c r="A2850" s="1" t="n">
        <v>43739</v>
      </c>
      <c r="B2850" s="2" t="s">
        <v>23</v>
      </c>
      <c r="C2850" s="3" t="n">
        <v>3875</v>
      </c>
      <c r="D2850" s="8" t="s">
        <v>17</v>
      </c>
      <c r="E2850" s="3" t="n">
        <f aca="false">IF(Tabla2[[#This Row],[Frecuencia]]="Annual", Tabla2[[#This Row],[Cosecha/Tarea]]/12,Tabla2[[#This Row],[Cosecha/Tarea]])</f>
        <v>3875</v>
      </c>
      <c r="F2850" s="3" t="n">
        <v>154521</v>
      </c>
      <c r="G2850" s="2" t="s">
        <v>18</v>
      </c>
      <c r="H2850" s="2" t="n">
        <f aca="false">F2850/Tabla2[[#This Row],[Cosecha Mensual]]</f>
        <v>39.8763870967742</v>
      </c>
      <c r="I2850" s="2" t="n">
        <f aca="false">H2850*_xlfn.XLOOKUP(Tabla2[[#This Row],[Unidad de producción]],Tabla3[Medida],Tabla3[Equivalencia en Kg],"ELVIS",0)</f>
        <v>1808.79291870968</v>
      </c>
      <c r="J2850" s="2" t="n">
        <v>1099</v>
      </c>
      <c r="K2850" s="2" t="s">
        <v>18</v>
      </c>
      <c r="L2850" s="2" t="n">
        <f aca="false">J2850/_xlfn.XLOOKUP(Tabla2[[#This Row],[Unidad de precio]],Tabla3[Medida],Tabla3[Equivalencia en Kg],"ELVIS",0)</f>
        <v>24.2283950617284</v>
      </c>
      <c r="M2850" s="2" t="n">
        <v>26088.2600080873</v>
      </c>
      <c r="N2850" s="3" t="n">
        <f aca="false">(Tabla2[[#This Row],[Productividad (kg/TAS)]]*Tabla2[[#This Row],[Precio por kg]]-Tabla2[[#This Row],[Costos (En RD$/Tarea)]])</f>
        <v>17735.8894112675</v>
      </c>
      <c r="O2850" s="9" t="n">
        <f aca="false">IF(Tabla2[[#This Row],[Costos (En RD$/Tarea)]]=0,0,Tabla2[[#This Row],[Beneficio Neto  (En RD$/Tarea)]]/Tabla2[[#This Row],[Costos (En RD$/Tarea)]])</f>
        <v>0.679841791126333</v>
      </c>
      <c r="P2850" s="7" t="n">
        <f aca="false">Tabla2[[#This Row],[Rentabilidad (%)]]/12</f>
        <v>0.056653482593861</v>
      </c>
    </row>
    <row r="2851" customFormat="false" ht="14.25" hidden="false" customHeight="false" outlineLevel="0" collapsed="false">
      <c r="A2851" s="1" t="n">
        <v>43739</v>
      </c>
      <c r="B2851" s="2" t="s">
        <v>24</v>
      </c>
      <c r="C2851" s="3" t="n">
        <v>5421</v>
      </c>
      <c r="D2851" s="8" t="s">
        <v>17</v>
      </c>
      <c r="E2851" s="3" t="n">
        <f aca="false">IF(Tabla2[[#This Row],[Frecuencia]]="Annual", Tabla2[[#This Row],[Cosecha/Tarea]]/12,Tabla2[[#This Row],[Cosecha/Tarea]])</f>
        <v>5421</v>
      </c>
      <c r="F2851" s="3" t="n">
        <v>53014</v>
      </c>
      <c r="G2851" s="2" t="s">
        <v>18</v>
      </c>
      <c r="H2851" s="2" t="n">
        <f aca="false">F2851/Tabla2[[#This Row],[Cosecha Mensual]]</f>
        <v>9.77937649880096</v>
      </c>
      <c r="I2851" s="2" t="n">
        <f aca="false">H2851*_xlfn.XLOOKUP(Tabla2[[#This Row],[Unidad de producción]],Tabla3[Medida],Tabla3[Equivalencia en Kg],"ELVIS",0)</f>
        <v>443.592517985612</v>
      </c>
      <c r="J2851" s="2" t="n">
        <v>3381.96428571429</v>
      </c>
      <c r="K2851" s="2" t="s">
        <v>18</v>
      </c>
      <c r="L2851" s="2" t="n">
        <f aca="false">J2851/_xlfn.XLOOKUP(Tabla2[[#This Row],[Unidad de precio]],Tabla3[Medida],Tabla3[Equivalencia en Kg],"ELVIS",0)</f>
        <v>74.5582955404385</v>
      </c>
      <c r="M2851" s="2" t="n">
        <v>8388.8026628832</v>
      </c>
      <c r="N2851" s="3" t="n">
        <f aca="false">(Tabla2[[#This Row],[Productividad (kg/TAS)]]*Tabla2[[#This Row],[Precio por kg]]-Tabla2[[#This Row],[Costos (En RD$/Tarea)]])</f>
        <v>24684.6993926153</v>
      </c>
      <c r="O2851" s="9" t="n">
        <f aca="false">IF(Tabla2[[#This Row],[Costos (En RD$/Tarea)]]=0,0,Tabla2[[#This Row],[Beneficio Neto  (En RD$/Tarea)]]/Tabla2[[#This Row],[Costos (En RD$/Tarea)]])</f>
        <v>2.94257719302832</v>
      </c>
      <c r="P2851" s="7" t="n">
        <f aca="false">Tabla2[[#This Row],[Rentabilidad (%)]]/12</f>
        <v>0.245214766085693</v>
      </c>
    </row>
    <row r="2852" customFormat="false" ht="14.25" hidden="false" customHeight="false" outlineLevel="0" collapsed="false">
      <c r="A2852" s="1" t="n">
        <v>43739</v>
      </c>
      <c r="B2852" s="2" t="s">
        <v>25</v>
      </c>
      <c r="C2852" s="3" t="n">
        <v>32689</v>
      </c>
      <c r="D2852" s="8" t="s">
        <v>17</v>
      </c>
      <c r="E2852" s="3" t="n">
        <f aca="false">IF(Tabla2[[#This Row],[Frecuencia]]="Annual", Tabla2[[#This Row],[Cosecha/Tarea]]/12,Tabla2[[#This Row],[Cosecha/Tarea]])</f>
        <v>32689</v>
      </c>
      <c r="F2852" s="3" t="n">
        <v>354124</v>
      </c>
      <c r="G2852" s="2" t="s">
        <v>18</v>
      </c>
      <c r="H2852" s="2" t="n">
        <f aca="false">F2852/Tabla2[[#This Row],[Cosecha Mensual]]</f>
        <v>10.8331242925755</v>
      </c>
      <c r="I2852" s="2" t="n">
        <f aca="false">H2852*_xlfn.XLOOKUP(Tabla2[[#This Row],[Unidad de producción]],Tabla3[Medida],Tabla3[Equivalencia en Kg],"ELVIS",0)</f>
        <v>491.390517911224</v>
      </c>
      <c r="J2852" s="2" t="n">
        <v>950.0696875</v>
      </c>
      <c r="K2852" s="2" t="s">
        <v>18</v>
      </c>
      <c r="L2852" s="2" t="n">
        <f aca="false">J2852/_xlfn.XLOOKUP(Tabla2[[#This Row],[Unidad de precio]],Tabla3[Medida],Tabla3[Equivalencia en Kg],"ELVIS",0)</f>
        <v>20.945098930776</v>
      </c>
      <c r="M2852" s="2" t="n">
        <v>4718.29149012608</v>
      </c>
      <c r="N2852" s="3" t="n">
        <f aca="false">(Tabla2[[#This Row],[Productividad (kg/TAS)]]*Tabla2[[#This Row],[Precio por kg]]-Tabla2[[#This Row],[Costos (En RD$/Tarea)]])</f>
        <v>5573.93152116977</v>
      </c>
      <c r="O2852" s="9" t="n">
        <f aca="false">IF(Tabla2[[#This Row],[Costos (En RD$/Tarea)]]=0,0,Tabla2[[#This Row],[Beneficio Neto  (En RD$/Tarea)]]/Tabla2[[#This Row],[Costos (En RD$/Tarea)]])</f>
        <v>1.18134530959655</v>
      </c>
      <c r="P2852" s="7" t="n">
        <f aca="false">Tabla2[[#This Row],[Rentabilidad (%)]]/12</f>
        <v>0.0984454424663793</v>
      </c>
    </row>
    <row r="2853" customFormat="false" ht="14.25" hidden="false" customHeight="false" outlineLevel="0" collapsed="false">
      <c r="A2853" s="1" t="n">
        <v>43739</v>
      </c>
      <c r="B2853" s="2" t="s">
        <v>26</v>
      </c>
      <c r="C2853" s="3" t="n">
        <v>9875</v>
      </c>
      <c r="D2853" s="8" t="s">
        <v>17</v>
      </c>
      <c r="E2853" s="3" t="n">
        <f aca="false">IF(Tabla2[[#This Row],[Frecuencia]]="Annual", Tabla2[[#This Row],[Cosecha/Tarea]]/12,Tabla2[[#This Row],[Cosecha/Tarea]])</f>
        <v>9875</v>
      </c>
      <c r="F2853" s="3" t="n">
        <v>63214</v>
      </c>
      <c r="G2853" s="2" t="s">
        <v>18</v>
      </c>
      <c r="H2853" s="2" t="n">
        <f aca="false">F2853/Tabla2[[#This Row],[Cosecha Mensual]]</f>
        <v>6.40141772151899</v>
      </c>
      <c r="I2853" s="2" t="n">
        <f aca="false">H2853*_xlfn.XLOOKUP(Tabla2[[#This Row],[Unidad de producción]],Tabla3[Medida],Tabla3[Equivalencia en Kg],"ELVIS",0)</f>
        <v>290.368307848101</v>
      </c>
      <c r="J2853" s="2" t="n">
        <v>1093.1796875</v>
      </c>
      <c r="K2853" s="2" t="s">
        <v>18</v>
      </c>
      <c r="L2853" s="2" t="n">
        <f aca="false">J2853/_xlfn.XLOOKUP(Tabla2[[#This Row],[Unidad de precio]],Tabla3[Medida],Tabla3[Equivalencia en Kg],"ELVIS",0)</f>
        <v>24.1000812940917</v>
      </c>
      <c r="M2853" s="2" t="n">
        <v>1668.6966112895</v>
      </c>
      <c r="N2853" s="3" t="n">
        <f aca="false">(Tabla2[[#This Row],[Productividad (kg/TAS)]]*Tabla2[[#This Row],[Precio por kg]]-Tabla2[[#This Row],[Costos (En RD$/Tarea)]])</f>
        <v>5329.20321307759</v>
      </c>
      <c r="O2853" s="9" t="n">
        <f aca="false">IF(Tabla2[[#This Row],[Costos (En RD$/Tarea)]]=0,0,Tabla2[[#This Row],[Beneficio Neto  (En RD$/Tarea)]]/Tabla2[[#This Row],[Costos (En RD$/Tarea)]])</f>
        <v>3.19363218995177</v>
      </c>
      <c r="P2853" s="7" t="n">
        <f aca="false">Tabla2[[#This Row],[Rentabilidad (%)]]/12</f>
        <v>0.266136015829315</v>
      </c>
    </row>
    <row r="2854" customFormat="false" ht="14.25" hidden="false" customHeight="false" outlineLevel="0" collapsed="false">
      <c r="A2854" s="1" t="n">
        <v>43739</v>
      </c>
      <c r="B2854" s="2" t="s">
        <v>27</v>
      </c>
      <c r="C2854" s="3" t="n">
        <v>3456</v>
      </c>
      <c r="D2854" s="8" t="s">
        <v>17</v>
      </c>
      <c r="E2854" s="3" t="n">
        <f aca="false">IF(Tabla2[[#This Row],[Frecuencia]]="Annual", Tabla2[[#This Row],[Cosecha/Tarea]]/12,Tabla2[[#This Row],[Cosecha/Tarea]])</f>
        <v>3456</v>
      </c>
      <c r="F2854" s="3" t="n">
        <v>36544</v>
      </c>
      <c r="G2854" s="2" t="s">
        <v>18</v>
      </c>
      <c r="H2854" s="2" t="n">
        <f aca="false">F2854/Tabla2[[#This Row],[Cosecha Mensual]]</f>
        <v>10.5740740740741</v>
      </c>
      <c r="I2854" s="2" t="n">
        <f aca="false">H2854*_xlfn.XLOOKUP(Tabla2[[#This Row],[Unidad de producción]],Tabla3[Medida],Tabla3[Equivalencia en Kg],"ELVIS",0)</f>
        <v>479.64</v>
      </c>
      <c r="J2854" s="2" t="n">
        <v>946.484375</v>
      </c>
      <c r="K2854" s="2" t="s">
        <v>18</v>
      </c>
      <c r="L2854" s="2" t="n">
        <f aca="false">J2854/_xlfn.XLOOKUP(Tabla2[[#This Row],[Unidad de precio]],Tabla3[Medida],Tabla3[Equivalencia en Kg],"ELVIS",0)</f>
        <v>20.8660576499118</v>
      </c>
      <c r="M2854" s="2" t="n">
        <v>9222.1943510245</v>
      </c>
      <c r="N2854" s="3" t="n">
        <f aca="false">(Tabla2[[#This Row],[Productividad (kg/TAS)]]*Tabla2[[#This Row],[Precio por kg]]-Tabla2[[#This Row],[Costos (En RD$/Tarea)]])</f>
        <v>786.001540179203</v>
      </c>
      <c r="O2854" s="9" t="n">
        <f aca="false">IF(Tabla2[[#This Row],[Costos (En RD$/Tarea)]]=0,0,Tabla2[[#This Row],[Beneficio Neto  (En RD$/Tarea)]]/Tabla2[[#This Row],[Costos (En RD$/Tarea)]])</f>
        <v>0.0852293402482767</v>
      </c>
      <c r="P2854" s="7" t="n">
        <f aca="false">Tabla2[[#This Row],[Rentabilidad (%)]]/12</f>
        <v>0.00710244502068973</v>
      </c>
    </row>
    <row r="2855" customFormat="false" ht="14.25" hidden="false" customHeight="false" outlineLevel="0" collapsed="false">
      <c r="A2855" s="1" t="n">
        <v>43739</v>
      </c>
      <c r="B2855" s="2" t="s">
        <v>28</v>
      </c>
      <c r="C2855" s="3" t="n">
        <v>77568</v>
      </c>
      <c r="D2855" s="8" t="s">
        <v>17</v>
      </c>
      <c r="E2855" s="3" t="n">
        <f aca="false">IF(Tabla2[[#This Row],[Frecuencia]]="Annual", Tabla2[[#This Row],[Cosecha/Tarea]]/12,Tabla2[[#This Row],[Cosecha/Tarea]])</f>
        <v>77568</v>
      </c>
      <c r="F2855" s="3" t="n">
        <v>1838568</v>
      </c>
      <c r="G2855" s="2" t="s">
        <v>18</v>
      </c>
      <c r="H2855" s="2" t="n">
        <f aca="false">F2855/Tabla2[[#This Row],[Cosecha Mensual]]</f>
        <v>23.7026608910891</v>
      </c>
      <c r="I2855" s="2" t="n">
        <f aca="false">H2855*_xlfn.XLOOKUP(Tabla2[[#This Row],[Unidad de producción]],Tabla3[Medida],Tabla3[Equivalencia en Kg],"ELVIS",0)</f>
        <v>1075.1526980198</v>
      </c>
      <c r="J2855" s="2" t="n">
        <v>6055.10763888889</v>
      </c>
      <c r="K2855" s="2" t="s">
        <v>29</v>
      </c>
      <c r="L2855" s="2" t="n">
        <f aca="false">J2855/_xlfn.XLOOKUP(Tabla2[[#This Row],[Unidad de precio]],Tabla3[Medida],Tabla3[Equivalencia en Kg],"ELVIS",0)</f>
        <v>10.7676986145195</v>
      </c>
      <c r="M2855" s="2" t="n">
        <v>7149.9398177165</v>
      </c>
      <c r="N2855" s="3" t="n">
        <f aca="false">(Tabla2[[#This Row],[Productividad (kg/TAS)]]*Tabla2[[#This Row],[Precio por kg]]-Tabla2[[#This Row],[Costos (En RD$/Tarea)]])</f>
        <v>4426.98039914821</v>
      </c>
      <c r="O2855" s="9" t="n">
        <f aca="false">IF(Tabla2[[#This Row],[Costos (En RD$/Tarea)]]=0,0,Tabla2[[#This Row],[Beneficio Neto  (En RD$/Tarea)]]/Tabla2[[#This Row],[Costos (En RD$/Tarea)]])</f>
        <v>0.61916330934406</v>
      </c>
      <c r="P2855" s="7" t="n">
        <f aca="false">Tabla2[[#This Row],[Rentabilidad (%)]]/12</f>
        <v>0.0515969424453383</v>
      </c>
    </row>
    <row r="2856" customFormat="false" ht="14.25" hidden="false" customHeight="false" outlineLevel="0" collapsed="false">
      <c r="A2856" s="1" t="n">
        <v>43739</v>
      </c>
      <c r="B2856" s="2" t="s">
        <v>30</v>
      </c>
      <c r="C2856" s="3" t="n">
        <v>485985</v>
      </c>
      <c r="D2856" s="3" t="s">
        <v>31</v>
      </c>
      <c r="E2856" s="3" t="n">
        <f aca="false">IF(Tabla2[[#This Row],[Frecuencia]]="Annual", Tabla2[[#This Row],[Cosecha/Tarea]]/12,Tabla2[[#This Row],[Cosecha/Tarea]])</f>
        <v>40498.75</v>
      </c>
      <c r="F2856" s="3" t="n">
        <v>2461273.2</v>
      </c>
      <c r="G2856" s="2" t="s">
        <v>18</v>
      </c>
      <c r="H2856" s="2" t="n">
        <f aca="false">F2856/Tabla2[[#This Row],[Cosecha Mensual]]</f>
        <v>60.7740535201704</v>
      </c>
      <c r="I2856" s="2" t="n">
        <f aca="false">H2856*_xlfn.XLOOKUP(Tabla2[[#This Row],[Unidad de producción]],Tabla3[Medida],Tabla3[Equivalencia en Kg],"ELVIS",0)</f>
        <v>2756.71106767493</v>
      </c>
      <c r="J2856" s="2" t="n">
        <v>177.370833333333</v>
      </c>
      <c r="K2856" s="2" t="s">
        <v>32</v>
      </c>
      <c r="L2856" s="2" t="n">
        <f aca="false">J2856/_xlfn.XLOOKUP(Tabla2[[#This Row],[Unidad de precio]],Tabla3[Medida],Tabla3[Equivalencia en Kg],"ELVIS",0)</f>
        <v>6.51858997917431</v>
      </c>
      <c r="M2856" s="3" t="n">
        <v>35445.71794842</v>
      </c>
      <c r="N2856" s="3" t="n">
        <f aca="false">(Tabla2[[#This Row],[Productividad (kg/TAS)]]*Tabla2[[#This Row],[Precio por kg]]-Tabla2[[#This Row],[Costos (En RD$/Tarea)]])</f>
        <v>-17475.8488071953</v>
      </c>
      <c r="O2856" s="9" t="n">
        <f aca="false">IF(Tabla2[[#This Row],[Costos (En RD$/Tarea)]]=0,0,Tabla2[[#This Row],[Beneficio Neto  (En RD$/Tarea)]]/Tabla2[[#This Row],[Costos (En RD$/Tarea)]])</f>
        <v>-0.493031311500753</v>
      </c>
      <c r="P2856" s="7" t="n">
        <f aca="false">Tabla2[[#This Row],[Rentabilidad (%)]]/12</f>
        <v>-0.0410859426250628</v>
      </c>
    </row>
    <row r="2857" customFormat="false" ht="14.25" hidden="false" customHeight="false" outlineLevel="0" collapsed="false">
      <c r="A2857" s="1" t="n">
        <v>43739</v>
      </c>
      <c r="B2857" s="2" t="s">
        <v>33</v>
      </c>
      <c r="C2857" s="3" t="n">
        <v>784521</v>
      </c>
      <c r="D2857" s="3" t="s">
        <v>31</v>
      </c>
      <c r="E2857" s="11" t="n">
        <f aca="false">IF(Tabla2[[#This Row],[Frecuencia]]="Annual", Tabla2[[#This Row],[Cosecha/Tarea]]/12,Tabla2[[#This Row],[Cosecha/Tarea]])</f>
        <v>65376.75</v>
      </c>
      <c r="F2857" s="3" t="n">
        <v>1418841</v>
      </c>
      <c r="G2857" s="2" t="s">
        <v>18</v>
      </c>
      <c r="H2857" s="2" t="n">
        <f aca="false">F2857/Tabla2[[#This Row],[Cosecha Mensual]]</f>
        <v>21.7025318633918</v>
      </c>
      <c r="I2857" s="2" t="n">
        <f aca="false">H2857*_xlfn.XLOOKUP(Tabla2[[#This Row],[Unidad de producción]],Tabla3[Medida],Tabla3[Equivalencia en Kg],"ELVIS",0)</f>
        <v>984.426845323452</v>
      </c>
      <c r="J2857" s="2" t="n">
        <v>11186.2239583333</v>
      </c>
      <c r="K2857" s="2" t="s">
        <v>34</v>
      </c>
      <c r="L2857" s="2" t="n">
        <f aca="false">J2857/_xlfn.XLOOKUP(Tabla2[[#This Row],[Unidad de precio]],Tabla3[Medida],Tabla3[Equivalencia en Kg],"ELVIS",0)</f>
        <v>27.4071394299481</v>
      </c>
      <c r="M2857" s="3" t="n">
        <v>22691.3984505224</v>
      </c>
      <c r="N2857" s="3" t="n">
        <f aca="false">(Tabla2[[#This Row],[Productividad (kg/TAS)]]*Tabla2[[#This Row],[Precio por kg]]-Tabla2[[#This Row],[Costos (En RD$/Tarea)]])</f>
        <v>4288.92535784136</v>
      </c>
      <c r="O2857" s="9" t="n">
        <f aca="false">IF(Tabla2[[#This Row],[Costos (En RD$/Tarea)]]=0,0,Tabla2[[#This Row],[Beneficio Neto  (En RD$/Tarea)]]/Tabla2[[#This Row],[Costos (En RD$/Tarea)]])</f>
        <v>0.189011063694165</v>
      </c>
      <c r="P2857" s="7" t="n">
        <f aca="false">Tabla2[[#This Row],[Rentabilidad (%)]]/12</f>
        <v>0.0157509219745137</v>
      </c>
    </row>
    <row r="2858" customFormat="false" ht="14.25" hidden="false" customHeight="false" outlineLevel="0" collapsed="false">
      <c r="A2858" s="1" t="n">
        <v>43770</v>
      </c>
      <c r="B2858" s="2" t="s">
        <v>16</v>
      </c>
      <c r="C2858" s="3" t="n">
        <v>302014</v>
      </c>
      <c r="D2858" s="8" t="s">
        <v>17</v>
      </c>
      <c r="E2858" s="3" t="n">
        <f aca="false">IF(Tabla2[[#This Row],[Frecuencia]]="Annual", Tabla2[[#This Row],[Cosecha/Tarea]]/12,Tabla2[[#This Row],[Cosecha/Tarea]])</f>
        <v>302014</v>
      </c>
      <c r="F2858" s="3" t="n">
        <v>1197430</v>
      </c>
      <c r="G2858" s="2" t="s">
        <v>18</v>
      </c>
      <c r="H2858" s="2" t="n">
        <f aca="false">F2858/Tabla2[[#This Row],[Cosecha Mensual]]</f>
        <v>3.96481620057348</v>
      </c>
      <c r="I2858" s="2" t="n">
        <f aca="false">H2858*_xlfn.XLOOKUP(Tabla2[[#This Row],[Unidad de producción]],Tabla3[Medida],Tabla3[Equivalencia en Kg],"ELVIS",0)</f>
        <v>179.844062858013</v>
      </c>
      <c r="J2858" s="2" t="n">
        <v>2280.23637926293</v>
      </c>
      <c r="K2858" s="2" t="s">
        <v>19</v>
      </c>
      <c r="L2858" s="2" t="n">
        <f aca="false">J2858/_xlfn.XLOOKUP(Tabla2[[#This Row],[Unidad de precio]],Tabla3[Medida],Tabla3[Equivalencia en Kg],"ELVIS",0)</f>
        <v>20.729421629663</v>
      </c>
      <c r="M2858" s="2" t="n">
        <v>6284.7907932017</v>
      </c>
      <c r="N2858" s="3" t="n">
        <f aca="false">(Tabla2[[#This Row],[Productividad (kg/TAS)]]*Tabla2[[#This Row],[Precio por kg]]-Tabla2[[#This Row],[Costos (En RD$/Tarea)]])</f>
        <v>-2556.72738662633</v>
      </c>
      <c r="O2858" s="9" t="n">
        <f aca="false">IF(Tabla2[[#This Row],[Costos (En RD$/Tarea)]]=0,0,Tabla2[[#This Row],[Beneficio Neto  (En RD$/Tarea)]]/Tabla2[[#This Row],[Costos (En RD$/Tarea)]])</f>
        <v>-0.406811852733739</v>
      </c>
      <c r="P2858" s="7" t="n">
        <f aca="false">Tabla2[[#This Row],[Rentabilidad (%)]]/12</f>
        <v>-0.0339009877278116</v>
      </c>
    </row>
    <row r="2859" customFormat="false" ht="14.25" hidden="false" customHeight="false" outlineLevel="0" collapsed="false">
      <c r="A2859" s="1" t="n">
        <v>43770</v>
      </c>
      <c r="B2859" s="2" t="s">
        <v>20</v>
      </c>
      <c r="C2859" s="3" t="n">
        <v>42658</v>
      </c>
      <c r="D2859" s="8" t="s">
        <v>17</v>
      </c>
      <c r="E2859" s="3" t="n">
        <f aca="false">IF(Tabla2[[#This Row],[Frecuencia]]="Annual", Tabla2[[#This Row],[Cosecha/Tarea]]/12,Tabla2[[#This Row],[Cosecha/Tarea]])</f>
        <v>42658</v>
      </c>
      <c r="F2859" s="3" t="n">
        <v>72145</v>
      </c>
      <c r="G2859" s="2" t="s">
        <v>18</v>
      </c>
      <c r="H2859" s="2" t="n">
        <f aca="false">F2859/Tabla2[[#This Row],[Cosecha Mensual]]</f>
        <v>1.69124197102536</v>
      </c>
      <c r="I2859" s="2" t="n">
        <f aca="false">H2859*_xlfn.XLOOKUP(Tabla2[[#This Row],[Unidad de producción]],Tabla3[Medida],Tabla3[Equivalencia en Kg],"ELVIS",0)</f>
        <v>76.7147358057105</v>
      </c>
      <c r="J2859" s="2" t="n">
        <v>929.503645833333</v>
      </c>
      <c r="K2859" s="2" t="s">
        <v>18</v>
      </c>
      <c r="L2859" s="2" t="n">
        <f aca="false">J2859/_xlfn.XLOOKUP(Tabla2[[#This Row],[Unidad de precio]],Tabla3[Medida],Tabla3[Equivalencia en Kg],"ELVIS",0)</f>
        <v>20.4917029504703</v>
      </c>
      <c r="M2859" s="2" t="n">
        <v>2409.24360044496</v>
      </c>
      <c r="N2859" s="3" t="n">
        <f aca="false">(Tabla2[[#This Row],[Productividad (kg/TAS)]]*Tabla2[[#This Row],[Precio por kg]]-Tabla2[[#This Row],[Costos (En RD$/Tarea)]])</f>
        <v>-837.228022390532</v>
      </c>
      <c r="O2859" s="9" t="n">
        <f aca="false">IF(Tabla2[[#This Row],[Costos (En RD$/Tarea)]]=0,0,Tabla2[[#This Row],[Beneficio Neto  (En RD$/Tarea)]]/Tabla2[[#This Row],[Costos (En RD$/Tarea)]])</f>
        <v>-0.347506587642655</v>
      </c>
      <c r="P2859" s="7" t="n">
        <f aca="false">Tabla2[[#This Row],[Rentabilidad (%)]]/12</f>
        <v>-0.0289588823035546</v>
      </c>
    </row>
    <row r="2860" customFormat="false" ht="14.25" hidden="false" customHeight="false" outlineLevel="0" collapsed="false">
      <c r="A2860" s="1" t="n">
        <v>43770</v>
      </c>
      <c r="B2860" s="2" t="s">
        <v>21</v>
      </c>
      <c r="C2860" s="3" t="n">
        <v>14766</v>
      </c>
      <c r="D2860" s="8" t="s">
        <v>17</v>
      </c>
      <c r="E2860" s="3" t="n">
        <f aca="false">IF(Tabla2[[#This Row],[Frecuencia]]="Annual", Tabla2[[#This Row],[Cosecha/Tarea]]/12,Tabla2[[#This Row],[Cosecha/Tarea]])</f>
        <v>14766</v>
      </c>
      <c r="F2860" s="3" t="n">
        <v>114006</v>
      </c>
      <c r="G2860" s="2" t="s">
        <v>18</v>
      </c>
      <c r="H2860" s="2" t="n">
        <f aca="false">F2860/Tabla2[[#This Row],[Cosecha Mensual]]</f>
        <v>7.72084518488419</v>
      </c>
      <c r="I2860" s="2" t="n">
        <f aca="false">H2860*_xlfn.XLOOKUP(Tabla2[[#This Row],[Unidad de producción]],Tabla3[Medida],Tabla3[Equivalencia en Kg],"ELVIS",0)</f>
        <v>350.217537586347</v>
      </c>
      <c r="J2860" s="2" t="n">
        <v>752.063571428571</v>
      </c>
      <c r="K2860" s="2" t="s">
        <v>18</v>
      </c>
      <c r="L2860" s="2" t="n">
        <f aca="false">J2860/_xlfn.XLOOKUP(Tabla2[[#This Row],[Unidad de precio]],Tabla3[Medida],Tabla3[Equivalencia en Kg],"ELVIS",0)</f>
        <v>16.5798847316704</v>
      </c>
      <c r="M2860" s="2" t="n">
        <v>5846.970079582</v>
      </c>
      <c r="N2860" s="3" t="n">
        <f aca="false">(Tabla2[[#This Row],[Productividad (kg/TAS)]]*Tabla2[[#This Row],[Precio por kg]]-Tabla2[[#This Row],[Costos (En RD$/Tarea)]])</f>
        <v>-40.4036753909086</v>
      </c>
      <c r="O2860" s="9" t="n">
        <f aca="false">IF(Tabla2[[#This Row],[Costos (En RD$/Tarea)]]=0,0,Tabla2[[#This Row],[Beneficio Neto  (En RD$/Tarea)]]/Tabla2[[#This Row],[Costos (En RD$/Tarea)]])</f>
        <v>-0.00691019020808758</v>
      </c>
      <c r="P2860" s="7" t="n">
        <f aca="false">Tabla2[[#This Row],[Rentabilidad (%)]]/12</f>
        <v>-0.000575849184007298</v>
      </c>
    </row>
    <row r="2861" customFormat="false" ht="14.25" hidden="false" customHeight="false" outlineLevel="0" collapsed="false">
      <c r="A2861" s="1" t="n">
        <v>43770</v>
      </c>
      <c r="B2861" s="2" t="s">
        <v>22</v>
      </c>
      <c r="C2861" s="3" t="n">
        <v>5484</v>
      </c>
      <c r="D2861" s="8" t="s">
        <v>17</v>
      </c>
      <c r="E2861" s="3" t="n">
        <f aca="false">IF(Tabla2[[#This Row],[Frecuencia]]="Annual", Tabla2[[#This Row],[Cosecha/Tarea]]/12,Tabla2[[#This Row],[Cosecha/Tarea]])</f>
        <v>5484</v>
      </c>
      <c r="F2861" s="3" t="n">
        <v>48962</v>
      </c>
      <c r="G2861" s="2" t="s">
        <v>18</v>
      </c>
      <c r="H2861" s="2" t="n">
        <f aca="false">F2861/Tabla2[[#This Row],[Cosecha Mensual]]</f>
        <v>8.92815463165573</v>
      </c>
      <c r="I2861" s="2" t="n">
        <f aca="false">H2861*_xlfn.XLOOKUP(Tabla2[[#This Row],[Unidad de producción]],Tabla3[Medida],Tabla3[Equivalencia en Kg],"ELVIS",0)</f>
        <v>404.981094091904</v>
      </c>
      <c r="J2861" s="2" t="n">
        <v>1809.375</v>
      </c>
      <c r="K2861" s="2" t="s">
        <v>18</v>
      </c>
      <c r="L2861" s="2" t="n">
        <f aca="false">J2861/_xlfn.XLOOKUP(Tabla2[[#This Row],[Unidad de precio]],Tabla3[Medida],Tabla3[Equivalencia en Kg],"ELVIS",0)</f>
        <v>39.8892195767196</v>
      </c>
      <c r="M2861" s="2" t="n">
        <v>10137.37206528</v>
      </c>
      <c r="N2861" s="3" t="n">
        <f aca="false">(Tabla2[[#This Row],[Productividad (kg/TAS)]]*Tabla2[[#This Row],[Precio por kg]]-Tabla2[[#This Row],[Costos (En RD$/Tarea)]])</f>
        <v>6017.00772137208</v>
      </c>
      <c r="O2861" s="9" t="n">
        <f aca="false">IF(Tabla2[[#This Row],[Costos (En RD$/Tarea)]]=0,0,Tabla2[[#This Row],[Beneficio Neto  (En RD$/Tarea)]]/Tabla2[[#This Row],[Costos (En RD$/Tarea)]])</f>
        <v>0.593547093134722</v>
      </c>
      <c r="P2861" s="7" t="n">
        <f aca="false">Tabla2[[#This Row],[Rentabilidad (%)]]/12</f>
        <v>0.0494622577612269</v>
      </c>
    </row>
    <row r="2862" customFormat="false" ht="14.25" hidden="false" customHeight="false" outlineLevel="0" collapsed="false">
      <c r="A2862" s="1" t="n">
        <v>43770</v>
      </c>
      <c r="B2862" s="2" t="s">
        <v>23</v>
      </c>
      <c r="C2862" s="3" t="n">
        <v>5501</v>
      </c>
      <c r="D2862" s="8" t="s">
        <v>17</v>
      </c>
      <c r="E2862" s="3" t="n">
        <f aca="false">IF(Tabla2[[#This Row],[Frecuencia]]="Annual", Tabla2[[#This Row],[Cosecha/Tarea]]/12,Tabla2[[#This Row],[Cosecha/Tarea]])</f>
        <v>5501</v>
      </c>
      <c r="F2862" s="3" t="n">
        <v>183990</v>
      </c>
      <c r="G2862" s="2" t="s">
        <v>18</v>
      </c>
      <c r="H2862" s="2" t="n">
        <f aca="false">F2862/Tabla2[[#This Row],[Cosecha Mensual]]</f>
        <v>33.4466460643519</v>
      </c>
      <c r="I2862" s="2" t="n">
        <f aca="false">H2862*_xlfn.XLOOKUP(Tabla2[[#This Row],[Unidad de producción]],Tabla3[Medida],Tabla3[Equivalencia en Kg],"ELVIS",0)</f>
        <v>1517.139865479</v>
      </c>
      <c r="J2862" s="2" t="n">
        <v>1218.75</v>
      </c>
      <c r="K2862" s="2" t="s">
        <v>18</v>
      </c>
      <c r="L2862" s="2" t="n">
        <f aca="false">J2862/_xlfn.XLOOKUP(Tabla2[[#This Row],[Unidad de precio]],Tabla3[Medida],Tabla3[Equivalencia en Kg],"ELVIS",0)</f>
        <v>26.8683862433862</v>
      </c>
      <c r="M2862" s="2" t="n">
        <v>26088.2600080873</v>
      </c>
      <c r="N2862" s="3" t="n">
        <f aca="false">(Tabla2[[#This Row],[Productividad (kg/TAS)]]*Tabla2[[#This Row],[Precio por kg]]-Tabla2[[#This Row],[Costos (En RD$/Tarea)]])</f>
        <v>14674.8398828416</v>
      </c>
      <c r="O2862" s="9" t="n">
        <f aca="false">IF(Tabla2[[#This Row],[Costos (En RD$/Tarea)]]=0,0,Tabla2[[#This Row],[Beneficio Neto  (En RD$/Tarea)]]/Tabla2[[#This Row],[Costos (En RD$/Tarea)]])</f>
        <v>0.562507422047023</v>
      </c>
      <c r="P2862" s="7" t="n">
        <f aca="false">Tabla2[[#This Row],[Rentabilidad (%)]]/12</f>
        <v>0.0468756185039186</v>
      </c>
    </row>
    <row r="2863" customFormat="false" ht="14.25" hidden="false" customHeight="false" outlineLevel="0" collapsed="false">
      <c r="A2863" s="1" t="n">
        <v>43770</v>
      </c>
      <c r="B2863" s="2" t="s">
        <v>24</v>
      </c>
      <c r="C2863" s="3" t="n">
        <v>6954</v>
      </c>
      <c r="D2863" s="8" t="s">
        <v>17</v>
      </c>
      <c r="E2863" s="3" t="n">
        <f aca="false">IF(Tabla2[[#This Row],[Frecuencia]]="Annual", Tabla2[[#This Row],[Cosecha/Tarea]]/12,Tabla2[[#This Row],[Cosecha/Tarea]])</f>
        <v>6954</v>
      </c>
      <c r="F2863" s="3" t="n">
        <v>52141</v>
      </c>
      <c r="G2863" s="2" t="s">
        <v>18</v>
      </c>
      <c r="H2863" s="2" t="n">
        <f aca="false">F2863/Tabla2[[#This Row],[Cosecha Mensual]]</f>
        <v>7.4979867702042</v>
      </c>
      <c r="I2863" s="2" t="n">
        <f aca="false">H2863*_xlfn.XLOOKUP(Tabla2[[#This Row],[Unidad de producción]],Tabla3[Medida],Tabla3[Equivalencia en Kg],"ELVIS",0)</f>
        <v>340.108679896463</v>
      </c>
      <c r="J2863" s="2" t="n">
        <v>3239.38454861111</v>
      </c>
      <c r="K2863" s="2" t="s">
        <v>18</v>
      </c>
      <c r="L2863" s="2" t="n">
        <f aca="false">J2863/_xlfn.XLOOKUP(Tabla2[[#This Row],[Unidad de precio]],Tabla3[Medida],Tabla3[Equivalencia en Kg],"ELVIS",0)</f>
        <v>71.415003276259</v>
      </c>
      <c r="M2863" s="2" t="n">
        <v>8388.8026628832</v>
      </c>
      <c r="N2863" s="3" t="n">
        <f aca="false">(Tabla2[[#This Row],[Productividad (kg/TAS)]]*Tabla2[[#This Row],[Precio por kg]]-Tabla2[[#This Row],[Costos (En RD$/Tarea)]])</f>
        <v>15900.0598262068</v>
      </c>
      <c r="O2863" s="9" t="n">
        <f aca="false">IF(Tabla2[[#This Row],[Costos (En RD$/Tarea)]]=0,0,Tabla2[[#This Row],[Beneficio Neto  (En RD$/Tarea)]]/Tabla2[[#This Row],[Costos (En RD$/Tarea)]])</f>
        <v>1.89539085196957</v>
      </c>
      <c r="P2863" s="7" t="n">
        <f aca="false">Tabla2[[#This Row],[Rentabilidad (%)]]/12</f>
        <v>0.157949237664131</v>
      </c>
    </row>
    <row r="2864" customFormat="false" ht="14.25" hidden="false" customHeight="false" outlineLevel="0" collapsed="false">
      <c r="A2864" s="1" t="n">
        <v>43770</v>
      </c>
      <c r="B2864" s="2" t="s">
        <v>25</v>
      </c>
      <c r="C2864" s="3" t="n">
        <v>48395</v>
      </c>
      <c r="D2864" s="8" t="s">
        <v>17</v>
      </c>
      <c r="E2864" s="3" t="n">
        <f aca="false">IF(Tabla2[[#This Row],[Frecuencia]]="Annual", Tabla2[[#This Row],[Cosecha/Tarea]]/12,Tabla2[[#This Row],[Cosecha/Tarea]])</f>
        <v>48395</v>
      </c>
      <c r="F2864" s="3" t="n">
        <v>498544</v>
      </c>
      <c r="G2864" s="2" t="s">
        <v>18</v>
      </c>
      <c r="H2864" s="2" t="n">
        <f aca="false">F2864/Tabla2[[#This Row],[Cosecha Mensual]]</f>
        <v>10.3015600785205</v>
      </c>
      <c r="I2864" s="2" t="n">
        <f aca="false">H2864*_xlfn.XLOOKUP(Tabla2[[#This Row],[Unidad de producción]],Tabla3[Medida],Tabla3[Equivalencia en Kg],"ELVIS",0)</f>
        <v>467.27876516169</v>
      </c>
      <c r="J2864" s="2" t="n">
        <v>919.822864583333</v>
      </c>
      <c r="K2864" s="2" t="s">
        <v>18</v>
      </c>
      <c r="L2864" s="2" t="n">
        <f aca="false">J2864/_xlfn.XLOOKUP(Tabla2[[#This Row],[Unidad de precio]],Tabla3[Medida],Tabla3[Equivalencia en Kg],"ELVIS",0)</f>
        <v>20.2782818470752</v>
      </c>
      <c r="M2864" s="2" t="n">
        <v>4718.29149012608</v>
      </c>
      <c r="N2864" s="3" t="n">
        <f aca="false">(Tabla2[[#This Row],[Productividad (kg/TAS)]]*Tabla2[[#This Row],[Precio por kg]]-Tabla2[[#This Row],[Costos (En RD$/Tarea)]])</f>
        <v>4757.31901097596</v>
      </c>
      <c r="O2864" s="9" t="n">
        <f aca="false">IF(Tabla2[[#This Row],[Costos (En RD$/Tarea)]]=0,0,Tabla2[[#This Row],[Beneficio Neto  (En RD$/Tarea)]]/Tabla2[[#This Row],[Costos (En RD$/Tarea)]])</f>
        <v>1.00827153662116</v>
      </c>
      <c r="P2864" s="7" t="n">
        <f aca="false">Tabla2[[#This Row],[Rentabilidad (%)]]/12</f>
        <v>0.0840226280517632</v>
      </c>
    </row>
    <row r="2865" customFormat="false" ht="14.25" hidden="false" customHeight="false" outlineLevel="0" collapsed="false">
      <c r="A2865" s="1" t="n">
        <v>43770</v>
      </c>
      <c r="B2865" s="2" t="s">
        <v>26</v>
      </c>
      <c r="C2865" s="3" t="n">
        <v>13488</v>
      </c>
      <c r="D2865" s="8" t="s">
        <v>17</v>
      </c>
      <c r="E2865" s="3" t="n">
        <f aca="false">IF(Tabla2[[#This Row],[Frecuencia]]="Annual", Tabla2[[#This Row],[Cosecha/Tarea]]/12,Tabla2[[#This Row],[Cosecha/Tarea]])</f>
        <v>13488</v>
      </c>
      <c r="F2865" s="3" t="n">
        <v>91948</v>
      </c>
      <c r="G2865" s="2" t="s">
        <v>18</v>
      </c>
      <c r="H2865" s="2" t="n">
        <f aca="false">F2865/Tabla2[[#This Row],[Cosecha Mensual]]</f>
        <v>6.81702253855279</v>
      </c>
      <c r="I2865" s="2" t="n">
        <f aca="false">H2865*_xlfn.XLOOKUP(Tabla2[[#This Row],[Unidad de producción]],Tabla3[Medida],Tabla3[Equivalencia en Kg],"ELVIS",0)</f>
        <v>309.220142348754</v>
      </c>
      <c r="J2865" s="2" t="n">
        <v>973.71875</v>
      </c>
      <c r="K2865" s="2" t="s">
        <v>18</v>
      </c>
      <c r="L2865" s="2" t="n">
        <f aca="false">J2865/_xlfn.XLOOKUP(Tabla2[[#This Row],[Unidad de precio]],Tabla3[Medida],Tabla3[Equivalencia en Kg],"ELVIS",0)</f>
        <v>21.4664627425044</v>
      </c>
      <c r="M2865" s="2" t="n">
        <v>1668.6966112895</v>
      </c>
      <c r="N2865" s="3" t="n">
        <f aca="false">(Tabla2[[#This Row],[Productividad (kg/TAS)]]*Tabla2[[#This Row],[Precio por kg]]-Tabla2[[#This Row],[Costos (En RD$/Tarea)]])</f>
        <v>4969.16605367195</v>
      </c>
      <c r="O2865" s="9" t="n">
        <f aca="false">IF(Tabla2[[#This Row],[Costos (En RD$/Tarea)]]=0,0,Tabla2[[#This Row],[Beneficio Neto  (En RD$/Tarea)]]/Tabla2[[#This Row],[Costos (En RD$/Tarea)]])</f>
        <v>2.97787268221992</v>
      </c>
      <c r="P2865" s="7" t="n">
        <f aca="false">Tabla2[[#This Row],[Rentabilidad (%)]]/12</f>
        <v>0.24815605685166</v>
      </c>
    </row>
    <row r="2866" customFormat="false" ht="14.25" hidden="false" customHeight="false" outlineLevel="0" collapsed="false">
      <c r="A2866" s="1" t="n">
        <v>43770</v>
      </c>
      <c r="B2866" s="2" t="s">
        <v>27</v>
      </c>
      <c r="C2866" s="3" t="n">
        <v>6542</v>
      </c>
      <c r="D2866" s="8" t="s">
        <v>17</v>
      </c>
      <c r="E2866" s="3" t="n">
        <f aca="false">IF(Tabla2[[#This Row],[Frecuencia]]="Annual", Tabla2[[#This Row],[Cosecha/Tarea]]/12,Tabla2[[#This Row],[Cosecha/Tarea]])</f>
        <v>6542</v>
      </c>
      <c r="F2866" s="3" t="n">
        <v>39541</v>
      </c>
      <c r="G2866" s="2" t="s">
        <v>18</v>
      </c>
      <c r="H2866" s="2" t="n">
        <f aca="false">F2866/Tabla2[[#This Row],[Cosecha Mensual]]</f>
        <v>6.04417609293794</v>
      </c>
      <c r="I2866" s="2" t="n">
        <f aca="false">H2866*_xlfn.XLOOKUP(Tabla2[[#This Row],[Unidad de producción]],Tabla3[Medida],Tabla3[Equivalencia en Kg],"ELVIS",0)</f>
        <v>274.163827575665</v>
      </c>
      <c r="J2866" s="2" t="n">
        <v>911.664682539683</v>
      </c>
      <c r="K2866" s="2" t="s">
        <v>18</v>
      </c>
      <c r="L2866" s="2" t="n">
        <f aca="false">J2866/_xlfn.XLOOKUP(Tabla2[[#This Row],[Unidad de precio]],Tabla3[Medida],Tabla3[Equivalencia en Kg],"ELVIS",0)</f>
        <v>20.0984277455838</v>
      </c>
      <c r="M2866" s="2" t="n">
        <v>9222.1943510245</v>
      </c>
      <c r="N2866" s="3" t="n">
        <f aca="false">(Tabla2[[#This Row],[Productividad (kg/TAS)]]*Tabla2[[#This Row],[Precio por kg]]-Tabla2[[#This Row],[Costos (En RD$/Tarea)]])</f>
        <v>-3711.93247204229</v>
      </c>
      <c r="O2866" s="9" t="n">
        <f aca="false">IF(Tabla2[[#This Row],[Costos (En RD$/Tarea)]]=0,0,Tabla2[[#This Row],[Beneficio Neto  (En RD$/Tarea)]]/Tabla2[[#This Row],[Costos (En RD$/Tarea)]])</f>
        <v>-0.402499918214143</v>
      </c>
      <c r="P2866" s="7" t="n">
        <f aca="false">Tabla2[[#This Row],[Rentabilidad (%)]]/12</f>
        <v>-0.0335416598511786</v>
      </c>
    </row>
    <row r="2867" customFormat="false" ht="14.25" hidden="false" customHeight="false" outlineLevel="0" collapsed="false">
      <c r="A2867" s="1" t="n">
        <v>43770</v>
      </c>
      <c r="B2867" s="2" t="s">
        <v>28</v>
      </c>
      <c r="C2867" s="3" t="n">
        <v>65214</v>
      </c>
      <c r="D2867" s="8" t="s">
        <v>17</v>
      </c>
      <c r="E2867" s="3" t="n">
        <f aca="false">IF(Tabla2[[#This Row],[Frecuencia]]="Annual", Tabla2[[#This Row],[Cosecha/Tarea]]/12,Tabla2[[#This Row],[Cosecha/Tarea]])</f>
        <v>65214</v>
      </c>
      <c r="F2867" s="3" t="n">
        <v>1007424</v>
      </c>
      <c r="G2867" s="2" t="s">
        <v>18</v>
      </c>
      <c r="H2867" s="2" t="n">
        <f aca="false">F2867/Tabla2[[#This Row],[Cosecha Mensual]]</f>
        <v>15.4479712945073</v>
      </c>
      <c r="I2867" s="2" t="n">
        <f aca="false">H2867*_xlfn.XLOOKUP(Tabla2[[#This Row],[Unidad de producción]],Tabla3[Medida],Tabla3[Equivalencia en Kg],"ELVIS",0)</f>
        <v>700.719977918852</v>
      </c>
      <c r="J2867" s="2" t="n">
        <v>6137.43055555556</v>
      </c>
      <c r="K2867" s="2" t="s">
        <v>29</v>
      </c>
      <c r="L2867" s="2" t="n">
        <f aca="false">J2867/_xlfn.XLOOKUP(Tabla2[[#This Row],[Unidad de precio]],Tabla3[Medida],Tabla3[Equivalencia en Kg],"ELVIS",0)</f>
        <v>10.914092107187</v>
      </c>
      <c r="M2867" s="2" t="n">
        <v>7149.9398177165</v>
      </c>
      <c r="N2867" s="3" t="n">
        <f aca="false">(Tabla2[[#This Row],[Productividad (kg/TAS)]]*Tabla2[[#This Row],[Precio por kg]]-Tabla2[[#This Row],[Costos (En RD$/Tarea)]])</f>
        <v>497.782562635916</v>
      </c>
      <c r="O2867" s="9" t="n">
        <f aca="false">IF(Tabla2[[#This Row],[Costos (En RD$/Tarea)]]=0,0,Tabla2[[#This Row],[Beneficio Neto  (En RD$/Tarea)]]/Tabla2[[#This Row],[Costos (En RD$/Tarea)]])</f>
        <v>0.0696205248332978</v>
      </c>
      <c r="P2867" s="7" t="n">
        <f aca="false">Tabla2[[#This Row],[Rentabilidad (%)]]/12</f>
        <v>0.00580171040277482</v>
      </c>
    </row>
    <row r="2868" customFormat="false" ht="14.25" hidden="false" customHeight="false" outlineLevel="0" collapsed="false">
      <c r="A2868" s="1" t="n">
        <v>43770</v>
      </c>
      <c r="B2868" s="2" t="s">
        <v>30</v>
      </c>
      <c r="C2868" s="3" t="n">
        <v>422544</v>
      </c>
      <c r="D2868" s="3" t="s">
        <v>31</v>
      </c>
      <c r="E2868" s="3" t="n">
        <f aca="false">IF(Tabla2[[#This Row],[Frecuencia]]="Annual", Tabla2[[#This Row],[Cosecha/Tarea]]/12,Tabla2[[#This Row],[Cosecha/Tarea]])</f>
        <v>35212</v>
      </c>
      <c r="F2868" s="3" t="n">
        <v>1769728.2</v>
      </c>
      <c r="G2868" s="2" t="s">
        <v>18</v>
      </c>
      <c r="H2868" s="2" t="n">
        <f aca="false">F2868/Tabla2[[#This Row],[Cosecha Mensual]]</f>
        <v>50.2592354879019</v>
      </c>
      <c r="I2868" s="2" t="n">
        <f aca="false">H2868*_xlfn.XLOOKUP(Tabla2[[#This Row],[Unidad de producción]],Tabla3[Medida],Tabla3[Equivalencia en Kg],"ELVIS",0)</f>
        <v>2279.75892173123</v>
      </c>
      <c r="J2868" s="2" t="n">
        <v>191.067708333333</v>
      </c>
      <c r="K2868" s="2" t="s">
        <v>32</v>
      </c>
      <c r="L2868" s="2" t="n">
        <f aca="false">J2868/_xlfn.XLOOKUP(Tabla2[[#This Row],[Unidad de precio]],Tabla3[Medida],Tabla3[Equivalencia en Kg],"ELVIS",0)</f>
        <v>7.02196649516108</v>
      </c>
      <c r="M2868" s="3" t="n">
        <v>35445.71794842</v>
      </c>
      <c r="N2868" s="3" t="n">
        <f aca="false">(Tabla2[[#This Row],[Productividad (kg/TAS)]]*Tabla2[[#This Row],[Precio por kg]]-Tabla2[[#This Row],[Costos (En RD$/Tarea)]])</f>
        <v>-19437.3271829788</v>
      </c>
      <c r="O2868" s="9" t="n">
        <f aca="false">IF(Tabla2[[#This Row],[Costos (En RD$/Tarea)]]=0,0,Tabla2[[#This Row],[Beneficio Neto  (En RD$/Tarea)]]/Tabla2[[#This Row],[Costos (En RD$/Tarea)]])</f>
        <v>-0.548368838550925</v>
      </c>
      <c r="P2868" s="7" t="n">
        <f aca="false">Tabla2[[#This Row],[Rentabilidad (%)]]/12</f>
        <v>-0.0456974032125771</v>
      </c>
    </row>
    <row r="2869" customFormat="false" ht="14.25" hidden="false" customHeight="false" outlineLevel="0" collapsed="false">
      <c r="A2869" s="1" t="n">
        <v>43770</v>
      </c>
      <c r="B2869" s="2" t="s">
        <v>33</v>
      </c>
      <c r="C2869" s="3" t="n">
        <v>756559</v>
      </c>
      <c r="D2869" s="3" t="s">
        <v>31</v>
      </c>
      <c r="E2869" s="11" t="n">
        <f aca="false">IF(Tabla2[[#This Row],[Frecuencia]]="Annual", Tabla2[[#This Row],[Cosecha/Tarea]]/12,Tabla2[[#This Row],[Cosecha/Tarea]])</f>
        <v>63046.5833333333</v>
      </c>
      <c r="F2869" s="3" t="n">
        <v>1232208</v>
      </c>
      <c r="G2869" s="2" t="s">
        <v>18</v>
      </c>
      <c r="H2869" s="2" t="n">
        <f aca="false">F2869/Tabla2[[#This Row],[Cosecha Mensual]]</f>
        <v>19.5444056577213</v>
      </c>
      <c r="I2869" s="2" t="n">
        <f aca="false">H2869*_xlfn.XLOOKUP(Tabla2[[#This Row],[Unidad de producción]],Tabla3[Medida],Tabla3[Equivalencia en Kg],"ELVIS",0)</f>
        <v>886.53424063424</v>
      </c>
      <c r="J2869" s="2" t="n">
        <v>11120.1119791667</v>
      </c>
      <c r="K2869" s="2" t="s">
        <v>34</v>
      </c>
      <c r="L2869" s="2" t="n">
        <f aca="false">J2869/_xlfn.XLOOKUP(Tabla2[[#This Row],[Unidad de precio]],Tabla3[Medida],Tabla3[Equivalencia en Kg],"ELVIS",0)</f>
        <v>27.2451598166525</v>
      </c>
      <c r="M2869" s="3" t="n">
        <v>22691.3984505224</v>
      </c>
      <c r="N2869" s="3" t="n">
        <f aca="false">(Tabla2[[#This Row],[Productividad (kg/TAS)]]*Tabla2[[#This Row],[Precio por kg]]-Tabla2[[#This Row],[Costos (En RD$/Tarea)]])</f>
        <v>1462.3686184921</v>
      </c>
      <c r="O2869" s="9" t="n">
        <f aca="false">IF(Tabla2[[#This Row],[Costos (En RD$/Tarea)]]=0,0,Tabla2[[#This Row],[Beneficio Neto  (En RD$/Tarea)]]/Tabla2[[#This Row],[Costos (En RD$/Tarea)]])</f>
        <v>0.06444594508711</v>
      </c>
      <c r="P2869" s="7" t="n">
        <f aca="false">Tabla2[[#This Row],[Rentabilidad (%)]]/12</f>
        <v>0.00537049542392583</v>
      </c>
    </row>
    <row r="2870" customFormat="false" ht="14.25" hidden="false" customHeight="false" outlineLevel="0" collapsed="false">
      <c r="A2870" s="1" t="n">
        <v>43800</v>
      </c>
      <c r="B2870" s="2" t="s">
        <v>16</v>
      </c>
      <c r="C2870" s="3" t="n">
        <v>115457</v>
      </c>
      <c r="D2870" s="8" t="s">
        <v>17</v>
      </c>
      <c r="E2870" s="3" t="n">
        <f aca="false">IF(Tabla2[[#This Row],[Frecuencia]]="Annual", Tabla2[[#This Row],[Cosecha/Tarea]]/12,Tabla2[[#This Row],[Cosecha/Tarea]])</f>
        <v>115457</v>
      </c>
      <c r="F2870" s="3" t="n">
        <v>452154</v>
      </c>
      <c r="G2870" s="2" t="s">
        <v>18</v>
      </c>
      <c r="H2870" s="2" t="n">
        <f aca="false">F2870/Tabla2[[#This Row],[Cosecha Mensual]]</f>
        <v>3.91621123015495</v>
      </c>
      <c r="I2870" s="2" t="n">
        <f aca="false">H2870*_xlfn.XLOOKUP(Tabla2[[#This Row],[Unidad de producción]],Tabla3[Medida],Tabla3[Equivalencia en Kg],"ELVIS",0)</f>
        <v>177.639341399829</v>
      </c>
      <c r="J2870" s="2" t="n">
        <v>2257.16151906857</v>
      </c>
      <c r="K2870" s="2" t="s">
        <v>19</v>
      </c>
      <c r="L2870" s="2" t="n">
        <f aca="false">J2870/_xlfn.XLOOKUP(Tabla2[[#This Row],[Unidad de precio]],Tabla3[Medida],Tabla3[Equivalencia en Kg],"ELVIS",0)</f>
        <v>20.5196501733506</v>
      </c>
      <c r="M2870" s="2" t="n">
        <v>6284.7907932017</v>
      </c>
      <c r="N2870" s="3" t="n">
        <f aca="false">(Tabla2[[#This Row],[Productividad (kg/TAS)]]*Tabla2[[#This Row],[Precio por kg]]-Tabla2[[#This Row],[Costos (En RD$/Tarea)]])</f>
        <v>-2639.69365065282</v>
      </c>
      <c r="O2870" s="9" t="n">
        <f aca="false">IF(Tabla2[[#This Row],[Costos (En RD$/Tarea)]]=0,0,Tabla2[[#This Row],[Beneficio Neto  (En RD$/Tarea)]]/Tabla2[[#This Row],[Costos (En RD$/Tarea)]])</f>
        <v>-0.420012970600102</v>
      </c>
      <c r="P2870" s="7" t="n">
        <f aca="false">Tabla2[[#This Row],[Rentabilidad (%)]]/12</f>
        <v>-0.0350010808833418</v>
      </c>
    </row>
    <row r="2871" customFormat="false" ht="14.25" hidden="false" customHeight="false" outlineLevel="0" collapsed="false">
      <c r="A2871" s="1" t="n">
        <v>43800</v>
      </c>
      <c r="B2871" s="2" t="s">
        <v>20</v>
      </c>
      <c r="C2871" s="3" t="n">
        <v>53854</v>
      </c>
      <c r="D2871" s="8" t="s">
        <v>17</v>
      </c>
      <c r="E2871" s="3" t="n">
        <f aca="false">IF(Tabla2[[#This Row],[Frecuencia]]="Annual", Tabla2[[#This Row],[Cosecha/Tarea]]/12,Tabla2[[#This Row],[Cosecha/Tarea]])</f>
        <v>53854</v>
      </c>
      <c r="F2871" s="3" t="n">
        <v>102451</v>
      </c>
      <c r="G2871" s="2" t="s">
        <v>18</v>
      </c>
      <c r="H2871" s="2" t="n">
        <f aca="false">F2871/Tabla2[[#This Row],[Cosecha Mensual]]</f>
        <v>1.90238422401307</v>
      </c>
      <c r="I2871" s="2" t="n">
        <f aca="false">H2871*_xlfn.XLOOKUP(Tabla2[[#This Row],[Unidad de producción]],Tabla3[Medida],Tabla3[Equivalencia en Kg],"ELVIS",0)</f>
        <v>86.292148401233</v>
      </c>
      <c r="J2871" s="2" t="n">
        <v>939.355989583333</v>
      </c>
      <c r="K2871" s="2" t="s">
        <v>18</v>
      </c>
      <c r="L2871" s="2" t="n">
        <f aca="false">J2871/_xlfn.XLOOKUP(Tabla2[[#This Row],[Unidad de precio]],Tabla3[Medida],Tabla3[Equivalencia en Kg],"ELVIS",0)</f>
        <v>20.7089062959289</v>
      </c>
      <c r="M2871" s="2" t="n">
        <v>2409.24360044496</v>
      </c>
      <c r="N2871" s="3" t="n">
        <f aca="false">(Tabla2[[#This Row],[Productividad (kg/TAS)]]*Tabla2[[#This Row],[Precio por kg]]-Tabla2[[#This Row],[Costos (En RD$/Tarea)]])</f>
        <v>-622.227585129439</v>
      </c>
      <c r="O2871" s="9" t="n">
        <f aca="false">IF(Tabla2[[#This Row],[Costos (En RD$/Tarea)]]=0,0,Tabla2[[#This Row],[Beneficio Neto  (En RD$/Tarea)]]/Tabla2[[#This Row],[Costos (En RD$/Tarea)]])</f>
        <v>-0.258266779255747</v>
      </c>
      <c r="P2871" s="7" t="n">
        <f aca="false">Tabla2[[#This Row],[Rentabilidad (%)]]/12</f>
        <v>-0.0215222316046456</v>
      </c>
    </row>
    <row r="2872" customFormat="false" ht="14.25" hidden="false" customHeight="false" outlineLevel="0" collapsed="false">
      <c r="A2872" s="1" t="n">
        <v>43800</v>
      </c>
      <c r="B2872" s="2" t="s">
        <v>21</v>
      </c>
      <c r="C2872" s="3" t="n">
        <v>8951</v>
      </c>
      <c r="D2872" s="8" t="s">
        <v>17</v>
      </c>
      <c r="E2872" s="3" t="n">
        <f aca="false">IF(Tabla2[[#This Row],[Frecuencia]]="Annual", Tabla2[[#This Row],[Cosecha/Tarea]]/12,Tabla2[[#This Row],[Cosecha/Tarea]])</f>
        <v>8951</v>
      </c>
      <c r="F2872" s="3" t="n">
        <v>98323</v>
      </c>
      <c r="G2872" s="2" t="s">
        <v>18</v>
      </c>
      <c r="H2872" s="2" t="n">
        <f aca="false">F2872/Tabla2[[#This Row],[Cosecha Mensual]]</f>
        <v>10.9845827281868</v>
      </c>
      <c r="I2872" s="2" t="n">
        <f aca="false">H2872*_xlfn.XLOOKUP(Tabla2[[#This Row],[Unidad de producción]],Tabla3[Medida],Tabla3[Equivalencia en Kg],"ELVIS",0)</f>
        <v>498.260672550553</v>
      </c>
      <c r="J2872" s="2" t="n">
        <v>705.155</v>
      </c>
      <c r="K2872" s="2" t="s">
        <v>18</v>
      </c>
      <c r="L2872" s="2" t="n">
        <f aca="false">J2872/_xlfn.XLOOKUP(Tabla2[[#This Row],[Unidad de precio]],Tabla3[Medida],Tabla3[Equivalencia en Kg],"ELVIS",0)</f>
        <v>15.5457451499118</v>
      </c>
      <c r="M2872" s="2" t="n">
        <v>5846.970079582</v>
      </c>
      <c r="N2872" s="3" t="n">
        <f aca="false">(Tabla2[[#This Row],[Productividad (kg/TAS)]]*Tabla2[[#This Row],[Precio por kg]]-Tabla2[[#This Row],[Costos (En RD$/Tarea)]])</f>
        <v>1898.86335411256</v>
      </c>
      <c r="O2872" s="9" t="n">
        <f aca="false">IF(Tabla2[[#This Row],[Costos (En RD$/Tarea)]]=0,0,Tabla2[[#This Row],[Beneficio Neto  (En RD$/Tarea)]]/Tabla2[[#This Row],[Costos (En RD$/Tarea)]])</f>
        <v>0.324760231071391</v>
      </c>
      <c r="P2872" s="7" t="n">
        <f aca="false">Tabla2[[#This Row],[Rentabilidad (%)]]/12</f>
        <v>0.0270633525892826</v>
      </c>
    </row>
    <row r="2873" customFormat="false" ht="14.25" hidden="false" customHeight="false" outlineLevel="0" collapsed="false">
      <c r="A2873" s="1" t="n">
        <v>43800</v>
      </c>
      <c r="B2873" s="2" t="s">
        <v>22</v>
      </c>
      <c r="C2873" s="3" t="n">
        <v>7120</v>
      </c>
      <c r="D2873" s="8" t="s">
        <v>17</v>
      </c>
      <c r="E2873" s="3" t="n">
        <f aca="false">IF(Tabla2[[#This Row],[Frecuencia]]="Annual", Tabla2[[#This Row],[Cosecha/Tarea]]/12,Tabla2[[#This Row],[Cosecha/Tarea]])</f>
        <v>7120</v>
      </c>
      <c r="F2873" s="3" t="n">
        <v>64305</v>
      </c>
      <c r="G2873" s="2" t="s">
        <v>18</v>
      </c>
      <c r="H2873" s="2" t="n">
        <f aca="false">F2873/Tabla2[[#This Row],[Cosecha Mensual]]</f>
        <v>9.03160112359551</v>
      </c>
      <c r="I2873" s="2" t="n">
        <f aca="false">H2873*_xlfn.XLOOKUP(Tabla2[[#This Row],[Unidad de producción]],Tabla3[Medida],Tabla3[Equivalencia en Kg],"ELVIS",0)</f>
        <v>409.673426966292</v>
      </c>
      <c r="J2873" s="2" t="n">
        <v>1679.35763888889</v>
      </c>
      <c r="K2873" s="2" t="s">
        <v>18</v>
      </c>
      <c r="L2873" s="2" t="n">
        <f aca="false">J2873/_xlfn.XLOOKUP(Tabla2[[#This Row],[Unidad de precio]],Tabla3[Medida],Tabla3[Equivalencia en Kg],"ELVIS",0)</f>
        <v>37.0228756368803</v>
      </c>
      <c r="M2873" s="2" t="n">
        <v>10137.37206528</v>
      </c>
      <c r="N2873" s="3" t="n">
        <f aca="false">(Tabla2[[#This Row],[Productividad (kg/TAS)]]*Tabla2[[#This Row],[Precio por kg]]-Tabla2[[#This Row],[Costos (En RD$/Tarea)]])</f>
        <v>5029.9162730276</v>
      </c>
      <c r="O2873" s="9" t="n">
        <f aca="false">IF(Tabla2[[#This Row],[Costos (En RD$/Tarea)]]=0,0,Tabla2[[#This Row],[Beneficio Neto  (En RD$/Tarea)]]/Tabla2[[#This Row],[Costos (En RD$/Tarea)]])</f>
        <v>0.496175561145162</v>
      </c>
      <c r="P2873" s="7" t="n">
        <f aca="false">Tabla2[[#This Row],[Rentabilidad (%)]]/12</f>
        <v>0.0413479634287635</v>
      </c>
    </row>
    <row r="2874" customFormat="false" ht="14.25" hidden="false" customHeight="false" outlineLevel="0" collapsed="false">
      <c r="A2874" s="1" t="n">
        <v>43800</v>
      </c>
      <c r="B2874" s="2" t="s">
        <v>23</v>
      </c>
      <c r="C2874" s="3" t="n">
        <v>4956</v>
      </c>
      <c r="D2874" s="8" t="s">
        <v>17</v>
      </c>
      <c r="E2874" s="3" t="n">
        <f aca="false">IF(Tabla2[[#This Row],[Frecuencia]]="Annual", Tabla2[[#This Row],[Cosecha/Tarea]]/12,Tabla2[[#This Row],[Cosecha/Tarea]])</f>
        <v>4956</v>
      </c>
      <c r="F2874" s="3" t="n">
        <v>181750</v>
      </c>
      <c r="G2874" s="2" t="s">
        <v>18</v>
      </c>
      <c r="H2874" s="2" t="n">
        <f aca="false">F2874/Tabla2[[#This Row],[Cosecha Mensual]]</f>
        <v>36.6727199354318</v>
      </c>
      <c r="I2874" s="2" t="n">
        <f aca="false">H2874*_xlfn.XLOOKUP(Tabla2[[#This Row],[Unidad de producción]],Tabla3[Medida],Tabla3[Equivalencia en Kg],"ELVIS",0)</f>
        <v>1663.47457627119</v>
      </c>
      <c r="J2874" s="2" t="n">
        <v>1106.66666666667</v>
      </c>
      <c r="K2874" s="2" t="s">
        <v>18</v>
      </c>
      <c r="L2874" s="2" t="n">
        <f aca="false">J2874/_xlfn.XLOOKUP(Tabla2[[#This Row],[Unidad de precio]],Tabla3[Medida],Tabla3[Equivalencia en Kg],"ELVIS",0)</f>
        <v>24.3974132863022</v>
      </c>
      <c r="M2874" s="2" t="n">
        <v>26088.2600080873</v>
      </c>
      <c r="N2874" s="3" t="n">
        <f aca="false">(Tabla2[[#This Row],[Productividad (kg/TAS)]]*Tabla2[[#This Row],[Precio por kg]]-Tabla2[[#This Row],[Costos (En RD$/Tarea)]])</f>
        <v>14496.2167204573</v>
      </c>
      <c r="O2874" s="9" t="n">
        <f aca="false">IF(Tabla2[[#This Row],[Costos (En RD$/Tarea)]]=0,0,Tabla2[[#This Row],[Beneficio Neto  (En RD$/Tarea)]]/Tabla2[[#This Row],[Costos (En RD$/Tarea)]])</f>
        <v>0.55566054294014</v>
      </c>
      <c r="P2874" s="7" t="n">
        <f aca="false">Tabla2[[#This Row],[Rentabilidad (%)]]/12</f>
        <v>0.0463050452450117</v>
      </c>
    </row>
    <row r="2875" customFormat="false" ht="14.25" hidden="false" customHeight="false" outlineLevel="0" collapsed="false">
      <c r="A2875" s="1" t="n">
        <v>43800</v>
      </c>
      <c r="B2875" s="2" t="s">
        <v>24</v>
      </c>
      <c r="C2875" s="3" t="n">
        <v>8608.2</v>
      </c>
      <c r="D2875" s="8" t="s">
        <v>17</v>
      </c>
      <c r="E2875" s="3" t="n">
        <f aca="false">IF(Tabla2[[#This Row],[Frecuencia]]="Annual", Tabla2[[#This Row],[Cosecha/Tarea]]/12,Tabla2[[#This Row],[Cosecha/Tarea]])</f>
        <v>8608.2</v>
      </c>
      <c r="F2875" s="3" t="n">
        <v>86148</v>
      </c>
      <c r="G2875" s="2" t="s">
        <v>18</v>
      </c>
      <c r="H2875" s="2" t="n">
        <f aca="false">F2875/Tabla2[[#This Row],[Cosecha Mensual]]</f>
        <v>10.0076671081062</v>
      </c>
      <c r="I2875" s="2" t="n">
        <f aca="false">H2875*_xlfn.XLOOKUP(Tabla2[[#This Row],[Unidad de producción]],Tabla3[Medida],Tabla3[Equivalencia en Kg],"ELVIS",0)</f>
        <v>453.947780023698</v>
      </c>
      <c r="J2875" s="2" t="n">
        <v>3248.08940972222</v>
      </c>
      <c r="K2875" s="2" t="s">
        <v>18</v>
      </c>
      <c r="L2875" s="2" t="n">
        <f aca="false">J2875/_xlfn.XLOOKUP(Tabla2[[#This Row],[Unidad de precio]],Tabla3[Medida],Tabla3[Equivalencia en Kg],"ELVIS",0)</f>
        <v>71.6069093854105</v>
      </c>
      <c r="M2875" s="2" t="n">
        <v>8388.8026628832</v>
      </c>
      <c r="N2875" s="3" t="n">
        <f aca="false">(Tabla2[[#This Row],[Productividad (kg/TAS)]]*Tabla2[[#This Row],[Precio por kg]]-Tabla2[[#This Row],[Costos (En RD$/Tarea)]])</f>
        <v>24116.994886982</v>
      </c>
      <c r="O2875" s="9" t="n">
        <f aca="false">IF(Tabla2[[#This Row],[Costos (En RD$/Tarea)]]=0,0,Tabla2[[#This Row],[Beneficio Neto  (En RD$/Tarea)]]/Tabla2[[#This Row],[Costos (En RD$/Tarea)]])</f>
        <v>2.87490311265626</v>
      </c>
      <c r="P2875" s="7" t="n">
        <f aca="false">Tabla2[[#This Row],[Rentabilidad (%)]]/12</f>
        <v>0.239575259388022</v>
      </c>
    </row>
    <row r="2876" customFormat="false" ht="14.25" hidden="false" customHeight="false" outlineLevel="0" collapsed="false">
      <c r="A2876" s="1" t="n">
        <v>43800</v>
      </c>
      <c r="B2876" s="2" t="s">
        <v>25</v>
      </c>
      <c r="C2876" s="3" t="n">
        <v>31001</v>
      </c>
      <c r="D2876" s="8" t="s">
        <v>17</v>
      </c>
      <c r="E2876" s="3" t="n">
        <f aca="false">IF(Tabla2[[#This Row],[Frecuencia]]="Annual", Tabla2[[#This Row],[Cosecha/Tarea]]/12,Tabla2[[#This Row],[Cosecha/Tarea]])</f>
        <v>31001</v>
      </c>
      <c r="F2876" s="3" t="n">
        <v>363707</v>
      </c>
      <c r="G2876" s="2" t="s">
        <v>18</v>
      </c>
      <c r="H2876" s="2" t="n">
        <f aca="false">F2876/Tabla2[[#This Row],[Cosecha Mensual]]</f>
        <v>11.7321054159543</v>
      </c>
      <c r="I2876" s="2" t="n">
        <f aca="false">H2876*_xlfn.XLOOKUP(Tabla2[[#This Row],[Unidad de producción]],Tabla3[Medida],Tabla3[Equivalencia en Kg],"ELVIS",0)</f>
        <v>532.168301667688</v>
      </c>
      <c r="J2876" s="2" t="n">
        <v>751.416754861111</v>
      </c>
      <c r="K2876" s="2" t="s">
        <v>18</v>
      </c>
      <c r="L2876" s="2" t="n">
        <f aca="false">J2876/_xlfn.XLOOKUP(Tabla2[[#This Row],[Unidad de precio]],Tabla3[Medida],Tabla3[Equivalencia en Kg],"ELVIS",0)</f>
        <v>16.5656251071674</v>
      </c>
      <c r="M2876" s="2" t="n">
        <v>4718.29149012608</v>
      </c>
      <c r="N2876" s="3" t="n">
        <f aca="false">(Tabla2[[#This Row],[Productividad (kg/TAS)]]*Tabla2[[#This Row],[Precio por kg]]-Tabla2[[#This Row],[Costos (En RD$/Tarea)]])</f>
        <v>4097.40908921878</v>
      </c>
      <c r="O2876" s="9" t="n">
        <f aca="false">IF(Tabla2[[#This Row],[Costos (En RD$/Tarea)]]=0,0,Tabla2[[#This Row],[Beneficio Neto  (En RD$/Tarea)]]/Tabla2[[#This Row],[Costos (En RD$/Tarea)]])</f>
        <v>0.86840948631372</v>
      </c>
      <c r="P2876" s="7" t="n">
        <f aca="false">Tabla2[[#This Row],[Rentabilidad (%)]]/12</f>
        <v>0.07236745719281</v>
      </c>
    </row>
    <row r="2877" customFormat="false" ht="14.25" hidden="false" customHeight="false" outlineLevel="0" collapsed="false">
      <c r="A2877" s="1" t="n">
        <v>43800</v>
      </c>
      <c r="B2877" s="2" t="s">
        <v>26</v>
      </c>
      <c r="C2877" s="3" t="n">
        <v>14347</v>
      </c>
      <c r="D2877" s="8" t="s">
        <v>17</v>
      </c>
      <c r="E2877" s="3" t="n">
        <f aca="false">IF(Tabla2[[#This Row],[Frecuencia]]="Annual", Tabla2[[#This Row],[Cosecha/Tarea]]/12,Tabla2[[#This Row],[Cosecha/Tarea]])</f>
        <v>14347</v>
      </c>
      <c r="F2877" s="3" t="n">
        <v>98559</v>
      </c>
      <c r="G2877" s="2" t="s">
        <v>18</v>
      </c>
      <c r="H2877" s="2" t="n">
        <f aca="false">F2877/Tabla2[[#This Row],[Cosecha Mensual]]</f>
        <v>6.86965916219419</v>
      </c>
      <c r="I2877" s="2" t="n">
        <f aca="false">H2877*_xlfn.XLOOKUP(Tabla2[[#This Row],[Unidad de producción]],Tabla3[Medida],Tabla3[Equivalencia en Kg],"ELVIS",0)</f>
        <v>311.607739597128</v>
      </c>
      <c r="J2877" s="2" t="n">
        <v>957.600694444444</v>
      </c>
      <c r="K2877" s="2" t="s">
        <v>18</v>
      </c>
      <c r="L2877" s="2" t="n">
        <f aca="false">J2877/_xlfn.XLOOKUP(Tabla2[[#This Row],[Unidad de precio]],Tabla3[Medida],Tabla3[Equivalencia en Kg],"ELVIS",0)</f>
        <v>21.1111264207329</v>
      </c>
      <c r="M2877" s="2" t="n">
        <v>1668.6966112895</v>
      </c>
      <c r="N2877" s="3" t="n">
        <f aca="false">(Tabla2[[#This Row],[Productividad (kg/TAS)]]*Tabla2[[#This Row],[Precio por kg]]-Tabla2[[#This Row],[Costos (En RD$/Tarea)]])</f>
        <v>4909.69377302429</v>
      </c>
      <c r="O2877" s="9" t="n">
        <f aca="false">IF(Tabla2[[#This Row],[Costos (En RD$/Tarea)]]=0,0,Tabla2[[#This Row],[Beneficio Neto  (En RD$/Tarea)]]/Tabla2[[#This Row],[Costos (En RD$/Tarea)]])</f>
        <v>2.94223272211854</v>
      </c>
      <c r="P2877" s="7" t="n">
        <f aca="false">Tabla2[[#This Row],[Rentabilidad (%)]]/12</f>
        <v>0.245186060176545</v>
      </c>
    </row>
    <row r="2878" customFormat="false" ht="14.25" hidden="false" customHeight="false" outlineLevel="0" collapsed="false">
      <c r="A2878" s="1" t="n">
        <v>43800</v>
      </c>
      <c r="B2878" s="2" t="s">
        <v>27</v>
      </c>
      <c r="C2878" s="3" t="n">
        <v>7644</v>
      </c>
      <c r="D2878" s="8" t="s">
        <v>17</v>
      </c>
      <c r="E2878" s="3" t="n">
        <f aca="false">IF(Tabla2[[#This Row],[Frecuencia]]="Annual", Tabla2[[#This Row],[Cosecha/Tarea]]/12,Tabla2[[#This Row],[Cosecha/Tarea]])</f>
        <v>7644</v>
      </c>
      <c r="F2878" s="3" t="n">
        <v>46598</v>
      </c>
      <c r="G2878" s="2" t="s">
        <v>18</v>
      </c>
      <c r="H2878" s="2" t="n">
        <f aca="false">F2878/Tabla2[[#This Row],[Cosecha Mensual]]</f>
        <v>6.09602302459445</v>
      </c>
      <c r="I2878" s="2" t="n">
        <f aca="false">H2878*_xlfn.XLOOKUP(Tabla2[[#This Row],[Unidad de producción]],Tabla3[Medida],Tabla3[Equivalencia en Kg],"ELVIS",0)</f>
        <v>276.515604395604</v>
      </c>
      <c r="J2878" s="2" t="n">
        <v>898.161904761905</v>
      </c>
      <c r="K2878" s="2" t="s">
        <v>18</v>
      </c>
      <c r="L2878" s="2" t="n">
        <f aca="false">J2878/_xlfn.XLOOKUP(Tabla2[[#This Row],[Unidad de precio]],Tabla3[Medida],Tabla3[Equivalencia en Kg],"ELVIS",0)</f>
        <v>19.8007474594776</v>
      </c>
      <c r="M2878" s="2" t="n">
        <v>9222.1943510245</v>
      </c>
      <c r="N2878" s="3" t="n">
        <f aca="false">(Tabla2[[#This Row],[Productividad (kg/TAS)]]*Tabla2[[#This Row],[Precio por kg]]-Tabla2[[#This Row],[Costos (En RD$/Tarea)]])</f>
        <v>-3746.97869978232</v>
      </c>
      <c r="O2878" s="9" t="n">
        <f aca="false">IF(Tabla2[[#This Row],[Costos (En RD$/Tarea)]]=0,0,Tabla2[[#This Row],[Beneficio Neto  (En RD$/Tarea)]]/Tabla2[[#This Row],[Costos (En RD$/Tarea)]])</f>
        <v>-0.406300123068439</v>
      </c>
      <c r="P2878" s="7" t="n">
        <f aca="false">Tabla2[[#This Row],[Rentabilidad (%)]]/12</f>
        <v>-0.0338583435890366</v>
      </c>
    </row>
    <row r="2879" customFormat="false" ht="14.25" hidden="false" customHeight="false" outlineLevel="0" collapsed="false">
      <c r="A2879" s="1" t="n">
        <v>43800</v>
      </c>
      <c r="B2879" s="2" t="s">
        <v>28</v>
      </c>
      <c r="C2879" s="3" t="n">
        <v>67246</v>
      </c>
      <c r="D2879" s="8" t="s">
        <v>17</v>
      </c>
      <c r="E2879" s="3" t="n">
        <f aca="false">IF(Tabla2[[#This Row],[Frecuencia]]="Annual", Tabla2[[#This Row],[Cosecha/Tarea]]/12,Tabla2[[#This Row],[Cosecha/Tarea]])</f>
        <v>67246</v>
      </c>
      <c r="F2879" s="3" t="n">
        <v>1454940</v>
      </c>
      <c r="G2879" s="2" t="s">
        <v>18</v>
      </c>
      <c r="H2879" s="2" t="n">
        <f aca="false">F2879/Tabla2[[#This Row],[Cosecha Mensual]]</f>
        <v>21.6360824435654</v>
      </c>
      <c r="I2879" s="2" t="n">
        <f aca="false">H2879*_xlfn.XLOOKUP(Tabla2[[#This Row],[Unidad de producción]],Tabla3[Medida],Tabla3[Equivalencia en Kg],"ELVIS",0)</f>
        <v>981.412699640127</v>
      </c>
      <c r="J2879" s="2" t="n">
        <v>6977.02083333333</v>
      </c>
      <c r="K2879" s="2" t="s">
        <v>29</v>
      </c>
      <c r="L2879" s="2" t="n">
        <f aca="false">J2879/_xlfn.XLOOKUP(Tabla2[[#This Row],[Unidad de precio]],Tabla3[Medida],Tabla3[Equivalencia en Kg],"ELVIS",0)</f>
        <v>12.4071217294401</v>
      </c>
      <c r="M2879" s="2" t="n">
        <v>7149.9398177165</v>
      </c>
      <c r="N2879" s="3" t="n">
        <f aca="false">(Tabla2[[#This Row],[Productividad (kg/TAS)]]*Tabla2[[#This Row],[Precio por kg]]-Tabla2[[#This Row],[Costos (En RD$/Tarea)]])</f>
        <v>5026.56701353697</v>
      </c>
      <c r="O2879" s="9" t="n">
        <f aca="false">IF(Tabla2[[#This Row],[Costos (En RD$/Tarea)]]=0,0,Tabla2[[#This Row],[Beneficio Neto  (En RD$/Tarea)]]/Tabla2[[#This Row],[Costos (En RD$/Tarea)]])</f>
        <v>0.703022282940322</v>
      </c>
      <c r="P2879" s="7" t="n">
        <f aca="false">Tabla2[[#This Row],[Rentabilidad (%)]]/12</f>
        <v>0.0585851902450269</v>
      </c>
    </row>
    <row r="2880" customFormat="false" ht="14.25" hidden="false" customHeight="false" outlineLevel="0" collapsed="false">
      <c r="A2880" s="1" t="n">
        <v>43800</v>
      </c>
      <c r="B2880" s="2" t="s">
        <v>30</v>
      </c>
      <c r="C2880" s="3" t="n">
        <v>410241</v>
      </c>
      <c r="D2880" s="3" t="s">
        <v>31</v>
      </c>
      <c r="E2880" s="3" t="n">
        <f aca="false">IF(Tabla2[[#This Row],[Frecuencia]]="Annual", Tabla2[[#This Row],[Cosecha/Tarea]]/12,Tabla2[[#This Row],[Cosecha/Tarea]])</f>
        <v>34186.75</v>
      </c>
      <c r="F2880" s="3" t="n">
        <v>2154866.4</v>
      </c>
      <c r="G2880" s="2" t="s">
        <v>18</v>
      </c>
      <c r="H2880" s="2" t="n">
        <f aca="false">F2880/Tabla2[[#This Row],[Cosecha Mensual]]</f>
        <v>63.0322098473824</v>
      </c>
      <c r="I2880" s="2" t="n">
        <f aca="false">H2880*_xlfn.XLOOKUP(Tabla2[[#This Row],[Unidad de producción]],Tabla3[Medida],Tabla3[Equivalencia en Kg],"ELVIS",0)</f>
        <v>2859.14103867727</v>
      </c>
      <c r="J2880" s="2" t="n">
        <v>188.272916666667</v>
      </c>
      <c r="K2880" s="2" t="s">
        <v>32</v>
      </c>
      <c r="L2880" s="2" t="n">
        <f aca="false">J2880/_xlfn.XLOOKUP(Tabla2[[#This Row],[Unidad de precio]],Tabla3[Medida],Tabla3[Equivalencia en Kg],"ELVIS",0)</f>
        <v>6.91925456327332</v>
      </c>
      <c r="M2880" s="3" t="n">
        <v>35445.71794842</v>
      </c>
      <c r="N2880" s="3" t="n">
        <f aca="false">(Tabla2[[#This Row],[Productividad (kg/TAS)]]*Tabla2[[#This Row],[Precio por kg]]-Tabla2[[#This Row],[Costos (En RD$/Tarea)]])</f>
        <v>-15662.5932695103</v>
      </c>
      <c r="O2880" s="9" t="n">
        <f aca="false">IF(Tabla2[[#This Row],[Costos (En RD$/Tarea)]]=0,0,Tabla2[[#This Row],[Beneficio Neto  (En RD$/Tarea)]]/Tabla2[[#This Row],[Costos (En RD$/Tarea)]])</f>
        <v>-0.441875469762025</v>
      </c>
      <c r="P2880" s="7" t="n">
        <f aca="false">Tabla2[[#This Row],[Rentabilidad (%)]]/12</f>
        <v>-0.0368229558135021</v>
      </c>
    </row>
    <row r="2881" customFormat="false" ht="14.25" hidden="false" customHeight="false" outlineLevel="0" collapsed="false">
      <c r="A2881" s="1" t="n">
        <v>43800</v>
      </c>
      <c r="B2881" s="2" t="s">
        <v>33</v>
      </c>
      <c r="C2881" s="3" t="n">
        <v>780381</v>
      </c>
      <c r="D2881" s="3" t="s">
        <v>31</v>
      </c>
      <c r="E2881" s="11" t="n">
        <f aca="false">IF(Tabla2[[#This Row],[Frecuencia]]="Annual", Tabla2[[#This Row],[Cosecha/Tarea]]/12,Tabla2[[#This Row],[Cosecha/Tarea]])</f>
        <v>65031.75</v>
      </c>
      <c r="F2881" s="3" t="n">
        <v>1349613</v>
      </c>
      <c r="G2881" s="2" t="s">
        <v>18</v>
      </c>
      <c r="H2881" s="2" t="n">
        <f aca="false">F2881/Tabla2[[#This Row],[Cosecha Mensual]]</f>
        <v>20.7531398124762</v>
      </c>
      <c r="I2881" s="2" t="n">
        <f aca="false">H2881*_xlfn.XLOOKUP(Tabla2[[#This Row],[Unidad de producción]],Tabla3[Medida],Tabla3[Equivalencia en Kg],"ELVIS",0)</f>
        <v>941.362421893921</v>
      </c>
      <c r="J2881" s="2" t="n">
        <v>10863.8307291667</v>
      </c>
      <c r="K2881" s="2" t="s">
        <v>34</v>
      </c>
      <c r="L2881" s="2" t="n">
        <f aca="false">J2881/_xlfn.XLOOKUP(Tabla2[[#This Row],[Unidad de precio]],Tabla3[Medida],Tabla3[Equivalencia en Kg],"ELVIS",0)</f>
        <v>26.6172503470947</v>
      </c>
      <c r="M2881" s="3" t="n">
        <v>22691.3984505224</v>
      </c>
      <c r="N2881" s="3" t="n">
        <f aca="false">(Tabla2[[#This Row],[Productividad (kg/TAS)]]*Tabla2[[#This Row],[Precio por kg]]-Tabla2[[#This Row],[Costos (En RD$/Tarea)]])</f>
        <v>2365.08080037548</v>
      </c>
      <c r="O2881" s="9" t="n">
        <f aca="false">IF(Tabla2[[#This Row],[Costos (En RD$/Tarea)]]=0,0,Tabla2[[#This Row],[Beneficio Neto  (En RD$/Tarea)]]/Tabla2[[#This Row],[Costos (En RD$/Tarea)]])</f>
        <v>0.104228075917508</v>
      </c>
      <c r="P2881" s="7" t="n">
        <f aca="false">Tabla2[[#This Row],[Rentabilidad (%)]]/12</f>
        <v>0.00868567299312568</v>
      </c>
    </row>
    <row r="2882" customFormat="false" ht="14.25" hidden="false" customHeight="false" outlineLevel="0" collapsed="false">
      <c r="A2882" s="1" t="n">
        <v>43831</v>
      </c>
      <c r="B2882" s="2" t="s">
        <v>16</v>
      </c>
      <c r="C2882" s="3" t="n">
        <v>26476</v>
      </c>
      <c r="D2882" s="8" t="s">
        <v>17</v>
      </c>
      <c r="E2882" s="3" t="n">
        <f aca="false">IF(Tabla2[[#This Row],[Frecuencia]]="Annual", Tabla2[[#This Row],[Cosecha/Tarea]]/12,Tabla2[[#This Row],[Cosecha/Tarea]])</f>
        <v>26476</v>
      </c>
      <c r="F2882" s="3" t="n">
        <v>96176</v>
      </c>
      <c r="G2882" s="2" t="s">
        <v>18</v>
      </c>
      <c r="H2882" s="2" t="n">
        <f aca="false">F2882/Tabla2[[#This Row],[Cosecha Mensual]]</f>
        <v>3.63257289620789</v>
      </c>
      <c r="I2882" s="2" t="n">
        <f aca="false">H2882*_xlfn.XLOOKUP(Tabla2[[#This Row],[Unidad de producción]],Tabla3[Medida],Tabla3[Equivalencia en Kg],"ELVIS",0)</f>
        <v>164.77350657199</v>
      </c>
      <c r="J2882" s="2" t="n">
        <v>2247.26293202237</v>
      </c>
      <c r="K2882" s="2" t="s">
        <v>19</v>
      </c>
      <c r="L2882" s="2" t="n">
        <f aca="false">J2882/_xlfn.XLOOKUP(Tabla2[[#This Row],[Unidad de precio]],Tabla3[Medida],Tabla3[Equivalencia en Kg],"ELVIS",0)</f>
        <v>20.4296630183852</v>
      </c>
      <c r="M2882" s="2" t="n">
        <v>7092.59436898665</v>
      </c>
      <c r="N2882" s="3" t="n">
        <f aca="false">(Tabla2[[#This Row],[Productividad (kg/TAS)]]*Tabla2[[#This Row],[Precio por kg]]-Tabla2[[#This Row],[Costos (En RD$/Tarea)]])</f>
        <v>-3726.32715536322</v>
      </c>
      <c r="O2882" s="9" t="n">
        <f aca="false">IF(Tabla2[[#This Row],[Costos (En RD$/Tarea)]]=0,0,Tabla2[[#This Row],[Beneficio Neto  (En RD$/Tarea)]]/Tabla2[[#This Row],[Costos (En RD$/Tarea)]])</f>
        <v>-0.525382809378907</v>
      </c>
      <c r="P2882" s="7" t="n">
        <f aca="false">Tabla2[[#This Row],[Rentabilidad (%)]]/12</f>
        <v>-0.0437819007815756</v>
      </c>
    </row>
    <row r="2883" customFormat="false" ht="14.25" hidden="false" customHeight="false" outlineLevel="0" collapsed="false">
      <c r="A2883" s="1" t="n">
        <v>43831</v>
      </c>
      <c r="B2883" s="2" t="s">
        <v>20</v>
      </c>
      <c r="C2883" s="3" t="n">
        <v>65213.8926162891</v>
      </c>
      <c r="D2883" s="8" t="s">
        <v>17</v>
      </c>
      <c r="E2883" s="3" t="n">
        <f aca="false">IF(Tabla2[[#This Row],[Frecuencia]]="Annual", Tabla2[[#This Row],[Cosecha/Tarea]]/12,Tabla2[[#This Row],[Cosecha/Tarea]])</f>
        <v>65213.8926162891</v>
      </c>
      <c r="F2883" s="3" t="n">
        <v>223183</v>
      </c>
      <c r="G2883" s="2" t="s">
        <v>18</v>
      </c>
      <c r="H2883" s="2" t="n">
        <f aca="false">F2883/Tabla2[[#This Row],[Cosecha Mensual]]</f>
        <v>3.42232292915227</v>
      </c>
      <c r="I2883" s="2" t="n">
        <f aca="false">H2883*_xlfn.XLOOKUP(Tabla2[[#This Row],[Unidad de producción]],Tabla3[Medida],Tabla3[Equivalencia en Kg],"ELVIS",0)</f>
        <v>155.236568066347</v>
      </c>
      <c r="J2883" s="2" t="n">
        <v>926.309895833333</v>
      </c>
      <c r="K2883" s="2" t="s">
        <v>18</v>
      </c>
      <c r="L2883" s="2" t="n">
        <f aca="false">J2883/_xlfn.XLOOKUP(Tabla2[[#This Row],[Unidad de precio]],Tabla3[Medida],Tabla3[Equivalencia en Kg],"ELVIS",0)</f>
        <v>20.421293999853</v>
      </c>
      <c r="M2883" s="2" t="n">
        <v>2584.15468583726</v>
      </c>
      <c r="N2883" s="3" t="n">
        <f aca="false">(Tabla2[[#This Row],[Productividad (kg/TAS)]]*Tabla2[[#This Row],[Precio por kg]]-Tabla2[[#This Row],[Costos (En RD$/Tarea)]])</f>
        <v>585.976910173805</v>
      </c>
      <c r="O2883" s="9" t="n">
        <f aca="false">IF(Tabla2[[#This Row],[Costos (En RD$/Tarea)]]=0,0,Tabla2[[#This Row],[Beneficio Neto  (En RD$/Tarea)]]/Tabla2[[#This Row],[Costos (En RD$/Tarea)]])</f>
        <v>0.226757675686101</v>
      </c>
      <c r="P2883" s="7" t="n">
        <f aca="false">Tabla2[[#This Row],[Rentabilidad (%)]]/12</f>
        <v>0.0188964729738418</v>
      </c>
    </row>
    <row r="2884" customFormat="false" ht="14.25" hidden="false" customHeight="false" outlineLevel="0" collapsed="false">
      <c r="A2884" s="1" t="n">
        <v>43831</v>
      </c>
      <c r="B2884" s="2" t="s">
        <v>21</v>
      </c>
      <c r="C2884" s="3" t="n">
        <v>5985</v>
      </c>
      <c r="D2884" s="8" t="s">
        <v>17</v>
      </c>
      <c r="E2884" s="3" t="n">
        <f aca="false">IF(Tabla2[[#This Row],[Frecuencia]]="Annual", Tabla2[[#This Row],[Cosecha/Tarea]]/12,Tabla2[[#This Row],[Cosecha/Tarea]])</f>
        <v>5985</v>
      </c>
      <c r="F2884" s="3" t="n">
        <v>81124</v>
      </c>
      <c r="G2884" s="2" t="s">
        <v>18</v>
      </c>
      <c r="H2884" s="2" t="n">
        <f aca="false">F2884/Tabla2[[#This Row],[Cosecha Mensual]]</f>
        <v>13.5545530492899</v>
      </c>
      <c r="I2884" s="2" t="n">
        <f aca="false">H2884*_xlfn.XLOOKUP(Tabla2[[#This Row],[Unidad de producción]],Tabla3[Medida],Tabla3[Equivalencia en Kg],"ELVIS",0)</f>
        <v>614.83452631579</v>
      </c>
      <c r="J2884" s="2" t="n">
        <v>661.376904761905</v>
      </c>
      <c r="K2884" s="2" t="s">
        <v>18</v>
      </c>
      <c r="L2884" s="2" t="n">
        <f aca="false">J2884/_xlfn.XLOOKUP(Tabla2[[#This Row],[Unidad de precio]],Tabla3[Medida],Tabla3[Equivalencia en Kg],"ELVIS",0)</f>
        <v>14.5806195935164</v>
      </c>
      <c r="M2884" s="2" t="n">
        <v>6271.46010735965</v>
      </c>
      <c r="N2884" s="3" t="n">
        <f aca="false">(Tabla2[[#This Row],[Productividad (kg/TAS)]]*Tabla2[[#This Row],[Precio por kg]]-Tabla2[[#This Row],[Costos (En RD$/Tarea)]])</f>
        <v>2693.20823381074</v>
      </c>
      <c r="O2884" s="9" t="n">
        <f aca="false">IF(Tabla2[[#This Row],[Costos (En RD$/Tarea)]]=0,0,Tabla2[[#This Row],[Beneficio Neto  (En RD$/Tarea)]]/Tabla2[[#This Row],[Costos (En RD$/Tarea)]])</f>
        <v>0.42943878900708</v>
      </c>
      <c r="P2884" s="7" t="n">
        <f aca="false">Tabla2[[#This Row],[Rentabilidad (%)]]/12</f>
        <v>0.03578656575059</v>
      </c>
    </row>
    <row r="2885" customFormat="false" ht="14.25" hidden="false" customHeight="false" outlineLevel="0" collapsed="false">
      <c r="A2885" s="1" t="n">
        <v>43831</v>
      </c>
      <c r="B2885" s="2" t="s">
        <v>22</v>
      </c>
      <c r="C2885" s="3" t="n">
        <v>9353.86160201974</v>
      </c>
      <c r="D2885" s="8" t="s">
        <v>17</v>
      </c>
      <c r="E2885" s="3" t="n">
        <f aca="false">IF(Tabla2[[#This Row],[Frecuencia]]="Annual", Tabla2[[#This Row],[Cosecha/Tarea]]/12,Tabla2[[#This Row],[Cosecha/Tarea]])</f>
        <v>9353.86160201974</v>
      </c>
      <c r="F2885" s="3" t="n">
        <v>82144</v>
      </c>
      <c r="G2885" s="2" t="s">
        <v>18</v>
      </c>
      <c r="H2885" s="2" t="n">
        <f aca="false">F2885/Tabla2[[#This Row],[Cosecha Mensual]]</f>
        <v>8.78182760179635</v>
      </c>
      <c r="I2885" s="2" t="n">
        <f aca="false">H2885*_xlfn.XLOOKUP(Tabla2[[#This Row],[Unidad de producción]],Tabla3[Medida],Tabla3[Equivalencia en Kg],"ELVIS",0)</f>
        <v>398.343700017483</v>
      </c>
      <c r="J2885" s="2" t="n">
        <v>1651.22395833333</v>
      </c>
      <c r="K2885" s="2" t="s">
        <v>18</v>
      </c>
      <c r="L2885" s="2" t="n">
        <f aca="false">J2885/_xlfn.XLOOKUP(Tabla2[[#This Row],[Unidad de precio]],Tabla3[Medida],Tabla3[Equivalencia en Kg],"ELVIS",0)</f>
        <v>36.4026445840681</v>
      </c>
      <c r="M2885" s="2" t="n">
        <v>10873.3452772193</v>
      </c>
      <c r="N2885" s="3" t="n">
        <f aca="false">(Tabla2[[#This Row],[Productividad (kg/TAS)]]*Tabla2[[#This Row],[Precio por kg]]-Tabla2[[#This Row],[Costos (En RD$/Tarea)]])</f>
        <v>3627.41885681977</v>
      </c>
      <c r="O2885" s="9" t="n">
        <f aca="false">IF(Tabla2[[#This Row],[Costos (En RD$/Tarea)]]=0,0,Tabla2[[#This Row],[Beneficio Neto  (En RD$/Tarea)]]/Tabla2[[#This Row],[Costos (En RD$/Tarea)]])</f>
        <v>0.333606517988494</v>
      </c>
      <c r="P2885" s="7" t="n">
        <f aca="false">Tabla2[[#This Row],[Rentabilidad (%)]]/12</f>
        <v>0.0278005431657078</v>
      </c>
    </row>
    <row r="2886" customFormat="false" ht="14.25" hidden="false" customHeight="false" outlineLevel="0" collapsed="false">
      <c r="A2886" s="1" t="n">
        <v>43831</v>
      </c>
      <c r="B2886" s="2" t="s">
        <v>23</v>
      </c>
      <c r="C2886" s="3" t="n">
        <v>5102</v>
      </c>
      <c r="D2886" s="8" t="s">
        <v>17</v>
      </c>
      <c r="E2886" s="3" t="n">
        <f aca="false">IF(Tabla2[[#This Row],[Frecuencia]]="Annual", Tabla2[[#This Row],[Cosecha/Tarea]]/12,Tabla2[[#This Row],[Cosecha/Tarea]])</f>
        <v>5102</v>
      </c>
      <c r="F2886" s="3" t="n">
        <v>144598</v>
      </c>
      <c r="G2886" s="2" t="s">
        <v>18</v>
      </c>
      <c r="H2886" s="2" t="n">
        <f aca="false">F2886/Tabla2[[#This Row],[Cosecha Mensual]]</f>
        <v>28.3414347314779</v>
      </c>
      <c r="I2886" s="2" t="n">
        <f aca="false">H2886*_xlfn.XLOOKUP(Tabla2[[#This Row],[Unidad de producción]],Tabla3[Medida],Tabla3[Equivalencia en Kg],"ELVIS",0)</f>
        <v>1285.56747941984</v>
      </c>
      <c r="J2886" s="2" t="n">
        <v>1242.75</v>
      </c>
      <c r="K2886" s="2" t="s">
        <v>18</v>
      </c>
      <c r="L2886" s="2" t="n">
        <f aca="false">J2886/_xlfn.XLOOKUP(Tabla2[[#This Row],[Unidad de precio]],Tabla3[Medida],Tabla3[Equivalencia en Kg],"ELVIS",0)</f>
        <v>27.3974867724868</v>
      </c>
      <c r="M2886" s="2" t="n">
        <v>28931.455637377</v>
      </c>
      <c r="N2886" s="3" t="n">
        <f aca="false">(Tabla2[[#This Row],[Productividad (kg/TAS)]]*Tabla2[[#This Row],[Precio por kg]]-Tabla2[[#This Row],[Costos (En RD$/Tarea)]])</f>
        <v>6289.8623751671</v>
      </c>
      <c r="O2886" s="9" t="n">
        <f aca="false">IF(Tabla2[[#This Row],[Costos (En RD$/Tarea)]]=0,0,Tabla2[[#This Row],[Beneficio Neto  (En RD$/Tarea)]]/Tabla2[[#This Row],[Costos (En RD$/Tarea)]])</f>
        <v>0.217405665791704</v>
      </c>
      <c r="P2886" s="7" t="n">
        <f aca="false">Tabla2[[#This Row],[Rentabilidad (%)]]/12</f>
        <v>0.0181171388159754</v>
      </c>
    </row>
    <row r="2887" customFormat="false" ht="14.25" hidden="false" customHeight="false" outlineLevel="0" collapsed="false">
      <c r="A2887" s="1" t="n">
        <v>43831</v>
      </c>
      <c r="B2887" s="2" t="s">
        <v>24</v>
      </c>
      <c r="C2887" s="3" t="n">
        <v>5758</v>
      </c>
      <c r="D2887" s="8" t="s">
        <v>17</v>
      </c>
      <c r="E2887" s="3" t="n">
        <f aca="false">IF(Tabla2[[#This Row],[Frecuencia]]="Annual", Tabla2[[#This Row],[Cosecha/Tarea]]/12,Tabla2[[#This Row],[Cosecha/Tarea]])</f>
        <v>5758</v>
      </c>
      <c r="F2887" s="3" t="n">
        <v>66541</v>
      </c>
      <c r="G2887" s="2" t="s">
        <v>18</v>
      </c>
      <c r="H2887" s="2" t="n">
        <f aca="false">F2887/Tabla2[[#This Row],[Cosecha Mensual]]</f>
        <v>11.556269538034</v>
      </c>
      <c r="I2887" s="2" t="n">
        <f aca="false">H2887*_xlfn.XLOOKUP(Tabla2[[#This Row],[Unidad de producción]],Tabla3[Medida],Tabla3[Equivalencia en Kg],"ELVIS",0)</f>
        <v>524.192386245224</v>
      </c>
      <c r="J2887" s="2" t="n">
        <v>3077.64880952381</v>
      </c>
      <c r="K2887" s="2" t="s">
        <v>18</v>
      </c>
      <c r="L2887" s="2" t="n">
        <f aca="false">J2887/_xlfn.XLOOKUP(Tabla2[[#This Row],[Unidad de precio]],Tabla3[Medida],Tabla3[Equivalencia en Kg],"ELVIS",0)</f>
        <v>67.8494005626942</v>
      </c>
      <c r="M2887" s="2" t="n">
        <v>8997.82973620852</v>
      </c>
      <c r="N2887" s="3" t="n">
        <f aca="false">(Tabla2[[#This Row],[Productividad (kg/TAS)]]*Tabla2[[#This Row],[Precio por kg]]-Tabla2[[#This Row],[Costos (En RD$/Tarea)]])</f>
        <v>26568.3094500582</v>
      </c>
      <c r="O2887" s="9" t="n">
        <f aca="false">IF(Tabla2[[#This Row],[Costos (En RD$/Tarea)]]=0,0,Tabla2[[#This Row],[Beneficio Neto  (En RD$/Tarea)]]/Tabla2[[#This Row],[Costos (En RD$/Tarea)]])</f>
        <v>2.95274640985299</v>
      </c>
      <c r="P2887" s="7" t="n">
        <f aca="false">Tabla2[[#This Row],[Rentabilidad (%)]]/12</f>
        <v>0.246062200821083</v>
      </c>
    </row>
    <row r="2888" customFormat="false" ht="14.25" hidden="false" customHeight="false" outlineLevel="0" collapsed="false">
      <c r="A2888" s="1" t="n">
        <v>43831</v>
      </c>
      <c r="B2888" s="2" t="s">
        <v>25</v>
      </c>
      <c r="C2888" s="3" t="n">
        <v>26584</v>
      </c>
      <c r="D2888" s="8" t="s">
        <v>17</v>
      </c>
      <c r="E2888" s="3" t="n">
        <f aca="false">IF(Tabla2[[#This Row],[Frecuencia]]="Annual", Tabla2[[#This Row],[Cosecha/Tarea]]/12,Tabla2[[#This Row],[Cosecha/Tarea]])</f>
        <v>26584</v>
      </c>
      <c r="F2888" s="3" t="n">
        <v>279985</v>
      </c>
      <c r="G2888" s="2" t="s">
        <v>18</v>
      </c>
      <c r="H2888" s="2" t="n">
        <f aca="false">F2888/Tabla2[[#This Row],[Cosecha Mensual]]</f>
        <v>10.5320869696058</v>
      </c>
      <c r="I2888" s="2" t="n">
        <f aca="false">H2888*_xlfn.XLOOKUP(Tabla2[[#This Row],[Unidad de producción]],Tabla3[Medida],Tabla3[Equivalencia en Kg],"ELVIS",0)</f>
        <v>477.735464941318</v>
      </c>
      <c r="J2888" s="2" t="n">
        <v>741.012083333333</v>
      </c>
      <c r="K2888" s="2" t="s">
        <v>18</v>
      </c>
      <c r="L2888" s="2" t="n">
        <f aca="false">J2888/_xlfn.XLOOKUP(Tabla2[[#This Row],[Unidad de precio]],Tabla3[Medida],Tabla3[Equivalencia en Kg],"ELVIS",0)</f>
        <v>16.336245223398</v>
      </c>
      <c r="M2888" s="2" t="n">
        <v>5060.83945230923</v>
      </c>
      <c r="N2888" s="3" t="n">
        <f aca="false">(Tabla2[[#This Row],[Productividad (kg/TAS)]]*Tabla2[[#This Row],[Precio por kg]]-Tabla2[[#This Row],[Costos (En RD$/Tarea)]])</f>
        <v>2743.5642548862</v>
      </c>
      <c r="O2888" s="9" t="n">
        <f aca="false">IF(Tabla2[[#This Row],[Costos (En RD$/Tarea)]]=0,0,Tabla2[[#This Row],[Beneficio Neto  (En RD$/Tarea)]]/Tabla2[[#This Row],[Costos (En RD$/Tarea)]])</f>
        <v>0.542116437547594</v>
      </c>
      <c r="P2888" s="7" t="n">
        <f aca="false">Tabla2[[#This Row],[Rentabilidad (%)]]/12</f>
        <v>0.0451763697956328</v>
      </c>
    </row>
    <row r="2889" customFormat="false" ht="14.25" hidden="false" customHeight="false" outlineLevel="0" collapsed="false">
      <c r="A2889" s="1" t="n">
        <v>43831</v>
      </c>
      <c r="B2889" s="2" t="s">
        <v>26</v>
      </c>
      <c r="C2889" s="3" t="n">
        <v>13754</v>
      </c>
      <c r="D2889" s="8" t="s">
        <v>17</v>
      </c>
      <c r="E2889" s="3" t="n">
        <f aca="false">IF(Tabla2[[#This Row],[Frecuencia]]="Annual", Tabla2[[#This Row],[Cosecha/Tarea]]/12,Tabla2[[#This Row],[Cosecha/Tarea]])</f>
        <v>13754</v>
      </c>
      <c r="F2889" s="3" t="n">
        <v>88954</v>
      </c>
      <c r="G2889" s="2" t="s">
        <v>18</v>
      </c>
      <c r="H2889" s="2" t="n">
        <f aca="false">F2889/Tabla2[[#This Row],[Cosecha Mensual]]</f>
        <v>6.46750036353061</v>
      </c>
      <c r="I2889" s="2" t="n">
        <f aca="false">H2889*_xlfn.XLOOKUP(Tabla2[[#This Row],[Unidad de producción]],Tabla3[Medida],Tabla3[Equivalencia en Kg],"ELVIS",0)</f>
        <v>293.365816489748</v>
      </c>
      <c r="J2889" s="2" t="n">
        <v>795.647619047619</v>
      </c>
      <c r="K2889" s="2" t="s">
        <v>18</v>
      </c>
      <c r="L2889" s="2" t="n">
        <f aca="false">J2889/_xlfn.XLOOKUP(Tabla2[[#This Row],[Unidad de precio]],Tabla3[Medida],Tabla3[Equivalencia en Kg],"ELVIS",0)</f>
        <v>17.5407323423196</v>
      </c>
      <c r="M2889" s="2" t="n">
        <v>1789.84398526912</v>
      </c>
      <c r="N2889" s="3" t="n">
        <f aca="false">(Tabla2[[#This Row],[Productividad (kg/TAS)]]*Tabla2[[#This Row],[Precio por kg]]-Tabla2[[#This Row],[Costos (En RD$/Tarea)]])</f>
        <v>3356.00728016362</v>
      </c>
      <c r="O2889" s="9" t="n">
        <f aca="false">IF(Tabla2[[#This Row],[Costos (En RD$/Tarea)]]=0,0,Tabla2[[#This Row],[Beneficio Neto  (En RD$/Tarea)]]/Tabla2[[#This Row],[Costos (En RD$/Tarea)]])</f>
        <v>1.87502782800313</v>
      </c>
      <c r="P2889" s="7" t="n">
        <f aca="false">Tabla2[[#This Row],[Rentabilidad (%)]]/12</f>
        <v>0.156252319000261</v>
      </c>
    </row>
    <row r="2890" customFormat="false" ht="14.25" hidden="false" customHeight="false" outlineLevel="0" collapsed="false">
      <c r="A2890" s="1" t="n">
        <v>43831</v>
      </c>
      <c r="B2890" s="2" t="s">
        <v>27</v>
      </c>
      <c r="C2890" s="3" t="n">
        <v>7105</v>
      </c>
      <c r="D2890" s="8" t="s">
        <v>17</v>
      </c>
      <c r="E2890" s="3" t="n">
        <f aca="false">IF(Tabla2[[#This Row],[Frecuencia]]="Annual", Tabla2[[#This Row],[Cosecha/Tarea]]/12,Tabla2[[#This Row],[Cosecha/Tarea]])</f>
        <v>7105</v>
      </c>
      <c r="F2890" s="3" t="n">
        <v>58547</v>
      </c>
      <c r="G2890" s="2" t="s">
        <v>18</v>
      </c>
      <c r="H2890" s="2" t="n">
        <f aca="false">F2890/Tabla2[[#This Row],[Cosecha Mensual]]</f>
        <v>8.2402533427164</v>
      </c>
      <c r="I2890" s="2" t="n">
        <f aca="false">H2890*_xlfn.XLOOKUP(Tabla2[[#This Row],[Unidad de producción]],Tabla3[Medida],Tabla3[Equivalencia en Kg],"ELVIS",0)</f>
        <v>373.777891625616</v>
      </c>
      <c r="J2890" s="2" t="n">
        <v>779.948412698413</v>
      </c>
      <c r="K2890" s="2" t="s">
        <v>18</v>
      </c>
      <c r="L2890" s="2" t="n">
        <f aca="false">J2890/_xlfn.XLOOKUP(Tabla2[[#This Row],[Unidad de precio]],Tabla3[Medida],Tabla3[Equivalencia en Kg],"ELVIS",0)</f>
        <v>17.194629909577</v>
      </c>
      <c r="M2890" s="2" t="n">
        <v>9891.72566090888</v>
      </c>
      <c r="N2890" s="3" t="n">
        <f aca="false">(Tabla2[[#This Row],[Productividad (kg/TAS)]]*Tabla2[[#This Row],[Precio por kg]]-Tabla2[[#This Row],[Costos (En RD$/Tarea)]])</f>
        <v>-3464.75314602443</v>
      </c>
      <c r="O2890" s="9" t="n">
        <f aca="false">IF(Tabla2[[#This Row],[Costos (En RD$/Tarea)]]=0,0,Tabla2[[#This Row],[Beneficio Neto  (En RD$/Tarea)]]/Tabla2[[#This Row],[Costos (En RD$/Tarea)]])</f>
        <v>-0.350267816233197</v>
      </c>
      <c r="P2890" s="7" t="n">
        <f aca="false">Tabla2[[#This Row],[Rentabilidad (%)]]/12</f>
        <v>-0.0291889846860998</v>
      </c>
    </row>
    <row r="2891" customFormat="false" ht="14.25" hidden="false" customHeight="false" outlineLevel="0" collapsed="false">
      <c r="A2891" s="1" t="n">
        <v>43831</v>
      </c>
      <c r="B2891" s="2" t="s">
        <v>28</v>
      </c>
      <c r="C2891" s="3" t="n">
        <v>72972.9999999999</v>
      </c>
      <c r="D2891" s="8" t="s">
        <v>17</v>
      </c>
      <c r="E2891" s="3" t="n">
        <f aca="false">IF(Tabla2[[#This Row],[Frecuencia]]="Annual", Tabla2[[#This Row],[Cosecha/Tarea]]/12,Tabla2[[#This Row],[Cosecha/Tarea]])</f>
        <v>72972.9999999999</v>
      </c>
      <c r="F2891" s="3" t="n">
        <v>1283982.8</v>
      </c>
      <c r="G2891" s="2" t="s">
        <v>18</v>
      </c>
      <c r="H2891" s="2" t="n">
        <f aca="false">F2891/Tabla2[[#This Row],[Cosecha Mensual]]</f>
        <v>17.5953133350692</v>
      </c>
      <c r="I2891" s="2" t="n">
        <f aca="false">H2891*_xlfn.XLOOKUP(Tabla2[[#This Row],[Unidad de producción]],Tabla3[Medida],Tabla3[Equivalencia en Kg],"ELVIS",0)</f>
        <v>798.123412878737</v>
      </c>
      <c r="J2891" s="2" t="n">
        <v>3391.66666666667</v>
      </c>
      <c r="K2891" s="2" t="s">
        <v>29</v>
      </c>
      <c r="L2891" s="2" t="n">
        <f aca="false">J2891/_xlfn.XLOOKUP(Tabla2[[#This Row],[Unidad de precio]],Tabla3[Medida],Tabla3[Equivalencia en Kg],"ELVIS",0)</f>
        <v>6.03134521226779</v>
      </c>
      <c r="M2891" s="2" t="n">
        <v>13735.1419088583</v>
      </c>
      <c r="N2891" s="3" t="n">
        <f aca="false">(Tabla2[[#This Row],[Productividad (kg/TAS)]]*Tabla2[[#This Row],[Precio por kg]]-Tabla2[[#This Row],[Costos (En RD$/Tarea)]])</f>
        <v>-8921.3840837933</v>
      </c>
      <c r="O2891" s="9" t="n">
        <f aca="false">IF(Tabla2[[#This Row],[Costos (En RD$/Tarea)]]=0,0,Tabla2[[#This Row],[Beneficio Neto  (En RD$/Tarea)]]/Tabla2[[#This Row],[Costos (En RD$/Tarea)]])</f>
        <v>-0.649529807772832</v>
      </c>
      <c r="P2891" s="7" t="n">
        <f aca="false">Tabla2[[#This Row],[Rentabilidad (%)]]/12</f>
        <v>-0.0541274839810693</v>
      </c>
    </row>
    <row r="2892" customFormat="false" ht="14.25" hidden="false" customHeight="false" outlineLevel="0" collapsed="false">
      <c r="A2892" s="1" t="n">
        <v>43831</v>
      </c>
      <c r="B2892" s="2" t="s">
        <v>30</v>
      </c>
      <c r="C2892" s="3" t="n">
        <v>456254</v>
      </c>
      <c r="D2892" s="3" t="s">
        <v>31</v>
      </c>
      <c r="E2892" s="3" t="n">
        <f aca="false">IF(Tabla2[[#This Row],[Frecuencia]]="Annual", Tabla2[[#This Row],[Cosecha/Tarea]]/12,Tabla2[[#This Row],[Cosecha/Tarea]])</f>
        <v>38021.1666666667</v>
      </c>
      <c r="F2892" s="3" t="n">
        <v>2089834.8</v>
      </c>
      <c r="G2892" s="2" t="s">
        <v>18</v>
      </c>
      <c r="H2892" s="2" t="n">
        <f aca="false">F2892/Tabla2[[#This Row],[Cosecha Mensual]]</f>
        <v>54.9650361421489</v>
      </c>
      <c r="I2892" s="2" t="n">
        <f aca="false">H2892*_xlfn.XLOOKUP(Tabla2[[#This Row],[Unidad de producción]],Tabla3[Medida],Tabla3[Equivalencia en Kg],"ELVIS",0)</f>
        <v>2493.21403940787</v>
      </c>
      <c r="J2892" s="2" t="n">
        <v>186.91875</v>
      </c>
      <c r="K2892" s="2" t="s">
        <v>32</v>
      </c>
      <c r="L2892" s="2" t="n">
        <f aca="false">J2892/_xlfn.XLOOKUP(Tabla2[[#This Row],[Unidad de precio]],Tabla3[Medida],Tabla3[Equivalencia en Kg],"ELVIS",0)</f>
        <v>6.86948732083793</v>
      </c>
      <c r="M2892" s="3" t="n">
        <v>38019.0770714752</v>
      </c>
      <c r="N2892" s="3" t="n">
        <f aca="false">(Tabla2[[#This Row],[Productividad (kg/TAS)]]*Tabla2[[#This Row],[Precio por kg]]-Tabla2[[#This Row],[Costos (En RD$/Tarea)]])</f>
        <v>-20891.9748396277</v>
      </c>
      <c r="O2892" s="9" t="n">
        <f aca="false">IF(Tabla2[[#This Row],[Costos (En RD$/Tarea)]]=0,0,Tabla2[[#This Row],[Beneficio Neto  (En RD$/Tarea)]]/Tabla2[[#This Row],[Costos (En RD$/Tarea)]])</f>
        <v>-0.549512940578519</v>
      </c>
      <c r="P2892" s="7" t="n">
        <f aca="false">Tabla2[[#This Row],[Rentabilidad (%)]]/12</f>
        <v>-0.04579274504821</v>
      </c>
    </row>
    <row r="2893" customFormat="false" ht="14.25" hidden="false" customHeight="false" outlineLevel="0" collapsed="false">
      <c r="A2893" s="1" t="n">
        <v>43831</v>
      </c>
      <c r="B2893" s="2" t="s">
        <v>33</v>
      </c>
      <c r="C2893" s="3" t="n">
        <v>667885.859386129</v>
      </c>
      <c r="D2893" s="3" t="s">
        <v>31</v>
      </c>
      <c r="E2893" s="3" t="n">
        <f aca="false">IF(Tabla2[[#This Row],[Frecuencia]]="Annual", Tabla2[[#This Row],[Cosecha/Tarea]]/12,Tabla2[[#This Row],[Cosecha/Tarea]])</f>
        <v>55657.1549488441</v>
      </c>
      <c r="F2893" s="3" t="n">
        <v>1359225</v>
      </c>
      <c r="G2893" s="2" t="s">
        <v>18</v>
      </c>
      <c r="H2893" s="2" t="n">
        <f aca="false">F2893/Tabla2[[#This Row],[Cosecha Mensual]]</f>
        <v>24.4213884315377</v>
      </c>
      <c r="I2893" s="2" t="n">
        <f aca="false">H2893*_xlfn.XLOOKUP(Tabla2[[#This Row],[Unidad de producción]],Tabla3[Medida],Tabla3[Equivalencia en Kg],"ELVIS",0)</f>
        <v>1107.75417925455</v>
      </c>
      <c r="J2893" s="2" t="n">
        <v>10648.9697916667</v>
      </c>
      <c r="K2893" s="2" t="s">
        <v>34</v>
      </c>
      <c r="L2893" s="2" t="n">
        <f aca="false">J2893/_xlfn.XLOOKUP(Tabla2[[#This Row],[Unidad de precio]],Tabla3[Medida],Tabla3[Equivalencia en Kg],"ELVIS",0)</f>
        <v>26.0908239413615</v>
      </c>
      <c r="M2893" s="3" t="n">
        <v>33327.4212424613</v>
      </c>
      <c r="N2893" s="3" t="n">
        <f aca="false">(Tabla2[[#This Row],[Productividad (kg/TAS)]]*Tabla2[[#This Row],[Precio por kg]]-Tabla2[[#This Row],[Costos (En RD$/Tarea)]])</f>
        <v>-4425.20198122346</v>
      </c>
      <c r="O2893" s="9" t="n">
        <f aca="false">IF(Tabla2[[#This Row],[Costos (En RD$/Tarea)]]=0,0,Tabla2[[#This Row],[Beneficio Neto  (En RD$/Tarea)]]/Tabla2[[#This Row],[Costos (En RD$/Tarea)]])</f>
        <v>-0.132779609590239</v>
      </c>
      <c r="P2893" s="7" t="n">
        <f aca="false">Tabla2[[#This Row],[Rentabilidad (%)]]/12</f>
        <v>-0.0110649674658533</v>
      </c>
    </row>
    <row r="2894" customFormat="false" ht="14.25" hidden="false" customHeight="false" outlineLevel="0" collapsed="false">
      <c r="A2894" s="1" t="n">
        <v>43862</v>
      </c>
      <c r="B2894" s="2" t="s">
        <v>16</v>
      </c>
      <c r="C2894" s="3" t="n">
        <v>6810</v>
      </c>
      <c r="D2894" s="8" t="s">
        <v>17</v>
      </c>
      <c r="E2894" s="3" t="n">
        <f aca="false">IF(Tabla2[[#This Row],[Frecuencia]]="Annual", Tabla2[[#This Row],[Cosecha/Tarea]]/12,Tabla2[[#This Row],[Cosecha/Tarea]])</f>
        <v>6810</v>
      </c>
      <c r="F2894" s="3" t="n">
        <v>35841</v>
      </c>
      <c r="G2894" s="2" t="s">
        <v>18</v>
      </c>
      <c r="H2894" s="2" t="n">
        <f aca="false">F2894/Tabla2[[#This Row],[Cosecha Mensual]]</f>
        <v>5.26299559471366</v>
      </c>
      <c r="I2894" s="2" t="n">
        <f aca="false">H2894*_xlfn.XLOOKUP(Tabla2[[#This Row],[Unidad de producción]],Tabla3[Medida],Tabla3[Equivalencia en Kg],"ELVIS",0)</f>
        <v>238.729480176211</v>
      </c>
      <c r="J2894" s="2" t="n">
        <v>2319.73384366214</v>
      </c>
      <c r="K2894" s="2" t="s">
        <v>19</v>
      </c>
      <c r="L2894" s="2" t="n">
        <f aca="false">J2894/_xlfn.XLOOKUP(Tabla2[[#This Row],[Unidad de precio]],Tabla3[Medida],Tabla3[Equivalencia en Kg],"ELVIS",0)</f>
        <v>21.0884894878376</v>
      </c>
      <c r="M2894" s="2" t="n">
        <v>7092.59436898665</v>
      </c>
      <c r="N2894" s="3" t="n">
        <f aca="false">(Tabla2[[#This Row],[Productividad (kg/TAS)]]*Tabla2[[#This Row],[Precio por kg]]-Tabla2[[#This Row],[Costos (En RD$/Tarea)]])</f>
        <v>-2058.15023585367</v>
      </c>
      <c r="O2894" s="9" t="n">
        <f aca="false">IF(Tabla2[[#This Row],[Costos (En RD$/Tarea)]]=0,0,Tabla2[[#This Row],[Beneficio Neto  (En RD$/Tarea)]]/Tabla2[[#This Row],[Costos (En RD$/Tarea)]])</f>
        <v>-0.290182989295598</v>
      </c>
      <c r="P2894" s="7" t="n">
        <f aca="false">Tabla2[[#This Row],[Rentabilidad (%)]]/12</f>
        <v>-0.0241819157746332</v>
      </c>
    </row>
    <row r="2895" customFormat="false" ht="14.25" hidden="false" customHeight="false" outlineLevel="0" collapsed="false">
      <c r="A2895" s="1" t="n">
        <v>43862</v>
      </c>
      <c r="B2895" s="2" t="s">
        <v>20</v>
      </c>
      <c r="C2895" s="3" t="n">
        <v>33345</v>
      </c>
      <c r="D2895" s="8" t="s">
        <v>17</v>
      </c>
      <c r="E2895" s="3" t="n">
        <f aca="false">IF(Tabla2[[#This Row],[Frecuencia]]="Annual", Tabla2[[#This Row],[Cosecha/Tarea]]/12,Tabla2[[#This Row],[Cosecha/Tarea]])</f>
        <v>33345</v>
      </c>
      <c r="F2895" s="3" t="n">
        <v>82541</v>
      </c>
      <c r="G2895" s="2" t="s">
        <v>18</v>
      </c>
      <c r="H2895" s="2" t="n">
        <f aca="false">F2895/Tabla2[[#This Row],[Cosecha Mensual]]</f>
        <v>2.47536362273204</v>
      </c>
      <c r="I2895" s="2" t="n">
        <f aca="false">H2895*_xlfn.XLOOKUP(Tabla2[[#This Row],[Unidad de producción]],Tabla3[Medida],Tabla3[Equivalencia en Kg],"ELVIS",0)</f>
        <v>112.282493927126</v>
      </c>
      <c r="J2895" s="2" t="n">
        <v>892.875</v>
      </c>
      <c r="K2895" s="2" t="s">
        <v>18</v>
      </c>
      <c r="L2895" s="2" t="n">
        <f aca="false">J2895/_xlfn.XLOOKUP(Tabla2[[#This Row],[Unidad de precio]],Tabla3[Medida],Tabla3[Equivalencia en Kg],"ELVIS",0)</f>
        <v>19.6841931216931</v>
      </c>
      <c r="M2895" s="2" t="n">
        <v>2584.15468583726</v>
      </c>
      <c r="N2895" s="3" t="n">
        <f aca="false">(Tabla2[[#This Row],[Productividad (kg/TAS)]]*Tabla2[[#This Row],[Precio por kg]]-Tabla2[[#This Row],[Costos (En RD$/Tarea)]])</f>
        <v>-373.964391190386</v>
      </c>
      <c r="O2895" s="9" t="n">
        <f aca="false">IF(Tabla2[[#This Row],[Costos (En RD$/Tarea)]]=0,0,Tabla2[[#This Row],[Beneficio Neto  (En RD$/Tarea)]]/Tabla2[[#This Row],[Costos (En RD$/Tarea)]])</f>
        <v>-0.144714398576811</v>
      </c>
      <c r="P2895" s="7" t="n">
        <f aca="false">Tabla2[[#This Row],[Rentabilidad (%)]]/12</f>
        <v>-0.0120595332147342</v>
      </c>
    </row>
    <row r="2896" customFormat="false" ht="14.25" hidden="false" customHeight="false" outlineLevel="0" collapsed="false">
      <c r="A2896" s="1" t="n">
        <v>43862</v>
      </c>
      <c r="B2896" s="2" t="s">
        <v>21</v>
      </c>
      <c r="C2896" s="3" t="n">
        <v>12011</v>
      </c>
      <c r="D2896" s="8" t="s">
        <v>17</v>
      </c>
      <c r="E2896" s="3" t="n">
        <f aca="false">IF(Tabla2[[#This Row],[Frecuencia]]="Annual", Tabla2[[#This Row],[Cosecha/Tarea]]/12,Tabla2[[#This Row],[Cosecha/Tarea]])</f>
        <v>12011</v>
      </c>
      <c r="F2896" s="3" t="n">
        <v>162275</v>
      </c>
      <c r="G2896" s="2" t="s">
        <v>18</v>
      </c>
      <c r="H2896" s="2" t="n">
        <f aca="false">F2896/Tabla2[[#This Row],[Cosecha Mensual]]</f>
        <v>13.510532012322</v>
      </c>
      <c r="I2896" s="2" t="n">
        <f aca="false">H2896*_xlfn.XLOOKUP(Tabla2[[#This Row],[Unidad de producción]],Tabla3[Medida],Tabla3[Equivalencia en Kg],"ELVIS",0)</f>
        <v>612.837732078928</v>
      </c>
      <c r="J2896" s="2" t="n">
        <v>503.52880952381</v>
      </c>
      <c r="K2896" s="2" t="s">
        <v>18</v>
      </c>
      <c r="L2896" s="2" t="n">
        <f aca="false">J2896/_xlfn.XLOOKUP(Tabla2[[#This Row],[Unidad de precio]],Tabla3[Medida],Tabla3[Equivalencia en Kg],"ELVIS",0)</f>
        <v>11.100723314017</v>
      </c>
      <c r="M2896" s="2" t="n">
        <v>6271.46010735965</v>
      </c>
      <c r="N2896" s="3" t="n">
        <f aca="false">(Tabla2[[#This Row],[Productividad (kg/TAS)]]*Tabla2[[#This Row],[Precio por kg]]-Tabla2[[#This Row],[Costos (En RD$/Tarea)]])</f>
        <v>531.481992838191</v>
      </c>
      <c r="O2896" s="9" t="n">
        <f aca="false">IF(Tabla2[[#This Row],[Costos (En RD$/Tarea)]]=0,0,Tabla2[[#This Row],[Beneficio Neto  (En RD$/Tarea)]]/Tabla2[[#This Row],[Costos (En RD$/Tarea)]])</f>
        <v>0.0847461330758509</v>
      </c>
      <c r="P2896" s="7" t="n">
        <f aca="false">Tabla2[[#This Row],[Rentabilidad (%)]]/12</f>
        <v>0.00706217775632091</v>
      </c>
    </row>
    <row r="2897" customFormat="false" ht="14.25" hidden="false" customHeight="false" outlineLevel="0" collapsed="false">
      <c r="A2897" s="1" t="n">
        <v>43862</v>
      </c>
      <c r="B2897" s="2" t="s">
        <v>22</v>
      </c>
      <c r="C2897" s="3" t="n">
        <v>10015.4250085412</v>
      </c>
      <c r="D2897" s="8" t="s">
        <v>17</v>
      </c>
      <c r="E2897" s="3" t="n">
        <f aca="false">IF(Tabla2[[#This Row],[Frecuencia]]="Annual", Tabla2[[#This Row],[Cosecha/Tarea]]/12,Tabla2[[#This Row],[Cosecha/Tarea]])</f>
        <v>10015.4250085412</v>
      </c>
      <c r="F2897" s="3" t="n">
        <v>85244</v>
      </c>
      <c r="G2897" s="2" t="s">
        <v>18</v>
      </c>
      <c r="H2897" s="2" t="n">
        <f aca="false">F2897/Tabla2[[#This Row],[Cosecha Mensual]]</f>
        <v>8.5112713566627</v>
      </c>
      <c r="I2897" s="2" t="n">
        <f aca="false">H2897*_xlfn.XLOOKUP(Tabla2[[#This Row],[Unidad de producción]],Tabla3[Medida],Tabla3[Equivalencia en Kg],"ELVIS",0)</f>
        <v>386.07126873822</v>
      </c>
      <c r="J2897" s="2" t="n">
        <v>1661.1796875</v>
      </c>
      <c r="K2897" s="2" t="s">
        <v>18</v>
      </c>
      <c r="L2897" s="2" t="n">
        <f aca="false">J2897/_xlfn.XLOOKUP(Tabla2[[#This Row],[Unidad de precio]],Tabla3[Medida],Tabla3[Equivalencia en Kg],"ELVIS",0)</f>
        <v>36.6221271494709</v>
      </c>
      <c r="M2897" s="2" t="n">
        <v>10873.3452772193</v>
      </c>
      <c r="N2897" s="3" t="n">
        <f aca="false">(Tabla2[[#This Row],[Productividad (kg/TAS)]]*Tabla2[[#This Row],[Precio por kg]]-Tabla2[[#This Row],[Costos (En RD$/Tarea)]])</f>
        <v>3265.40581526935</v>
      </c>
      <c r="O2897" s="9" t="n">
        <f aca="false">IF(Tabla2[[#This Row],[Costos (En RD$/Tarea)]]=0,0,Tabla2[[#This Row],[Beneficio Neto  (En RD$/Tarea)]]/Tabla2[[#This Row],[Costos (En RD$/Tarea)]])</f>
        <v>0.300312896538905</v>
      </c>
      <c r="P2897" s="7" t="n">
        <f aca="false">Tabla2[[#This Row],[Rentabilidad (%)]]/12</f>
        <v>0.0250260747115754</v>
      </c>
    </row>
    <row r="2898" customFormat="false" ht="14.25" hidden="false" customHeight="false" outlineLevel="0" collapsed="false">
      <c r="A2898" s="1" t="n">
        <v>43862</v>
      </c>
      <c r="B2898" s="2" t="s">
        <v>23</v>
      </c>
      <c r="C2898" s="3" t="n">
        <v>5598</v>
      </c>
      <c r="D2898" s="8" t="s">
        <v>17</v>
      </c>
      <c r="E2898" s="3" t="n">
        <f aca="false">IF(Tabla2[[#This Row],[Frecuencia]]="Annual", Tabla2[[#This Row],[Cosecha/Tarea]]/12,Tabla2[[#This Row],[Cosecha/Tarea]])</f>
        <v>5598</v>
      </c>
      <c r="F2898" s="3" t="n">
        <v>216479</v>
      </c>
      <c r="G2898" s="2" t="s">
        <v>18</v>
      </c>
      <c r="H2898" s="2" t="n">
        <f aca="false">F2898/Tabla2[[#This Row],[Cosecha Mensual]]</f>
        <v>38.6707752768846</v>
      </c>
      <c r="I2898" s="2" t="n">
        <f aca="false">H2898*_xlfn.XLOOKUP(Tabla2[[#This Row],[Unidad de producción]],Tabla3[Medida],Tabla3[Equivalencia en Kg],"ELVIS",0)</f>
        <v>1754.10636655949</v>
      </c>
      <c r="J2898" s="2" t="n">
        <v>972.916666666667</v>
      </c>
      <c r="K2898" s="2" t="s">
        <v>18</v>
      </c>
      <c r="L2898" s="2" t="n">
        <f aca="false">J2898/_xlfn.XLOOKUP(Tabla2[[#This Row],[Unidad de precio]],Tabla3[Medida],Tabla3[Equivalencia en Kg],"ELVIS",0)</f>
        <v>21.4487801293357</v>
      </c>
      <c r="M2898" s="2" t="n">
        <v>28931.455637377</v>
      </c>
      <c r="N2898" s="3" t="n">
        <f aca="false">(Tabla2[[#This Row],[Productividad (kg/TAS)]]*Tabla2[[#This Row],[Precio por kg]]-Tabla2[[#This Row],[Costos (En RD$/Tarea)]])</f>
        <v>8691.98614242533</v>
      </c>
      <c r="O2898" s="9" t="n">
        <f aca="false">IF(Tabla2[[#This Row],[Costos (En RD$/Tarea)]]=0,0,Tabla2[[#This Row],[Beneficio Neto  (En RD$/Tarea)]]/Tabla2[[#This Row],[Costos (En RD$/Tarea)]])</f>
        <v>0.300433764943234</v>
      </c>
      <c r="P2898" s="7" t="n">
        <f aca="false">Tabla2[[#This Row],[Rentabilidad (%)]]/12</f>
        <v>0.0250361470786028</v>
      </c>
    </row>
    <row r="2899" customFormat="false" ht="14.25" hidden="false" customHeight="false" outlineLevel="0" collapsed="false">
      <c r="A2899" s="1" t="n">
        <v>43862</v>
      </c>
      <c r="B2899" s="2" t="s">
        <v>24</v>
      </c>
      <c r="C2899" s="3" t="n">
        <v>7624</v>
      </c>
      <c r="D2899" s="8" t="s">
        <v>17</v>
      </c>
      <c r="E2899" s="3" t="n">
        <f aca="false">IF(Tabla2[[#This Row],[Frecuencia]]="Annual", Tabla2[[#This Row],[Cosecha/Tarea]]/12,Tabla2[[#This Row],[Cosecha/Tarea]])</f>
        <v>7624</v>
      </c>
      <c r="F2899" s="3" t="n">
        <v>67451</v>
      </c>
      <c r="G2899" s="2" t="s">
        <v>18</v>
      </c>
      <c r="H2899" s="2" t="n">
        <f aca="false">F2899/Tabla2[[#This Row],[Cosecha Mensual]]</f>
        <v>8.84719307450157</v>
      </c>
      <c r="I2899" s="2" t="n">
        <f aca="false">H2899*_xlfn.XLOOKUP(Tabla2[[#This Row],[Unidad de producción]],Tabla3[Medida],Tabla3[Equivalencia en Kg],"ELVIS",0)</f>
        <v>401.308677859391</v>
      </c>
      <c r="J2899" s="2" t="n">
        <v>3060.13697916667</v>
      </c>
      <c r="K2899" s="2" t="s">
        <v>18</v>
      </c>
      <c r="L2899" s="2" t="n">
        <f aca="false">J2899/_xlfn.XLOOKUP(Tabla2[[#This Row],[Unidad de precio]],Tabla3[Medida],Tabla3[Equivalencia en Kg],"ELVIS",0)</f>
        <v>67.4633372832158</v>
      </c>
      <c r="M2899" s="2" t="n">
        <v>8997.82973620852</v>
      </c>
      <c r="N2899" s="3" t="n">
        <f aca="false">(Tabla2[[#This Row],[Productividad (kg/TAS)]]*Tabla2[[#This Row],[Precio por kg]]-Tabla2[[#This Row],[Costos (En RD$/Tarea)]])</f>
        <v>18075.792952901</v>
      </c>
      <c r="O2899" s="9" t="n">
        <f aca="false">IF(Tabla2[[#This Row],[Costos (En RD$/Tarea)]]=0,0,Tabla2[[#This Row],[Beneficio Neto  (En RD$/Tarea)]]/Tabla2[[#This Row],[Costos (En RD$/Tarea)]])</f>
        <v>2.00890586761844</v>
      </c>
      <c r="P2899" s="7" t="n">
        <f aca="false">Tabla2[[#This Row],[Rentabilidad (%)]]/12</f>
        <v>0.167408822301537</v>
      </c>
    </row>
    <row r="2900" customFormat="false" ht="14.25" hidden="false" customHeight="false" outlineLevel="0" collapsed="false">
      <c r="A2900" s="1" t="n">
        <v>43862</v>
      </c>
      <c r="B2900" s="2" t="s">
        <v>25</v>
      </c>
      <c r="C2900" s="3" t="n">
        <v>36021</v>
      </c>
      <c r="D2900" s="8" t="s">
        <v>17</v>
      </c>
      <c r="E2900" s="3" t="n">
        <f aca="false">IF(Tabla2[[#This Row],[Frecuencia]]="Annual", Tabla2[[#This Row],[Cosecha/Tarea]]/12,Tabla2[[#This Row],[Cosecha/Tarea]])</f>
        <v>36021</v>
      </c>
      <c r="F2900" s="3" t="n">
        <v>410211</v>
      </c>
      <c r="G2900" s="2" t="s">
        <v>18</v>
      </c>
      <c r="H2900" s="2" t="n">
        <f aca="false">F2900/Tabla2[[#This Row],[Cosecha Mensual]]</f>
        <v>11.3881069376197</v>
      </c>
      <c r="I2900" s="2" t="n">
        <f aca="false">H2900*_xlfn.XLOOKUP(Tabla2[[#This Row],[Unidad de producción]],Tabla3[Medida],Tabla3[Equivalencia en Kg],"ELVIS",0)</f>
        <v>516.564530690431</v>
      </c>
      <c r="J2900" s="2" t="n">
        <v>679.497265625</v>
      </c>
      <c r="K2900" s="2" t="s">
        <v>18</v>
      </c>
      <c r="L2900" s="2" t="n">
        <f aca="false">J2900/_xlfn.XLOOKUP(Tabla2[[#This Row],[Unidad de precio]],Tabla3[Medida],Tabla3[Equivalencia en Kg],"ELVIS",0)</f>
        <v>14.9800984485229</v>
      </c>
      <c r="M2900" s="2" t="n">
        <v>5060.83945230923</v>
      </c>
      <c r="N2900" s="3" t="n">
        <f aca="false">(Tabla2[[#This Row],[Productividad (kg/TAS)]]*Tabla2[[#This Row],[Precio por kg]]-Tabla2[[#This Row],[Costos (En RD$/Tarea)]])</f>
        <v>2677.34807244846</v>
      </c>
      <c r="O2900" s="9" t="n">
        <f aca="false">IF(Tabla2[[#This Row],[Costos (En RD$/Tarea)]]=0,0,Tabla2[[#This Row],[Beneficio Neto  (En RD$/Tarea)]]/Tabla2[[#This Row],[Costos (En RD$/Tarea)]])</f>
        <v>0.529032406121242</v>
      </c>
      <c r="P2900" s="7" t="n">
        <f aca="false">Tabla2[[#This Row],[Rentabilidad (%)]]/12</f>
        <v>0.0440860338434369</v>
      </c>
    </row>
    <row r="2901" customFormat="false" ht="14.25" hidden="false" customHeight="false" outlineLevel="0" collapsed="false">
      <c r="A2901" s="1" t="n">
        <v>43862</v>
      </c>
      <c r="B2901" s="2" t="s">
        <v>26</v>
      </c>
      <c r="C2901" s="3" t="n">
        <v>12324.4521202469</v>
      </c>
      <c r="D2901" s="8" t="s">
        <v>17</v>
      </c>
      <c r="E2901" s="3" t="n">
        <f aca="false">IF(Tabla2[[#This Row],[Frecuencia]]="Annual", Tabla2[[#This Row],[Cosecha/Tarea]]/12,Tabla2[[#This Row],[Cosecha/Tarea]])</f>
        <v>12324.4521202469</v>
      </c>
      <c r="F2901" s="3" t="n">
        <v>87405</v>
      </c>
      <c r="G2901" s="2" t="s">
        <v>18</v>
      </c>
      <c r="H2901" s="2" t="n">
        <f aca="false">F2901/Tabla2[[#This Row],[Cosecha Mensual]]</f>
        <v>7.09199882860586</v>
      </c>
      <c r="I2901" s="2" t="n">
        <f aca="false">H2901*_xlfn.XLOOKUP(Tabla2[[#This Row],[Unidad de producción]],Tabla3[Medida],Tabla3[Equivalencia en Kg],"ELVIS",0)</f>
        <v>321.693066865562</v>
      </c>
      <c r="J2901" s="2" t="n">
        <v>784.388020833333</v>
      </c>
      <c r="K2901" s="2" t="s">
        <v>18</v>
      </c>
      <c r="L2901" s="2" t="n">
        <f aca="false">J2901/_xlfn.XLOOKUP(Tabla2[[#This Row],[Unidad de precio]],Tabla3[Medida],Tabla3[Equivalencia en Kg],"ELVIS",0)</f>
        <v>17.2925048684597</v>
      </c>
      <c r="M2901" s="2" t="n">
        <v>1789.84398526912</v>
      </c>
      <c r="N2901" s="3" t="n">
        <f aca="false">(Tabla2[[#This Row],[Productividad (kg/TAS)]]*Tabla2[[#This Row],[Precio por kg]]-Tabla2[[#This Row],[Costos (En RD$/Tarea)]])</f>
        <v>3773.03493965335</v>
      </c>
      <c r="O2901" s="9" t="n">
        <f aca="false">IF(Tabla2[[#This Row],[Costos (En RD$/Tarea)]]=0,0,Tabla2[[#This Row],[Beneficio Neto  (En RD$/Tarea)]]/Tabla2[[#This Row],[Costos (En RD$/Tarea)]])</f>
        <v>2.10802448185786</v>
      </c>
      <c r="P2901" s="7" t="n">
        <f aca="false">Tabla2[[#This Row],[Rentabilidad (%)]]/12</f>
        <v>0.175668706821488</v>
      </c>
    </row>
    <row r="2902" customFormat="false" ht="14.25" hidden="false" customHeight="false" outlineLevel="0" collapsed="false">
      <c r="A2902" s="1" t="n">
        <v>43862</v>
      </c>
      <c r="B2902" s="2" t="s">
        <v>27</v>
      </c>
      <c r="C2902" s="3" t="n">
        <v>7012</v>
      </c>
      <c r="D2902" s="8" t="s">
        <v>17</v>
      </c>
      <c r="E2902" s="3" t="n">
        <f aca="false">IF(Tabla2[[#This Row],[Frecuencia]]="Annual", Tabla2[[#This Row],[Cosecha/Tarea]]/12,Tabla2[[#This Row],[Cosecha/Tarea]])</f>
        <v>7012</v>
      </c>
      <c r="F2902" s="3" t="n">
        <v>63250</v>
      </c>
      <c r="G2902" s="2" t="s">
        <v>18</v>
      </c>
      <c r="H2902" s="2" t="n">
        <f aca="false">F2902/Tabla2[[#This Row],[Cosecha Mensual]]</f>
        <v>9.02025099828865</v>
      </c>
      <c r="I2902" s="2" t="n">
        <f aca="false">H2902*_xlfn.XLOOKUP(Tabla2[[#This Row],[Unidad de producción]],Tabla3[Medida],Tabla3[Equivalencia en Kg],"ELVIS",0)</f>
        <v>409.158585282373</v>
      </c>
      <c r="J2902" s="2" t="n">
        <v>848.946428571429</v>
      </c>
      <c r="K2902" s="2" t="s">
        <v>18</v>
      </c>
      <c r="L2902" s="2" t="n">
        <f aca="false">J2902/_xlfn.XLOOKUP(Tabla2[[#This Row],[Unidad de precio]],Tabla3[Medida],Tabla3[Equivalencia en Kg],"ELVIS",0)</f>
        <v>18.7157501889645</v>
      </c>
      <c r="M2902" s="2" t="n">
        <v>9891.72566090888</v>
      </c>
      <c r="N2902" s="3" t="n">
        <f aca="false">(Tabla2[[#This Row],[Productividad (kg/TAS)]]*Tabla2[[#This Row],[Precio por kg]]-Tabla2[[#This Row],[Costos (En RD$/Tarea)]])</f>
        <v>-2234.01579109387</v>
      </c>
      <c r="O2902" s="9" t="n">
        <f aca="false">IF(Tabla2[[#This Row],[Costos (En RD$/Tarea)]]=0,0,Tabla2[[#This Row],[Beneficio Neto  (En RD$/Tarea)]]/Tabla2[[#This Row],[Costos (En RD$/Tarea)]])</f>
        <v>-0.225846921727973</v>
      </c>
      <c r="P2902" s="7" t="n">
        <f aca="false">Tabla2[[#This Row],[Rentabilidad (%)]]/12</f>
        <v>-0.0188205768106644</v>
      </c>
    </row>
    <row r="2903" customFormat="false" ht="14.25" hidden="false" customHeight="false" outlineLevel="0" collapsed="false">
      <c r="A2903" s="1" t="n">
        <v>43862</v>
      </c>
      <c r="B2903" s="2" t="s">
        <v>28</v>
      </c>
      <c r="C2903" s="3" t="n">
        <v>93541</v>
      </c>
      <c r="D2903" s="8" t="s">
        <v>17</v>
      </c>
      <c r="E2903" s="3" t="n">
        <f aca="false">IF(Tabla2[[#This Row],[Frecuencia]]="Annual", Tabla2[[#This Row],[Cosecha/Tarea]]/12,Tabla2[[#This Row],[Cosecha/Tarea]])</f>
        <v>93541</v>
      </c>
      <c r="F2903" s="3" t="n">
        <v>1988885.6</v>
      </c>
      <c r="G2903" s="2" t="s">
        <v>18</v>
      </c>
      <c r="H2903" s="2" t="n">
        <f aca="false">F2903/Tabla2[[#This Row],[Cosecha Mensual]]</f>
        <v>21.2621802204381</v>
      </c>
      <c r="I2903" s="2" t="n">
        <f aca="false">H2903*_xlfn.XLOOKUP(Tabla2[[#This Row],[Unidad de producción]],Tabla3[Medida],Tabla3[Equivalencia en Kg],"ELVIS",0)</f>
        <v>964.452494799072</v>
      </c>
      <c r="J2903" s="2" t="n">
        <v>10997.2222222222</v>
      </c>
      <c r="K2903" s="2" t="s">
        <v>29</v>
      </c>
      <c r="L2903" s="2" t="n">
        <f aca="false">J2903/_xlfn.XLOOKUP(Tabla2[[#This Row],[Unidad de precio]],Tabla3[Medida],Tabla3[Equivalencia en Kg],"ELVIS",0)</f>
        <v>19.5561799306864</v>
      </c>
      <c r="M2903" s="2" t="n">
        <v>13735.1419088583</v>
      </c>
      <c r="N2903" s="3" t="n">
        <f aca="false">(Tabla2[[#This Row],[Productividad (kg/TAS)]]*Tabla2[[#This Row],[Precio por kg]]-Tabla2[[#This Row],[Costos (En RD$/Tarea)]])</f>
        <v>5125.86461403176</v>
      </c>
      <c r="O2903" s="9" t="n">
        <f aca="false">IF(Tabla2[[#This Row],[Costos (En RD$/Tarea)]]=0,0,Tabla2[[#This Row],[Beneficio Neto  (En RD$/Tarea)]]/Tabla2[[#This Row],[Costos (En RD$/Tarea)]])</f>
        <v>0.373193422248219</v>
      </c>
      <c r="P2903" s="7" t="n">
        <f aca="false">Tabla2[[#This Row],[Rentabilidad (%)]]/12</f>
        <v>0.0310994518540182</v>
      </c>
    </row>
    <row r="2904" customFormat="false" ht="14.25" hidden="false" customHeight="false" outlineLevel="0" collapsed="false">
      <c r="A2904" s="1" t="n">
        <v>43862</v>
      </c>
      <c r="B2904" s="2" t="s">
        <v>30</v>
      </c>
      <c r="C2904" s="3" t="n">
        <v>455215</v>
      </c>
      <c r="D2904" s="3" t="s">
        <v>31</v>
      </c>
      <c r="E2904" s="3" t="n">
        <f aca="false">IF(Tabla2[[#This Row],[Frecuencia]]="Annual", Tabla2[[#This Row],[Cosecha/Tarea]]/12,Tabla2[[#This Row],[Cosecha/Tarea]])</f>
        <v>37934.5833333333</v>
      </c>
      <c r="F2904" s="3" t="n">
        <v>2184873.6</v>
      </c>
      <c r="G2904" s="2" t="s">
        <v>18</v>
      </c>
      <c r="H2904" s="2" t="n">
        <f aca="false">F2904/Tabla2[[#This Row],[Cosecha Mensual]]</f>
        <v>57.5958243906725</v>
      </c>
      <c r="I2904" s="2" t="n">
        <f aca="false">H2904*_xlfn.XLOOKUP(Tabla2[[#This Row],[Unidad de producción]],Tabla3[Medida],Tabla3[Equivalencia en Kg],"ELVIS",0)</f>
        <v>2612.54659436091</v>
      </c>
      <c r="J2904" s="2" t="n">
        <v>192.216145833333</v>
      </c>
      <c r="K2904" s="2" t="s">
        <v>32</v>
      </c>
      <c r="L2904" s="2" t="n">
        <f aca="false">J2904/_xlfn.XLOOKUP(Tabla2[[#This Row],[Unidad de precio]],Tabla3[Medida],Tabla3[Equivalencia en Kg],"ELVIS",0)</f>
        <v>7.0641729449957</v>
      </c>
      <c r="M2904" s="3" t="n">
        <v>38019.0770714752</v>
      </c>
      <c r="N2904" s="3" t="n">
        <f aca="false">(Tabla2[[#This Row],[Productividad (kg/TAS)]]*Tabla2[[#This Row],[Precio por kg]]-Tabla2[[#This Row],[Costos (En RD$/Tarea)]])</f>
        <v>-19563.5961020502</v>
      </c>
      <c r="O2904" s="9" t="n">
        <f aca="false">IF(Tabla2[[#This Row],[Costos (En RD$/Tarea)]]=0,0,Tabla2[[#This Row],[Beneficio Neto  (En RD$/Tarea)]]/Tabla2[[#This Row],[Costos (En RD$/Tarea)]])</f>
        <v>-0.514573146141107</v>
      </c>
      <c r="P2904" s="7" t="n">
        <f aca="false">Tabla2[[#This Row],[Rentabilidad (%)]]/12</f>
        <v>-0.0428810955117589</v>
      </c>
    </row>
    <row r="2905" customFormat="false" ht="14.25" hidden="false" customHeight="false" outlineLevel="0" collapsed="false">
      <c r="A2905" s="1" t="n">
        <v>43862</v>
      </c>
      <c r="B2905" s="2" t="s">
        <v>33</v>
      </c>
      <c r="C2905" s="3" t="n">
        <v>744167.36745744</v>
      </c>
      <c r="D2905" s="3" t="s">
        <v>31</v>
      </c>
      <c r="E2905" s="3" t="n">
        <f aca="false">IF(Tabla2[[#This Row],[Frecuencia]]="Annual", Tabla2[[#This Row],[Cosecha/Tarea]]/12,Tabla2[[#This Row],[Cosecha/Tarea]])</f>
        <v>62013.94728812</v>
      </c>
      <c r="F2905" s="3" t="n">
        <v>1450836</v>
      </c>
      <c r="G2905" s="2" t="s">
        <v>18</v>
      </c>
      <c r="H2905" s="2" t="n">
        <f aca="false">F2905/Tabla2[[#This Row],[Cosecha Mensual]]</f>
        <v>23.395317721985</v>
      </c>
      <c r="I2905" s="2" t="n">
        <f aca="false">H2905*_xlfn.XLOOKUP(Tabla2[[#This Row],[Unidad de producción]],Tabla3[Medida],Tabla3[Equivalencia en Kg],"ELVIS",0)</f>
        <v>1061.21161186924</v>
      </c>
      <c r="J2905" s="2" t="n">
        <v>10221.9244791667</v>
      </c>
      <c r="K2905" s="2" t="s">
        <v>34</v>
      </c>
      <c r="L2905" s="2" t="n">
        <f aca="false">J2905/_xlfn.XLOOKUP(Tabla2[[#This Row],[Unidad de precio]],Tabla3[Medida],Tabla3[Equivalencia en Kg],"ELVIS",0)</f>
        <v>25.0445289211484</v>
      </c>
      <c r="M2905" s="3" t="n">
        <v>33327.4212424613</v>
      </c>
      <c r="N2905" s="3" t="n">
        <f aca="false">(Tabla2[[#This Row],[Productividad (kg/TAS)]]*Tabla2[[#This Row],[Precio por kg]]-Tabla2[[#This Row],[Costos (En RD$/Tarea)]])</f>
        <v>-6749.87633754362</v>
      </c>
      <c r="O2905" s="9" t="n">
        <f aca="false">IF(Tabla2[[#This Row],[Costos (En RD$/Tarea)]]=0,0,Tabla2[[#This Row],[Beneficio Neto  (En RD$/Tarea)]]/Tabla2[[#This Row],[Costos (En RD$/Tarea)]])</f>
        <v>-0.202532211791527</v>
      </c>
      <c r="P2905" s="7" t="n">
        <f aca="false">Tabla2[[#This Row],[Rentabilidad (%)]]/12</f>
        <v>-0.0168776843159606</v>
      </c>
    </row>
    <row r="2906" customFormat="false" ht="14.25" hidden="false" customHeight="false" outlineLevel="0" collapsed="false">
      <c r="A2906" s="1" t="n">
        <v>43891</v>
      </c>
      <c r="B2906" s="2" t="s">
        <v>16</v>
      </c>
      <c r="C2906" s="3" t="n">
        <v>125411</v>
      </c>
      <c r="D2906" s="8" t="s">
        <v>17</v>
      </c>
      <c r="E2906" s="3" t="n">
        <f aca="false">IF(Tabla2[[#This Row],[Frecuencia]]="Annual", Tabla2[[#This Row],[Cosecha/Tarea]]/12,Tabla2[[#This Row],[Cosecha/Tarea]])</f>
        <v>125411</v>
      </c>
      <c r="F2906" s="3" t="n">
        <v>652176</v>
      </c>
      <c r="G2906" s="2" t="s">
        <v>18</v>
      </c>
      <c r="H2906" s="2" t="n">
        <f aca="false">F2906/Tabla2[[#This Row],[Cosecha Mensual]]</f>
        <v>5.20030938274952</v>
      </c>
      <c r="I2906" s="2" t="n">
        <f aca="false">H2906*_xlfn.XLOOKUP(Tabla2[[#This Row],[Unidad de producción]],Tabla3[Medida],Tabla3[Equivalencia en Kg],"ELVIS",0)</f>
        <v>235.886033601518</v>
      </c>
      <c r="J2906" s="2" t="n">
        <v>2266.56189952329</v>
      </c>
      <c r="K2906" s="2" t="s">
        <v>19</v>
      </c>
      <c r="L2906" s="2" t="n">
        <f aca="false">J2906/_xlfn.XLOOKUP(Tabla2[[#This Row],[Unidad de precio]],Tabla3[Medida],Tabla3[Equivalencia en Kg],"ELVIS",0)</f>
        <v>20.6051081774845</v>
      </c>
      <c r="M2906" s="2" t="n">
        <v>7092.59436898665</v>
      </c>
      <c r="N2906" s="3" t="n">
        <f aca="false">(Tabla2[[#This Row],[Productividad (kg/TAS)]]*Tabla2[[#This Row],[Precio por kg]]-Tabla2[[#This Row],[Costos (En RD$/Tarea)]])</f>
        <v>-2232.13712906963</v>
      </c>
      <c r="O2906" s="9" t="n">
        <f aca="false">IF(Tabla2[[#This Row],[Costos (En RD$/Tarea)]]=0,0,Tabla2[[#This Row],[Beneficio Neto  (En RD$/Tarea)]]/Tabla2[[#This Row],[Costos (En RD$/Tarea)]])</f>
        <v>-0.314713772273509</v>
      </c>
      <c r="P2906" s="7" t="n">
        <f aca="false">Tabla2[[#This Row],[Rentabilidad (%)]]/12</f>
        <v>-0.0262261476894591</v>
      </c>
    </row>
    <row r="2907" customFormat="false" ht="14.25" hidden="false" customHeight="false" outlineLevel="0" collapsed="false">
      <c r="A2907" s="1" t="n">
        <v>43891</v>
      </c>
      <c r="B2907" s="2" t="s">
        <v>20</v>
      </c>
      <c r="C2907" s="3" t="n">
        <v>31606</v>
      </c>
      <c r="D2907" s="8" t="s">
        <v>17</v>
      </c>
      <c r="E2907" s="3" t="n">
        <f aca="false">IF(Tabla2[[#This Row],[Frecuencia]]="Annual", Tabla2[[#This Row],[Cosecha/Tarea]]/12,Tabla2[[#This Row],[Cosecha/Tarea]])</f>
        <v>31606</v>
      </c>
      <c r="F2907" s="3" t="n">
        <v>76862</v>
      </c>
      <c r="G2907" s="2" t="s">
        <v>18</v>
      </c>
      <c r="H2907" s="2" t="n">
        <f aca="false">F2907/Tabla2[[#This Row],[Cosecha Mensual]]</f>
        <v>2.43188002278048</v>
      </c>
      <c r="I2907" s="2" t="n">
        <f aca="false">H2907*_xlfn.XLOOKUP(Tabla2[[#This Row],[Unidad de producción]],Tabla3[Medida],Tabla3[Equivalencia en Kg],"ELVIS",0)</f>
        <v>110.310077833323</v>
      </c>
      <c r="J2907" s="2" t="n">
        <v>847.888888888889</v>
      </c>
      <c r="K2907" s="2" t="s">
        <v>18</v>
      </c>
      <c r="L2907" s="2" t="n">
        <f aca="false">J2907/_xlfn.XLOOKUP(Tabla2[[#This Row],[Unidad de precio]],Tabla3[Medida],Tabla3[Equivalencia en Kg],"ELVIS",0)</f>
        <v>18.6924358220655</v>
      </c>
      <c r="M2907" s="2" t="n">
        <v>2584.15468583726</v>
      </c>
      <c r="N2907" s="3" t="n">
        <f aca="false">(Tabla2[[#This Row],[Productividad (kg/TAS)]]*Tabla2[[#This Row],[Precio por kg]]-Tabla2[[#This Row],[Costos (En RD$/Tarea)]])</f>
        <v>-522.190635410829</v>
      </c>
      <c r="O2907" s="9" t="n">
        <f aca="false">IF(Tabla2[[#This Row],[Costos (En RD$/Tarea)]]=0,0,Tabla2[[#This Row],[Beneficio Neto  (En RD$/Tarea)]]/Tabla2[[#This Row],[Costos (En RD$/Tarea)]])</f>
        <v>-0.202074062467217</v>
      </c>
      <c r="P2907" s="7" t="n">
        <f aca="false">Tabla2[[#This Row],[Rentabilidad (%)]]/12</f>
        <v>-0.0168395052056014</v>
      </c>
    </row>
    <row r="2908" customFormat="false" ht="14.25" hidden="false" customHeight="false" outlineLevel="0" collapsed="false">
      <c r="A2908" s="1" t="n">
        <v>43891</v>
      </c>
      <c r="B2908" s="2" t="s">
        <v>21</v>
      </c>
      <c r="C2908" s="3" t="n">
        <v>10943</v>
      </c>
      <c r="D2908" s="8" t="s">
        <v>17</v>
      </c>
      <c r="E2908" s="3" t="n">
        <f aca="false">IF(Tabla2[[#This Row],[Frecuencia]]="Annual", Tabla2[[#This Row],[Cosecha/Tarea]]/12,Tabla2[[#This Row],[Cosecha/Tarea]])</f>
        <v>10943</v>
      </c>
      <c r="F2908" s="3" t="n">
        <v>131031</v>
      </c>
      <c r="G2908" s="2" t="s">
        <v>18</v>
      </c>
      <c r="H2908" s="2" t="n">
        <f aca="false">F2908/Tabla2[[#This Row],[Cosecha Mensual]]</f>
        <v>11.9739559535776</v>
      </c>
      <c r="I2908" s="2" t="n">
        <f aca="false">H2908*_xlfn.XLOOKUP(Tabla2[[#This Row],[Unidad de producción]],Tabla3[Medida],Tabla3[Equivalencia en Kg],"ELVIS",0)</f>
        <v>543.138642054281</v>
      </c>
      <c r="J2908" s="2" t="n">
        <v>530.302333333333</v>
      </c>
      <c r="K2908" s="2" t="s">
        <v>18</v>
      </c>
      <c r="L2908" s="2" t="n">
        <f aca="false">J2908/_xlfn.XLOOKUP(Tabla2[[#This Row],[Unidad de precio]],Tabla3[Medida],Tabla3[Equivalencia en Kg],"ELVIS",0)</f>
        <v>11.690968547913</v>
      </c>
      <c r="M2908" s="2" t="n">
        <v>6271.46010735965</v>
      </c>
      <c r="N2908" s="3" t="n">
        <f aca="false">(Tabla2[[#This Row],[Productividad (kg/TAS)]]*Tabla2[[#This Row],[Precio por kg]]-Tabla2[[#This Row],[Costos (En RD$/Tarea)]])</f>
        <v>78.3566740531214</v>
      </c>
      <c r="O2908" s="9" t="n">
        <f aca="false">IF(Tabla2[[#This Row],[Costos (En RD$/Tarea)]]=0,0,Tabla2[[#This Row],[Beneficio Neto  (En RD$/Tarea)]]/Tabla2[[#This Row],[Costos (En RD$/Tarea)]])</f>
        <v>0.0124941676598036</v>
      </c>
      <c r="P2908" s="7" t="n">
        <f aca="false">Tabla2[[#This Row],[Rentabilidad (%)]]/12</f>
        <v>0.00104118063831697</v>
      </c>
    </row>
    <row r="2909" customFormat="false" ht="14.25" hidden="false" customHeight="false" outlineLevel="0" collapsed="false">
      <c r="A2909" s="1" t="n">
        <v>43891</v>
      </c>
      <c r="B2909" s="2" t="s">
        <v>22</v>
      </c>
      <c r="C2909" s="3" t="n">
        <v>7294</v>
      </c>
      <c r="D2909" s="8" t="s">
        <v>17</v>
      </c>
      <c r="E2909" s="3" t="n">
        <f aca="false">IF(Tabla2[[#This Row],[Frecuencia]]="Annual", Tabla2[[#This Row],[Cosecha/Tarea]]/12,Tabla2[[#This Row],[Cosecha/Tarea]])</f>
        <v>7294</v>
      </c>
      <c r="F2909" s="3" t="n">
        <v>74565</v>
      </c>
      <c r="G2909" s="2" t="s">
        <v>18</v>
      </c>
      <c r="H2909" s="2" t="n">
        <f aca="false">F2909/Tabla2[[#This Row],[Cosecha Mensual]]</f>
        <v>10.2227858513847</v>
      </c>
      <c r="I2909" s="2" t="n">
        <f aca="false">H2909*_xlfn.XLOOKUP(Tabla2[[#This Row],[Unidad de producción]],Tabla3[Medida],Tabla3[Equivalencia en Kg],"ELVIS",0)</f>
        <v>463.70556621881</v>
      </c>
      <c r="J2909" s="2" t="n">
        <v>1629.55</v>
      </c>
      <c r="K2909" s="2" t="s">
        <v>18</v>
      </c>
      <c r="L2909" s="2" t="n">
        <f aca="false">J2909/_xlfn.XLOOKUP(Tabla2[[#This Row],[Unidad de precio]],Tabla3[Medida],Tabla3[Equivalencia en Kg],"ELVIS",0)</f>
        <v>35.924823633157</v>
      </c>
      <c r="M2909" s="2" t="n">
        <v>10873.3452772193</v>
      </c>
      <c r="N2909" s="3" t="n">
        <f aca="false">(Tabla2[[#This Row],[Productividad (kg/TAS)]]*Tabla2[[#This Row],[Precio por kg]]-Tabla2[[#This Row],[Costos (En RD$/Tarea)]])</f>
        <v>5785.19540690464</v>
      </c>
      <c r="O2909" s="9" t="n">
        <f aca="false">IF(Tabla2[[#This Row],[Costos (En RD$/Tarea)]]=0,0,Tabla2[[#This Row],[Beneficio Neto  (En RD$/Tarea)]]/Tabla2[[#This Row],[Costos (En RD$/Tarea)]])</f>
        <v>0.532052947773596</v>
      </c>
      <c r="P2909" s="7" t="n">
        <f aca="false">Tabla2[[#This Row],[Rentabilidad (%)]]/12</f>
        <v>0.0443377456477997</v>
      </c>
    </row>
    <row r="2910" customFormat="false" ht="14.25" hidden="false" customHeight="false" outlineLevel="0" collapsed="false">
      <c r="A2910" s="1" t="n">
        <v>43891</v>
      </c>
      <c r="B2910" s="2" t="s">
        <v>23</v>
      </c>
      <c r="C2910" s="3" t="n">
        <v>4813</v>
      </c>
      <c r="D2910" s="8" t="s">
        <v>17</v>
      </c>
      <c r="E2910" s="3" t="n">
        <f aca="false">IF(Tabla2[[#This Row],[Frecuencia]]="Annual", Tabla2[[#This Row],[Cosecha/Tarea]]/12,Tabla2[[#This Row],[Cosecha/Tarea]])</f>
        <v>4813</v>
      </c>
      <c r="F2910" s="3" t="n">
        <v>218260</v>
      </c>
      <c r="G2910" s="2" t="s">
        <v>18</v>
      </c>
      <c r="H2910" s="2" t="n">
        <f aca="false">F2910/Tabla2[[#This Row],[Cosecha Mensual]]</f>
        <v>45.3480157905672</v>
      </c>
      <c r="I2910" s="2" t="n">
        <f aca="false">H2910*_xlfn.XLOOKUP(Tabla2[[#This Row],[Unidad de producción]],Tabla3[Medida],Tabla3[Equivalencia en Kg],"ELVIS",0)</f>
        <v>2056.98599626013</v>
      </c>
      <c r="J2910" s="2" t="n">
        <v>1037.5</v>
      </c>
      <c r="K2910" s="2" t="s">
        <v>18</v>
      </c>
      <c r="L2910" s="2" t="n">
        <f aca="false">J2910/_xlfn.XLOOKUP(Tabla2[[#This Row],[Unidad de precio]],Tabla3[Medida],Tabla3[Equivalencia en Kg],"ELVIS",0)</f>
        <v>22.8725749559083</v>
      </c>
      <c r="M2910" s="2" t="n">
        <v>28931.455637377</v>
      </c>
      <c r="N2910" s="3" t="n">
        <f aca="false">(Tabla2[[#This Row],[Productividad (kg/TAS)]]*Tabla2[[#This Row],[Precio por kg]]-Tabla2[[#This Row],[Costos (En RD$/Tarea)]])</f>
        <v>18117.1107453365</v>
      </c>
      <c r="O2910" s="9" t="n">
        <f aca="false">IF(Tabla2[[#This Row],[Costos (En RD$/Tarea)]]=0,0,Tabla2[[#This Row],[Beneficio Neto  (En RD$/Tarea)]]/Tabla2[[#This Row],[Costos (En RD$/Tarea)]])</f>
        <v>0.626208061302339</v>
      </c>
      <c r="P2910" s="7" t="n">
        <f aca="false">Tabla2[[#This Row],[Rentabilidad (%)]]/12</f>
        <v>0.0521840051085283</v>
      </c>
    </row>
    <row r="2911" customFormat="false" ht="14.25" hidden="false" customHeight="false" outlineLevel="0" collapsed="false">
      <c r="A2911" s="1" t="n">
        <v>43891</v>
      </c>
      <c r="B2911" s="2" t="s">
        <v>24</v>
      </c>
      <c r="C2911" s="3" t="n">
        <v>6087</v>
      </c>
      <c r="D2911" s="8" t="s">
        <v>17</v>
      </c>
      <c r="E2911" s="3" t="n">
        <f aca="false">IF(Tabla2[[#This Row],[Frecuencia]]="Annual", Tabla2[[#This Row],[Cosecha/Tarea]]/12,Tabla2[[#This Row],[Cosecha/Tarea]])</f>
        <v>6087</v>
      </c>
      <c r="F2911" s="3" t="n">
        <v>51391</v>
      </c>
      <c r="G2911" s="2" t="s">
        <v>18</v>
      </c>
      <c r="H2911" s="2" t="n">
        <f aca="false">F2911/Tabla2[[#This Row],[Cosecha Mensual]]</f>
        <v>8.44274683752259</v>
      </c>
      <c r="I2911" s="2" t="n">
        <f aca="false">H2911*_xlfn.XLOOKUP(Tabla2[[#This Row],[Unidad de producción]],Tabla3[Medida],Tabla3[Equivalencia en Kg],"ELVIS",0)</f>
        <v>382.962996550025</v>
      </c>
      <c r="J2911" s="2" t="n">
        <v>3166.9625</v>
      </c>
      <c r="K2911" s="2" t="s">
        <v>18</v>
      </c>
      <c r="L2911" s="2" t="n">
        <f aca="false">J2911/_xlfn.XLOOKUP(Tabla2[[#This Row],[Unidad de precio]],Tabla3[Medida],Tabla3[Equivalencia en Kg],"ELVIS",0)</f>
        <v>69.8183972663139</v>
      </c>
      <c r="M2911" s="2" t="n">
        <v>8997.82973620852</v>
      </c>
      <c r="N2911" s="3" t="n">
        <f aca="false">(Tabla2[[#This Row],[Productividad (kg/TAS)]]*Tabla2[[#This Row],[Precio por kg]]-Tabla2[[#This Row],[Costos (En RD$/Tarea)]])</f>
        <v>17740.0328952191</v>
      </c>
      <c r="O2911" s="9" t="n">
        <f aca="false">IF(Tabla2[[#This Row],[Costos (En RD$/Tarea)]]=0,0,Tabla2[[#This Row],[Beneficio Neto  (En RD$/Tarea)]]/Tabla2[[#This Row],[Costos (En RD$/Tarea)]])</f>
        <v>1.97159019622596</v>
      </c>
      <c r="P2911" s="7" t="n">
        <f aca="false">Tabla2[[#This Row],[Rentabilidad (%)]]/12</f>
        <v>0.16429918301883</v>
      </c>
    </row>
    <row r="2912" customFormat="false" ht="14.25" hidden="false" customHeight="false" outlineLevel="0" collapsed="false">
      <c r="A2912" s="1" t="n">
        <v>43891</v>
      </c>
      <c r="B2912" s="2" t="s">
        <v>25</v>
      </c>
      <c r="C2912" s="3" t="n">
        <v>27496.3326302388</v>
      </c>
      <c r="D2912" s="8" t="s">
        <v>17</v>
      </c>
      <c r="E2912" s="3" t="n">
        <f aca="false">IF(Tabla2[[#This Row],[Frecuencia]]="Annual", Tabla2[[#This Row],[Cosecha/Tarea]]/12,Tabla2[[#This Row],[Cosecha/Tarea]])</f>
        <v>27496.3326302388</v>
      </c>
      <c r="F2912" s="3" t="n">
        <v>289566</v>
      </c>
      <c r="G2912" s="2" t="s">
        <v>18</v>
      </c>
      <c r="H2912" s="2" t="n">
        <f aca="false">F2912/Tabla2[[#This Row],[Cosecha Mensual]]</f>
        <v>10.5310771401402</v>
      </c>
      <c r="I2912" s="2" t="n">
        <f aca="false">H2912*_xlfn.XLOOKUP(Tabla2[[#This Row],[Unidad de producción]],Tabla3[Medida],Tabla3[Equivalencia en Kg],"ELVIS",0)</f>
        <v>477.689659076761</v>
      </c>
      <c r="J2912" s="2" t="n">
        <v>675.428666666667</v>
      </c>
      <c r="K2912" s="2" t="s">
        <v>18</v>
      </c>
      <c r="L2912" s="2" t="n">
        <f aca="false">J2912/_xlfn.XLOOKUP(Tabla2[[#This Row],[Unidad de precio]],Tabla3[Medida],Tabla3[Equivalencia en Kg],"ELVIS",0)</f>
        <v>14.8904027042916</v>
      </c>
      <c r="M2912" s="2" t="n">
        <v>5060.83945230923</v>
      </c>
      <c r="N2912" s="3" t="n">
        <f aca="false">(Tabla2[[#This Row],[Productividad (kg/TAS)]]*Tabla2[[#This Row],[Precio por kg]]-Tabla2[[#This Row],[Costos (En RD$/Tarea)]])</f>
        <v>2052.15193901951</v>
      </c>
      <c r="O2912" s="9" t="n">
        <f aca="false">IF(Tabla2[[#This Row],[Costos (En RD$/Tarea)]]=0,0,Tabla2[[#This Row],[Beneficio Neto  (En RD$/Tarea)]]/Tabla2[[#This Row],[Costos (En RD$/Tarea)]])</f>
        <v>0.405496352602753</v>
      </c>
      <c r="P2912" s="7" t="n">
        <f aca="false">Tabla2[[#This Row],[Rentabilidad (%)]]/12</f>
        <v>0.0337913627168961</v>
      </c>
    </row>
    <row r="2913" customFormat="false" ht="14.25" hidden="false" customHeight="false" outlineLevel="0" collapsed="false">
      <c r="A2913" s="1" t="n">
        <v>43891</v>
      </c>
      <c r="B2913" s="2" t="s">
        <v>26</v>
      </c>
      <c r="C2913" s="3" t="n">
        <v>14765</v>
      </c>
      <c r="D2913" s="8" t="s">
        <v>17</v>
      </c>
      <c r="E2913" s="3" t="n">
        <f aca="false">IF(Tabla2[[#This Row],[Frecuencia]]="Annual", Tabla2[[#This Row],[Cosecha/Tarea]]/12,Tabla2[[#This Row],[Cosecha/Tarea]])</f>
        <v>14765</v>
      </c>
      <c r="F2913" s="3" t="n">
        <v>83456</v>
      </c>
      <c r="G2913" s="2" t="s">
        <v>18</v>
      </c>
      <c r="H2913" s="2" t="n">
        <f aca="false">F2913/Tabla2[[#This Row],[Cosecha Mensual]]</f>
        <v>5.65228581103962</v>
      </c>
      <c r="I2913" s="2" t="n">
        <f aca="false">H2913*_xlfn.XLOOKUP(Tabla2[[#This Row],[Unidad de producción]],Tabla3[Medida],Tabla3[Equivalencia en Kg],"ELVIS",0)</f>
        <v>256.387684388757</v>
      </c>
      <c r="J2913" s="2" t="n">
        <v>876.316666666667</v>
      </c>
      <c r="K2913" s="2" t="s">
        <v>18</v>
      </c>
      <c r="L2913" s="2" t="n">
        <f aca="false">J2913/_xlfn.XLOOKUP(Tabla2[[#This Row],[Unidad de precio]],Tabla3[Medida],Tabla3[Equivalencia en Kg],"ELVIS",0)</f>
        <v>19.3191504997061</v>
      </c>
      <c r="M2913" s="2" t="n">
        <v>1789.84398526912</v>
      </c>
      <c r="N2913" s="3" t="n">
        <f aca="false">(Tabla2[[#This Row],[Productividad (kg/TAS)]]*Tabla2[[#This Row],[Precio por kg]]-Tabla2[[#This Row],[Costos (En RD$/Tarea)]])</f>
        <v>3163.34827570842</v>
      </c>
      <c r="O2913" s="9" t="n">
        <f aca="false">IF(Tabla2[[#This Row],[Costos (En RD$/Tarea)]]=0,0,Tabla2[[#This Row],[Beneficio Neto  (En RD$/Tarea)]]/Tabla2[[#This Row],[Costos (En RD$/Tarea)]])</f>
        <v>1.76738771744554</v>
      </c>
      <c r="P2913" s="7" t="n">
        <f aca="false">Tabla2[[#This Row],[Rentabilidad (%)]]/12</f>
        <v>0.147282309787128</v>
      </c>
    </row>
    <row r="2914" customFormat="false" ht="14.25" hidden="false" customHeight="false" outlineLevel="0" collapsed="false">
      <c r="A2914" s="1" t="n">
        <v>43891</v>
      </c>
      <c r="B2914" s="2" t="s">
        <v>27</v>
      </c>
      <c r="C2914" s="3" t="n">
        <v>5800</v>
      </c>
      <c r="D2914" s="8" t="s">
        <v>17</v>
      </c>
      <c r="E2914" s="3" t="n">
        <f aca="false">IF(Tabla2[[#This Row],[Frecuencia]]="Annual", Tabla2[[#This Row],[Cosecha/Tarea]]/12,Tabla2[[#This Row],[Cosecha/Tarea]])</f>
        <v>5800</v>
      </c>
      <c r="F2914" s="3" t="n">
        <v>54501</v>
      </c>
      <c r="G2914" s="2" t="s">
        <v>18</v>
      </c>
      <c r="H2914" s="2" t="n">
        <f aca="false">F2914/Tabla2[[#This Row],[Cosecha Mensual]]</f>
        <v>9.39672413793103</v>
      </c>
      <c r="I2914" s="2" t="n">
        <f aca="false">H2914*_xlfn.XLOOKUP(Tabla2[[#This Row],[Unidad de producción]],Tabla3[Medida],Tabla3[Equivalencia en Kg],"ELVIS",0)</f>
        <v>426.235406896552</v>
      </c>
      <c r="J2914" s="2" t="n">
        <v>921.864583333333</v>
      </c>
      <c r="K2914" s="2" t="s">
        <v>18</v>
      </c>
      <c r="L2914" s="2" t="n">
        <f aca="false">J2914/_xlfn.XLOOKUP(Tabla2[[#This Row],[Unidad de precio]],Tabla3[Medida],Tabla3[Equivalencia en Kg],"ELVIS",0)</f>
        <v>20.3232932833627</v>
      </c>
      <c r="M2914" s="2" t="n">
        <v>9891.72566090888</v>
      </c>
      <c r="N2914" s="3" t="n">
        <f aca="false">(Tabla2[[#This Row],[Productividad (kg/TAS)]]*Tabla2[[#This Row],[Precio por kg]]-Tabla2[[#This Row],[Costos (En RD$/Tarea)]])</f>
        <v>-1229.21847879681</v>
      </c>
      <c r="O2914" s="9" t="n">
        <f aca="false">IF(Tabla2[[#This Row],[Costos (En RD$/Tarea)]]=0,0,Tabla2[[#This Row],[Beneficio Neto  (En RD$/Tarea)]]/Tabla2[[#This Row],[Costos (En RD$/Tarea)]])</f>
        <v>-0.124267344337557</v>
      </c>
      <c r="P2914" s="7" t="n">
        <f aca="false">Tabla2[[#This Row],[Rentabilidad (%)]]/12</f>
        <v>-0.0103556120281298</v>
      </c>
    </row>
    <row r="2915" customFormat="false" ht="14.25" hidden="false" customHeight="false" outlineLevel="0" collapsed="false">
      <c r="A2915" s="1" t="n">
        <v>43891</v>
      </c>
      <c r="B2915" s="2" t="s">
        <v>28</v>
      </c>
      <c r="C2915" s="3" t="n">
        <v>79611</v>
      </c>
      <c r="D2915" s="8" t="s">
        <v>17</v>
      </c>
      <c r="E2915" s="3" t="n">
        <f aca="false">IF(Tabla2[[#This Row],[Frecuencia]]="Annual", Tabla2[[#This Row],[Cosecha/Tarea]]/12,Tabla2[[#This Row],[Cosecha/Tarea]])</f>
        <v>79611</v>
      </c>
      <c r="F2915" s="3" t="n">
        <v>1310109.6</v>
      </c>
      <c r="G2915" s="2" t="s">
        <v>18</v>
      </c>
      <c r="H2915" s="2" t="n">
        <f aca="false">F2915/Tabla2[[#This Row],[Cosecha Mensual]]</f>
        <v>16.4563891924483</v>
      </c>
      <c r="I2915" s="2" t="n">
        <f aca="false">H2915*_xlfn.XLOOKUP(Tabla2[[#This Row],[Unidad de producción]],Tabla3[Medida],Tabla3[Equivalencia en Kg],"ELVIS",0)</f>
        <v>746.461813769454</v>
      </c>
      <c r="J2915" s="2" t="n">
        <v>8872.91666666667</v>
      </c>
      <c r="K2915" s="2" t="s">
        <v>29</v>
      </c>
      <c r="L2915" s="2" t="n">
        <f aca="false">J2915/_xlfn.XLOOKUP(Tabla2[[#This Row],[Unidad de precio]],Tabla3[Medida],Tabla3[Equivalencia en Kg],"ELVIS",0)</f>
        <v>15.7785621984327</v>
      </c>
      <c r="M2915" s="2" t="n">
        <v>13735.1419088583</v>
      </c>
      <c r="N2915" s="3" t="n">
        <f aca="false">(Tabla2[[#This Row],[Productividad (kg/TAS)]]*Tabla2[[#This Row],[Precio por kg]]-Tabla2[[#This Row],[Costos (En RD$/Tarea)]])</f>
        <v>-1957.04775154205</v>
      </c>
      <c r="O2915" s="9" t="n">
        <f aca="false">IF(Tabla2[[#This Row],[Costos (En RD$/Tarea)]]=0,0,Tabla2[[#This Row],[Beneficio Neto  (En RD$/Tarea)]]/Tabla2[[#This Row],[Costos (En RD$/Tarea)]])</f>
        <v>-0.142484712901283</v>
      </c>
      <c r="P2915" s="7" t="n">
        <f aca="false">Tabla2[[#This Row],[Rentabilidad (%)]]/12</f>
        <v>-0.0118737260751069</v>
      </c>
    </row>
    <row r="2916" customFormat="false" ht="14.25" hidden="false" customHeight="false" outlineLevel="0" collapsed="false">
      <c r="A2916" s="1" t="n">
        <v>43891</v>
      </c>
      <c r="B2916" s="2" t="s">
        <v>30</v>
      </c>
      <c r="C2916" s="3" t="n">
        <v>452145</v>
      </c>
      <c r="D2916" s="3" t="s">
        <v>31</v>
      </c>
      <c r="E2916" s="3" t="n">
        <f aca="false">IF(Tabla2[[#This Row],[Frecuencia]]="Annual", Tabla2[[#This Row],[Cosecha/Tarea]]/12,Tabla2[[#This Row],[Cosecha/Tarea]])</f>
        <v>37678.75</v>
      </c>
      <c r="F2916" s="3" t="n">
        <v>2222931</v>
      </c>
      <c r="G2916" s="2" t="s">
        <v>18</v>
      </c>
      <c r="H2916" s="2" t="n">
        <f aca="false">F2916/Tabla2[[#This Row],[Cosecha Mensual]]</f>
        <v>58.996941246724</v>
      </c>
      <c r="I2916" s="2" t="n">
        <f aca="false">H2916*_xlfn.XLOOKUP(Tabla2[[#This Row],[Unidad de producción]],Tabla3[Medida],Tabla3[Equivalencia en Kg],"ELVIS",0)</f>
        <v>2676.1012549514</v>
      </c>
      <c r="J2916" s="2" t="n">
        <v>191.25</v>
      </c>
      <c r="K2916" s="2" t="s">
        <v>32</v>
      </c>
      <c r="L2916" s="2" t="n">
        <f aca="false">J2916/_xlfn.XLOOKUP(Tabla2[[#This Row],[Unidad de precio]],Tabla3[Medida],Tabla3[Equivalencia en Kg],"ELVIS",0)</f>
        <v>7.02866593164278</v>
      </c>
      <c r="M2916" s="3" t="n">
        <v>38019.0770714752</v>
      </c>
      <c r="N2916" s="3" t="n">
        <f aca="false">(Tabla2[[#This Row],[Productividad (kg/TAS)]]*Tabla2[[#This Row],[Precio por kg]]-Tabla2[[#This Row],[Costos (En RD$/Tarea)]])</f>
        <v>-19209.6553511718</v>
      </c>
      <c r="O2916" s="9" t="n">
        <f aca="false">IF(Tabla2[[#This Row],[Costos (En RD$/Tarea)]]=0,0,Tabla2[[#This Row],[Beneficio Neto  (En RD$/Tarea)]]/Tabla2[[#This Row],[Costos (En RD$/Tarea)]])</f>
        <v>-0.505263589514759</v>
      </c>
      <c r="P2916" s="7" t="n">
        <f aca="false">Tabla2[[#This Row],[Rentabilidad (%)]]/12</f>
        <v>-0.0421052991262299</v>
      </c>
    </row>
    <row r="2917" customFormat="false" ht="14.25" hidden="false" customHeight="false" outlineLevel="0" collapsed="false">
      <c r="A2917" s="1" t="n">
        <v>43891</v>
      </c>
      <c r="B2917" s="2" t="s">
        <v>33</v>
      </c>
      <c r="C2917" s="3" t="n">
        <v>704781.851603985</v>
      </c>
      <c r="D2917" s="3" t="s">
        <v>31</v>
      </c>
      <c r="E2917" s="3" t="n">
        <f aca="false">IF(Tabla2[[#This Row],[Frecuencia]]="Annual", Tabla2[[#This Row],[Cosecha/Tarea]]/12,Tabla2[[#This Row],[Cosecha/Tarea]])</f>
        <v>58731.8209669988</v>
      </c>
      <c r="F2917" s="3" t="n">
        <v>1697904</v>
      </c>
      <c r="G2917" s="2" t="s">
        <v>18</v>
      </c>
      <c r="H2917" s="2" t="n">
        <f aca="false">F2917/Tabla2[[#This Row],[Cosecha Mensual]]</f>
        <v>28.9094390748424</v>
      </c>
      <c r="I2917" s="2" t="n">
        <f aca="false">H2917*_xlfn.XLOOKUP(Tabla2[[#This Row],[Unidad de producción]],Tabla3[Medida],Tabla3[Equivalencia en Kg],"ELVIS",0)</f>
        <v>1311.33215643485</v>
      </c>
      <c r="J2917" s="2" t="n">
        <v>9793.9</v>
      </c>
      <c r="K2917" s="2" t="s">
        <v>34</v>
      </c>
      <c r="L2917" s="2" t="n">
        <f aca="false">J2917/_xlfn.XLOOKUP(Tabla2[[#This Row],[Unidad de precio]],Tabla3[Medida],Tabla3[Equivalencia en Kg],"ELVIS",0)</f>
        <v>23.9958348646331</v>
      </c>
      <c r="M2917" s="3" t="n">
        <v>33327.4212424613</v>
      </c>
      <c r="N2917" s="3" t="n">
        <f aca="false">(Tabla2[[#This Row],[Productividad (kg/TAS)]]*Tabla2[[#This Row],[Precio por kg]]-Tabla2[[#This Row],[Costos (En RD$/Tarea)]])</f>
        <v>-1860.91136396742</v>
      </c>
      <c r="O2917" s="9" t="n">
        <f aca="false">IF(Tabla2[[#This Row],[Costos (En RD$/Tarea)]]=0,0,Tabla2[[#This Row],[Beneficio Neto  (En RD$/Tarea)]]/Tabla2[[#This Row],[Costos (En RD$/Tarea)]])</f>
        <v>-0.0558372443649044</v>
      </c>
      <c r="P2917" s="7" t="n">
        <f aca="false">Tabla2[[#This Row],[Rentabilidad (%)]]/12</f>
        <v>-0.00465310369707537</v>
      </c>
    </row>
    <row r="2918" customFormat="false" ht="14.25" hidden="false" customHeight="false" outlineLevel="0" collapsed="false">
      <c r="A2918" s="1" t="n">
        <v>43922</v>
      </c>
      <c r="B2918" s="2" t="s">
        <v>16</v>
      </c>
      <c r="C2918" s="3" t="n">
        <v>464895</v>
      </c>
      <c r="D2918" s="8" t="s">
        <v>17</v>
      </c>
      <c r="E2918" s="3" t="n">
        <f aca="false">IF(Tabla2[[#This Row],[Frecuencia]]="Annual", Tabla2[[#This Row],[Cosecha/Tarea]]/12,Tabla2[[#This Row],[Cosecha/Tarea]])</f>
        <v>464895</v>
      </c>
      <c r="F2918" s="3" t="n">
        <v>2842893</v>
      </c>
      <c r="G2918" s="2" t="s">
        <v>18</v>
      </c>
      <c r="H2918" s="2" t="n">
        <f aca="false">F2918/Tabla2[[#This Row],[Cosecha Mensual]]</f>
        <v>6.11512922272771</v>
      </c>
      <c r="I2918" s="2" t="n">
        <f aca="false">H2918*_xlfn.XLOOKUP(Tabla2[[#This Row],[Unidad de producción]],Tabla3[Medida],Tabla3[Equivalencia en Kg],"ELVIS",0)</f>
        <v>277.382261542929</v>
      </c>
      <c r="J2918" s="2" t="n">
        <v>2163.01536486982</v>
      </c>
      <c r="K2918" s="2" t="s">
        <v>19</v>
      </c>
      <c r="L2918" s="2" t="n">
        <f aca="false">J2918/_xlfn.XLOOKUP(Tabla2[[#This Row],[Unidad de precio]],Tabla3[Medida],Tabla3[Equivalencia en Kg],"ELVIS",0)</f>
        <v>19.6637760442711</v>
      </c>
      <c r="M2918" s="2" t="n">
        <v>7092.59436898665</v>
      </c>
      <c r="N2918" s="3" t="n">
        <f aca="false">(Tabla2[[#This Row],[Productividad (kg/TAS)]]*Tabla2[[#This Row],[Precio por kg]]-Tabla2[[#This Row],[Costos (En RD$/Tarea)]])</f>
        <v>-1638.21169935306</v>
      </c>
      <c r="O2918" s="9" t="n">
        <f aca="false">IF(Tabla2[[#This Row],[Costos (En RD$/Tarea)]]=0,0,Tabla2[[#This Row],[Beneficio Neto  (En RD$/Tarea)]]/Tabla2[[#This Row],[Costos (En RD$/Tarea)]])</f>
        <v>-0.230974959813911</v>
      </c>
      <c r="P2918" s="7" t="n">
        <f aca="false">Tabla2[[#This Row],[Rentabilidad (%)]]/12</f>
        <v>-0.0192479133178259</v>
      </c>
    </row>
    <row r="2919" customFormat="false" ht="14.25" hidden="false" customHeight="false" outlineLevel="0" collapsed="false">
      <c r="A2919" s="1" t="n">
        <v>43922</v>
      </c>
      <c r="B2919" s="2" t="s">
        <v>20</v>
      </c>
      <c r="C2919" s="3" t="n">
        <v>31954.1140861484</v>
      </c>
      <c r="D2919" s="8" t="s">
        <v>17</v>
      </c>
      <c r="E2919" s="3" t="n">
        <f aca="false">IF(Tabla2[[#This Row],[Frecuencia]]="Annual", Tabla2[[#This Row],[Cosecha/Tarea]]/12,Tabla2[[#This Row],[Cosecha/Tarea]])</f>
        <v>31954.1140861484</v>
      </c>
      <c r="F2919" s="3" t="n">
        <v>72233</v>
      </c>
      <c r="G2919" s="2" t="s">
        <v>18</v>
      </c>
      <c r="H2919" s="2" t="n">
        <f aca="false">F2919/Tabla2[[#This Row],[Cosecha Mensual]]</f>
        <v>2.26052269217227</v>
      </c>
      <c r="I2919" s="2" t="n">
        <f aca="false">H2919*_xlfn.XLOOKUP(Tabla2[[#This Row],[Unidad de producción]],Tabla3[Medida],Tabla3[Equivalencia en Kg],"ELVIS",0)</f>
        <v>102.537309316934</v>
      </c>
      <c r="J2919" s="2" t="n">
        <v>924.284722222222</v>
      </c>
      <c r="K2919" s="2" t="s">
        <v>18</v>
      </c>
      <c r="L2919" s="2" t="n">
        <f aca="false">J2919/_xlfn.XLOOKUP(Tabla2[[#This Row],[Unidad de precio]],Tabla3[Medida],Tabla3[Equivalencia en Kg],"ELVIS",0)</f>
        <v>20.3766473153047</v>
      </c>
      <c r="M2919" s="2" t="n">
        <v>2584.15468583726</v>
      </c>
      <c r="N2919" s="3" t="n">
        <f aca="false">(Tabla2[[#This Row],[Productividad (kg/TAS)]]*Tabla2[[#This Row],[Precio por kg]]-Tabla2[[#This Row],[Costos (En RD$/Tarea)]])</f>
        <v>-494.788097225785</v>
      </c>
      <c r="O2919" s="9" t="n">
        <f aca="false">IF(Tabla2[[#This Row],[Costos (En RD$/Tarea)]]=0,0,Tabla2[[#This Row],[Beneficio Neto  (En RD$/Tarea)]]/Tabla2[[#This Row],[Costos (En RD$/Tarea)]])</f>
        <v>-0.191469999817551</v>
      </c>
      <c r="P2919" s="7" t="n">
        <f aca="false">Tabla2[[#This Row],[Rentabilidad (%)]]/12</f>
        <v>-0.0159558333181293</v>
      </c>
    </row>
    <row r="2920" customFormat="false" ht="14.25" hidden="false" customHeight="false" outlineLevel="0" collapsed="false">
      <c r="A2920" s="1" t="n">
        <v>43922</v>
      </c>
      <c r="B2920" s="2" t="s">
        <v>21</v>
      </c>
      <c r="C2920" s="3" t="n">
        <v>12343</v>
      </c>
      <c r="D2920" s="8" t="s">
        <v>17</v>
      </c>
      <c r="E2920" s="3" t="n">
        <f aca="false">IF(Tabla2[[#This Row],[Frecuencia]]="Annual", Tabla2[[#This Row],[Cosecha/Tarea]]/12,Tabla2[[#This Row],[Cosecha/Tarea]])</f>
        <v>12343</v>
      </c>
      <c r="F2920" s="3" t="n">
        <v>144254</v>
      </c>
      <c r="G2920" s="2" t="s">
        <v>18</v>
      </c>
      <c r="H2920" s="2" t="n">
        <f aca="false">F2920/Tabla2[[#This Row],[Cosecha Mensual]]</f>
        <v>11.6871101028923</v>
      </c>
      <c r="I2920" s="2" t="n">
        <f aca="false">H2920*_xlfn.XLOOKUP(Tabla2[[#This Row],[Unidad de producción]],Tabla3[Medida],Tabla3[Equivalencia en Kg],"ELVIS",0)</f>
        <v>530.127314267196</v>
      </c>
      <c r="J2920" s="2" t="n">
        <v>599.736111111111</v>
      </c>
      <c r="K2920" s="2" t="s">
        <v>18</v>
      </c>
      <c r="L2920" s="2" t="n">
        <f aca="false">J2920/_xlfn.XLOOKUP(Tabla2[[#This Row],[Unidad de precio]],Tabla3[Medida],Tabla3[Equivalencia en Kg],"ELVIS",0)</f>
        <v>13.2216955712326</v>
      </c>
      <c r="M2920" s="2" t="n">
        <v>6271.46010735965</v>
      </c>
      <c r="N2920" s="3" t="n">
        <f aca="false">(Tabla2[[#This Row],[Productividad (kg/TAS)]]*Tabla2[[#This Row],[Precio por kg]]-Tabla2[[#This Row],[Costos (En RD$/Tarea)]])</f>
        <v>737.721855876371</v>
      </c>
      <c r="O2920" s="9" t="n">
        <f aca="false">IF(Tabla2[[#This Row],[Costos (En RD$/Tarea)]]=0,0,Tabla2[[#This Row],[Beneficio Neto  (En RD$/Tarea)]]/Tabla2[[#This Row],[Costos (En RD$/Tarea)]])</f>
        <v>0.117631595074749</v>
      </c>
      <c r="P2920" s="7" t="n">
        <f aca="false">Tabla2[[#This Row],[Rentabilidad (%)]]/12</f>
        <v>0.00980263292289573</v>
      </c>
    </row>
    <row r="2921" customFormat="false" ht="14.25" hidden="false" customHeight="false" outlineLevel="0" collapsed="false">
      <c r="A2921" s="1" t="n">
        <v>43922</v>
      </c>
      <c r="B2921" s="2" t="s">
        <v>22</v>
      </c>
      <c r="C2921" s="3" t="n">
        <v>9042</v>
      </c>
      <c r="D2921" s="8" t="s">
        <v>17</v>
      </c>
      <c r="E2921" s="3" t="n">
        <f aca="false">IF(Tabla2[[#This Row],[Frecuencia]]="Annual", Tabla2[[#This Row],[Cosecha/Tarea]]/12,Tabla2[[#This Row],[Cosecha/Tarea]])</f>
        <v>9042</v>
      </c>
      <c r="F2921" s="3" t="n">
        <v>99109</v>
      </c>
      <c r="G2921" s="2" t="s">
        <v>18</v>
      </c>
      <c r="H2921" s="2" t="n">
        <f aca="false">F2921/Tabla2[[#This Row],[Cosecha Mensual]]</f>
        <v>10.9609599646096</v>
      </c>
      <c r="I2921" s="2" t="n">
        <f aca="false">H2921*_xlfn.XLOOKUP(Tabla2[[#This Row],[Unidad de producción]],Tabla3[Medida],Tabla3[Equivalencia en Kg],"ELVIS",0)</f>
        <v>497.189143994691</v>
      </c>
      <c r="J2921" s="2" t="n">
        <v>1586.3375</v>
      </c>
      <c r="K2921" s="2" t="s">
        <v>18</v>
      </c>
      <c r="L2921" s="2" t="n">
        <f aca="false">J2921/_xlfn.XLOOKUP(Tabla2[[#This Row],[Unidad de precio]],Tabla3[Medida],Tabla3[Equivalencia en Kg],"ELVIS",0)</f>
        <v>34.9721671075838</v>
      </c>
      <c r="M2921" s="2" t="n">
        <v>10873.3452772193</v>
      </c>
      <c r="N2921" s="3" t="n">
        <f aca="false">(Tabla2[[#This Row],[Productividad (kg/TAS)]]*Tabla2[[#This Row],[Precio por kg]]-Tabla2[[#This Row],[Costos (En RD$/Tarea)]])</f>
        <v>6514.43655063958</v>
      </c>
      <c r="O2921" s="9" t="n">
        <f aca="false">IF(Tabla2[[#This Row],[Costos (En RD$/Tarea)]]=0,0,Tabla2[[#This Row],[Beneficio Neto  (En RD$/Tarea)]]/Tabla2[[#This Row],[Costos (En RD$/Tarea)]])</f>
        <v>0.599119809456244</v>
      </c>
      <c r="P2921" s="7" t="n">
        <f aca="false">Tabla2[[#This Row],[Rentabilidad (%)]]/12</f>
        <v>0.0499266507880204</v>
      </c>
    </row>
    <row r="2922" customFormat="false" ht="14.25" hidden="false" customHeight="false" outlineLevel="0" collapsed="false">
      <c r="A2922" s="1" t="n">
        <v>43922</v>
      </c>
      <c r="B2922" s="2" t="s">
        <v>23</v>
      </c>
      <c r="C2922" s="3" t="n">
        <v>3970</v>
      </c>
      <c r="D2922" s="8" t="s">
        <v>17</v>
      </c>
      <c r="E2922" s="3" t="n">
        <f aca="false">IF(Tabla2[[#This Row],[Frecuencia]]="Annual", Tabla2[[#This Row],[Cosecha/Tarea]]/12,Tabla2[[#This Row],[Cosecha/Tarea]])</f>
        <v>3970</v>
      </c>
      <c r="F2922" s="3" t="n">
        <v>167243</v>
      </c>
      <c r="G2922" s="2" t="s">
        <v>18</v>
      </c>
      <c r="H2922" s="2" t="n">
        <f aca="false">F2922/Tabla2[[#This Row],[Cosecha Mensual]]</f>
        <v>42.1267002518892</v>
      </c>
      <c r="I2922" s="2" t="n">
        <f aca="false">H2922*_xlfn.XLOOKUP(Tabla2[[#This Row],[Unidad de producción]],Tabla3[Medida],Tabla3[Equivalencia en Kg],"ELVIS",0)</f>
        <v>1910.86712342569</v>
      </c>
      <c r="J2922" s="2" t="n">
        <v>1036.56</v>
      </c>
      <c r="K2922" s="2" t="s">
        <v>18</v>
      </c>
      <c r="L2922" s="2" t="n">
        <f aca="false">J2922/_xlfn.XLOOKUP(Tabla2[[#This Row],[Unidad de precio]],Tabla3[Medida],Tabla3[Equivalencia en Kg],"ELVIS",0)</f>
        <v>22.8518518518519</v>
      </c>
      <c r="M2922" s="2" t="n">
        <v>28931.455637377</v>
      </c>
      <c r="N2922" s="3" t="n">
        <f aca="false">(Tabla2[[#This Row],[Productividad (kg/TAS)]]*Tabla2[[#This Row],[Precio por kg]]-Tabla2[[#This Row],[Costos (En RD$/Tarea)]])</f>
        <v>14735.3967757212</v>
      </c>
      <c r="O2922" s="9" t="n">
        <f aca="false">IF(Tabla2[[#This Row],[Costos (En RD$/Tarea)]]=0,0,Tabla2[[#This Row],[Beneficio Neto  (En RD$/Tarea)]]/Tabla2[[#This Row],[Costos (En RD$/Tarea)]])</f>
        <v>0.509320960563227</v>
      </c>
      <c r="P2922" s="7" t="n">
        <f aca="false">Tabla2[[#This Row],[Rentabilidad (%)]]/12</f>
        <v>0.0424434133802689</v>
      </c>
    </row>
    <row r="2923" customFormat="false" ht="14.25" hidden="false" customHeight="false" outlineLevel="0" collapsed="false">
      <c r="A2923" s="1" t="n">
        <v>43922</v>
      </c>
      <c r="B2923" s="2" t="s">
        <v>24</v>
      </c>
      <c r="C2923" s="3" t="n">
        <v>6659</v>
      </c>
      <c r="D2923" s="8" t="s">
        <v>17</v>
      </c>
      <c r="E2923" s="3" t="n">
        <f aca="false">IF(Tabla2[[#This Row],[Frecuencia]]="Annual", Tabla2[[#This Row],[Cosecha/Tarea]]/12,Tabla2[[#This Row],[Cosecha/Tarea]])</f>
        <v>6659</v>
      </c>
      <c r="F2923" s="3" t="n">
        <v>64189</v>
      </c>
      <c r="G2923" s="2" t="s">
        <v>18</v>
      </c>
      <c r="H2923" s="2" t="n">
        <f aca="false">F2923/Tabla2[[#This Row],[Cosecha Mensual]]</f>
        <v>9.63943535065325</v>
      </c>
      <c r="I2923" s="2" t="n">
        <f aca="false">H2923*_xlfn.XLOOKUP(Tabla2[[#This Row],[Unidad de producción]],Tabla3[Medida],Tabla3[Equivalencia en Kg],"ELVIS",0)</f>
        <v>437.244787505631</v>
      </c>
      <c r="J2923" s="2" t="n">
        <v>2747.05555555556</v>
      </c>
      <c r="K2923" s="2" t="s">
        <v>18</v>
      </c>
      <c r="L2923" s="2" t="n">
        <f aca="false">J2923/_xlfn.XLOOKUP(Tabla2[[#This Row],[Unidad de precio]],Tabla3[Medida],Tabla3[Equivalencia en Kg],"ELVIS",0)</f>
        <v>60.5611894963748</v>
      </c>
      <c r="M2923" s="2" t="n">
        <v>8997.82973620852</v>
      </c>
      <c r="N2923" s="3" t="n">
        <f aca="false">(Tabla2[[#This Row],[Productividad (kg/TAS)]]*Tabla2[[#This Row],[Precio por kg]]-Tabla2[[#This Row],[Costos (En RD$/Tarea)]])</f>
        <v>17482.2346962222</v>
      </c>
      <c r="O2923" s="9" t="n">
        <f aca="false">IF(Tabla2[[#This Row],[Costos (En RD$/Tarea)]]=0,0,Tabla2[[#This Row],[Beneficio Neto  (En RD$/Tarea)]]/Tabla2[[#This Row],[Costos (En RD$/Tarea)]])</f>
        <v>1.94293904294179</v>
      </c>
      <c r="P2923" s="7" t="n">
        <f aca="false">Tabla2[[#This Row],[Rentabilidad (%)]]/12</f>
        <v>0.161911586911816</v>
      </c>
    </row>
    <row r="2924" customFormat="false" ht="14.25" hidden="false" customHeight="false" outlineLevel="0" collapsed="false">
      <c r="A2924" s="1" t="n">
        <v>43922</v>
      </c>
      <c r="B2924" s="2" t="s">
        <v>25</v>
      </c>
      <c r="C2924" s="3" t="n">
        <v>30435</v>
      </c>
      <c r="D2924" s="8" t="s">
        <v>17</v>
      </c>
      <c r="E2924" s="3" t="n">
        <f aca="false">IF(Tabla2[[#This Row],[Frecuencia]]="Annual", Tabla2[[#This Row],[Cosecha/Tarea]]/12,Tabla2[[#This Row],[Cosecha/Tarea]])</f>
        <v>30435</v>
      </c>
      <c r="F2924" s="3" t="n">
        <v>295287</v>
      </c>
      <c r="G2924" s="2" t="s">
        <v>18</v>
      </c>
      <c r="H2924" s="2" t="n">
        <f aca="false">F2924/Tabla2[[#This Row],[Cosecha Mensual]]</f>
        <v>9.70221784130113</v>
      </c>
      <c r="I2924" s="2" t="n">
        <f aca="false">H2924*_xlfn.XLOOKUP(Tabla2[[#This Row],[Unidad de producción]],Tabla3[Medida],Tabla3[Equivalencia en Kg],"ELVIS",0)</f>
        <v>440.092601281419</v>
      </c>
      <c r="J2924" s="2" t="n">
        <v>668.107023809524</v>
      </c>
      <c r="K2924" s="2" t="s">
        <v>18</v>
      </c>
      <c r="L2924" s="2" t="n">
        <f aca="false">J2924/_xlfn.XLOOKUP(Tabla2[[#This Row],[Unidad de precio]],Tabla3[Medida],Tabla3[Equivalencia en Kg],"ELVIS",0)</f>
        <v>14.728990824725</v>
      </c>
      <c r="M2924" s="2" t="n">
        <v>5060.83945230923</v>
      </c>
      <c r="N2924" s="3" t="n">
        <f aca="false">(Tabla2[[#This Row],[Productividad (kg/TAS)]]*Tabla2[[#This Row],[Precio por kg]]-Tabla2[[#This Row],[Costos (En RD$/Tarea)]])</f>
        <v>1421.28043399413</v>
      </c>
      <c r="O2924" s="9" t="n">
        <f aca="false">IF(Tabla2[[#This Row],[Costos (En RD$/Tarea)]]=0,0,Tabla2[[#This Row],[Beneficio Neto  (En RD$/Tarea)]]/Tabla2[[#This Row],[Costos (En RD$/Tarea)]])</f>
        <v>0.280838870188939</v>
      </c>
      <c r="P2924" s="7" t="n">
        <f aca="false">Tabla2[[#This Row],[Rentabilidad (%)]]/12</f>
        <v>0.0234032391824116</v>
      </c>
    </row>
    <row r="2925" customFormat="false" ht="14.25" hidden="false" customHeight="false" outlineLevel="0" collapsed="false">
      <c r="A2925" s="1" t="n">
        <v>43922</v>
      </c>
      <c r="B2925" s="2" t="s">
        <v>26</v>
      </c>
      <c r="C2925" s="3" t="n">
        <v>8567</v>
      </c>
      <c r="D2925" s="8" t="s">
        <v>17</v>
      </c>
      <c r="E2925" s="3" t="n">
        <f aca="false">IF(Tabla2[[#This Row],[Frecuencia]]="Annual", Tabla2[[#This Row],[Cosecha/Tarea]]/12,Tabla2[[#This Row],[Cosecha/Tarea]])</f>
        <v>8567</v>
      </c>
      <c r="F2925" s="3" t="n">
        <v>68655</v>
      </c>
      <c r="G2925" s="2" t="s">
        <v>18</v>
      </c>
      <c r="H2925" s="2" t="n">
        <f aca="false">F2925/Tabla2[[#This Row],[Cosecha Mensual]]</f>
        <v>8.01389051009688</v>
      </c>
      <c r="I2925" s="2" t="n">
        <f aca="false">H2925*_xlfn.XLOOKUP(Tabla2[[#This Row],[Unidad de producción]],Tabla3[Medida],Tabla3[Equivalencia en Kg],"ELVIS",0)</f>
        <v>363.510073537995</v>
      </c>
      <c r="J2925" s="2" t="n">
        <v>938.944444444444</v>
      </c>
      <c r="K2925" s="2" t="s">
        <v>18</v>
      </c>
      <c r="L2925" s="2" t="n">
        <f aca="false">J2925/_xlfn.XLOOKUP(Tabla2[[#This Row],[Unidad de precio]],Tabla3[Medida],Tabla3[Equivalencia en Kg],"ELVIS",0)</f>
        <v>20.6998334313149</v>
      </c>
      <c r="M2925" s="2" t="n">
        <v>1789.84398526912</v>
      </c>
      <c r="N2925" s="3" t="n">
        <f aca="false">(Tabla2[[#This Row],[Productividad (kg/TAS)]]*Tabla2[[#This Row],[Precio por kg]]-Tabla2[[#This Row],[Costos (En RD$/Tarea)]])</f>
        <v>5734.7539875724</v>
      </c>
      <c r="O2925" s="9" t="n">
        <f aca="false">IF(Tabla2[[#This Row],[Costos (En RD$/Tarea)]]=0,0,Tabla2[[#This Row],[Beneficio Neto  (En RD$/Tarea)]]/Tabla2[[#This Row],[Costos (En RD$/Tarea)]])</f>
        <v>3.20405243963771</v>
      </c>
      <c r="P2925" s="7" t="n">
        <f aca="false">Tabla2[[#This Row],[Rentabilidad (%)]]/12</f>
        <v>0.267004369969809</v>
      </c>
    </row>
    <row r="2926" customFormat="false" ht="14.25" hidden="false" customHeight="false" outlineLevel="0" collapsed="false">
      <c r="A2926" s="1" t="n">
        <v>43922</v>
      </c>
      <c r="B2926" s="2" t="s">
        <v>27</v>
      </c>
      <c r="C2926" s="3" t="n">
        <v>2134</v>
      </c>
      <c r="D2926" s="8" t="s">
        <v>17</v>
      </c>
      <c r="E2926" s="3" t="n">
        <f aca="false">IF(Tabla2[[#This Row],[Frecuencia]]="Annual", Tabla2[[#This Row],[Cosecha/Tarea]]/12,Tabla2[[#This Row],[Cosecha/Tarea]])</f>
        <v>2134</v>
      </c>
      <c r="F2926" s="3" t="n">
        <v>52553</v>
      </c>
      <c r="G2926" s="2" t="s">
        <v>18</v>
      </c>
      <c r="H2926" s="2" t="n">
        <f aca="false">F2926/Tabla2[[#This Row],[Cosecha Mensual]]</f>
        <v>24.6265229615745</v>
      </c>
      <c r="I2926" s="2" t="n">
        <f aca="false">H2926*_xlfn.XLOOKUP(Tabla2[[#This Row],[Unidad de producción]],Tabla3[Medida],Tabla3[Equivalencia en Kg],"ELVIS",0)</f>
        <v>1117.05908153702</v>
      </c>
      <c r="J2926" s="2" t="n">
        <v>815.416666666667</v>
      </c>
      <c r="K2926" s="2" t="s">
        <v>18</v>
      </c>
      <c r="L2926" s="2" t="n">
        <f aca="false">J2926/_xlfn.XLOOKUP(Tabla2[[#This Row],[Unidad de precio]],Tabla3[Medida],Tabla3[Equivalencia en Kg],"ELVIS",0)</f>
        <v>17.9765579071135</v>
      </c>
      <c r="M2926" s="2" t="n">
        <v>9891.72566090888</v>
      </c>
      <c r="N2926" s="3" t="n">
        <f aca="false">(Tabla2[[#This Row],[Productividad (kg/TAS)]]*Tabla2[[#This Row],[Precio por kg]]-Tabla2[[#This Row],[Costos (En RD$/Tarea)]])</f>
        <v>10189.1516040083</v>
      </c>
      <c r="O2926" s="9" t="n">
        <f aca="false">IF(Tabla2[[#This Row],[Costos (En RD$/Tarea)]]=0,0,Tabla2[[#This Row],[Beneficio Neto  (En RD$/Tarea)]]/Tabla2[[#This Row],[Costos (En RD$/Tarea)]])</f>
        <v>1.03006815527394</v>
      </c>
      <c r="P2926" s="7" t="n">
        <f aca="false">Tabla2[[#This Row],[Rentabilidad (%)]]/12</f>
        <v>0.0858390129394953</v>
      </c>
    </row>
    <row r="2927" customFormat="false" ht="14.25" hidden="false" customHeight="false" outlineLevel="0" collapsed="false">
      <c r="A2927" s="1" t="n">
        <v>43922</v>
      </c>
      <c r="B2927" s="2" t="s">
        <v>28</v>
      </c>
      <c r="C2927" s="3" t="n">
        <v>12434</v>
      </c>
      <c r="D2927" s="8" t="s">
        <v>17</v>
      </c>
      <c r="E2927" s="3" t="n">
        <f aca="false">IF(Tabla2[[#This Row],[Frecuencia]]="Annual", Tabla2[[#This Row],[Cosecha/Tarea]]/12,Tabla2[[#This Row],[Cosecha/Tarea]])</f>
        <v>12434</v>
      </c>
      <c r="F2927" s="3" t="n">
        <v>176377.6</v>
      </c>
      <c r="G2927" s="2" t="s">
        <v>18</v>
      </c>
      <c r="H2927" s="2" t="n">
        <f aca="false">F2927/Tabla2[[#This Row],[Cosecha Mensual]]</f>
        <v>14.1851053562812</v>
      </c>
      <c r="I2927" s="2" t="n">
        <f aca="false">H2927*_xlfn.XLOOKUP(Tabla2[[#This Row],[Unidad de producción]],Tabla3[Medida],Tabla3[Equivalencia en Kg],"ELVIS",0)</f>
        <v>643.436378960914</v>
      </c>
      <c r="J2927" s="2" t="n">
        <v>6675</v>
      </c>
      <c r="K2927" s="2" t="s">
        <v>29</v>
      </c>
      <c r="L2927" s="2" t="n">
        <f aca="false">J2927/_xlfn.XLOOKUP(Tabla2[[#This Row],[Unidad de precio]],Tabla3[Medida],Tabla3[Equivalencia en Kg],"ELVIS",0)</f>
        <v>11.8700430344631</v>
      </c>
      <c r="M2927" s="2" t="n">
        <v>13735.1419088583</v>
      </c>
      <c r="N2927" s="3" t="n">
        <f aca="false">(Tabla2[[#This Row],[Productividad (kg/TAS)]]*Tabla2[[#This Row],[Precio por kg]]-Tabla2[[#This Row],[Costos (En RD$/Tarea)]])</f>
        <v>-6097.52440065313</v>
      </c>
      <c r="O2927" s="9" t="n">
        <f aca="false">IF(Tabla2[[#This Row],[Costos (En RD$/Tarea)]]=0,0,Tabla2[[#This Row],[Beneficio Neto  (En RD$/Tarea)]]/Tabla2[[#This Row],[Costos (En RD$/Tarea)]])</f>
        <v>-0.44393603219495</v>
      </c>
      <c r="P2927" s="7" t="n">
        <f aca="false">Tabla2[[#This Row],[Rentabilidad (%)]]/12</f>
        <v>-0.0369946693495792</v>
      </c>
    </row>
    <row r="2928" customFormat="false" ht="14.25" hidden="false" customHeight="false" outlineLevel="0" collapsed="false">
      <c r="A2928" s="1" t="n">
        <v>43922</v>
      </c>
      <c r="B2928" s="2" t="s">
        <v>30</v>
      </c>
      <c r="C2928" s="3" t="n">
        <v>432409</v>
      </c>
      <c r="D2928" s="3" t="s">
        <v>31</v>
      </c>
      <c r="E2928" s="3" t="n">
        <f aca="false">IF(Tabla2[[#This Row],[Frecuencia]]="Annual", Tabla2[[#This Row],[Cosecha/Tarea]]/12,Tabla2[[#This Row],[Cosecha/Tarea]])</f>
        <v>36034.0833333333</v>
      </c>
      <c r="F2928" s="3" t="n">
        <v>2369267.4</v>
      </c>
      <c r="G2928" s="2" t="s">
        <v>18</v>
      </c>
      <c r="H2928" s="2" t="n">
        <f aca="false">F2928/Tabla2[[#This Row],[Cosecha Mensual]]</f>
        <v>65.7507332178562</v>
      </c>
      <c r="I2928" s="2" t="n">
        <f aca="false">H2928*_xlfn.XLOOKUP(Tabla2[[#This Row],[Unidad de producción]],Tabla3[Medida],Tabla3[Equivalencia en Kg],"ELVIS",0)</f>
        <v>2982.45325876196</v>
      </c>
      <c r="J2928" s="2" t="n">
        <v>172.991071428571</v>
      </c>
      <c r="K2928" s="2" t="s">
        <v>32</v>
      </c>
      <c r="L2928" s="2" t="n">
        <f aca="false">J2928/_xlfn.XLOOKUP(Tabla2[[#This Row],[Unidad de precio]],Tabla3[Medida],Tabla3[Equivalencia en Kg],"ELVIS",0)</f>
        <v>6.35762849792617</v>
      </c>
      <c r="M2928" s="3" t="n">
        <v>38019.0770714752</v>
      </c>
      <c r="N2928" s="3" t="n">
        <f aca="false">(Tabla2[[#This Row],[Productividad (kg/TAS)]]*Tabla2[[#This Row],[Precio por kg]]-Tabla2[[#This Row],[Costos (En RD$/Tarea)]])</f>
        <v>-19057.7472398374</v>
      </c>
      <c r="O2928" s="9" t="n">
        <f aca="false">IF(Tabla2[[#This Row],[Costos (En RD$/Tarea)]]=0,0,Tabla2[[#This Row],[Beneficio Neto  (En RD$/Tarea)]]/Tabla2[[#This Row],[Costos (En RD$/Tarea)]])</f>
        <v>-0.501268013529344</v>
      </c>
      <c r="P2928" s="7" t="n">
        <f aca="false">Tabla2[[#This Row],[Rentabilidad (%)]]/12</f>
        <v>-0.0417723344607787</v>
      </c>
    </row>
    <row r="2929" customFormat="false" ht="14.25" hidden="false" customHeight="false" outlineLevel="0" collapsed="false">
      <c r="A2929" s="1" t="n">
        <v>43922</v>
      </c>
      <c r="B2929" s="2" t="s">
        <v>33</v>
      </c>
      <c r="C2929" s="3" t="n">
        <v>734493.74889178</v>
      </c>
      <c r="D2929" s="3" t="s">
        <v>31</v>
      </c>
      <c r="E2929" s="11" t="n">
        <f aca="false">IF(Tabla2[[#This Row],[Frecuencia]]="Annual", Tabla2[[#This Row],[Cosecha/Tarea]]/12,Tabla2[[#This Row],[Cosecha/Tarea]])</f>
        <v>61207.8124076483</v>
      </c>
      <c r="F2929" s="3" t="n">
        <v>3222459</v>
      </c>
      <c r="G2929" s="2" t="s">
        <v>18</v>
      </c>
      <c r="H2929" s="2" t="n">
        <f aca="false">F2929/Tabla2[[#This Row],[Cosecha Mensual]]</f>
        <v>52.6478381311555</v>
      </c>
      <c r="I2929" s="2" t="n">
        <f aca="false">H2929*_xlfn.XLOOKUP(Tabla2[[#This Row],[Unidad de producción]],Tabla3[Medida],Tabla3[Equivalencia en Kg],"ELVIS",0)</f>
        <v>2388.10593762921</v>
      </c>
      <c r="J2929" s="2" t="n">
        <v>8274.45238095238</v>
      </c>
      <c r="K2929" s="2" t="s">
        <v>34</v>
      </c>
      <c r="L2929" s="2" t="n">
        <f aca="false">J2929/_xlfn.XLOOKUP(Tabla2[[#This Row],[Unidad de precio]],Tabla3[Medida],Tabla3[Equivalencia en Kg],"ELVIS",0)</f>
        <v>20.2730672080176</v>
      </c>
      <c r="M2929" s="3" t="n">
        <v>33327.4212424613</v>
      </c>
      <c r="N2929" s="3" t="n">
        <f aca="false">(Tabla2[[#This Row],[Productividad (kg/TAS)]]*Tabla2[[#This Row],[Precio por kg]]-Tabla2[[#This Row],[Costos (En RD$/Tarea)]])</f>
        <v>15086.8109309616</v>
      </c>
      <c r="O2929" s="9" t="n">
        <f aca="false">IF(Tabla2[[#This Row],[Costos (En RD$/Tarea)]]=0,0,Tabla2[[#This Row],[Beneficio Neto  (En RD$/Tarea)]]/Tabla2[[#This Row],[Costos (En RD$/Tarea)]])</f>
        <v>0.452684617306665</v>
      </c>
      <c r="P2929" s="7" t="n">
        <f aca="false">Tabla2[[#This Row],[Rentabilidad (%)]]/12</f>
        <v>0.0377237181088887</v>
      </c>
    </row>
    <row r="2930" customFormat="false" ht="14.25" hidden="false" customHeight="false" outlineLevel="0" collapsed="false">
      <c r="A2930" s="1" t="n">
        <v>43952</v>
      </c>
      <c r="B2930" s="2" t="s">
        <v>16</v>
      </c>
      <c r="C2930" s="3" t="n">
        <v>501884</v>
      </c>
      <c r="D2930" s="8" t="s">
        <v>17</v>
      </c>
      <c r="E2930" s="3" t="n">
        <f aca="false">IF(Tabla2[[#This Row],[Frecuencia]]="Annual", Tabla2[[#This Row],[Cosecha/Tarea]]/12,Tabla2[[#This Row],[Cosecha/Tarea]])</f>
        <v>501884</v>
      </c>
      <c r="F2930" s="3" t="n">
        <v>2685822</v>
      </c>
      <c r="G2930" s="2" t="s">
        <v>18</v>
      </c>
      <c r="H2930" s="2" t="n">
        <f aca="false">F2930/Tabla2[[#This Row],[Cosecha Mensual]]</f>
        <v>5.35147962477385</v>
      </c>
      <c r="I2930" s="2" t="n">
        <f aca="false">H2930*_xlfn.XLOOKUP(Tabla2[[#This Row],[Unidad de producción]],Tabla3[Medida],Tabla3[Equivalencia en Kg],"ELVIS",0)</f>
        <v>242.743115779742</v>
      </c>
      <c r="J2930" s="2" t="n">
        <v>2285.59101347635</v>
      </c>
      <c r="K2930" s="2" t="s">
        <v>19</v>
      </c>
      <c r="L2930" s="2" t="n">
        <f aca="false">J2930/_xlfn.XLOOKUP(Tabla2[[#This Row],[Unidad de precio]],Tabla3[Medida],Tabla3[Equivalencia en Kg],"ELVIS",0)</f>
        <v>20.7781001225123</v>
      </c>
      <c r="M2930" s="2" t="n">
        <v>7092.59436898665</v>
      </c>
      <c r="N2930" s="3" t="n">
        <f aca="false">(Tabla2[[#This Row],[Productividad (kg/TAS)]]*Tabla2[[#This Row],[Precio por kg]]-Tabla2[[#This Row],[Costos (En RD$/Tarea)]])</f>
        <v>-2048.85360526458</v>
      </c>
      <c r="O2930" s="9" t="n">
        <f aca="false">IF(Tabla2[[#This Row],[Costos (En RD$/Tarea)]]=0,0,Tabla2[[#This Row],[Beneficio Neto  (En RD$/Tarea)]]/Tabla2[[#This Row],[Costos (En RD$/Tarea)]])</f>
        <v>-0.288872237530385</v>
      </c>
      <c r="P2930" s="7" t="n">
        <f aca="false">Tabla2[[#This Row],[Rentabilidad (%)]]/12</f>
        <v>-0.0240726864608654</v>
      </c>
    </row>
    <row r="2931" customFormat="false" ht="14.25" hidden="false" customHeight="false" outlineLevel="0" collapsed="false">
      <c r="A2931" s="1" t="n">
        <v>43952</v>
      </c>
      <c r="B2931" s="2" t="s">
        <v>20</v>
      </c>
      <c r="C2931" s="3" t="n">
        <v>22654</v>
      </c>
      <c r="D2931" s="8" t="s">
        <v>17</v>
      </c>
      <c r="E2931" s="3" t="n">
        <f aca="false">IF(Tabla2[[#This Row],[Frecuencia]]="Annual", Tabla2[[#This Row],[Cosecha/Tarea]]/12,Tabla2[[#This Row],[Cosecha/Tarea]])</f>
        <v>22654</v>
      </c>
      <c r="F2931" s="3" t="n">
        <v>82414</v>
      </c>
      <c r="G2931" s="2" t="s">
        <v>18</v>
      </c>
      <c r="H2931" s="2" t="n">
        <f aca="false">F2931/Tabla2[[#This Row],[Cosecha Mensual]]</f>
        <v>3.63794473382184</v>
      </c>
      <c r="I2931" s="2" t="n">
        <f aca="false">H2931*_xlfn.XLOOKUP(Tabla2[[#This Row],[Unidad de producción]],Tabla3[Medida],Tabla3[Equivalencia en Kg],"ELVIS",0)</f>
        <v>165.017173126159</v>
      </c>
      <c r="J2931" s="2" t="n">
        <v>936.49503968254</v>
      </c>
      <c r="K2931" s="2" t="s">
        <v>18</v>
      </c>
      <c r="L2931" s="2" t="n">
        <f aca="false">J2931/_xlfn.XLOOKUP(Tabla2[[#This Row],[Unidad de precio]],Tabla3[Medida],Tabla3[Equivalencia en Kg],"ELVIS",0)</f>
        <v>20.6458342081689</v>
      </c>
      <c r="M2931" s="2" t="n">
        <v>2584.15468583726</v>
      </c>
      <c r="N2931" s="3" t="n">
        <f aca="false">(Tabla2[[#This Row],[Productividad (kg/TAS)]]*Tabla2[[#This Row],[Precio por kg]]-Tabla2[[#This Row],[Costos (En RD$/Tarea)]])</f>
        <v>822.762512026113</v>
      </c>
      <c r="O2931" s="9" t="n">
        <f aca="false">IF(Tabla2[[#This Row],[Costos (En RD$/Tarea)]]=0,0,Tabla2[[#This Row],[Beneficio Neto  (En RD$/Tarea)]]/Tabla2[[#This Row],[Costos (En RD$/Tarea)]])</f>
        <v>0.318387485290781</v>
      </c>
      <c r="P2931" s="7" t="n">
        <f aca="false">Tabla2[[#This Row],[Rentabilidad (%)]]/12</f>
        <v>0.0265322904408984</v>
      </c>
    </row>
    <row r="2932" customFormat="false" ht="14.25" hidden="false" customHeight="false" outlineLevel="0" collapsed="false">
      <c r="A2932" s="1" t="n">
        <v>43952</v>
      </c>
      <c r="B2932" s="2" t="s">
        <v>21</v>
      </c>
      <c r="C2932" s="3" t="n">
        <v>10547</v>
      </c>
      <c r="D2932" s="8" t="s">
        <v>17</v>
      </c>
      <c r="E2932" s="3" t="n">
        <f aca="false">IF(Tabla2[[#This Row],[Frecuencia]]="Annual", Tabla2[[#This Row],[Cosecha/Tarea]]/12,Tabla2[[#This Row],[Cosecha/Tarea]])</f>
        <v>10547</v>
      </c>
      <c r="F2932" s="3" t="n">
        <v>122859</v>
      </c>
      <c r="G2932" s="2" t="s">
        <v>18</v>
      </c>
      <c r="H2932" s="2" t="n">
        <f aca="false">F2932/Tabla2[[#This Row],[Cosecha Mensual]]</f>
        <v>11.6487152744856</v>
      </c>
      <c r="I2932" s="2" t="n">
        <f aca="false">H2932*_xlfn.XLOOKUP(Tabla2[[#This Row],[Unidad de producción]],Tabla3[Medida],Tabla3[Equivalencia en Kg],"ELVIS",0)</f>
        <v>528.385724850669</v>
      </c>
      <c r="J2932" s="2" t="n">
        <v>541.492824074074</v>
      </c>
      <c r="K2932" s="2" t="s">
        <v>18</v>
      </c>
      <c r="L2932" s="2" t="n">
        <f aca="false">J2932/_xlfn.XLOOKUP(Tabla2[[#This Row],[Unidad de precio]],Tabla3[Medida],Tabla3[Equivalencia en Kg],"ELVIS",0)</f>
        <v>11.9376724884055</v>
      </c>
      <c r="M2932" s="2" t="n">
        <v>6271.46010735965</v>
      </c>
      <c r="N2932" s="3" t="n">
        <f aca="false">(Tabla2[[#This Row],[Productividad (kg/TAS)]]*Tabla2[[#This Row],[Precio por kg]]-Tabla2[[#This Row],[Costos (En RD$/Tarea)]])</f>
        <v>36.2356234563795</v>
      </c>
      <c r="O2932" s="9" t="n">
        <f aca="false">IF(Tabla2[[#This Row],[Costos (En RD$/Tarea)]]=0,0,Tabla2[[#This Row],[Beneficio Neto  (En RD$/Tarea)]]/Tabla2[[#This Row],[Costos (En RD$/Tarea)]])</f>
        <v>0.00577786079095942</v>
      </c>
      <c r="P2932" s="7" t="n">
        <f aca="false">Tabla2[[#This Row],[Rentabilidad (%)]]/12</f>
        <v>0.000481488399246618</v>
      </c>
    </row>
    <row r="2933" customFormat="false" ht="14.25" hidden="false" customHeight="false" outlineLevel="0" collapsed="false">
      <c r="A2933" s="1" t="n">
        <v>43952</v>
      </c>
      <c r="B2933" s="2" t="s">
        <v>22</v>
      </c>
      <c r="C2933" s="3" t="n">
        <v>5401</v>
      </c>
      <c r="D2933" s="8" t="s">
        <v>17</v>
      </c>
      <c r="E2933" s="3" t="n">
        <f aca="false">IF(Tabla2[[#This Row],[Frecuencia]]="Annual", Tabla2[[#This Row],[Cosecha/Tarea]]/12,Tabla2[[#This Row],[Cosecha/Tarea]])</f>
        <v>5401</v>
      </c>
      <c r="F2933" s="3" t="n">
        <v>56011</v>
      </c>
      <c r="G2933" s="2" t="s">
        <v>18</v>
      </c>
      <c r="H2933" s="2" t="n">
        <f aca="false">F2933/Tabla2[[#This Row],[Cosecha Mensual]]</f>
        <v>10.3704869468617</v>
      </c>
      <c r="I2933" s="2" t="n">
        <f aca="false">H2933*_xlfn.XLOOKUP(Tabla2[[#This Row],[Unidad de producción]],Tabla3[Medida],Tabla3[Equivalencia en Kg],"ELVIS",0)</f>
        <v>470.405287909646</v>
      </c>
      <c r="J2933" s="2" t="n">
        <v>1371.40443809524</v>
      </c>
      <c r="K2933" s="2" t="s">
        <v>18</v>
      </c>
      <c r="L2933" s="2" t="n">
        <f aca="false">J2933/_xlfn.XLOOKUP(Tabla2[[#This Row],[Unidad de precio]],Tabla3[Medida],Tabla3[Equivalencia en Kg],"ELVIS",0)</f>
        <v>30.2337839086252</v>
      </c>
      <c r="M2933" s="2" t="n">
        <v>10873.3452772193</v>
      </c>
      <c r="N2933" s="3" t="n">
        <f aca="false">(Tabla2[[#This Row],[Productividad (kg/TAS)]]*Tabla2[[#This Row],[Precio por kg]]-Tabla2[[#This Row],[Costos (En RD$/Tarea)]])</f>
        <v>3348.78654691558</v>
      </c>
      <c r="O2933" s="9" t="n">
        <f aca="false">IF(Tabla2[[#This Row],[Costos (En RD$/Tarea)]]=0,0,Tabla2[[#This Row],[Beneficio Neto  (En RD$/Tarea)]]/Tabla2[[#This Row],[Costos (En RD$/Tarea)]])</f>
        <v>0.307981257059096</v>
      </c>
      <c r="P2933" s="7" t="n">
        <f aca="false">Tabla2[[#This Row],[Rentabilidad (%)]]/12</f>
        <v>0.0256651047549246</v>
      </c>
    </row>
    <row r="2934" customFormat="false" ht="14.25" hidden="false" customHeight="false" outlineLevel="0" collapsed="false">
      <c r="A2934" s="1" t="n">
        <v>43952</v>
      </c>
      <c r="B2934" s="2" t="s">
        <v>23</v>
      </c>
      <c r="C2934" s="3" t="n">
        <v>4914</v>
      </c>
      <c r="D2934" s="8" t="s">
        <v>17</v>
      </c>
      <c r="E2934" s="3" t="n">
        <f aca="false">IF(Tabla2[[#This Row],[Frecuencia]]="Annual", Tabla2[[#This Row],[Cosecha/Tarea]]/12,Tabla2[[#This Row],[Cosecha/Tarea]])</f>
        <v>4914</v>
      </c>
      <c r="F2934" s="3" t="n">
        <v>188645</v>
      </c>
      <c r="G2934" s="2" t="s">
        <v>18</v>
      </c>
      <c r="H2934" s="2" t="n">
        <f aca="false">F2934/Tabla2[[#This Row],[Cosecha Mensual]]</f>
        <v>38.3892958892959</v>
      </c>
      <c r="I2934" s="2" t="n">
        <f aca="false">H2934*_xlfn.XLOOKUP(Tabla2[[#This Row],[Unidad de producción]],Tabla3[Medida],Tabla3[Equivalencia en Kg],"ELVIS",0)</f>
        <v>1741.33846153846</v>
      </c>
      <c r="J2934" s="2" t="n">
        <v>1275</v>
      </c>
      <c r="K2934" s="2" t="s">
        <v>18</v>
      </c>
      <c r="L2934" s="2" t="n">
        <f aca="false">J2934/_xlfn.XLOOKUP(Tabla2[[#This Row],[Unidad de precio]],Tabla3[Medida],Tabla3[Equivalencia en Kg],"ELVIS",0)</f>
        <v>28.1084656084656</v>
      </c>
      <c r="M2934" s="2" t="n">
        <v>28931.455637377</v>
      </c>
      <c r="N2934" s="3" t="n">
        <f aca="false">(Tabla2[[#This Row],[Productividad (kg/TAS)]]*Tabla2[[#This Row],[Precio por kg]]-Tabla2[[#This Row],[Costos (En RD$/Tarea)]])</f>
        <v>20014.8966214753</v>
      </c>
      <c r="O2934" s="9" t="n">
        <f aca="false">IF(Tabla2[[#This Row],[Costos (En RD$/Tarea)]]=0,0,Tabla2[[#This Row],[Beneficio Neto  (En RD$/Tarea)]]/Tabla2[[#This Row],[Costos (En RD$/Tarea)]])</f>
        <v>0.691803996049812</v>
      </c>
      <c r="P2934" s="7" t="n">
        <f aca="false">Tabla2[[#This Row],[Rentabilidad (%)]]/12</f>
        <v>0.057650333004151</v>
      </c>
    </row>
    <row r="2935" customFormat="false" ht="14.25" hidden="false" customHeight="false" outlineLevel="0" collapsed="false">
      <c r="A2935" s="1" t="n">
        <v>43952</v>
      </c>
      <c r="B2935" s="2" t="s">
        <v>24</v>
      </c>
      <c r="C2935" s="3" t="n">
        <v>6254</v>
      </c>
      <c r="D2935" s="8" t="s">
        <v>17</v>
      </c>
      <c r="E2935" s="3" t="n">
        <f aca="false">IF(Tabla2[[#This Row],[Frecuencia]]="Annual", Tabla2[[#This Row],[Cosecha/Tarea]]/12,Tabla2[[#This Row],[Cosecha/Tarea]])</f>
        <v>6254</v>
      </c>
      <c r="F2935" s="3" t="n">
        <v>41553</v>
      </c>
      <c r="G2935" s="2" t="s">
        <v>18</v>
      </c>
      <c r="H2935" s="2" t="n">
        <f aca="false">F2935/Tabla2[[#This Row],[Cosecha Mensual]]</f>
        <v>6.64422769427566</v>
      </c>
      <c r="I2935" s="2" t="n">
        <f aca="false">H2935*_xlfn.XLOOKUP(Tabla2[[#This Row],[Unidad de producción]],Tabla3[Medida],Tabla3[Equivalencia en Kg],"ELVIS",0)</f>
        <v>301.382168212344</v>
      </c>
      <c r="J2935" s="2" t="n">
        <v>2740.5949047619</v>
      </c>
      <c r="K2935" s="2" t="s">
        <v>18</v>
      </c>
      <c r="L2935" s="2" t="n">
        <f aca="false">J2935/_xlfn.XLOOKUP(Tabla2[[#This Row],[Unidad de precio]],Tabla3[Medida],Tabla3[Equivalencia en Kg],"ELVIS",0)</f>
        <v>60.4187589233223</v>
      </c>
      <c r="M2935" s="2" t="n">
        <v>8997.82973620852</v>
      </c>
      <c r="N2935" s="3" t="n">
        <f aca="false">(Tabla2[[#This Row],[Productividad (kg/TAS)]]*Tabla2[[#This Row],[Precio por kg]]-Tabla2[[#This Row],[Costos (En RD$/Tarea)]])</f>
        <v>9211.30682880127</v>
      </c>
      <c r="O2935" s="9" t="n">
        <f aca="false">IF(Tabla2[[#This Row],[Costos (En RD$/Tarea)]]=0,0,Tabla2[[#This Row],[Beneficio Neto  (En RD$/Tarea)]]/Tabla2[[#This Row],[Costos (En RD$/Tarea)]])</f>
        <v>1.02372539810724</v>
      </c>
      <c r="P2935" s="7" t="n">
        <f aca="false">Tabla2[[#This Row],[Rentabilidad (%)]]/12</f>
        <v>0.0853104498422704</v>
      </c>
    </row>
    <row r="2936" customFormat="false" ht="14.25" hidden="false" customHeight="false" outlineLevel="0" collapsed="false">
      <c r="A2936" s="1" t="n">
        <v>43952</v>
      </c>
      <c r="B2936" s="2" t="s">
        <v>25</v>
      </c>
      <c r="C2936" s="3" t="n">
        <v>26214</v>
      </c>
      <c r="D2936" s="8" t="s">
        <v>17</v>
      </c>
      <c r="E2936" s="3" t="n">
        <f aca="false">IF(Tabla2[[#This Row],[Frecuencia]]="Annual", Tabla2[[#This Row],[Cosecha/Tarea]]/12,Tabla2[[#This Row],[Cosecha/Tarea]])</f>
        <v>26214</v>
      </c>
      <c r="F2936" s="3" t="n">
        <v>288745</v>
      </c>
      <c r="G2936" s="2" t="s">
        <v>18</v>
      </c>
      <c r="H2936" s="2" t="n">
        <f aca="false">F2936/Tabla2[[#This Row],[Cosecha Mensual]]</f>
        <v>11.014915693904</v>
      </c>
      <c r="I2936" s="2" t="n">
        <f aca="false">H2936*_xlfn.XLOOKUP(Tabla2[[#This Row],[Unidad de producción]],Tabla3[Medida],Tabla3[Equivalencia en Kg],"ELVIS",0)</f>
        <v>499.636575875486</v>
      </c>
      <c r="J2936" s="2" t="n">
        <v>646.44787037037</v>
      </c>
      <c r="K2936" s="2" t="s">
        <v>18</v>
      </c>
      <c r="L2936" s="2" t="n">
        <f aca="false">J2936/_xlfn.XLOOKUP(Tabla2[[#This Row],[Unidad de precio]],Tabla3[Medida],Tabla3[Equivalencia en Kg],"ELVIS",0)</f>
        <v>14.2514962603697</v>
      </c>
      <c r="M2936" s="2" t="n">
        <v>5060.83945230923</v>
      </c>
      <c r="N2936" s="3" t="n">
        <f aca="false">(Tabla2[[#This Row],[Productividad (kg/TAS)]]*Tabla2[[#This Row],[Precio por kg]]-Tabla2[[#This Row],[Costos (En RD$/Tarea)]])</f>
        <v>2059.72934032419</v>
      </c>
      <c r="O2936" s="9" t="n">
        <f aca="false">IF(Tabla2[[#This Row],[Costos (En RD$/Tarea)]]=0,0,Tabla2[[#This Row],[Beneficio Neto  (En RD$/Tarea)]]/Tabla2[[#This Row],[Costos (En RD$/Tarea)]])</f>
        <v>0.406993614346795</v>
      </c>
      <c r="P2936" s="7" t="n">
        <f aca="false">Tabla2[[#This Row],[Rentabilidad (%)]]/12</f>
        <v>0.0339161345288996</v>
      </c>
    </row>
    <row r="2937" customFormat="false" ht="14.25" hidden="false" customHeight="false" outlineLevel="0" collapsed="false">
      <c r="A2937" s="1" t="n">
        <v>43952</v>
      </c>
      <c r="B2937" s="2" t="s">
        <v>26</v>
      </c>
      <c r="C2937" s="3" t="n">
        <v>10252.3915116834</v>
      </c>
      <c r="D2937" s="8" t="s">
        <v>17</v>
      </c>
      <c r="E2937" s="3" t="n">
        <f aca="false">IF(Tabla2[[#This Row],[Frecuencia]]="Annual", Tabla2[[#This Row],[Cosecha/Tarea]]/12,Tabla2[[#This Row],[Cosecha/Tarea]])</f>
        <v>10252.3915116834</v>
      </c>
      <c r="F2937" s="3" t="n">
        <v>77584</v>
      </c>
      <c r="G2937" s="2" t="s">
        <v>18</v>
      </c>
      <c r="H2937" s="2" t="n">
        <f aca="false">F2937/Tabla2[[#This Row],[Cosecha Mensual]]</f>
        <v>7.56740511826797</v>
      </c>
      <c r="I2937" s="2" t="n">
        <f aca="false">H2937*_xlfn.XLOOKUP(Tabla2[[#This Row],[Unidad de producción]],Tabla3[Medida],Tabla3[Equivalencia en Kg],"ELVIS",0)</f>
        <v>343.257496164635</v>
      </c>
      <c r="J2937" s="2" t="n">
        <v>871.305555555556</v>
      </c>
      <c r="K2937" s="2" t="s">
        <v>18</v>
      </c>
      <c r="L2937" s="2" t="n">
        <f aca="false">J2937/_xlfn.XLOOKUP(Tabla2[[#This Row],[Unidad de precio]],Tabla3[Medida],Tabla3[Equivalencia en Kg],"ELVIS",0)</f>
        <v>19.2086762688615</v>
      </c>
      <c r="M2937" s="2" t="n">
        <v>1789.84398526912</v>
      </c>
      <c r="N2937" s="3" t="n">
        <f aca="false">(Tabla2[[#This Row],[Productividad (kg/TAS)]]*Tabla2[[#This Row],[Precio por kg]]-Tabla2[[#This Row],[Costos (En RD$/Tarea)]])</f>
        <v>4803.67813541731</v>
      </c>
      <c r="O2937" s="9" t="n">
        <f aca="false">IF(Tabla2[[#This Row],[Costos (En RD$/Tarea)]]=0,0,Tabla2[[#This Row],[Beneficio Neto  (En RD$/Tarea)]]/Tabla2[[#This Row],[Costos (En RD$/Tarea)]])</f>
        <v>2.68385299218972</v>
      </c>
      <c r="P2937" s="7" t="n">
        <f aca="false">Tabla2[[#This Row],[Rentabilidad (%)]]/12</f>
        <v>0.22365441601581</v>
      </c>
    </row>
    <row r="2938" customFormat="false" ht="14.25" hidden="false" customHeight="false" outlineLevel="0" collapsed="false">
      <c r="A2938" s="1" t="n">
        <v>43952</v>
      </c>
      <c r="B2938" s="2" t="s">
        <v>27</v>
      </c>
      <c r="C2938" s="3" t="n">
        <v>4455</v>
      </c>
      <c r="D2938" s="8" t="s">
        <v>17</v>
      </c>
      <c r="E2938" s="3" t="n">
        <f aca="false">IF(Tabla2[[#This Row],[Frecuencia]]="Annual", Tabla2[[#This Row],[Cosecha/Tarea]]/12,Tabla2[[#This Row],[Cosecha/Tarea]])</f>
        <v>4455</v>
      </c>
      <c r="F2938" s="3" t="n">
        <v>48144</v>
      </c>
      <c r="G2938" s="2" t="s">
        <v>18</v>
      </c>
      <c r="H2938" s="2" t="n">
        <f aca="false">F2938/Tabla2[[#This Row],[Cosecha Mensual]]</f>
        <v>10.806734006734</v>
      </c>
      <c r="I2938" s="2" t="n">
        <f aca="false">H2938*_xlfn.XLOOKUP(Tabla2[[#This Row],[Unidad de producción]],Tabla3[Medida],Tabla3[Equivalencia en Kg],"ELVIS",0)</f>
        <v>490.193454545455</v>
      </c>
      <c r="J2938" s="2" t="n">
        <v>937.572222222222</v>
      </c>
      <c r="K2938" s="2" t="s">
        <v>18</v>
      </c>
      <c r="L2938" s="2" t="n">
        <f aca="false">J2938/_xlfn.XLOOKUP(Tabla2[[#This Row],[Unidad de precio]],Tabla3[Medida],Tabla3[Equivalencia en Kg],"ELVIS",0)</f>
        <v>20.6695816186557</v>
      </c>
      <c r="M2938" s="2" t="n">
        <v>9891.72566090888</v>
      </c>
      <c r="N2938" s="3" t="n">
        <f aca="false">(Tabla2[[#This Row],[Productividad (kg/TAS)]]*Tabla2[[#This Row],[Precio por kg]]-Tabla2[[#This Row],[Costos (En RD$/Tarea)]])</f>
        <v>240.367956749178</v>
      </c>
      <c r="O2938" s="9" t="n">
        <f aca="false">IF(Tabla2[[#This Row],[Costos (En RD$/Tarea)]]=0,0,Tabla2[[#This Row],[Beneficio Neto  (En RD$/Tarea)]]/Tabla2[[#This Row],[Costos (En RD$/Tarea)]])</f>
        <v>0.0242999012496969</v>
      </c>
      <c r="P2938" s="7" t="n">
        <f aca="false">Tabla2[[#This Row],[Rentabilidad (%)]]/12</f>
        <v>0.00202499177080807</v>
      </c>
    </row>
    <row r="2939" customFormat="false" ht="14.25" hidden="false" customHeight="false" outlineLevel="0" collapsed="false">
      <c r="A2939" s="1" t="n">
        <v>43952</v>
      </c>
      <c r="B2939" s="2" t="s">
        <v>28</v>
      </c>
      <c r="C2939" s="3" t="n">
        <v>11321</v>
      </c>
      <c r="D2939" s="8" t="s">
        <v>17</v>
      </c>
      <c r="E2939" s="3" t="n">
        <f aca="false">IF(Tabla2[[#This Row],[Frecuencia]]="Annual", Tabla2[[#This Row],[Cosecha/Tarea]]/12,Tabla2[[#This Row],[Cosecha/Tarea]])</f>
        <v>11321</v>
      </c>
      <c r="F2939" s="3" t="n">
        <v>334142.8</v>
      </c>
      <c r="G2939" s="2" t="s">
        <v>18</v>
      </c>
      <c r="H2939" s="2" t="n">
        <f aca="false">F2939/Tabla2[[#This Row],[Cosecha Mensual]]</f>
        <v>29.5153078349969</v>
      </c>
      <c r="I2939" s="2" t="n">
        <f aca="false">H2939*_xlfn.XLOOKUP(Tabla2[[#This Row],[Unidad de producción]],Tabla3[Medida],Tabla3[Equivalencia en Kg],"ELVIS",0)</f>
        <v>1338.81436339546</v>
      </c>
      <c r="J2939" s="2" t="n">
        <v>7000</v>
      </c>
      <c r="K2939" s="2" t="s">
        <v>29</v>
      </c>
      <c r="L2939" s="2" t="n">
        <f aca="false">J2939/_xlfn.XLOOKUP(Tabla2[[#This Row],[Unidad de precio]],Tabla3[Medida],Tabla3[Equivalencia en Kg],"ELVIS",0)</f>
        <v>12.4479852046804</v>
      </c>
      <c r="M2939" s="2" t="n">
        <v>13735.1419088583</v>
      </c>
      <c r="N2939" s="3" t="n">
        <f aca="false">(Tabla2[[#This Row],[Productividad (kg/TAS)]]*Tabla2[[#This Row],[Precio por kg]]-Tabla2[[#This Row],[Costos (En RD$/Tarea)]])</f>
        <v>2930.39947850205</v>
      </c>
      <c r="O2939" s="9" t="n">
        <f aca="false">IF(Tabla2[[#This Row],[Costos (En RD$/Tarea)]]=0,0,Tabla2[[#This Row],[Beneficio Neto  (En RD$/Tarea)]]/Tabla2[[#This Row],[Costos (En RD$/Tarea)]])</f>
        <v>0.213350506164929</v>
      </c>
      <c r="P2939" s="7" t="n">
        <f aca="false">Tabla2[[#This Row],[Rentabilidad (%)]]/12</f>
        <v>0.0177792088470774</v>
      </c>
    </row>
    <row r="2940" customFormat="false" ht="14.25" hidden="false" customHeight="false" outlineLevel="0" collapsed="false">
      <c r="A2940" s="1" t="n">
        <v>43952</v>
      </c>
      <c r="B2940" s="2" t="s">
        <v>30</v>
      </c>
      <c r="C2940" s="3" t="n">
        <v>443154</v>
      </c>
      <c r="D2940" s="3" t="s">
        <v>31</v>
      </c>
      <c r="E2940" s="3" t="n">
        <f aca="false">IF(Tabla2[[#This Row],[Frecuencia]]="Annual", Tabla2[[#This Row],[Cosecha/Tarea]]/12,Tabla2[[#This Row],[Cosecha/Tarea]])</f>
        <v>36929.5</v>
      </c>
      <c r="F2940" s="3" t="n">
        <v>2385539.4</v>
      </c>
      <c r="G2940" s="2" t="s">
        <v>18</v>
      </c>
      <c r="H2940" s="2" t="n">
        <f aca="false">F2940/Tabla2[[#This Row],[Cosecha Mensual]]</f>
        <v>64.5971215423984</v>
      </c>
      <c r="I2940" s="2" t="n">
        <f aca="false">H2940*_xlfn.XLOOKUP(Tabla2[[#This Row],[Unidad de producción]],Tabla3[Medida],Tabla3[Equivalencia en Kg],"ELVIS",0)</f>
        <v>2930.12543316319</v>
      </c>
      <c r="J2940" s="2" t="n">
        <v>196.055555555556</v>
      </c>
      <c r="K2940" s="2" t="s">
        <v>32</v>
      </c>
      <c r="L2940" s="2" t="n">
        <f aca="false">J2940/_xlfn.XLOOKUP(Tabla2[[#This Row],[Unidad de precio]],Tabla3[Medida],Tabla3[Equivalencia en Kg],"ELVIS",0)</f>
        <v>7.20527583813142</v>
      </c>
      <c r="M2940" s="3" t="n">
        <v>38019.0770714752</v>
      </c>
      <c r="N2940" s="3" t="n">
        <f aca="false">(Tabla2[[#This Row],[Productividad (kg/TAS)]]*Tabla2[[#This Row],[Precio por kg]]-Tabla2[[#This Row],[Costos (En RD$/Tarea)]])</f>
        <v>-16906.7150852101</v>
      </c>
      <c r="O2940" s="9" t="n">
        <f aca="false">IF(Tabla2[[#This Row],[Costos (En RD$/Tarea)]]=0,0,Tabla2[[#This Row],[Beneficio Neto  (En RD$/Tarea)]]/Tabla2[[#This Row],[Costos (En RD$/Tarea)]])</f>
        <v>-0.444690307800628</v>
      </c>
      <c r="P2940" s="7" t="n">
        <f aca="false">Tabla2[[#This Row],[Rentabilidad (%)]]/12</f>
        <v>-0.0370575256500523</v>
      </c>
    </row>
    <row r="2941" customFormat="false" ht="14.25" hidden="false" customHeight="false" outlineLevel="0" collapsed="false">
      <c r="A2941" s="1" t="n">
        <v>43952</v>
      </c>
      <c r="B2941" s="2" t="s">
        <v>33</v>
      </c>
      <c r="C2941" s="3" t="n">
        <v>768626.419410212</v>
      </c>
      <c r="D2941" s="3" t="s">
        <v>31</v>
      </c>
      <c r="E2941" s="11" t="n">
        <f aca="false">IF(Tabla2[[#This Row],[Frecuencia]]="Annual", Tabla2[[#This Row],[Cosecha/Tarea]]/12,Tabla2[[#This Row],[Cosecha/Tarea]])</f>
        <v>64052.2016175177</v>
      </c>
      <c r="F2941" s="3" t="n">
        <v>3252654</v>
      </c>
      <c r="G2941" s="2" t="s">
        <v>18</v>
      </c>
      <c r="H2941" s="2" t="n">
        <f aca="false">F2941/Tabla2[[#This Row],[Cosecha Mensual]]</f>
        <v>50.7812989695959</v>
      </c>
      <c r="I2941" s="2" t="n">
        <f aca="false">H2941*_xlfn.XLOOKUP(Tabla2[[#This Row],[Unidad de producción]],Tabla3[Medida],Tabla3[Equivalencia en Kg],"ELVIS",0)</f>
        <v>2303.43972126087</v>
      </c>
      <c r="J2941" s="2" t="n">
        <v>7378.97222222222</v>
      </c>
      <c r="K2941" s="2" t="s">
        <v>34</v>
      </c>
      <c r="L2941" s="2" t="n">
        <f aca="false">J2941/_xlfn.XLOOKUP(Tabla2[[#This Row],[Unidad de precio]],Tabla3[Medida],Tabla3[Equivalencia en Kg],"ELVIS",0)</f>
        <v>18.0790695142037</v>
      </c>
      <c r="M2941" s="3" t="n">
        <v>33327.4212424613</v>
      </c>
      <c r="N2941" s="3" t="n">
        <f aca="false">(Tabla2[[#This Row],[Productividad (kg/TAS)]]*Tabla2[[#This Row],[Precio por kg]]-Tabla2[[#This Row],[Costos (En RD$/Tarea)]])</f>
        <v>8316.62559999187</v>
      </c>
      <c r="O2941" s="9" t="n">
        <f aca="false">IF(Tabla2[[#This Row],[Costos (En RD$/Tarea)]]=0,0,Tabla2[[#This Row],[Beneficio Neto  (En RD$/Tarea)]]/Tabla2[[#This Row],[Costos (En RD$/Tarea)]])</f>
        <v>0.249543027631431</v>
      </c>
      <c r="P2941" s="7" t="n">
        <f aca="false">Tabla2[[#This Row],[Rentabilidad (%)]]/12</f>
        <v>0.0207952523026193</v>
      </c>
    </row>
    <row r="2942" customFormat="false" ht="14.25" hidden="false" customHeight="false" outlineLevel="0" collapsed="false">
      <c r="A2942" s="1" t="n">
        <v>43983</v>
      </c>
      <c r="B2942" s="2" t="s">
        <v>16</v>
      </c>
      <c r="C2942" s="3" t="n">
        <v>130214</v>
      </c>
      <c r="D2942" s="8" t="s">
        <v>17</v>
      </c>
      <c r="E2942" s="3" t="n">
        <f aca="false">IF(Tabla2[[#This Row],[Frecuencia]]="Annual", Tabla2[[#This Row],[Cosecha/Tarea]]/12,Tabla2[[#This Row],[Cosecha/Tarea]])</f>
        <v>130214</v>
      </c>
      <c r="F2942" s="3" t="n">
        <v>670854</v>
      </c>
      <c r="G2942" s="2" t="s">
        <v>18</v>
      </c>
      <c r="H2942" s="2" t="n">
        <f aca="false">F2942/Tabla2[[#This Row],[Cosecha Mensual]]</f>
        <v>5.15193450781022</v>
      </c>
      <c r="I2942" s="2" t="n">
        <f aca="false">H2942*_xlfn.XLOOKUP(Tabla2[[#This Row],[Unidad de producción]],Tabla3[Medida],Tabla3[Equivalencia en Kg],"ELVIS",0)</f>
        <v>233.691749274272</v>
      </c>
      <c r="J2942" s="2" t="n">
        <v>2321.23322485026</v>
      </c>
      <c r="K2942" s="2" t="s">
        <v>19</v>
      </c>
      <c r="L2942" s="2" t="n">
        <f aca="false">J2942/_xlfn.XLOOKUP(Tabla2[[#This Row],[Unidad de precio]],Tabla3[Medida],Tabla3[Equivalencia en Kg],"ELVIS",0)</f>
        <v>21.1021202259115</v>
      </c>
      <c r="M2942" s="2" t="n">
        <v>7092.59436898665</v>
      </c>
      <c r="N2942" s="3" t="n">
        <f aca="false">(Tabla2[[#This Row],[Productividad (kg/TAS)]]*Tabla2[[#This Row],[Precio por kg]]-Tabla2[[#This Row],[Costos (En RD$/Tarea)]])</f>
        <v>-2161.20297999742</v>
      </c>
      <c r="O2942" s="9" t="n">
        <f aca="false">IF(Tabla2[[#This Row],[Costos (En RD$/Tarea)]]=0,0,Tabla2[[#This Row],[Beneficio Neto  (En RD$/Tarea)]]/Tabla2[[#This Row],[Costos (En RD$/Tarea)]])</f>
        <v>-0.304712615379159</v>
      </c>
      <c r="P2942" s="7" t="n">
        <f aca="false">Tabla2[[#This Row],[Rentabilidad (%)]]/12</f>
        <v>-0.0253927179482632</v>
      </c>
    </row>
    <row r="2943" customFormat="false" ht="14.25" hidden="false" customHeight="false" outlineLevel="0" collapsed="false">
      <c r="A2943" s="1" t="n">
        <v>43983</v>
      </c>
      <c r="B2943" s="2" t="s">
        <v>20</v>
      </c>
      <c r="C2943" s="3" t="n">
        <v>49020.94608101</v>
      </c>
      <c r="D2943" s="8" t="s">
        <v>17</v>
      </c>
      <c r="E2943" s="3" t="n">
        <f aca="false">IF(Tabla2[[#This Row],[Frecuencia]]="Annual", Tabla2[[#This Row],[Cosecha/Tarea]]/12,Tabla2[[#This Row],[Cosecha/Tarea]])</f>
        <v>49020.94608101</v>
      </c>
      <c r="F2943" s="3" t="n">
        <v>98421</v>
      </c>
      <c r="G2943" s="2" t="s">
        <v>18</v>
      </c>
      <c r="H2943" s="2" t="n">
        <f aca="false">F2943/Tabla2[[#This Row],[Cosecha Mensual]]</f>
        <v>2.00773358876741</v>
      </c>
      <c r="I2943" s="2" t="n">
        <f aca="false">H2943*_xlfn.XLOOKUP(Tabla2[[#This Row],[Unidad de producción]],Tabla3[Medida],Tabla3[Equivalencia en Kg],"ELVIS",0)</f>
        <v>91.0707955864898</v>
      </c>
      <c r="J2943" s="2" t="n">
        <v>954.880208333333</v>
      </c>
      <c r="K2943" s="2" t="s">
        <v>18</v>
      </c>
      <c r="L2943" s="2" t="n">
        <f aca="false">J2943/_xlfn.XLOOKUP(Tabla2[[#This Row],[Unidad de precio]],Tabla3[Medida],Tabla3[Equivalencia en Kg],"ELVIS",0)</f>
        <v>21.0511509773662</v>
      </c>
      <c r="M2943" s="2" t="n">
        <v>2584.15468583726</v>
      </c>
      <c r="N2943" s="3" t="n">
        <f aca="false">(Tabla2[[#This Row],[Productividad (kg/TAS)]]*Tabla2[[#This Row],[Precio por kg]]-Tabla2[[#This Row],[Costos (En RD$/Tarea)]])</f>
        <v>-667.009618317203</v>
      </c>
      <c r="O2943" s="9" t="n">
        <f aca="false">IF(Tabla2[[#This Row],[Costos (En RD$/Tarea)]]=0,0,Tabla2[[#This Row],[Beneficio Neto  (En RD$/Tarea)]]/Tabla2[[#This Row],[Costos (En RD$/Tarea)]])</f>
        <v>-0.258115205708397</v>
      </c>
      <c r="P2943" s="7" t="n">
        <f aca="false">Tabla2[[#This Row],[Rentabilidad (%)]]/12</f>
        <v>-0.0215096004756998</v>
      </c>
    </row>
    <row r="2944" customFormat="false" ht="14.25" hidden="false" customHeight="false" outlineLevel="0" collapsed="false">
      <c r="A2944" s="1" t="n">
        <v>43983</v>
      </c>
      <c r="B2944" s="2" t="s">
        <v>21</v>
      </c>
      <c r="C2944" s="3" t="n">
        <v>10621.4906266183</v>
      </c>
      <c r="D2944" s="8" t="s">
        <v>17</v>
      </c>
      <c r="E2944" s="3" t="n">
        <f aca="false">IF(Tabla2[[#This Row],[Frecuencia]]="Annual", Tabla2[[#This Row],[Cosecha/Tarea]]/12,Tabla2[[#This Row],[Cosecha/Tarea]])</f>
        <v>10621.4906266183</v>
      </c>
      <c r="F2944" s="3" t="n">
        <v>111884</v>
      </c>
      <c r="G2944" s="2" t="s">
        <v>18</v>
      </c>
      <c r="H2944" s="2" t="n">
        <f aca="false">F2944/Tabla2[[#This Row],[Cosecha Mensual]]</f>
        <v>10.533738053641</v>
      </c>
      <c r="I2944" s="2" t="n">
        <f aca="false">H2944*_xlfn.XLOOKUP(Tabla2[[#This Row],[Unidad de producción]],Tabla3[Medida],Tabla3[Equivalencia en Kg],"ELVIS",0)</f>
        <v>477.810358113154</v>
      </c>
      <c r="J2944" s="2" t="n">
        <v>599.446354166667</v>
      </c>
      <c r="K2944" s="2" t="s">
        <v>18</v>
      </c>
      <c r="L2944" s="2" t="n">
        <f aca="false">J2944/_xlfn.XLOOKUP(Tabla2[[#This Row],[Unidad de precio]],Tabla3[Medida],Tabla3[Equivalencia en Kg],"ELVIS",0)</f>
        <v>13.2153076315403</v>
      </c>
      <c r="M2944" s="2" t="n">
        <v>6271.46010735965</v>
      </c>
      <c r="N2944" s="3" t="n">
        <f aca="false">(Tabla2[[#This Row],[Productividad (kg/TAS)]]*Tabla2[[#This Row],[Precio por kg]]-Tabla2[[#This Row],[Costos (En RD$/Tarea)]])</f>
        <v>42.9507646421089</v>
      </c>
      <c r="O2944" s="9" t="n">
        <f aca="false">IF(Tabla2[[#This Row],[Costos (En RD$/Tarea)]]=0,0,Tabla2[[#This Row],[Beneficio Neto  (En RD$/Tarea)]]/Tabla2[[#This Row],[Costos (En RD$/Tarea)]])</f>
        <v>0.00684860684861976</v>
      </c>
      <c r="P2944" s="7" t="n">
        <f aca="false">Tabla2[[#This Row],[Rentabilidad (%)]]/12</f>
        <v>0.00057071723738498</v>
      </c>
    </row>
    <row r="2945" customFormat="false" ht="14.25" hidden="false" customHeight="false" outlineLevel="0" collapsed="false">
      <c r="A2945" s="1" t="n">
        <v>43983</v>
      </c>
      <c r="B2945" s="2" t="s">
        <v>22</v>
      </c>
      <c r="C2945" s="3" t="n">
        <v>6998</v>
      </c>
      <c r="D2945" s="8" t="s">
        <v>17</v>
      </c>
      <c r="E2945" s="3" t="n">
        <f aca="false">IF(Tabla2[[#This Row],[Frecuencia]]="Annual", Tabla2[[#This Row],[Cosecha/Tarea]]/12,Tabla2[[#This Row],[Cosecha/Tarea]])</f>
        <v>6998</v>
      </c>
      <c r="F2945" s="3" t="n">
        <v>51207</v>
      </c>
      <c r="G2945" s="2" t="s">
        <v>18</v>
      </c>
      <c r="H2945" s="2" t="n">
        <f aca="false">F2945/Tabla2[[#This Row],[Cosecha Mensual]]</f>
        <v>7.31737639325522</v>
      </c>
      <c r="I2945" s="2" t="n">
        <f aca="false">H2945*_xlfn.XLOOKUP(Tabla2[[#This Row],[Unidad de producción]],Tabla3[Medida],Tabla3[Equivalencia en Kg],"ELVIS",0)</f>
        <v>331.916193198057</v>
      </c>
      <c r="J2945" s="2" t="n">
        <v>1653.27380952381</v>
      </c>
      <c r="K2945" s="2" t="s">
        <v>18</v>
      </c>
      <c r="L2945" s="2" t="n">
        <f aca="false">J2945/_xlfn.XLOOKUP(Tabla2[[#This Row],[Unidad de precio]],Tabla3[Medida],Tabla3[Equivalencia en Kg],"ELVIS",0)</f>
        <v>36.4478353069623</v>
      </c>
      <c r="M2945" s="2" t="n">
        <v>10873.3452772193</v>
      </c>
      <c r="N2945" s="3" t="n">
        <f aca="false">(Tabla2[[#This Row],[Productividad (kg/TAS)]]*Tabla2[[#This Row],[Precio por kg]]-Tabla2[[#This Row],[Costos (En RD$/Tarea)]])</f>
        <v>1224.28146817735</v>
      </c>
      <c r="O2945" s="9" t="n">
        <f aca="false">IF(Tabla2[[#This Row],[Costos (En RD$/Tarea)]]=0,0,Tabla2[[#This Row],[Beneficio Neto  (En RD$/Tarea)]]/Tabla2[[#This Row],[Costos (En RD$/Tarea)]])</f>
        <v>0.112594738506312</v>
      </c>
      <c r="P2945" s="7" t="n">
        <f aca="false">Tabla2[[#This Row],[Rentabilidad (%)]]/12</f>
        <v>0.009382894875526</v>
      </c>
    </row>
    <row r="2946" customFormat="false" ht="14.25" hidden="false" customHeight="false" outlineLevel="0" collapsed="false">
      <c r="A2946" s="1" t="n">
        <v>43983</v>
      </c>
      <c r="B2946" s="2" t="s">
        <v>23</v>
      </c>
      <c r="C2946" s="3" t="n">
        <v>4158</v>
      </c>
      <c r="D2946" s="8" t="s">
        <v>17</v>
      </c>
      <c r="E2946" s="3" t="n">
        <f aca="false">IF(Tabla2[[#This Row],[Frecuencia]]="Annual", Tabla2[[#This Row],[Cosecha/Tarea]]/12,Tabla2[[#This Row],[Cosecha/Tarea]])</f>
        <v>4158</v>
      </c>
      <c r="F2946" s="3" t="n">
        <v>159241</v>
      </c>
      <c r="G2946" s="2" t="s">
        <v>18</v>
      </c>
      <c r="H2946" s="2" t="n">
        <f aca="false">F2946/Tabla2[[#This Row],[Cosecha Mensual]]</f>
        <v>38.2974987974988</v>
      </c>
      <c r="I2946" s="2" t="n">
        <f aca="false">H2946*_xlfn.XLOOKUP(Tabla2[[#This Row],[Unidad de producción]],Tabla3[Medida],Tabla3[Equivalencia en Kg],"ELVIS",0)</f>
        <v>1737.17454545455</v>
      </c>
      <c r="J2946" s="2" t="n">
        <v>1059.375</v>
      </c>
      <c r="K2946" s="2" t="s">
        <v>18</v>
      </c>
      <c r="L2946" s="2" t="n">
        <f aca="false">J2946/_xlfn.XLOOKUP(Tabla2[[#This Row],[Unidad de precio]],Tabla3[Medida],Tabla3[Equivalencia en Kg],"ELVIS",0)</f>
        <v>23.354828042328</v>
      </c>
      <c r="M2946" s="2" t="n">
        <v>28931.455637377</v>
      </c>
      <c r="N2946" s="3" t="n">
        <f aca="false">(Tabla2[[#This Row],[Productividad (kg/TAS)]]*Tabla2[[#This Row],[Precio por kg]]-Tabla2[[#This Row],[Costos (En RD$/Tarea)]])</f>
        <v>11639.9571512233</v>
      </c>
      <c r="O2946" s="9" t="n">
        <f aca="false">IF(Tabla2[[#This Row],[Costos (En RD$/Tarea)]]=0,0,Tabla2[[#This Row],[Beneficio Neto  (En RD$/Tarea)]]/Tabla2[[#This Row],[Costos (En RD$/Tarea)]])</f>
        <v>0.402328776578578</v>
      </c>
      <c r="P2946" s="7" t="n">
        <f aca="false">Tabla2[[#This Row],[Rentabilidad (%)]]/12</f>
        <v>0.0335273980482148</v>
      </c>
    </row>
    <row r="2947" customFormat="false" ht="14.25" hidden="false" customHeight="false" outlineLevel="0" collapsed="false">
      <c r="A2947" s="1" t="n">
        <v>43983</v>
      </c>
      <c r="B2947" s="2" t="s">
        <v>24</v>
      </c>
      <c r="C2947" s="3" t="n">
        <v>6601</v>
      </c>
      <c r="D2947" s="8" t="s">
        <v>17</v>
      </c>
      <c r="E2947" s="3" t="n">
        <f aca="false">IF(Tabla2[[#This Row],[Frecuencia]]="Annual", Tabla2[[#This Row],[Cosecha/Tarea]]/12,Tabla2[[#This Row],[Cosecha/Tarea]])</f>
        <v>6601</v>
      </c>
      <c r="F2947" s="3" t="n">
        <v>63855</v>
      </c>
      <c r="G2947" s="2" t="s">
        <v>18</v>
      </c>
      <c r="H2947" s="2" t="n">
        <f aca="false">F2947/Tabla2[[#This Row],[Cosecha Mensual]]</f>
        <v>9.67353431298288</v>
      </c>
      <c r="I2947" s="2" t="n">
        <f aca="false">H2947*_xlfn.XLOOKUP(Tabla2[[#This Row],[Unidad de producción]],Tabla3[Medida],Tabla3[Equivalencia en Kg],"ELVIS",0)</f>
        <v>438.791516436903</v>
      </c>
      <c r="J2947" s="2" t="n">
        <v>2618.63375</v>
      </c>
      <c r="K2947" s="2" t="s">
        <v>18</v>
      </c>
      <c r="L2947" s="2" t="n">
        <f aca="false">J2947/_xlfn.XLOOKUP(Tabla2[[#This Row],[Unidad de precio]],Tabla3[Medida],Tabla3[Equivalencia en Kg],"ELVIS",0)</f>
        <v>57.7300209435626</v>
      </c>
      <c r="M2947" s="2" t="n">
        <v>8997.82973620852</v>
      </c>
      <c r="N2947" s="3" t="n">
        <f aca="false">(Tabla2[[#This Row],[Productividad (kg/TAS)]]*Tabla2[[#This Row],[Precio por kg]]-Tabla2[[#This Row],[Costos (En RD$/Tarea)]])</f>
        <v>16333.6136975515</v>
      </c>
      <c r="O2947" s="9" t="n">
        <f aca="false">IF(Tabla2[[#This Row],[Costos (En RD$/Tarea)]]=0,0,Tabla2[[#This Row],[Beneficio Neto  (En RD$/Tarea)]]/Tabla2[[#This Row],[Costos (En RD$/Tarea)]])</f>
        <v>1.81528370467189</v>
      </c>
      <c r="P2947" s="7" t="n">
        <f aca="false">Tabla2[[#This Row],[Rentabilidad (%)]]/12</f>
        <v>0.151273642055991</v>
      </c>
    </row>
    <row r="2948" customFormat="false" ht="14.25" hidden="false" customHeight="false" outlineLevel="0" collapsed="false">
      <c r="A2948" s="1" t="n">
        <v>43983</v>
      </c>
      <c r="B2948" s="2" t="s">
        <v>25</v>
      </c>
      <c r="C2948" s="3" t="n">
        <v>38965</v>
      </c>
      <c r="D2948" s="8" t="s">
        <v>17</v>
      </c>
      <c r="E2948" s="3" t="n">
        <f aca="false">IF(Tabla2[[#This Row],[Frecuencia]]="Annual", Tabla2[[#This Row],[Cosecha/Tarea]]/12,Tabla2[[#This Row],[Cosecha/Tarea]])</f>
        <v>38965</v>
      </c>
      <c r="F2948" s="3" t="n">
        <v>377341</v>
      </c>
      <c r="G2948" s="2" t="s">
        <v>18</v>
      </c>
      <c r="H2948" s="2" t="n">
        <f aca="false">F2948/Tabla2[[#This Row],[Cosecha Mensual]]</f>
        <v>9.6841011163865</v>
      </c>
      <c r="I2948" s="2" t="n">
        <f aca="false">H2948*_xlfn.XLOOKUP(Tabla2[[#This Row],[Unidad de producción]],Tabla3[Medida],Tabla3[Equivalencia en Kg],"ELVIS",0)</f>
        <v>439.270826639292</v>
      </c>
      <c r="J2948" s="2" t="n">
        <v>620.760520833333</v>
      </c>
      <c r="K2948" s="2" t="s">
        <v>18</v>
      </c>
      <c r="L2948" s="2" t="n">
        <f aca="false">J2948/_xlfn.XLOOKUP(Tabla2[[#This Row],[Unidad de precio]],Tabla3[Medida],Tabla3[Equivalencia en Kg],"ELVIS",0)</f>
        <v>13.6851966674015</v>
      </c>
      <c r="M2948" s="2" t="n">
        <v>5060.83945230923</v>
      </c>
      <c r="N2948" s="3" t="n">
        <f aca="false">(Tabla2[[#This Row],[Productividad (kg/TAS)]]*Tabla2[[#This Row],[Precio por kg]]-Tabla2[[#This Row],[Costos (En RD$/Tarea)]])</f>
        <v>950.668200501516</v>
      </c>
      <c r="O2948" s="9" t="n">
        <f aca="false">IF(Tabla2[[#This Row],[Costos (En RD$/Tarea)]]=0,0,Tabla2[[#This Row],[Beneficio Neto  (En RD$/Tarea)]]/Tabla2[[#This Row],[Costos (En RD$/Tarea)]])</f>
        <v>0.187847927099867</v>
      </c>
      <c r="P2948" s="7" t="n">
        <f aca="false">Tabla2[[#This Row],[Rentabilidad (%)]]/12</f>
        <v>0.0156539939249889</v>
      </c>
    </row>
    <row r="2949" customFormat="false" ht="14.25" hidden="false" customHeight="false" outlineLevel="0" collapsed="false">
      <c r="A2949" s="1" t="n">
        <v>43983</v>
      </c>
      <c r="B2949" s="2" t="s">
        <v>26</v>
      </c>
      <c r="C2949" s="3" t="n">
        <v>11087</v>
      </c>
      <c r="D2949" s="8" t="s">
        <v>17</v>
      </c>
      <c r="E2949" s="3" t="n">
        <f aca="false">IF(Tabla2[[#This Row],[Frecuencia]]="Annual", Tabla2[[#This Row],[Cosecha/Tarea]]/12,Tabla2[[#This Row],[Cosecha/Tarea]])</f>
        <v>11087</v>
      </c>
      <c r="F2949" s="3" t="n">
        <v>67344</v>
      </c>
      <c r="G2949" s="2" t="s">
        <v>18</v>
      </c>
      <c r="H2949" s="2" t="n">
        <f aca="false">F2949/Tabla2[[#This Row],[Cosecha Mensual]]</f>
        <v>6.07414088572202</v>
      </c>
      <c r="I2949" s="2" t="n">
        <f aca="false">H2949*_xlfn.XLOOKUP(Tabla2[[#This Row],[Unidad de producción]],Tabla3[Medida],Tabla3[Equivalencia en Kg],"ELVIS",0)</f>
        <v>275.523030576351</v>
      </c>
      <c r="J2949" s="2" t="n">
        <v>1012.734375</v>
      </c>
      <c r="K2949" s="2" t="s">
        <v>18</v>
      </c>
      <c r="L2949" s="2" t="n">
        <f aca="false">J2949/_xlfn.XLOOKUP(Tabla2[[#This Row],[Unidad de precio]],Tabla3[Medida],Tabla3[Equivalencia en Kg],"ELVIS",0)</f>
        <v>22.3265955687831</v>
      </c>
      <c r="M2949" s="2" t="n">
        <v>1789.84398526912</v>
      </c>
      <c r="N2949" s="3" t="n">
        <f aca="false">(Tabla2[[#This Row],[Productividad (kg/TAS)]]*Tabla2[[#This Row],[Precio por kg]]-Tabla2[[#This Row],[Costos (En RD$/Tarea)]])</f>
        <v>4361.64728829451</v>
      </c>
      <c r="O2949" s="9" t="n">
        <f aca="false">IF(Tabla2[[#This Row],[Costos (En RD$/Tarea)]]=0,0,Tabla2[[#This Row],[Beneficio Neto  (En RD$/Tarea)]]/Tabla2[[#This Row],[Costos (En RD$/Tarea)]])</f>
        <v>2.43688685952072</v>
      </c>
      <c r="P2949" s="7" t="n">
        <f aca="false">Tabla2[[#This Row],[Rentabilidad (%)]]/12</f>
        <v>0.20307390496006</v>
      </c>
    </row>
    <row r="2950" customFormat="false" ht="14.25" hidden="false" customHeight="false" outlineLevel="0" collapsed="false">
      <c r="A2950" s="1" t="n">
        <v>43983</v>
      </c>
      <c r="B2950" s="2" t="s">
        <v>27</v>
      </c>
      <c r="C2950" s="3" t="n">
        <v>8321</v>
      </c>
      <c r="D2950" s="8" t="s">
        <v>17</v>
      </c>
      <c r="E2950" s="3" t="n">
        <f aca="false">IF(Tabla2[[#This Row],[Frecuencia]]="Annual", Tabla2[[#This Row],[Cosecha/Tarea]]/12,Tabla2[[#This Row],[Cosecha/Tarea]])</f>
        <v>8321</v>
      </c>
      <c r="F2950" s="3" t="n">
        <v>57999</v>
      </c>
      <c r="G2950" s="2" t="s">
        <v>18</v>
      </c>
      <c r="H2950" s="2" t="n">
        <f aca="false">F2950/Tabla2[[#This Row],[Cosecha Mensual]]</f>
        <v>6.97019588991708</v>
      </c>
      <c r="I2950" s="2" t="n">
        <f aca="false">H2950*_xlfn.XLOOKUP(Tabla2[[#This Row],[Unidad de producción]],Tabla3[Medida],Tabla3[Equivalencia en Kg],"ELVIS",0)</f>
        <v>316.168085566639</v>
      </c>
      <c r="J2950" s="2" t="n">
        <v>957.152380952381</v>
      </c>
      <c r="K2950" s="2" t="s">
        <v>18</v>
      </c>
      <c r="L2950" s="2" t="n">
        <f aca="false">J2950/_xlfn.XLOOKUP(Tabla2[[#This Row],[Unidad de precio]],Tabla3[Medida],Tabla3[Equivalencia en Kg],"ELVIS",0)</f>
        <v>21.1012429663223</v>
      </c>
      <c r="M2950" s="2" t="n">
        <v>9891.72566090888</v>
      </c>
      <c r="N2950" s="3" t="n">
        <f aca="false">(Tabla2[[#This Row],[Productividad (kg/TAS)]]*Tabla2[[#This Row],[Precio por kg]]-Tabla2[[#This Row],[Costos (En RD$/Tarea)]])</f>
        <v>-3220.18606917025</v>
      </c>
      <c r="O2950" s="9" t="n">
        <f aca="false">IF(Tabla2[[#This Row],[Costos (En RD$/Tarea)]]=0,0,Tabla2[[#This Row],[Beneficio Neto  (En RD$/Tarea)]]/Tabla2[[#This Row],[Costos (En RD$/Tarea)]])</f>
        <v>-0.325543406636934</v>
      </c>
      <c r="P2950" s="7" t="n">
        <f aca="false">Tabla2[[#This Row],[Rentabilidad (%)]]/12</f>
        <v>-0.0271286172197445</v>
      </c>
    </row>
    <row r="2951" customFormat="false" ht="14.25" hidden="false" customHeight="false" outlineLevel="0" collapsed="false">
      <c r="A2951" s="1" t="n">
        <v>43983</v>
      </c>
      <c r="B2951" s="2" t="s">
        <v>28</v>
      </c>
      <c r="C2951" s="3" t="n">
        <v>47501</v>
      </c>
      <c r="D2951" s="8" t="s">
        <v>17</v>
      </c>
      <c r="E2951" s="3" t="n">
        <f aca="false">IF(Tabla2[[#This Row],[Frecuencia]]="Annual", Tabla2[[#This Row],[Cosecha/Tarea]]/12,Tabla2[[#This Row],[Cosecha/Tarea]])</f>
        <v>47501</v>
      </c>
      <c r="F2951" s="3" t="n">
        <v>1391838</v>
      </c>
      <c r="G2951" s="2" t="s">
        <v>18</v>
      </c>
      <c r="H2951" s="2" t="n">
        <f aca="false">F2951/Tabla2[[#This Row],[Cosecha Mensual]]</f>
        <v>29.3012357634576</v>
      </c>
      <c r="I2951" s="2" t="n">
        <f aca="false">H2951*_xlfn.XLOOKUP(Tabla2[[#This Row],[Unidad de producción]],Tabla3[Medida],Tabla3[Equivalencia en Kg],"ELVIS",0)</f>
        <v>1329.10405423044</v>
      </c>
      <c r="J2951" s="2" t="n">
        <v>21612.962962963</v>
      </c>
      <c r="K2951" s="2" t="s">
        <v>29</v>
      </c>
      <c r="L2951" s="2" t="n">
        <f aca="false">J2951/_xlfn.XLOOKUP(Tabla2[[#This Row],[Unidad de precio]],Tabla3[Medida],Tabla3[Equivalencia en Kg],"ELVIS",0)</f>
        <v>38.4339775988957</v>
      </c>
      <c r="M2951" s="2" t="n">
        <v>13735.1419088583</v>
      </c>
      <c r="N2951" s="3" t="n">
        <f aca="false">(Tabla2[[#This Row],[Productividad (kg/TAS)]]*Tabla2[[#This Row],[Precio por kg]]-Tabla2[[#This Row],[Costos (En RD$/Tarea)]])</f>
        <v>37347.6135380358</v>
      </c>
      <c r="O2951" s="9" t="n">
        <f aca="false">IF(Tabla2[[#This Row],[Costos (En RD$/Tarea)]]=0,0,Tabla2[[#This Row],[Beneficio Neto  (En RD$/Tarea)]]/Tabla2[[#This Row],[Costos (En RD$/Tarea)]])</f>
        <v>2.71912833415641</v>
      </c>
      <c r="P2951" s="7" t="n">
        <f aca="false">Tabla2[[#This Row],[Rentabilidad (%)]]/12</f>
        <v>0.226594027846367</v>
      </c>
    </row>
    <row r="2952" customFormat="false" ht="14.25" hidden="false" customHeight="false" outlineLevel="0" collapsed="false">
      <c r="A2952" s="1" t="n">
        <v>43983</v>
      </c>
      <c r="B2952" s="2" t="s">
        <v>30</v>
      </c>
      <c r="C2952" s="3" t="n">
        <v>445264</v>
      </c>
      <c r="D2952" s="3" t="s">
        <v>31</v>
      </c>
      <c r="E2952" s="3" t="n">
        <f aca="false">IF(Tabla2[[#This Row],[Frecuencia]]="Annual", Tabla2[[#This Row],[Cosecha/Tarea]]/12,Tabla2[[#This Row],[Cosecha/Tarea]])</f>
        <v>37105.3333333333</v>
      </c>
      <c r="F2952" s="3" t="n">
        <v>2640995.4</v>
      </c>
      <c r="G2952" s="2" t="s">
        <v>18</v>
      </c>
      <c r="H2952" s="2" t="n">
        <f aca="false">F2952/Tabla2[[#This Row],[Cosecha Mensual]]</f>
        <v>71.1756279420748</v>
      </c>
      <c r="I2952" s="2" t="n">
        <f aca="false">H2952*_xlfn.XLOOKUP(Tabla2[[#This Row],[Unidad de producción]],Tabla3[Medida],Tabla3[Equivalencia en Kg],"ELVIS",0)</f>
        <v>3228.52648345251</v>
      </c>
      <c r="J2952" s="2" t="n">
        <v>178.4921875</v>
      </c>
      <c r="K2952" s="2" t="s">
        <v>32</v>
      </c>
      <c r="L2952" s="2" t="n">
        <f aca="false">J2952/_xlfn.XLOOKUP(Tabla2[[#This Row],[Unidad de precio]],Tabla3[Medida],Tabla3[Equivalencia en Kg],"ELVIS",0)</f>
        <v>6.55980108416024</v>
      </c>
      <c r="M2952" s="3" t="n">
        <v>38019.0770714752</v>
      </c>
      <c r="N2952" s="3" t="n">
        <f aca="false">(Tabla2[[#This Row],[Productividad (kg/TAS)]]*Tabla2[[#This Row],[Precio por kg]]-Tabla2[[#This Row],[Costos (En RD$/Tarea)]])</f>
        <v>-16840.5855450834</v>
      </c>
      <c r="O2952" s="9" t="n">
        <f aca="false">IF(Tabla2[[#This Row],[Costos (En RD$/Tarea)]]=0,0,Tabla2[[#This Row],[Beneficio Neto  (En RD$/Tarea)]]/Tabla2[[#This Row],[Costos (En RD$/Tarea)]])</f>
        <v>-0.442950929961381</v>
      </c>
      <c r="P2952" s="7" t="n">
        <f aca="false">Tabla2[[#This Row],[Rentabilidad (%)]]/12</f>
        <v>-0.0369125774967818</v>
      </c>
    </row>
    <row r="2953" customFormat="false" ht="14.25" hidden="false" customHeight="false" outlineLevel="0" collapsed="false">
      <c r="A2953" s="1" t="n">
        <v>43983</v>
      </c>
      <c r="B2953" s="2" t="s">
        <v>33</v>
      </c>
      <c r="C2953" s="3" t="n">
        <v>742839.152409019</v>
      </c>
      <c r="D2953" s="3" t="s">
        <v>31</v>
      </c>
      <c r="E2953" s="3" t="n">
        <f aca="false">IF(Tabla2[[#This Row],[Frecuencia]]="Annual", Tabla2[[#This Row],[Cosecha/Tarea]]/12,Tabla2[[#This Row],[Cosecha/Tarea]])</f>
        <v>61903.2627007516</v>
      </c>
      <c r="F2953" s="3" t="n">
        <v>1978866</v>
      </c>
      <c r="G2953" s="2" t="s">
        <v>18</v>
      </c>
      <c r="H2953" s="2" t="n">
        <f aca="false">F2953/Tabla2[[#This Row],[Cosecha Mensual]]</f>
        <v>31.9670710987577</v>
      </c>
      <c r="I2953" s="2" t="n">
        <f aca="false">H2953*_xlfn.XLOOKUP(Tabla2[[#This Row],[Unidad de producción]],Tabla3[Medida],Tabla3[Equivalencia en Kg],"ELVIS",0)</f>
        <v>1450.02634503965</v>
      </c>
      <c r="J2953" s="2" t="n">
        <v>6584.65104166667</v>
      </c>
      <c r="K2953" s="2" t="s">
        <v>34</v>
      </c>
      <c r="L2953" s="2" t="n">
        <f aca="false">J2953/_xlfn.XLOOKUP(Tabla2[[#This Row],[Unidad de precio]],Tabla3[Medida],Tabla3[Equivalencia en Kg],"ELVIS",0)</f>
        <v>16.1329193719629</v>
      </c>
      <c r="M2953" s="3" t="n">
        <v>33327.4212424613</v>
      </c>
      <c r="N2953" s="3" t="n">
        <f aca="false">(Tabla2[[#This Row],[Productividad (kg/TAS)]]*Tabla2[[#This Row],[Precio por kg]]-Tabla2[[#This Row],[Costos (En RD$/Tarea)]])</f>
        <v>-9934.26313071455</v>
      </c>
      <c r="O2953" s="9" t="n">
        <f aca="false">IF(Tabla2[[#This Row],[Costos (En RD$/Tarea)]]=0,0,Tabla2[[#This Row],[Beneficio Neto  (En RD$/Tarea)]]/Tabla2[[#This Row],[Costos (En RD$/Tarea)]])</f>
        <v>-0.298080762338061</v>
      </c>
      <c r="P2953" s="7" t="n">
        <f aca="false">Tabla2[[#This Row],[Rentabilidad (%)]]/12</f>
        <v>-0.0248400635281718</v>
      </c>
    </row>
    <row r="2954" customFormat="false" ht="14.25" hidden="false" customHeight="false" outlineLevel="0" collapsed="false">
      <c r="A2954" s="1" t="n">
        <v>44013</v>
      </c>
      <c r="B2954" s="2" t="s">
        <v>16</v>
      </c>
      <c r="C2954" s="3" t="n">
        <v>146255</v>
      </c>
      <c r="D2954" s="8" t="s">
        <v>17</v>
      </c>
      <c r="E2954" s="3" t="n">
        <f aca="false">IF(Tabla2[[#This Row],[Frecuencia]]="Annual", Tabla2[[#This Row],[Cosecha/Tarea]]/12,Tabla2[[#This Row],[Cosecha/Tarea]])</f>
        <v>146255</v>
      </c>
      <c r="F2954" s="3" t="n">
        <v>529351</v>
      </c>
      <c r="G2954" s="2" t="s">
        <v>18</v>
      </c>
      <c r="H2954" s="2" t="n">
        <f aca="false">F2954/Tabla2[[#This Row],[Cosecha Mensual]]</f>
        <v>3.61937027793922</v>
      </c>
      <c r="I2954" s="2" t="n">
        <f aca="false">H2954*_xlfn.XLOOKUP(Tabla2[[#This Row],[Unidad de producción]],Tabla3[Medida],Tabla3[Equivalencia en Kg],"ELVIS",0)</f>
        <v>164.174635807323</v>
      </c>
      <c r="J2954" s="2" t="n">
        <v>2409.93324318543</v>
      </c>
      <c r="K2954" s="2" t="s">
        <v>19</v>
      </c>
      <c r="L2954" s="2" t="n">
        <f aca="false">J2954/_xlfn.XLOOKUP(Tabla2[[#This Row],[Unidad de precio]],Tabla3[Medida],Tabla3[Equivalencia en Kg],"ELVIS",0)</f>
        <v>21.9084840289585</v>
      </c>
      <c r="M2954" s="2" t="n">
        <v>7092.59436898665</v>
      </c>
      <c r="N2954" s="3" t="n">
        <f aca="false">(Tabla2[[#This Row],[Productividad (kg/TAS)]]*Tabla2[[#This Row],[Precio por kg]]-Tabla2[[#This Row],[Costos (En RD$/Tarea)]])</f>
        <v>-3495.77698244185</v>
      </c>
      <c r="O2954" s="9" t="n">
        <f aca="false">IF(Tabla2[[#This Row],[Costos (En RD$/Tarea)]]=0,0,Tabla2[[#This Row],[Beneficio Neto  (En RD$/Tarea)]]/Tabla2[[#This Row],[Costos (En RD$/Tarea)]])</f>
        <v>-0.492877049014338</v>
      </c>
      <c r="P2954" s="7" t="n">
        <f aca="false">Tabla2[[#This Row],[Rentabilidad (%)]]/12</f>
        <v>-0.0410730874178615</v>
      </c>
    </row>
    <row r="2955" customFormat="false" ht="14.25" hidden="false" customHeight="false" outlineLevel="0" collapsed="false">
      <c r="A2955" s="1" t="n">
        <v>44013</v>
      </c>
      <c r="B2955" s="2" t="s">
        <v>20</v>
      </c>
      <c r="C2955" s="3" t="n">
        <v>47854.3796178344</v>
      </c>
      <c r="D2955" s="8" t="s">
        <v>17</v>
      </c>
      <c r="E2955" s="3" t="n">
        <f aca="false">IF(Tabla2[[#This Row],[Frecuencia]]="Annual", Tabla2[[#This Row],[Cosecha/Tarea]]/12,Tabla2[[#This Row],[Cosecha/Tarea]])</f>
        <v>47854.3796178344</v>
      </c>
      <c r="F2955" s="3" t="n">
        <v>120122</v>
      </c>
      <c r="G2955" s="2" t="s">
        <v>18</v>
      </c>
      <c r="H2955" s="2" t="n">
        <f aca="false">F2955/Tabla2[[#This Row],[Cosecha Mensual]]</f>
        <v>2.51015687507174</v>
      </c>
      <c r="I2955" s="2" t="n">
        <f aca="false">H2955*_xlfn.XLOOKUP(Tabla2[[#This Row],[Unidad de producción]],Tabla3[Medida],Tabla3[Equivalencia en Kg],"ELVIS",0)</f>
        <v>113.860715853254</v>
      </c>
      <c r="J2955" s="2" t="n">
        <v>958.75</v>
      </c>
      <c r="K2955" s="2" t="s">
        <v>18</v>
      </c>
      <c r="L2955" s="2" t="n">
        <f aca="false">J2955/_xlfn.XLOOKUP(Tabla2[[#This Row],[Unidad de precio]],Tabla3[Medida],Tabla3[Equivalencia en Kg],"ELVIS",0)</f>
        <v>21.1364638447972</v>
      </c>
      <c r="M2955" s="2" t="n">
        <v>2584.15468583726</v>
      </c>
      <c r="N2955" s="3" t="n">
        <f aca="false">(Tabla2[[#This Row],[Productividad (kg/TAS)]]*Tabla2[[#This Row],[Precio por kg]]-Tabla2[[#This Row],[Costos (En RD$/Tarea)]])</f>
        <v>-177.541781862229</v>
      </c>
      <c r="O2955" s="9" t="n">
        <f aca="false">IF(Tabla2[[#This Row],[Costos (En RD$/Tarea)]]=0,0,Tabla2[[#This Row],[Beneficio Neto  (En RD$/Tarea)]]/Tabla2[[#This Row],[Costos (En RD$/Tarea)]])</f>
        <v>-0.0687040070918609</v>
      </c>
      <c r="P2955" s="7" t="n">
        <f aca="false">Tabla2[[#This Row],[Rentabilidad (%)]]/12</f>
        <v>-0.00572533392432174</v>
      </c>
    </row>
    <row r="2956" customFormat="false" ht="14.25" hidden="false" customHeight="false" outlineLevel="0" collapsed="false">
      <c r="A2956" s="1" t="n">
        <v>44013</v>
      </c>
      <c r="B2956" s="2" t="s">
        <v>21</v>
      </c>
      <c r="C2956" s="3" t="n">
        <v>9209.6451437873</v>
      </c>
      <c r="D2956" s="8" t="s">
        <v>17</v>
      </c>
      <c r="E2956" s="3" t="n">
        <f aca="false">IF(Tabla2[[#This Row],[Frecuencia]]="Annual", Tabla2[[#This Row],[Cosecha/Tarea]]/12,Tabla2[[#This Row],[Cosecha/Tarea]])</f>
        <v>9209.6451437873</v>
      </c>
      <c r="F2956" s="3" t="n">
        <v>99897</v>
      </c>
      <c r="G2956" s="2" t="s">
        <v>18</v>
      </c>
      <c r="H2956" s="2" t="n">
        <f aca="false">F2956/Tabla2[[#This Row],[Cosecha Mensual]]</f>
        <v>10.8469977333914</v>
      </c>
      <c r="I2956" s="2" t="n">
        <f aca="false">H2956*_xlfn.XLOOKUP(Tabla2[[#This Row],[Unidad de producción]],Tabla3[Medida],Tabla3[Equivalencia en Kg],"ELVIS",0)</f>
        <v>492.019817186634</v>
      </c>
      <c r="J2956" s="2" t="n">
        <v>713.949404761905</v>
      </c>
      <c r="K2956" s="2" t="s">
        <v>18</v>
      </c>
      <c r="L2956" s="2" t="n">
        <f aca="false">J2956/_xlfn.XLOOKUP(Tabla2[[#This Row],[Unidad de precio]],Tabla3[Medida],Tabla3[Equivalencia en Kg],"ELVIS",0)</f>
        <v>15.7396253254388</v>
      </c>
      <c r="M2956" s="2" t="n">
        <v>6271.46010735965</v>
      </c>
      <c r="N2956" s="3" t="n">
        <f aca="false">(Tabla2[[#This Row],[Productividad (kg/TAS)]]*Tabla2[[#This Row],[Precio por kg]]-Tabla2[[#This Row],[Costos (En RD$/Tarea)]])</f>
        <v>1472.74746784888</v>
      </c>
      <c r="O2956" s="9" t="n">
        <f aca="false">IF(Tabla2[[#This Row],[Costos (En RD$/Tarea)]]=0,0,Tabla2[[#This Row],[Beneficio Neto  (En RD$/Tarea)]]/Tabla2[[#This Row],[Costos (En RD$/Tarea)]])</f>
        <v>0.234833267315308</v>
      </c>
      <c r="P2956" s="7" t="n">
        <f aca="false">Tabla2[[#This Row],[Rentabilidad (%)]]/12</f>
        <v>0.0195694389429423</v>
      </c>
    </row>
    <row r="2957" customFormat="false" ht="14.25" hidden="false" customHeight="false" outlineLevel="0" collapsed="false">
      <c r="A2957" s="1" t="n">
        <v>44013</v>
      </c>
      <c r="B2957" s="2" t="s">
        <v>22</v>
      </c>
      <c r="C2957" s="3" t="n">
        <v>4521</v>
      </c>
      <c r="D2957" s="8" t="s">
        <v>17</v>
      </c>
      <c r="E2957" s="3" t="n">
        <f aca="false">IF(Tabla2[[#This Row],[Frecuencia]]="Annual", Tabla2[[#This Row],[Cosecha/Tarea]]/12,Tabla2[[#This Row],[Cosecha/Tarea]])</f>
        <v>4521</v>
      </c>
      <c r="F2957" s="3" t="n">
        <v>43988</v>
      </c>
      <c r="G2957" s="2" t="s">
        <v>18</v>
      </c>
      <c r="H2957" s="2" t="n">
        <f aca="false">F2957/Tabla2[[#This Row],[Cosecha Mensual]]</f>
        <v>9.72970581729706</v>
      </c>
      <c r="I2957" s="2" t="n">
        <f aca="false">H2957*_xlfn.XLOOKUP(Tabla2[[#This Row],[Unidad de producción]],Tabla3[Medida],Tabla3[Equivalencia en Kg],"ELVIS",0)</f>
        <v>441.339455872595</v>
      </c>
      <c r="J2957" s="2" t="n">
        <v>2031.19791666667</v>
      </c>
      <c r="K2957" s="2" t="s">
        <v>18</v>
      </c>
      <c r="L2957" s="2" t="n">
        <f aca="false">J2957/_xlfn.XLOOKUP(Tabla2[[#This Row],[Unidad de precio]],Tabla3[Medida],Tabla3[Equivalencia en Kg],"ELVIS",0)</f>
        <v>44.7794955173428</v>
      </c>
      <c r="M2957" s="2" t="n">
        <v>10873.3452772193</v>
      </c>
      <c r="N2957" s="3" t="n">
        <f aca="false">(Tabla2[[#This Row],[Productividad (kg/TAS)]]*Tabla2[[#This Row],[Precio por kg]]-Tabla2[[#This Row],[Costos (En RD$/Tarea)]])</f>
        <v>8889.61290865406</v>
      </c>
      <c r="O2957" s="9" t="n">
        <f aca="false">IF(Tabla2[[#This Row],[Costos (En RD$/Tarea)]]=0,0,Tabla2[[#This Row],[Beneficio Neto  (En RD$/Tarea)]]/Tabla2[[#This Row],[Costos (En RD$/Tarea)]])</f>
        <v>0.81756006840679</v>
      </c>
      <c r="P2957" s="7" t="n">
        <f aca="false">Tabla2[[#This Row],[Rentabilidad (%)]]/12</f>
        <v>0.0681300057005659</v>
      </c>
    </row>
    <row r="2958" customFormat="false" ht="14.25" hidden="false" customHeight="false" outlineLevel="0" collapsed="false">
      <c r="A2958" s="1" t="n">
        <v>44013</v>
      </c>
      <c r="B2958" s="2" t="s">
        <v>23</v>
      </c>
      <c r="C2958" s="3" t="n">
        <v>3400</v>
      </c>
      <c r="D2958" s="8" t="s">
        <v>17</v>
      </c>
      <c r="E2958" s="3" t="n">
        <f aca="false">IF(Tabla2[[#This Row],[Frecuencia]]="Annual", Tabla2[[#This Row],[Cosecha/Tarea]]/12,Tabla2[[#This Row],[Cosecha/Tarea]])</f>
        <v>3400</v>
      </c>
      <c r="F2958" s="3" t="n">
        <v>119857</v>
      </c>
      <c r="G2958" s="2" t="s">
        <v>18</v>
      </c>
      <c r="H2958" s="2" t="n">
        <f aca="false">F2958/Tabla2[[#This Row],[Cosecha Mensual]]</f>
        <v>35.2520588235294</v>
      </c>
      <c r="I2958" s="2" t="n">
        <f aca="false">H2958*_xlfn.XLOOKUP(Tabla2[[#This Row],[Unidad de producción]],Tabla3[Medida],Tabla3[Equivalencia en Kg],"ELVIS",0)</f>
        <v>1599.03338823529</v>
      </c>
      <c r="J2958" s="2" t="n">
        <v>1187.5</v>
      </c>
      <c r="K2958" s="2" t="s">
        <v>18</v>
      </c>
      <c r="L2958" s="2" t="n">
        <f aca="false">J2958/_xlfn.XLOOKUP(Tabla2[[#This Row],[Unidad de precio]],Tabla3[Medida],Tabla3[Equivalencia en Kg],"ELVIS",0)</f>
        <v>26.1794532627866</v>
      </c>
      <c r="M2958" s="2" t="n">
        <v>28931.455637377</v>
      </c>
      <c r="N2958" s="3" t="n">
        <f aca="false">(Tabla2[[#This Row],[Productividad (kg/TAS)]]*Tabla2[[#This Row],[Precio por kg]]-Tabla2[[#This Row],[Costos (En RD$/Tarea)]])</f>
        <v>12930.3642155642</v>
      </c>
      <c r="O2958" s="9" t="n">
        <f aca="false">IF(Tabla2[[#This Row],[Costos (En RD$/Tarea)]]=0,0,Tabla2[[#This Row],[Beneficio Neto  (En RD$/Tarea)]]/Tabla2[[#This Row],[Costos (En RD$/Tarea)]])</f>
        <v>0.446930993643446</v>
      </c>
      <c r="P2958" s="7" t="n">
        <f aca="false">Tabla2[[#This Row],[Rentabilidad (%)]]/12</f>
        <v>0.0372442494702872</v>
      </c>
    </row>
    <row r="2959" customFormat="false" ht="14.25" hidden="false" customHeight="false" outlineLevel="0" collapsed="false">
      <c r="A2959" s="1" t="n">
        <v>44013</v>
      </c>
      <c r="B2959" s="2" t="s">
        <v>24</v>
      </c>
      <c r="C2959" s="3" t="n">
        <v>6520</v>
      </c>
      <c r="D2959" s="8" t="s">
        <v>17</v>
      </c>
      <c r="E2959" s="3" t="n">
        <f aca="false">IF(Tabla2[[#This Row],[Frecuencia]]="Annual", Tabla2[[#This Row],[Cosecha/Tarea]]/12,Tabla2[[#This Row],[Cosecha/Tarea]])</f>
        <v>6520</v>
      </c>
      <c r="F2959" s="3" t="n">
        <v>61058</v>
      </c>
      <c r="G2959" s="2" t="s">
        <v>18</v>
      </c>
      <c r="H2959" s="2" t="n">
        <f aca="false">F2959/Tabla2[[#This Row],[Cosecha Mensual]]</f>
        <v>9.36472392638037</v>
      </c>
      <c r="I2959" s="2" t="n">
        <f aca="false">H2959*_xlfn.XLOOKUP(Tabla2[[#This Row],[Unidad de producción]],Tabla3[Medida],Tabla3[Equivalencia en Kg],"ELVIS",0)</f>
        <v>424.783877300614</v>
      </c>
      <c r="J2959" s="2" t="n">
        <v>2635.66006944444</v>
      </c>
      <c r="K2959" s="2" t="s">
        <v>18</v>
      </c>
      <c r="L2959" s="2" t="n">
        <f aca="false">J2959/_xlfn.XLOOKUP(Tabla2[[#This Row],[Unidad de precio]],Tabla3[Medida],Tabla3[Equivalencia en Kg],"ELVIS",0)</f>
        <v>58.1053807196746</v>
      </c>
      <c r="M2959" s="2" t="n">
        <v>8997.82973620852</v>
      </c>
      <c r="N2959" s="3" t="n">
        <f aca="false">(Tabla2[[#This Row],[Productividad (kg/TAS)]]*Tabla2[[#This Row],[Precio por kg]]-Tabla2[[#This Row],[Costos (En RD$/Tarea)]])</f>
        <v>15684.3991779232</v>
      </c>
      <c r="O2959" s="9" t="n">
        <f aca="false">IF(Tabla2[[#This Row],[Costos (En RD$/Tarea)]]=0,0,Tabla2[[#This Row],[Beneficio Neto  (En RD$/Tarea)]]/Tabla2[[#This Row],[Costos (En RD$/Tarea)]])</f>
        <v>1.74313135919954</v>
      </c>
      <c r="P2959" s="7" t="n">
        <f aca="false">Tabla2[[#This Row],[Rentabilidad (%)]]/12</f>
        <v>0.145260946599961</v>
      </c>
    </row>
    <row r="2960" customFormat="false" ht="14.25" hidden="false" customHeight="false" outlineLevel="0" collapsed="false">
      <c r="A2960" s="1" t="n">
        <v>44013</v>
      </c>
      <c r="B2960" s="2" t="s">
        <v>25</v>
      </c>
      <c r="C2960" s="3" t="n">
        <v>30100</v>
      </c>
      <c r="D2960" s="8" t="s">
        <v>17</v>
      </c>
      <c r="E2960" s="3" t="n">
        <f aca="false">IF(Tabla2[[#This Row],[Frecuencia]]="Annual", Tabla2[[#This Row],[Cosecha/Tarea]]/12,Tabla2[[#This Row],[Cosecha/Tarea]])</f>
        <v>30100</v>
      </c>
      <c r="F2960" s="3" t="n">
        <v>301982</v>
      </c>
      <c r="G2960" s="2" t="s">
        <v>18</v>
      </c>
      <c r="H2960" s="2" t="n">
        <f aca="false">F2960/Tabla2[[#This Row],[Cosecha Mensual]]</f>
        <v>10.0326245847176</v>
      </c>
      <c r="I2960" s="2" t="n">
        <f aca="false">H2960*_xlfn.XLOOKUP(Tabla2[[#This Row],[Unidad de producción]],Tabla3[Medida],Tabla3[Equivalencia en Kg],"ELVIS",0)</f>
        <v>455.079851162791</v>
      </c>
      <c r="J2960" s="2" t="n">
        <v>600.5078125</v>
      </c>
      <c r="K2960" s="2" t="s">
        <v>18</v>
      </c>
      <c r="L2960" s="2" t="n">
        <f aca="false">J2960/_xlfn.XLOOKUP(Tabla2[[#This Row],[Unidad de precio]],Tabla3[Medida],Tabla3[Equivalencia en Kg],"ELVIS",0)</f>
        <v>13.238708388448</v>
      </c>
      <c r="M2960" s="2" t="n">
        <v>5060.83945230923</v>
      </c>
      <c r="N2960" s="3" t="n">
        <f aca="false">(Tabla2[[#This Row],[Productividad (kg/TAS)]]*Tabla2[[#This Row],[Precio por kg]]-Tabla2[[#This Row],[Costos (En RD$/Tarea)]])</f>
        <v>963.829990693262</v>
      </c>
      <c r="O2960" s="9" t="n">
        <f aca="false">IF(Tabla2[[#This Row],[Costos (En RD$/Tarea)]]=0,0,Tabla2[[#This Row],[Beneficio Neto  (En RD$/Tarea)]]/Tabla2[[#This Row],[Costos (En RD$/Tarea)]])</f>
        <v>0.190448639949144</v>
      </c>
      <c r="P2960" s="7" t="n">
        <f aca="false">Tabla2[[#This Row],[Rentabilidad (%)]]/12</f>
        <v>0.015870719995762</v>
      </c>
    </row>
    <row r="2961" customFormat="false" ht="14.25" hidden="false" customHeight="false" outlineLevel="0" collapsed="false">
      <c r="A2961" s="1" t="n">
        <v>44013</v>
      </c>
      <c r="B2961" s="2" t="s">
        <v>26</v>
      </c>
      <c r="C2961" s="3" t="n">
        <v>9541</v>
      </c>
      <c r="D2961" s="8" t="s">
        <v>17</v>
      </c>
      <c r="E2961" s="3" t="n">
        <f aca="false">IF(Tabla2[[#This Row],[Frecuencia]]="Annual", Tabla2[[#This Row],[Cosecha/Tarea]]/12,Tabla2[[#This Row],[Cosecha/Tarea]])</f>
        <v>9541</v>
      </c>
      <c r="F2961" s="3" t="n">
        <v>48958</v>
      </c>
      <c r="G2961" s="2" t="s">
        <v>18</v>
      </c>
      <c r="H2961" s="2" t="n">
        <f aca="false">F2961/Tabla2[[#This Row],[Cosecha Mensual]]</f>
        <v>5.13132795304475</v>
      </c>
      <c r="I2961" s="2" t="n">
        <f aca="false">H2961*_xlfn.XLOOKUP(Tabla2[[#This Row],[Unidad de producción]],Tabla3[Medida],Tabla3[Equivalencia en Kg],"ELVIS",0)</f>
        <v>232.75703595011</v>
      </c>
      <c r="J2961" s="2" t="n">
        <v>1271.17881944444</v>
      </c>
      <c r="K2961" s="2" t="s">
        <v>18</v>
      </c>
      <c r="L2961" s="2" t="n">
        <f aca="false">J2961/_xlfn.XLOOKUP(Tabla2[[#This Row],[Unidad de precio]],Tabla3[Medida],Tabla3[Equivalencia en Kg],"ELVIS",0)</f>
        <v>28.02422441456</v>
      </c>
      <c r="M2961" s="2" t="n">
        <v>1789.84398526912</v>
      </c>
      <c r="N2961" s="3" t="n">
        <f aca="false">(Tabla2[[#This Row],[Productividad (kg/TAS)]]*Tabla2[[#This Row],[Precio por kg]]-Tabla2[[#This Row],[Costos (En RD$/Tarea)]])</f>
        <v>4732.99142426457</v>
      </c>
      <c r="O2961" s="9" t="n">
        <f aca="false">IF(Tabla2[[#This Row],[Costos (En RD$/Tarea)]]=0,0,Tabla2[[#This Row],[Beneficio Neto  (En RD$/Tarea)]]/Tabla2[[#This Row],[Costos (En RD$/Tarea)]])</f>
        <v>2.64435976723017</v>
      </c>
      <c r="P2961" s="7" t="n">
        <f aca="false">Tabla2[[#This Row],[Rentabilidad (%)]]/12</f>
        <v>0.220363313935847</v>
      </c>
    </row>
    <row r="2962" customFormat="false" ht="14.25" hidden="false" customHeight="false" outlineLevel="0" collapsed="false">
      <c r="A2962" s="1" t="n">
        <v>44013</v>
      </c>
      <c r="B2962" s="2" t="s">
        <v>27</v>
      </c>
      <c r="C2962" s="3" t="n">
        <v>4985</v>
      </c>
      <c r="D2962" s="8" t="s">
        <v>17</v>
      </c>
      <c r="E2962" s="3" t="n">
        <f aca="false">IF(Tabla2[[#This Row],[Frecuencia]]="Annual", Tabla2[[#This Row],[Cosecha/Tarea]]/12,Tabla2[[#This Row],[Cosecha/Tarea]])</f>
        <v>4985</v>
      </c>
      <c r="F2962" s="3" t="n">
        <v>50121</v>
      </c>
      <c r="G2962" s="2" t="s">
        <v>18</v>
      </c>
      <c r="H2962" s="2" t="n">
        <f aca="false">F2962/Tabla2[[#This Row],[Cosecha Mensual]]</f>
        <v>10.0543630892678</v>
      </c>
      <c r="I2962" s="2" t="n">
        <f aca="false">H2962*_xlfn.XLOOKUP(Tabla2[[#This Row],[Unidad de producción]],Tabla3[Medida],Tabla3[Equivalencia en Kg],"ELVIS",0)</f>
        <v>456.065909729188</v>
      </c>
      <c r="J2962" s="2" t="n">
        <v>849.226190476191</v>
      </c>
      <c r="K2962" s="2" t="s">
        <v>18</v>
      </c>
      <c r="L2962" s="2" t="n">
        <f aca="false">J2962/_xlfn.XLOOKUP(Tabla2[[#This Row],[Unidad de precio]],Tabla3[Medida],Tabla3[Equivalencia en Kg],"ELVIS",0)</f>
        <v>18.7219177794575</v>
      </c>
      <c r="M2962" s="2" t="n">
        <v>9891.72566090888</v>
      </c>
      <c r="N2962" s="3" t="n">
        <f aca="false">(Tabla2[[#This Row],[Productividad (kg/TAS)]]*Tabla2[[#This Row],[Precio por kg]]-Tabla2[[#This Row],[Costos (En RD$/Tarea)]])</f>
        <v>-1353.29719694556</v>
      </c>
      <c r="O2962" s="9" t="n">
        <f aca="false">IF(Tabla2[[#This Row],[Costos (En RD$/Tarea)]]=0,0,Tabla2[[#This Row],[Beneficio Neto  (En RD$/Tarea)]]/Tabla2[[#This Row],[Costos (En RD$/Tarea)]])</f>
        <v>-0.136811032102685</v>
      </c>
      <c r="P2962" s="7" t="n">
        <f aca="false">Tabla2[[#This Row],[Rentabilidad (%)]]/12</f>
        <v>-0.0114009193418904</v>
      </c>
    </row>
    <row r="2963" customFormat="false" ht="14.25" hidden="false" customHeight="false" outlineLevel="0" collapsed="false">
      <c r="A2963" s="1" t="n">
        <v>44013</v>
      </c>
      <c r="B2963" s="2" t="s">
        <v>28</v>
      </c>
      <c r="C2963" s="3" t="n">
        <v>34521</v>
      </c>
      <c r="D2963" s="8" t="s">
        <v>17</v>
      </c>
      <c r="E2963" s="3" t="n">
        <f aca="false">IF(Tabla2[[#This Row],[Frecuencia]]="Annual", Tabla2[[#This Row],[Cosecha/Tarea]]/12,Tabla2[[#This Row],[Cosecha/Tarea]])</f>
        <v>34521</v>
      </c>
      <c r="F2963" s="3" t="n">
        <v>1272091.2</v>
      </c>
      <c r="G2963" s="2" t="s">
        <v>18</v>
      </c>
      <c r="H2963" s="2" t="n">
        <f aca="false">F2963/Tabla2[[#This Row],[Cosecha Mensual]]</f>
        <v>36.8497783957591</v>
      </c>
      <c r="I2963" s="2" t="n">
        <f aca="false">H2963*_xlfn.XLOOKUP(Tabla2[[#This Row],[Unidad de producción]],Tabla3[Medida],Tabla3[Equivalencia en Kg],"ELVIS",0)</f>
        <v>1671.50594803163</v>
      </c>
      <c r="J2963" s="2" t="n">
        <v>4453.125</v>
      </c>
      <c r="K2963" s="2" t="s">
        <v>29</v>
      </c>
      <c r="L2963" s="2" t="n">
        <f aca="false">J2963/_xlfn.XLOOKUP(Tabla2[[#This Row],[Unidad de precio]],Tabla3[Medida],Tabla3[Equivalencia en Kg],"ELVIS",0)</f>
        <v>7.91891915922751</v>
      </c>
      <c r="M2963" s="2" t="n">
        <v>13735.1419088583</v>
      </c>
      <c r="N2963" s="3" t="n">
        <f aca="false">(Tabla2[[#This Row],[Productividad (kg/TAS)]]*Tabla2[[#This Row],[Precio por kg]]-Tabla2[[#This Row],[Costos (En RD$/Tarea)]])</f>
        <v>-498.621432227856</v>
      </c>
      <c r="O2963" s="9" t="n">
        <f aca="false">IF(Tabla2[[#This Row],[Costos (En RD$/Tarea)]]=0,0,Tabla2[[#This Row],[Beneficio Neto  (En RD$/Tarea)]]/Tabla2[[#This Row],[Costos (En RD$/Tarea)]])</f>
        <v>-0.0363026050649157</v>
      </c>
      <c r="P2963" s="7" t="n">
        <f aca="false">Tabla2[[#This Row],[Rentabilidad (%)]]/12</f>
        <v>-0.00302521708874298</v>
      </c>
    </row>
    <row r="2964" customFormat="false" ht="14.25" hidden="false" customHeight="false" outlineLevel="0" collapsed="false">
      <c r="A2964" s="1" t="n">
        <v>44013</v>
      </c>
      <c r="B2964" s="2" t="s">
        <v>30</v>
      </c>
      <c r="C2964" s="3" t="n">
        <v>452012</v>
      </c>
      <c r="D2964" s="3" t="s">
        <v>31</v>
      </c>
      <c r="E2964" s="3" t="n">
        <f aca="false">IF(Tabla2[[#This Row],[Frecuencia]]="Annual", Tabla2[[#This Row],[Cosecha/Tarea]]/12,Tabla2[[#This Row],[Cosecha/Tarea]])</f>
        <v>37667.6666666667</v>
      </c>
      <c r="F2964" s="3" t="n">
        <v>2568846</v>
      </c>
      <c r="G2964" s="2" t="s">
        <v>18</v>
      </c>
      <c r="H2964" s="2" t="n">
        <f aca="false">F2964/Tabla2[[#This Row],[Cosecha Mensual]]</f>
        <v>68.197640770599</v>
      </c>
      <c r="I2964" s="2" t="n">
        <f aca="false">H2964*_xlfn.XLOOKUP(Tabla2[[#This Row],[Unidad de producción]],Tabla3[Medida],Tabla3[Equivalencia en Kg],"ELVIS",0)</f>
        <v>3093.44498535437</v>
      </c>
      <c r="J2964" s="2" t="n">
        <v>201.8828125</v>
      </c>
      <c r="K2964" s="2" t="s">
        <v>32</v>
      </c>
      <c r="L2964" s="2" t="n">
        <f aca="false">J2964/_xlfn.XLOOKUP(Tabla2[[#This Row],[Unidad de precio]],Tabla3[Medida],Tabla3[Equivalencia en Kg],"ELVIS",0)</f>
        <v>7.41943449099596</v>
      </c>
      <c r="M2964" s="3" t="n">
        <v>38019.0770714752</v>
      </c>
      <c r="N2964" s="3" t="n">
        <f aca="false">(Tabla2[[#This Row],[Productividad (kg/TAS)]]*Tabla2[[#This Row],[Precio por kg]]-Tabla2[[#This Row],[Costos (En RD$/Tarea)]])</f>
        <v>-15067.4646511385</v>
      </c>
      <c r="O2964" s="9" t="n">
        <f aca="false">IF(Tabla2[[#This Row],[Costos (En RD$/Tarea)]]=0,0,Tabla2[[#This Row],[Beneficio Neto  (En RD$/Tarea)]]/Tabla2[[#This Row],[Costos (En RD$/Tarea)]])</f>
        <v>-0.396313267226659</v>
      </c>
      <c r="P2964" s="7" t="n">
        <f aca="false">Tabla2[[#This Row],[Rentabilidad (%)]]/12</f>
        <v>-0.0330261056022216</v>
      </c>
    </row>
    <row r="2965" customFormat="false" ht="14.25" hidden="false" customHeight="false" outlineLevel="0" collapsed="false">
      <c r="A2965" s="1" t="n">
        <v>44013</v>
      </c>
      <c r="B2965" s="2" t="s">
        <v>33</v>
      </c>
      <c r="C2965" s="3" t="n">
        <v>740176.446285217</v>
      </c>
      <c r="D2965" s="3" t="s">
        <v>31</v>
      </c>
      <c r="E2965" s="3" t="n">
        <f aca="false">IF(Tabla2[[#This Row],[Frecuencia]]="Annual", Tabla2[[#This Row],[Cosecha/Tarea]]/12,Tabla2[[#This Row],[Cosecha/Tarea]])</f>
        <v>61681.3705237681</v>
      </c>
      <c r="F2965" s="3" t="n">
        <v>2261196</v>
      </c>
      <c r="G2965" s="2" t="s">
        <v>18</v>
      </c>
      <c r="H2965" s="2" t="n">
        <f aca="false">F2965/Tabla2[[#This Row],[Cosecha Mensual]]</f>
        <v>36.6593021652896</v>
      </c>
      <c r="I2965" s="2" t="n">
        <f aca="false">H2965*_xlfn.XLOOKUP(Tabla2[[#This Row],[Unidad de producción]],Tabla3[Medida],Tabla3[Equivalencia en Kg],"ELVIS",0)</f>
        <v>1662.86594621754</v>
      </c>
      <c r="J2965" s="2" t="n">
        <v>7621.71875</v>
      </c>
      <c r="K2965" s="2" t="s">
        <v>34</v>
      </c>
      <c r="L2965" s="2" t="n">
        <f aca="false">J2965/_xlfn.XLOOKUP(Tabla2[[#This Row],[Unidad de precio]],Tabla3[Medida],Tabla3[Equivalencia en Kg],"ELVIS",0)</f>
        <v>18.6738178365797</v>
      </c>
      <c r="M2965" s="3" t="n">
        <v>33327.4212424613</v>
      </c>
      <c r="N2965" s="3" t="n">
        <f aca="false">(Tabla2[[#This Row],[Productividad (kg/TAS)]]*Tabla2[[#This Row],[Precio por kg]]-Tabla2[[#This Row],[Costos (En RD$/Tarea)]])</f>
        <v>-2275.36547614332</v>
      </c>
      <c r="O2965" s="9" t="n">
        <f aca="false">IF(Tabla2[[#This Row],[Costos (En RD$/Tarea)]]=0,0,Tabla2[[#This Row],[Beneficio Neto  (En RD$/Tarea)]]/Tabla2[[#This Row],[Costos (En RD$/Tarea)]])</f>
        <v>-0.0682730733827183</v>
      </c>
      <c r="P2965" s="7" t="n">
        <f aca="false">Tabla2[[#This Row],[Rentabilidad (%)]]/12</f>
        <v>-0.00568942278189319</v>
      </c>
    </row>
    <row r="2966" customFormat="false" ht="14.25" hidden="false" customHeight="false" outlineLevel="0" collapsed="false">
      <c r="A2966" s="1" t="n">
        <v>44044</v>
      </c>
      <c r="B2966" s="2" t="s">
        <v>16</v>
      </c>
      <c r="C2966" s="3" t="n">
        <v>398193</v>
      </c>
      <c r="D2966" s="8" t="s">
        <v>17</v>
      </c>
      <c r="E2966" s="3" t="n">
        <f aca="false">IF(Tabla2[[#This Row],[Frecuencia]]="Annual", Tabla2[[#This Row],[Cosecha/Tarea]]/12,Tabla2[[#This Row],[Cosecha/Tarea]])</f>
        <v>398193</v>
      </c>
      <c r="F2966" s="3" t="n">
        <v>1753702</v>
      </c>
      <c r="G2966" s="2" t="s">
        <v>18</v>
      </c>
      <c r="H2966" s="2" t="n">
        <f aca="false">F2966/Tabla2[[#This Row],[Cosecha Mensual]]</f>
        <v>4.40415075101772</v>
      </c>
      <c r="I2966" s="2" t="n">
        <f aca="false">H2966*_xlfn.XLOOKUP(Tabla2[[#This Row],[Unidad de producción]],Tabla3[Medida],Tabla3[Equivalencia en Kg],"ELVIS",0)</f>
        <v>199.772278066164</v>
      </c>
      <c r="J2966" s="2" t="n">
        <v>2361.80189310598</v>
      </c>
      <c r="K2966" s="2" t="s">
        <v>19</v>
      </c>
      <c r="L2966" s="2" t="n">
        <f aca="false">J2966/_xlfn.XLOOKUP(Tabla2[[#This Row],[Unidad de precio]],Tabla3[Medida],Tabla3[Equivalencia en Kg],"ELVIS",0)</f>
        <v>21.4709263009635</v>
      </c>
      <c r="M2966" s="2" t="n">
        <v>7092.59436898665</v>
      </c>
      <c r="N2966" s="3" t="n">
        <f aca="false">(Tabla2[[#This Row],[Productividad (kg/TAS)]]*Tabla2[[#This Row],[Precio por kg]]-Tabla2[[#This Row],[Costos (En RD$/Tarea)]])</f>
        <v>-2803.29850965247</v>
      </c>
      <c r="O2966" s="9" t="n">
        <f aca="false">IF(Tabla2[[#This Row],[Costos (En RD$/Tarea)]]=0,0,Tabla2[[#This Row],[Beneficio Neto  (En RD$/Tarea)]]/Tabla2[[#This Row],[Costos (En RD$/Tarea)]])</f>
        <v>-0.395243032917585</v>
      </c>
      <c r="P2966" s="7" t="n">
        <f aca="false">Tabla2[[#This Row],[Rentabilidad (%)]]/12</f>
        <v>-0.0329369194097987</v>
      </c>
    </row>
    <row r="2967" customFormat="false" ht="14.25" hidden="false" customHeight="false" outlineLevel="0" collapsed="false">
      <c r="A2967" s="1" t="n">
        <v>44044</v>
      </c>
      <c r="B2967" s="2" t="s">
        <v>20</v>
      </c>
      <c r="C2967" s="3" t="n">
        <v>51244.787027833</v>
      </c>
      <c r="D2967" s="8" t="s">
        <v>17</v>
      </c>
      <c r="E2967" s="3" t="n">
        <f aca="false">IF(Tabla2[[#This Row],[Frecuencia]]="Annual", Tabla2[[#This Row],[Cosecha/Tarea]]/12,Tabla2[[#This Row],[Cosecha/Tarea]])</f>
        <v>51244.787027833</v>
      </c>
      <c r="F2967" s="3" t="n">
        <v>86988</v>
      </c>
      <c r="G2967" s="2" t="s">
        <v>18</v>
      </c>
      <c r="H2967" s="2" t="n">
        <f aca="false">F2967/Tabla2[[#This Row],[Cosecha Mensual]]</f>
        <v>1.69749949302655</v>
      </c>
      <c r="I2967" s="2" t="n">
        <f aca="false">H2967*_xlfn.XLOOKUP(Tabla2[[#This Row],[Unidad de producción]],Tabla3[Medida],Tabla3[Equivalencia en Kg],"ELVIS",0)</f>
        <v>76.9985770036843</v>
      </c>
      <c r="J2967" s="2" t="n">
        <v>934.919270833333</v>
      </c>
      <c r="K2967" s="2" t="s">
        <v>18</v>
      </c>
      <c r="L2967" s="2" t="n">
        <f aca="false">J2967/_xlfn.XLOOKUP(Tabla2[[#This Row],[Unidad de precio]],Tabla3[Medida],Tabla3[Equivalencia en Kg],"ELVIS",0)</f>
        <v>20.6110950360082</v>
      </c>
      <c r="M2967" s="2" t="n">
        <v>2584.15468583726</v>
      </c>
      <c r="N2967" s="3" t="n">
        <f aca="false">(Tabla2[[#This Row],[Productividad (kg/TAS)]]*Tabla2[[#This Row],[Precio por kg]]-Tabla2[[#This Row],[Costos (En RD$/Tarea)]])</f>
        <v>-997.129697576926</v>
      </c>
      <c r="O2967" s="9" t="n">
        <f aca="false">IF(Tabla2[[#This Row],[Costos (En RD$/Tarea)]]=0,0,Tabla2[[#This Row],[Beneficio Neto  (En RD$/Tarea)]]/Tabla2[[#This Row],[Costos (En RD$/Tarea)]])</f>
        <v>-0.385863006979344</v>
      </c>
      <c r="P2967" s="7" t="n">
        <f aca="false">Tabla2[[#This Row],[Rentabilidad (%)]]/12</f>
        <v>-0.032155250581612</v>
      </c>
    </row>
    <row r="2968" customFormat="false" ht="14.25" hidden="false" customHeight="false" outlineLevel="0" collapsed="false">
      <c r="A2968" s="1" t="n">
        <v>44044</v>
      </c>
      <c r="B2968" s="2" t="s">
        <v>21</v>
      </c>
      <c r="C2968" s="3" t="n">
        <v>7452</v>
      </c>
      <c r="D2968" s="8" t="s">
        <v>17</v>
      </c>
      <c r="E2968" s="3" t="n">
        <f aca="false">IF(Tabla2[[#This Row],[Frecuencia]]="Annual", Tabla2[[#This Row],[Cosecha/Tarea]]/12,Tabla2[[#This Row],[Cosecha/Tarea]])</f>
        <v>7452</v>
      </c>
      <c r="F2968" s="3" t="n">
        <v>89895</v>
      </c>
      <c r="G2968" s="2" t="s">
        <v>18</v>
      </c>
      <c r="H2968" s="2" t="n">
        <f aca="false">F2968/Tabla2[[#This Row],[Cosecha Mensual]]</f>
        <v>12.0632045088567</v>
      </c>
      <c r="I2968" s="2" t="n">
        <f aca="false">H2968*_xlfn.XLOOKUP(Tabla2[[#This Row],[Unidad de producción]],Tabla3[Medida],Tabla3[Equivalencia en Kg],"ELVIS",0)</f>
        <v>547.186956521739</v>
      </c>
      <c r="J2968" s="2" t="n">
        <v>874.463293650794</v>
      </c>
      <c r="K2968" s="2" t="s">
        <v>18</v>
      </c>
      <c r="L2968" s="2" t="n">
        <f aca="false">J2968/_xlfn.XLOOKUP(Tabla2[[#This Row],[Unidad de precio]],Tabla3[Medida],Tabla3[Equivalencia en Kg],"ELVIS",0)</f>
        <v>19.2782913062344</v>
      </c>
      <c r="M2968" s="2" t="n">
        <v>6271.46010735965</v>
      </c>
      <c r="N2968" s="3" t="n">
        <f aca="false">(Tabla2[[#This Row],[Productividad (kg/TAS)]]*Tabla2[[#This Row],[Precio por kg]]-Tabla2[[#This Row],[Costos (En RD$/Tarea)]])</f>
        <v>4277.36943943827</v>
      </c>
      <c r="O2968" s="9" t="n">
        <f aca="false">IF(Tabla2[[#This Row],[Costos (En RD$/Tarea)]]=0,0,Tabla2[[#This Row],[Beneficio Neto  (En RD$/Tarea)]]/Tabla2[[#This Row],[Costos (En RD$/Tarea)]])</f>
        <v>0.682037255474003</v>
      </c>
      <c r="P2968" s="7" t="n">
        <f aca="false">Tabla2[[#This Row],[Rentabilidad (%)]]/12</f>
        <v>0.0568364379561669</v>
      </c>
    </row>
    <row r="2969" customFormat="false" ht="14.25" hidden="false" customHeight="false" outlineLevel="0" collapsed="false">
      <c r="A2969" s="1" t="n">
        <v>44044</v>
      </c>
      <c r="B2969" s="2" t="s">
        <v>22</v>
      </c>
      <c r="C2969" s="3" t="n">
        <v>3998</v>
      </c>
      <c r="D2969" s="8" t="s">
        <v>17</v>
      </c>
      <c r="E2969" s="3" t="n">
        <f aca="false">IF(Tabla2[[#This Row],[Frecuencia]]="Annual", Tabla2[[#This Row],[Cosecha/Tarea]]/12,Tabla2[[#This Row],[Cosecha/Tarea]])</f>
        <v>3998</v>
      </c>
      <c r="F2969" s="3" t="n">
        <v>33452</v>
      </c>
      <c r="G2969" s="2" t="s">
        <v>18</v>
      </c>
      <c r="H2969" s="2" t="n">
        <f aca="false">F2969/Tabla2[[#This Row],[Cosecha Mensual]]</f>
        <v>8.3671835917959</v>
      </c>
      <c r="I2969" s="2" t="n">
        <f aca="false">H2969*_xlfn.XLOOKUP(Tabla2[[#This Row],[Unidad de producción]],Tabla3[Medida],Tabla3[Equivalencia en Kg],"ELVIS",0)</f>
        <v>379.535447723862</v>
      </c>
      <c r="J2969" s="2" t="n">
        <v>2062.35416666667</v>
      </c>
      <c r="K2969" s="2" t="s">
        <v>18</v>
      </c>
      <c r="L2969" s="2" t="n">
        <f aca="false">J2969/_xlfn.XLOOKUP(Tabla2[[#This Row],[Unidad de precio]],Tabla3[Medida],Tabla3[Equivalencia en Kg],"ELVIS",0)</f>
        <v>45.4663616990007</v>
      </c>
      <c r="M2969" s="2" t="n">
        <v>10873.3452772193</v>
      </c>
      <c r="N2969" s="3" t="n">
        <f aca="false">(Tabla2[[#This Row],[Productividad (kg/TAS)]]*Tabla2[[#This Row],[Precio por kg]]-Tabla2[[#This Row],[Costos (En RD$/Tarea)]])</f>
        <v>6382.75066658596</v>
      </c>
      <c r="O2969" s="9" t="n">
        <f aca="false">IF(Tabla2[[#This Row],[Costos (En RD$/Tarea)]]=0,0,Tabla2[[#This Row],[Beneficio Neto  (En RD$/Tarea)]]/Tabla2[[#This Row],[Costos (En RD$/Tarea)]])</f>
        <v>0.587008919872934</v>
      </c>
      <c r="P2969" s="7" t="n">
        <f aca="false">Tabla2[[#This Row],[Rentabilidad (%)]]/12</f>
        <v>0.0489174099894111</v>
      </c>
    </row>
    <row r="2970" customFormat="false" ht="14.25" hidden="false" customHeight="false" outlineLevel="0" collapsed="false">
      <c r="A2970" s="1" t="n">
        <v>44044</v>
      </c>
      <c r="B2970" s="2" t="s">
        <v>23</v>
      </c>
      <c r="C2970" s="3" t="n">
        <v>4225</v>
      </c>
      <c r="D2970" s="8" t="s">
        <v>17</v>
      </c>
      <c r="E2970" s="3" t="n">
        <f aca="false">IF(Tabla2[[#This Row],[Frecuencia]]="Annual", Tabla2[[#This Row],[Cosecha/Tarea]]/12,Tabla2[[#This Row],[Cosecha/Tarea]])</f>
        <v>4225</v>
      </c>
      <c r="F2970" s="3" t="n">
        <v>160154</v>
      </c>
      <c r="G2970" s="2" t="s">
        <v>18</v>
      </c>
      <c r="H2970" s="2" t="n">
        <f aca="false">F2970/Tabla2[[#This Row],[Cosecha Mensual]]</f>
        <v>37.9062721893491</v>
      </c>
      <c r="I2970" s="2" t="n">
        <f aca="false">H2970*_xlfn.XLOOKUP(Tabla2[[#This Row],[Unidad de producción]],Tabla3[Medida],Tabla3[Equivalencia en Kg],"ELVIS",0)</f>
        <v>1719.42850650888</v>
      </c>
      <c r="J2970" s="2" t="n">
        <v>1230.16666666667</v>
      </c>
      <c r="K2970" s="2" t="s">
        <v>18</v>
      </c>
      <c r="L2970" s="2" t="n">
        <f aca="false">J2970/_xlfn.XLOOKUP(Tabla2[[#This Row],[Unidad de precio]],Tabla3[Medida],Tabla3[Equivalencia en Kg],"ELVIS",0)</f>
        <v>27.1200764256321</v>
      </c>
      <c r="M2970" s="2" t="n">
        <v>28931.455637377</v>
      </c>
      <c r="N2970" s="3" t="n">
        <f aca="false">(Tabla2[[#This Row],[Productividad (kg/TAS)]]*Tabla2[[#This Row],[Precio por kg]]-Tabla2[[#This Row],[Costos (En RD$/Tarea)]])</f>
        <v>17699.5768675541</v>
      </c>
      <c r="O2970" s="9" t="n">
        <f aca="false">IF(Tabla2[[#This Row],[Costos (En RD$/Tarea)]]=0,0,Tabla2[[#This Row],[Beneficio Neto  (En RD$/Tarea)]]/Tabla2[[#This Row],[Costos (En RD$/Tarea)]])</f>
        <v>0.611776230321703</v>
      </c>
      <c r="P2970" s="7" t="n">
        <f aca="false">Tabla2[[#This Row],[Rentabilidad (%)]]/12</f>
        <v>0.0509813525268086</v>
      </c>
    </row>
    <row r="2971" customFormat="false" ht="14.25" hidden="false" customHeight="false" outlineLevel="0" collapsed="false">
      <c r="A2971" s="1" t="n">
        <v>44044</v>
      </c>
      <c r="B2971" s="2" t="s">
        <v>24</v>
      </c>
      <c r="C2971" s="3" t="n">
        <v>4878</v>
      </c>
      <c r="D2971" s="8" t="s">
        <v>17</v>
      </c>
      <c r="E2971" s="3" t="n">
        <f aca="false">IF(Tabla2[[#This Row],[Frecuencia]]="Annual", Tabla2[[#This Row],[Cosecha/Tarea]]/12,Tabla2[[#This Row],[Cosecha/Tarea]])</f>
        <v>4878</v>
      </c>
      <c r="F2971" s="3" t="n">
        <v>51241</v>
      </c>
      <c r="G2971" s="2" t="s">
        <v>18</v>
      </c>
      <c r="H2971" s="2" t="n">
        <f aca="false">F2971/Tabla2[[#This Row],[Cosecha Mensual]]</f>
        <v>10.5045100451005</v>
      </c>
      <c r="I2971" s="2" t="n">
        <f aca="false">H2971*_xlfn.XLOOKUP(Tabla2[[#This Row],[Unidad de producción]],Tabla3[Medida],Tabla3[Equivalencia en Kg],"ELVIS",0)</f>
        <v>476.484575645757</v>
      </c>
      <c r="J2971" s="2" t="n">
        <v>2628.079375</v>
      </c>
      <c r="K2971" s="2" t="s">
        <v>18</v>
      </c>
      <c r="L2971" s="2" t="n">
        <f aca="false">J2971/_xlfn.XLOOKUP(Tabla2[[#This Row],[Unidad de precio]],Tabla3[Medida],Tabla3[Equivalencia en Kg],"ELVIS",0)</f>
        <v>57.9382578262787</v>
      </c>
      <c r="M2971" s="2" t="n">
        <v>8997.82973620852</v>
      </c>
      <c r="N2971" s="3" t="n">
        <f aca="false">(Tabla2[[#This Row],[Productividad (kg/TAS)]]*Tabla2[[#This Row],[Precio por kg]]-Tabla2[[#This Row],[Costos (En RD$/Tarea)]])</f>
        <v>18608.8564578003</v>
      </c>
      <c r="O2971" s="9" t="n">
        <f aca="false">IF(Tabla2[[#This Row],[Costos (En RD$/Tarea)]]=0,0,Tabla2[[#This Row],[Beneficio Neto  (En RD$/Tarea)]]/Tabla2[[#This Row],[Costos (En RD$/Tarea)]])</f>
        <v>2.06814943195865</v>
      </c>
      <c r="P2971" s="7" t="n">
        <f aca="false">Tabla2[[#This Row],[Rentabilidad (%)]]/12</f>
        <v>0.172345785996554</v>
      </c>
    </row>
    <row r="2972" customFormat="false" ht="14.25" hidden="false" customHeight="false" outlineLevel="0" collapsed="false">
      <c r="A2972" s="1" t="n">
        <v>44044</v>
      </c>
      <c r="B2972" s="2" t="s">
        <v>25</v>
      </c>
      <c r="C2972" s="3" t="n">
        <v>32185</v>
      </c>
      <c r="D2972" s="8" t="s">
        <v>17</v>
      </c>
      <c r="E2972" s="3" t="n">
        <f aca="false">IF(Tabla2[[#This Row],[Frecuencia]]="Annual", Tabla2[[#This Row],[Cosecha/Tarea]]/12,Tabla2[[#This Row],[Cosecha/Tarea]])</f>
        <v>32185</v>
      </c>
      <c r="F2972" s="3" t="n">
        <v>333509</v>
      </c>
      <c r="G2972" s="2" t="s">
        <v>18</v>
      </c>
      <c r="H2972" s="2" t="n">
        <f aca="false">F2972/Tabla2[[#This Row],[Cosecha Mensual]]</f>
        <v>10.3622494951064</v>
      </c>
      <c r="I2972" s="2" t="n">
        <f aca="false">H2972*_xlfn.XLOOKUP(Tabla2[[#This Row],[Unidad de producción]],Tabla3[Medida],Tabla3[Equivalencia en Kg],"ELVIS",0)</f>
        <v>470.031637098027</v>
      </c>
      <c r="J2972" s="2" t="n">
        <v>634.757738095238</v>
      </c>
      <c r="K2972" s="2" t="s">
        <v>18</v>
      </c>
      <c r="L2972" s="2" t="n">
        <f aca="false">J2972/_xlfn.XLOOKUP(Tabla2[[#This Row],[Unidad de precio]],Tabla3[Medida],Tabla3[Equivalencia en Kg],"ELVIS",0)</f>
        <v>13.9937772948686</v>
      </c>
      <c r="M2972" s="2" t="n">
        <v>5060.83945230923</v>
      </c>
      <c r="N2972" s="3" t="n">
        <f aca="false">(Tabla2[[#This Row],[Productividad (kg/TAS)]]*Tabla2[[#This Row],[Precio por kg]]-Tabla2[[#This Row],[Costos (En RD$/Tarea)]])</f>
        <v>1516.67859878304</v>
      </c>
      <c r="O2972" s="9" t="n">
        <f aca="false">IF(Tabla2[[#This Row],[Costos (En RD$/Tarea)]]=0,0,Tabla2[[#This Row],[Beneficio Neto  (En RD$/Tarea)]]/Tabla2[[#This Row],[Costos (En RD$/Tarea)]])</f>
        <v>0.299689135187047</v>
      </c>
      <c r="P2972" s="7" t="n">
        <f aca="false">Tabla2[[#This Row],[Rentabilidad (%)]]/12</f>
        <v>0.0249740945989206</v>
      </c>
    </row>
    <row r="2973" customFormat="false" ht="14.25" hidden="false" customHeight="false" outlineLevel="0" collapsed="false">
      <c r="A2973" s="1" t="n">
        <v>44044</v>
      </c>
      <c r="B2973" s="2" t="s">
        <v>26</v>
      </c>
      <c r="C2973" s="3" t="n">
        <v>9258</v>
      </c>
      <c r="D2973" s="8" t="s">
        <v>17</v>
      </c>
      <c r="E2973" s="3" t="n">
        <f aca="false">IF(Tabla2[[#This Row],[Frecuencia]]="Annual", Tabla2[[#This Row],[Cosecha/Tarea]]/12,Tabla2[[#This Row],[Cosecha/Tarea]])</f>
        <v>9258</v>
      </c>
      <c r="F2973" s="3" t="n">
        <v>80594</v>
      </c>
      <c r="G2973" s="2" t="s">
        <v>18</v>
      </c>
      <c r="H2973" s="2" t="n">
        <f aca="false">F2973/Tabla2[[#This Row],[Cosecha Mensual]]</f>
        <v>8.70533592568589</v>
      </c>
      <c r="I2973" s="2" t="n">
        <f aca="false">H2973*_xlfn.XLOOKUP(Tabla2[[#This Row],[Unidad de producción]],Tabla3[Medida],Tabla3[Equivalencia en Kg],"ELVIS",0)</f>
        <v>394.874037589112</v>
      </c>
      <c r="J2973" s="2" t="n">
        <v>1363.40364583333</v>
      </c>
      <c r="K2973" s="2" t="s">
        <v>18</v>
      </c>
      <c r="L2973" s="2" t="n">
        <f aca="false">J2973/_xlfn.XLOOKUP(Tabla2[[#This Row],[Unidad de precio]],Tabla3[Medida],Tabla3[Equivalencia en Kg],"ELVIS",0)</f>
        <v>30.0573995995002</v>
      </c>
      <c r="M2973" s="2" t="n">
        <v>1789.84398526912</v>
      </c>
      <c r="N2973" s="3" t="n">
        <f aca="false">(Tabla2[[#This Row],[Productividad (kg/TAS)]]*Tabla2[[#This Row],[Precio por kg]]-Tabla2[[#This Row],[Costos (En RD$/Tarea)]])</f>
        <v>10079.0427540149</v>
      </c>
      <c r="O2973" s="9" t="n">
        <f aca="false">IF(Tabla2[[#This Row],[Costos (En RD$/Tarea)]]=0,0,Tabla2[[#This Row],[Beneficio Neto  (En RD$/Tarea)]]/Tabla2[[#This Row],[Costos (En RD$/Tarea)]])</f>
        <v>5.6312409556185</v>
      </c>
      <c r="P2973" s="7" t="n">
        <f aca="false">Tabla2[[#This Row],[Rentabilidad (%)]]/12</f>
        <v>0.469270079634875</v>
      </c>
    </row>
    <row r="2974" customFormat="false" ht="14.25" hidden="false" customHeight="false" outlineLevel="0" collapsed="false">
      <c r="A2974" s="1" t="n">
        <v>44044</v>
      </c>
      <c r="B2974" s="2" t="s">
        <v>27</v>
      </c>
      <c r="C2974" s="3" t="n">
        <v>4865</v>
      </c>
      <c r="D2974" s="8" t="s">
        <v>17</v>
      </c>
      <c r="E2974" s="3" t="n">
        <f aca="false">IF(Tabla2[[#This Row],[Frecuencia]]="Annual", Tabla2[[#This Row],[Cosecha/Tarea]]/12,Tabla2[[#This Row],[Cosecha/Tarea]])</f>
        <v>4865</v>
      </c>
      <c r="F2974" s="3" t="n">
        <v>48788</v>
      </c>
      <c r="G2974" s="2" t="s">
        <v>18</v>
      </c>
      <c r="H2974" s="2" t="n">
        <f aca="false">F2974/Tabla2[[#This Row],[Cosecha Mensual]]</f>
        <v>10.0283658787256</v>
      </c>
      <c r="I2974" s="2" t="n">
        <f aca="false">H2974*_xlfn.XLOOKUP(Tabla2[[#This Row],[Unidad de producción]],Tabla3[Medida],Tabla3[Equivalencia en Kg],"ELVIS",0)</f>
        <v>454.886676258993</v>
      </c>
      <c r="J2974" s="2" t="n">
        <v>986.468253968254</v>
      </c>
      <c r="K2974" s="2" t="s">
        <v>18</v>
      </c>
      <c r="L2974" s="2" t="n">
        <f aca="false">J2974/_xlfn.XLOOKUP(Tabla2[[#This Row],[Unidad de precio]],Tabla3[Medida],Tabla3[Equivalencia en Kg],"ELVIS",0)</f>
        <v>21.7475364631449</v>
      </c>
      <c r="M2974" s="2" t="n">
        <v>9891.72566090888</v>
      </c>
      <c r="N2974" s="3" t="n">
        <f aca="false">(Tabla2[[#This Row],[Productividad (kg/TAS)]]*Tabla2[[#This Row],[Precio por kg]]-Tabla2[[#This Row],[Costos (En RD$/Tarea)]])</f>
        <v>0.938917632369339</v>
      </c>
      <c r="O2974" s="9" t="n">
        <f aca="false">IF(Tabla2[[#This Row],[Costos (En RD$/Tarea)]]=0,0,Tabla2[[#This Row],[Beneficio Neto  (En RD$/Tarea)]]/Tabla2[[#This Row],[Costos (En RD$/Tarea)]])</f>
        <v>9.49194978263347E-005</v>
      </c>
      <c r="P2974" s="7" t="n">
        <f aca="false">Tabla2[[#This Row],[Rentabilidad (%)]]/12</f>
        <v>7.90995815219456E-006</v>
      </c>
    </row>
    <row r="2975" customFormat="false" ht="14.25" hidden="false" customHeight="false" outlineLevel="0" collapsed="false">
      <c r="A2975" s="1" t="n">
        <v>44044</v>
      </c>
      <c r="B2975" s="2" t="s">
        <v>28</v>
      </c>
      <c r="C2975" s="3" t="n">
        <v>54504.3</v>
      </c>
      <c r="D2975" s="8" t="s">
        <v>17</v>
      </c>
      <c r="E2975" s="3" t="n">
        <f aca="false">IF(Tabla2[[#This Row],[Frecuencia]]="Annual", Tabla2[[#This Row],[Cosecha/Tarea]]/12,Tabla2[[#This Row],[Cosecha/Tarea]])</f>
        <v>54504.3</v>
      </c>
      <c r="F2975" s="3" t="n">
        <v>1481105.6</v>
      </c>
      <c r="G2975" s="2" t="s">
        <v>18</v>
      </c>
      <c r="H2975" s="2" t="n">
        <f aca="false">F2975/Tabla2[[#This Row],[Cosecha Mensual]]</f>
        <v>27.1741055292885</v>
      </c>
      <c r="I2975" s="2" t="n">
        <f aca="false">H2975*_xlfn.XLOOKUP(Tabla2[[#This Row],[Unidad de producción]],Tabla3[Medida],Tabla3[Equivalencia en Kg],"ELVIS",0)</f>
        <v>1232.61742680853</v>
      </c>
      <c r="J2975" s="2" t="n">
        <v>6857.94047619048</v>
      </c>
      <c r="K2975" s="2" t="s">
        <v>29</v>
      </c>
      <c r="L2975" s="2" t="n">
        <f aca="false">J2975/_xlfn.XLOOKUP(Tabla2[[#This Row],[Unidad de precio]],Tabla3[Medida],Tabla3[Equivalencia en Kg],"ELVIS",0)</f>
        <v>12.1953630831712</v>
      </c>
      <c r="M2975" s="2" t="n">
        <v>13735.1419088583</v>
      </c>
      <c r="N2975" s="3" t="n">
        <f aca="false">(Tabla2[[#This Row],[Productividad (kg/TAS)]]*Tabla2[[#This Row],[Precio por kg]]-Tabla2[[#This Row],[Costos (En RD$/Tarea)]])</f>
        <v>1297.07515371586</v>
      </c>
      <c r="O2975" s="9" t="n">
        <f aca="false">IF(Tabla2[[#This Row],[Costos (En RD$/Tarea)]]=0,0,Tabla2[[#This Row],[Beneficio Neto  (En RD$/Tarea)]]/Tabla2[[#This Row],[Costos (En RD$/Tarea)]])</f>
        <v>0.0944347835881716</v>
      </c>
      <c r="P2975" s="7" t="n">
        <f aca="false">Tabla2[[#This Row],[Rentabilidad (%)]]/12</f>
        <v>0.0078695652990143</v>
      </c>
    </row>
    <row r="2976" customFormat="false" ht="14.25" hidden="false" customHeight="false" outlineLevel="0" collapsed="false">
      <c r="A2976" s="1" t="n">
        <v>44044</v>
      </c>
      <c r="B2976" s="2" t="s">
        <v>30</v>
      </c>
      <c r="C2976" s="3" t="n">
        <v>450456</v>
      </c>
      <c r="D2976" s="3" t="s">
        <v>31</v>
      </c>
      <c r="E2976" s="3" t="n">
        <f aca="false">IF(Tabla2[[#This Row],[Frecuencia]]="Annual", Tabla2[[#This Row],[Cosecha/Tarea]]/12,Tabla2[[#This Row],[Cosecha/Tarea]])</f>
        <v>37538</v>
      </c>
      <c r="F2976" s="3" t="n">
        <v>2525324.4</v>
      </c>
      <c r="G2976" s="2" t="s">
        <v>18</v>
      </c>
      <c r="H2976" s="2" t="n">
        <f aca="false">F2976/Tabla2[[#This Row],[Cosecha Mensual]]</f>
        <v>67.2738132026213</v>
      </c>
      <c r="I2976" s="2" t="n">
        <f aca="false">H2976*_xlfn.XLOOKUP(Tabla2[[#This Row],[Unidad de producción]],Tabla3[Medida],Tabla3[Equivalencia en Kg],"ELVIS",0)</f>
        <v>3051.5401668709</v>
      </c>
      <c r="J2976" s="2" t="n">
        <v>192.897569444444</v>
      </c>
      <c r="K2976" s="2" t="s">
        <v>32</v>
      </c>
      <c r="L2976" s="2" t="n">
        <f aca="false">J2976/_xlfn.XLOOKUP(Tabla2[[#This Row],[Unidad de precio]],Tabla3[Medida],Tabla3[Equivalencia en Kg],"ELVIS",0)</f>
        <v>7.08921607660581</v>
      </c>
      <c r="M2976" s="3" t="n">
        <v>38019.0770714752</v>
      </c>
      <c r="N2976" s="3" t="n">
        <f aca="false">(Tabla2[[#This Row],[Productividad (kg/TAS)]]*Tabla2[[#This Row],[Precio por kg]]-Tabla2[[#This Row],[Costos (En RD$/Tarea)]])</f>
        <v>-16386.0494620856</v>
      </c>
      <c r="O2976" s="9" t="n">
        <f aca="false">IF(Tabla2[[#This Row],[Costos (En RD$/Tarea)]]=0,0,Tabla2[[#This Row],[Beneficio Neto  (En RD$/Tarea)]]/Tabla2[[#This Row],[Costos (En RD$/Tarea)]])</f>
        <v>-0.430995456078014</v>
      </c>
      <c r="P2976" s="7" t="n">
        <f aca="false">Tabla2[[#This Row],[Rentabilidad (%)]]/12</f>
        <v>-0.0359162880065012</v>
      </c>
    </row>
    <row r="2977" customFormat="false" ht="14.25" hidden="false" customHeight="false" outlineLevel="0" collapsed="false">
      <c r="A2977" s="1" t="n">
        <v>44044</v>
      </c>
      <c r="B2977" s="2" t="s">
        <v>33</v>
      </c>
      <c r="C2977" s="3" t="n">
        <v>740534.942861775</v>
      </c>
      <c r="D2977" s="3" t="s">
        <v>31</v>
      </c>
      <c r="E2977" s="11" t="n">
        <f aca="false">IF(Tabla2[[#This Row],[Frecuencia]]="Annual", Tabla2[[#This Row],[Cosecha/Tarea]]/12,Tabla2[[#This Row],[Cosecha/Tarea]])</f>
        <v>61711.2452384813</v>
      </c>
      <c r="F2977" s="3" t="n">
        <v>4572135.14509904</v>
      </c>
      <c r="G2977" s="2" t="s">
        <v>18</v>
      </c>
      <c r="H2977" s="2" t="n">
        <f aca="false">F2977/Tabla2[[#This Row],[Cosecha Mensual]]</f>
        <v>74.089173333485</v>
      </c>
      <c r="I2977" s="2" t="n">
        <f aca="false">H2977*_xlfn.XLOOKUP(Tabla2[[#This Row],[Unidad de producción]],Tabla3[Medida],Tabla3[Equivalencia en Kg],"ELVIS",0)</f>
        <v>3360.68490240688</v>
      </c>
      <c r="J2977" s="2" t="n">
        <v>9003.9375</v>
      </c>
      <c r="K2977" s="2" t="s">
        <v>34</v>
      </c>
      <c r="L2977" s="2" t="n">
        <f aca="false">J2977/_xlfn.XLOOKUP(Tabla2[[#This Row],[Unidad de precio]],Tabla3[Medida],Tabla3[Equivalencia en Kg],"ELVIS",0)</f>
        <v>22.0603638368247</v>
      </c>
      <c r="M2977" s="3" t="n">
        <v>33327.4212424613</v>
      </c>
      <c r="N2977" s="3" t="n">
        <f aca="false">(Tabla2[[#This Row],[Productividad (kg/TAS)]]*Tabla2[[#This Row],[Precio por kg]]-Tabla2[[#This Row],[Costos (En RD$/Tarea)]])</f>
        <v>40810.5104455582</v>
      </c>
      <c r="O2977" s="9" t="n">
        <f aca="false">IF(Tabla2[[#This Row],[Costos (En RD$/Tarea)]]=0,0,Tabla2[[#This Row],[Beneficio Neto  (En RD$/Tarea)]]/Tabla2[[#This Row],[Costos (En RD$/Tarea)]])</f>
        <v>1.22453249978918</v>
      </c>
      <c r="P2977" s="7" t="n">
        <f aca="false">Tabla2[[#This Row],[Rentabilidad (%)]]/12</f>
        <v>0.102044374982432</v>
      </c>
    </row>
    <row r="2978" customFormat="false" ht="14.25" hidden="false" customHeight="false" outlineLevel="0" collapsed="false">
      <c r="A2978" s="1" t="n">
        <v>44075</v>
      </c>
      <c r="B2978" s="2" t="s">
        <v>16</v>
      </c>
      <c r="C2978" s="3" t="n">
        <v>454740</v>
      </c>
      <c r="D2978" s="8" t="s">
        <v>17</v>
      </c>
      <c r="E2978" s="3" t="n">
        <f aca="false">IF(Tabla2[[#This Row],[Frecuencia]]="Annual", Tabla2[[#This Row],[Cosecha/Tarea]]/12,Tabla2[[#This Row],[Cosecha/Tarea]])</f>
        <v>454740</v>
      </c>
      <c r="F2978" s="3" t="n">
        <v>1923976</v>
      </c>
      <c r="G2978" s="2" t="s">
        <v>18</v>
      </c>
      <c r="H2978" s="2" t="n">
        <f aca="false">F2978/Tabla2[[#This Row],[Cosecha Mensual]]</f>
        <v>4.23093635923825</v>
      </c>
      <c r="I2978" s="2" t="n">
        <f aca="false">H2978*_xlfn.XLOOKUP(Tabla2[[#This Row],[Unidad de producción]],Tabla3[Medida],Tabla3[Equivalencia en Kg],"ELVIS",0)</f>
        <v>191.915273255047</v>
      </c>
      <c r="J2978" s="2" t="n">
        <v>2421.32577275089</v>
      </c>
      <c r="K2978" s="2" t="s">
        <v>19</v>
      </c>
      <c r="L2978" s="2" t="n">
        <f aca="false">J2978/_xlfn.XLOOKUP(Tabla2[[#This Row],[Unidad de precio]],Tabla3[Medida],Tabla3[Equivalencia en Kg],"ELVIS",0)</f>
        <v>22.0120524795535</v>
      </c>
      <c r="M2978" s="2" t="n">
        <v>7092.59436898665</v>
      </c>
      <c r="N2978" s="3" t="n">
        <f aca="false">(Tabla2[[#This Row],[Productividad (kg/TAS)]]*Tabla2[[#This Row],[Precio por kg]]-Tabla2[[#This Row],[Costos (En RD$/Tarea)]])</f>
        <v>-2868.1453024687</v>
      </c>
      <c r="O2978" s="9" t="n">
        <f aca="false">IF(Tabla2[[#This Row],[Costos (En RD$/Tarea)]]=0,0,Tabla2[[#This Row],[Beneficio Neto  (En RD$/Tarea)]]/Tabla2[[#This Row],[Costos (En RD$/Tarea)]])</f>
        <v>-0.404385920476443</v>
      </c>
      <c r="P2978" s="7" t="n">
        <f aca="false">Tabla2[[#This Row],[Rentabilidad (%)]]/12</f>
        <v>-0.0336988267063702</v>
      </c>
    </row>
    <row r="2979" customFormat="false" ht="14.25" hidden="false" customHeight="false" outlineLevel="0" collapsed="false">
      <c r="A2979" s="1" t="n">
        <v>44075</v>
      </c>
      <c r="B2979" s="2" t="s">
        <v>20</v>
      </c>
      <c r="C2979" s="3" t="n">
        <v>60213.9614085866</v>
      </c>
      <c r="D2979" s="8" t="s">
        <v>17</v>
      </c>
      <c r="E2979" s="3" t="n">
        <f aca="false">IF(Tabla2[[#This Row],[Frecuencia]]="Annual", Tabla2[[#This Row],[Cosecha/Tarea]]/12,Tabla2[[#This Row],[Cosecha/Tarea]])</f>
        <v>60213.9614085866</v>
      </c>
      <c r="F2979" s="3" t="n">
        <v>126985</v>
      </c>
      <c r="G2979" s="2" t="s">
        <v>18</v>
      </c>
      <c r="H2979" s="2" t="n">
        <f aca="false">F2979/Tabla2[[#This Row],[Cosecha Mensual]]</f>
        <v>2.10889629297653</v>
      </c>
      <c r="I2979" s="2" t="n">
        <f aca="false">H2979*_xlfn.XLOOKUP(Tabla2[[#This Row],[Unidad de producción]],Tabla3[Medida],Tabla3[Equivalencia en Kg],"ELVIS",0)</f>
        <v>95.6595358494153</v>
      </c>
      <c r="J2979" s="2" t="n">
        <v>964.17296875</v>
      </c>
      <c r="K2979" s="2" t="s">
        <v>18</v>
      </c>
      <c r="L2979" s="2" t="n">
        <f aca="false">J2979/_xlfn.XLOOKUP(Tabla2[[#This Row],[Unidad de precio]],Tabla3[Medida],Tabla3[Equivalencia en Kg],"ELVIS",0)</f>
        <v>21.2560178295855</v>
      </c>
      <c r="M2979" s="2" t="n">
        <v>2584.15468583726</v>
      </c>
      <c r="N2979" s="3" t="n">
        <f aca="false">(Tabla2[[#This Row],[Productividad (kg/TAS)]]*Tabla2[[#This Row],[Precio por kg]]-Tabla2[[#This Row],[Costos (En RD$/Tarea)]])</f>
        <v>-550.813886252211</v>
      </c>
      <c r="O2979" s="9" t="n">
        <f aca="false">IF(Tabla2[[#This Row],[Costos (En RD$/Tarea)]]=0,0,Tabla2[[#This Row],[Beneficio Neto  (En RD$/Tarea)]]/Tabla2[[#This Row],[Costos (En RD$/Tarea)]])</f>
        <v>-0.213150508857309</v>
      </c>
      <c r="P2979" s="7" t="n">
        <f aca="false">Tabla2[[#This Row],[Rentabilidad (%)]]/12</f>
        <v>-0.0177625424047757</v>
      </c>
    </row>
    <row r="2980" customFormat="false" ht="14.25" hidden="false" customHeight="false" outlineLevel="0" collapsed="false">
      <c r="A2980" s="1" t="n">
        <v>44075</v>
      </c>
      <c r="B2980" s="2" t="s">
        <v>21</v>
      </c>
      <c r="C2980" s="3" t="n">
        <v>8520.39371155161</v>
      </c>
      <c r="D2980" s="8" t="s">
        <v>17</v>
      </c>
      <c r="E2980" s="3" t="n">
        <f aca="false">IF(Tabla2[[#This Row],[Frecuencia]]="Annual", Tabla2[[#This Row],[Cosecha/Tarea]]/12,Tabla2[[#This Row],[Cosecha/Tarea]])</f>
        <v>8520.39371155161</v>
      </c>
      <c r="F2980" s="3" t="n">
        <v>76985</v>
      </c>
      <c r="G2980" s="2" t="s">
        <v>18</v>
      </c>
      <c r="H2980" s="2" t="n">
        <f aca="false">F2980/Tabla2[[#This Row],[Cosecha Mensual]]</f>
        <v>9.03538059463459</v>
      </c>
      <c r="I2980" s="2" t="n">
        <f aca="false">H2980*_xlfn.XLOOKUP(Tabla2[[#This Row],[Unidad de producción]],Tabla3[Medida],Tabla3[Equivalencia en Kg],"ELVIS",0)</f>
        <v>409.844863772625</v>
      </c>
      <c r="J2980" s="2" t="n">
        <v>1131.93154761905</v>
      </c>
      <c r="K2980" s="2" t="s">
        <v>18</v>
      </c>
      <c r="L2980" s="2" t="n">
        <f aca="false">J2980/_xlfn.XLOOKUP(Tabla2[[#This Row],[Unidad de precio]],Tabla3[Medida],Tabla3[Equivalencia en Kg],"ELVIS",0)</f>
        <v>24.9543991979508</v>
      </c>
      <c r="M2980" s="2" t="n">
        <v>6271.46010735965</v>
      </c>
      <c r="N2980" s="3" t="n">
        <f aca="false">(Tabla2[[#This Row],[Productividad (kg/TAS)]]*Tabla2[[#This Row],[Precio por kg]]-Tabla2[[#This Row],[Costos (En RD$/Tarea)]])</f>
        <v>3955.97223245221</v>
      </c>
      <c r="O2980" s="9" t="n">
        <f aca="false">IF(Tabla2[[#This Row],[Costos (En RD$/Tarea)]]=0,0,Tabla2[[#This Row],[Beneficio Neto  (En RD$/Tarea)]]/Tabla2[[#This Row],[Costos (En RD$/Tarea)]])</f>
        <v>0.630789666956475</v>
      </c>
      <c r="P2980" s="7" t="n">
        <f aca="false">Tabla2[[#This Row],[Rentabilidad (%)]]/12</f>
        <v>0.0525658055797063</v>
      </c>
    </row>
    <row r="2981" customFormat="false" ht="14.25" hidden="false" customHeight="false" outlineLevel="0" collapsed="false">
      <c r="A2981" s="1" t="n">
        <v>44075</v>
      </c>
      <c r="B2981" s="2" t="s">
        <v>22</v>
      </c>
      <c r="C2981" s="3" t="n">
        <v>3596.02877697842</v>
      </c>
      <c r="D2981" s="8" t="s">
        <v>17</v>
      </c>
      <c r="E2981" s="3" t="n">
        <f aca="false">IF(Tabla2[[#This Row],[Frecuencia]]="Annual", Tabla2[[#This Row],[Cosecha/Tarea]]/12,Tabla2[[#This Row],[Cosecha/Tarea]])</f>
        <v>3596.02877697842</v>
      </c>
      <c r="F2981" s="3" t="n">
        <v>38745</v>
      </c>
      <c r="G2981" s="2" t="s">
        <v>18</v>
      </c>
      <c r="H2981" s="2" t="n">
        <f aca="false">F2981/Tabla2[[#This Row],[Cosecha Mensual]]</f>
        <v>10.7743854131656</v>
      </c>
      <c r="I2981" s="2" t="n">
        <f aca="false">H2981*_xlfn.XLOOKUP(Tabla2[[#This Row],[Unidad de producción]],Tabla3[Medida],Tabla3[Equivalencia en Kg],"ELVIS",0)</f>
        <v>488.726122341191</v>
      </c>
      <c r="J2981" s="2" t="n">
        <v>2275.1</v>
      </c>
      <c r="K2981" s="2" t="s">
        <v>18</v>
      </c>
      <c r="L2981" s="2" t="n">
        <f aca="false">J2981/_xlfn.XLOOKUP(Tabla2[[#This Row],[Unidad de precio]],Tabla3[Medida],Tabla3[Equivalencia en Kg],"ELVIS",0)</f>
        <v>50.1565255731922</v>
      </c>
      <c r="M2981" s="2" t="n">
        <v>10873.3452772193</v>
      </c>
      <c r="N2981" s="3" t="n">
        <f aca="false">(Tabla2[[#This Row],[Productividad (kg/TAS)]]*Tabla2[[#This Row],[Precio por kg]]-Tabla2[[#This Row],[Costos (En RD$/Tarea)]])</f>
        <v>13639.4589762737</v>
      </c>
      <c r="O2981" s="9" t="n">
        <f aca="false">IF(Tabla2[[#This Row],[Costos (En RD$/Tarea)]]=0,0,Tabla2[[#This Row],[Beneficio Neto  (En RD$/Tarea)]]/Tabla2[[#This Row],[Costos (En RD$/Tarea)]])</f>
        <v>1.25439399085852</v>
      </c>
      <c r="P2981" s="7" t="n">
        <f aca="false">Tabla2[[#This Row],[Rentabilidad (%)]]/12</f>
        <v>0.104532832571543</v>
      </c>
    </row>
    <row r="2982" customFormat="false" ht="14.25" hidden="false" customHeight="false" outlineLevel="0" collapsed="false">
      <c r="A2982" s="1" t="n">
        <v>44075</v>
      </c>
      <c r="B2982" s="2" t="s">
        <v>23</v>
      </c>
      <c r="C2982" s="3" t="n">
        <v>3652.31206225681</v>
      </c>
      <c r="D2982" s="8" t="s">
        <v>17</v>
      </c>
      <c r="E2982" s="3" t="n">
        <f aca="false">IF(Tabla2[[#This Row],[Frecuencia]]="Annual", Tabla2[[#This Row],[Cosecha/Tarea]]/12,Tabla2[[#This Row],[Cosecha/Tarea]])</f>
        <v>3652.31206225681</v>
      </c>
      <c r="F2982" s="3" t="n">
        <v>191254</v>
      </c>
      <c r="G2982" s="2" t="s">
        <v>18</v>
      </c>
      <c r="H2982" s="2" t="n">
        <f aca="false">F2982/Tabla2[[#This Row],[Cosecha Mensual]]</f>
        <v>52.3651858712811</v>
      </c>
      <c r="I2982" s="2" t="n">
        <f aca="false">H2982*_xlfn.XLOOKUP(Tabla2[[#This Row],[Unidad de producción]],Tabla3[Medida],Tabla3[Equivalencia en Kg],"ELVIS",0)</f>
        <v>2375.28483112131</v>
      </c>
      <c r="J2982" s="2" t="n">
        <v>1209</v>
      </c>
      <c r="K2982" s="2" t="s">
        <v>18</v>
      </c>
      <c r="L2982" s="2" t="n">
        <f aca="false">J2982/_xlfn.XLOOKUP(Tabla2[[#This Row],[Unidad de precio]],Tabla3[Medida],Tabla3[Equivalencia en Kg],"ELVIS",0)</f>
        <v>26.6534391534392</v>
      </c>
      <c r="M2982" s="2" t="n">
        <v>28931.455637377</v>
      </c>
      <c r="N2982" s="3" t="n">
        <f aca="false">(Tabla2[[#This Row],[Productividad (kg/TAS)]]*Tabla2[[#This Row],[Precio por kg]]-Tabla2[[#This Row],[Costos (En RD$/Tarea)]])</f>
        <v>34378.0540810019</v>
      </c>
      <c r="O2982" s="9" t="n">
        <f aca="false">IF(Tabla2[[#This Row],[Costos (En RD$/Tarea)]]=0,0,Tabla2[[#This Row],[Beneficio Neto  (En RD$/Tarea)]]/Tabla2[[#This Row],[Costos (En RD$/Tarea)]])</f>
        <v>1.18825870747369</v>
      </c>
      <c r="P2982" s="7" t="n">
        <f aca="false">Tabla2[[#This Row],[Rentabilidad (%)]]/12</f>
        <v>0.0990215589561406</v>
      </c>
    </row>
    <row r="2983" customFormat="false" ht="14.25" hidden="false" customHeight="false" outlineLevel="0" collapsed="false">
      <c r="A2983" s="1" t="n">
        <v>44075</v>
      </c>
      <c r="B2983" s="2" t="s">
        <v>24</v>
      </c>
      <c r="C2983" s="3" t="n">
        <v>4489</v>
      </c>
      <c r="D2983" s="8" t="s">
        <v>17</v>
      </c>
      <c r="E2983" s="3" t="n">
        <f aca="false">IF(Tabla2[[#This Row],[Frecuencia]]="Annual", Tabla2[[#This Row],[Cosecha/Tarea]]/12,Tabla2[[#This Row],[Cosecha/Tarea]])</f>
        <v>4489</v>
      </c>
      <c r="F2983" s="3" t="n">
        <v>43998</v>
      </c>
      <c r="G2983" s="2" t="s">
        <v>18</v>
      </c>
      <c r="H2983" s="2" t="n">
        <f aca="false">F2983/Tabla2[[#This Row],[Cosecha Mensual]]</f>
        <v>9.80129204722655</v>
      </c>
      <c r="I2983" s="2" t="n">
        <f aca="false">H2983*_xlfn.XLOOKUP(Tabla2[[#This Row],[Unidad de producción]],Tabla3[Medida],Tabla3[Equivalencia en Kg],"ELVIS",0)</f>
        <v>444.586607262197</v>
      </c>
      <c r="J2983" s="2" t="n">
        <v>2710.66666666667</v>
      </c>
      <c r="K2983" s="2" t="s">
        <v>18</v>
      </c>
      <c r="L2983" s="2" t="n">
        <f aca="false">J2983/_xlfn.XLOOKUP(Tabla2[[#This Row],[Unidad de precio]],Tabla3[Medida],Tabla3[Equivalencia en Kg],"ELVIS",0)</f>
        <v>59.758965314521</v>
      </c>
      <c r="M2983" s="2" t="n">
        <v>8997.82973620852</v>
      </c>
      <c r="N2983" s="3" t="n">
        <f aca="false">(Tabla2[[#This Row],[Productividad (kg/TAS)]]*Tabla2[[#This Row],[Precio por kg]]-Tabla2[[#This Row],[Costos (En RD$/Tarea)]])</f>
        <v>17570.2059064736</v>
      </c>
      <c r="O2983" s="9" t="n">
        <f aca="false">IF(Tabla2[[#This Row],[Costos (En RD$/Tarea)]]=0,0,Tabla2[[#This Row],[Beneficio Neto  (En RD$/Tarea)]]/Tabla2[[#This Row],[Costos (En RD$/Tarea)]])</f>
        <v>1.95271597947321</v>
      </c>
      <c r="P2983" s="7" t="n">
        <f aca="false">Tabla2[[#This Row],[Rentabilidad (%)]]/12</f>
        <v>0.162726331622768</v>
      </c>
    </row>
    <row r="2984" customFormat="false" ht="14.25" hidden="false" customHeight="false" outlineLevel="0" collapsed="false">
      <c r="A2984" s="1" t="n">
        <v>44075</v>
      </c>
      <c r="B2984" s="2" t="s">
        <v>25</v>
      </c>
      <c r="C2984" s="3" t="n">
        <v>29145</v>
      </c>
      <c r="D2984" s="8" t="s">
        <v>17</v>
      </c>
      <c r="E2984" s="3" t="n">
        <f aca="false">IF(Tabla2[[#This Row],[Frecuencia]]="Annual", Tabla2[[#This Row],[Cosecha/Tarea]]/12,Tabla2[[#This Row],[Cosecha/Tarea]])</f>
        <v>29145</v>
      </c>
      <c r="F2984" s="3" t="n">
        <v>339854</v>
      </c>
      <c r="G2984" s="2" t="s">
        <v>18</v>
      </c>
      <c r="H2984" s="2" t="n">
        <f aca="false">F2984/Tabla2[[#This Row],[Cosecha Mensual]]</f>
        <v>11.6607994510208</v>
      </c>
      <c r="I2984" s="2" t="n">
        <f aca="false">H2984*_xlfn.XLOOKUP(Tabla2[[#This Row],[Unidad de producción]],Tabla3[Medida],Tabla3[Equivalencia en Kg],"ELVIS",0)</f>
        <v>528.933863098302</v>
      </c>
      <c r="J2984" s="2" t="n">
        <v>664.650833333333</v>
      </c>
      <c r="K2984" s="2" t="s">
        <v>18</v>
      </c>
      <c r="L2984" s="2" t="n">
        <f aca="false">J2984/_xlfn.XLOOKUP(Tabla2[[#This Row],[Unidad de precio]],Tabla3[Medida],Tabla3[Equivalencia en Kg],"ELVIS",0)</f>
        <v>14.6527961493239</v>
      </c>
      <c r="M2984" s="2" t="n">
        <v>5060.83945230923</v>
      </c>
      <c r="N2984" s="3" t="n">
        <f aca="false">(Tabla2[[#This Row],[Productividad (kg/TAS)]]*Tabla2[[#This Row],[Precio por kg]]-Tabla2[[#This Row],[Costos (En RD$/Tarea)]])</f>
        <v>2689.52062014459</v>
      </c>
      <c r="O2984" s="9" t="n">
        <f aca="false">IF(Tabla2[[#This Row],[Costos (En RD$/Tarea)]]=0,0,Tabla2[[#This Row],[Beneficio Neto  (En RD$/Tarea)]]/Tabla2[[#This Row],[Costos (En RD$/Tarea)]])</f>
        <v>0.531437648929443</v>
      </c>
      <c r="P2984" s="7" t="n">
        <f aca="false">Tabla2[[#This Row],[Rentabilidad (%)]]/12</f>
        <v>0.0442864707441203</v>
      </c>
    </row>
    <row r="2985" customFormat="false" ht="14.25" hidden="false" customHeight="false" outlineLevel="0" collapsed="false">
      <c r="A2985" s="1" t="n">
        <v>44075</v>
      </c>
      <c r="B2985" s="2" t="s">
        <v>26</v>
      </c>
      <c r="C2985" s="3" t="n">
        <v>10010.8892215569</v>
      </c>
      <c r="D2985" s="8" t="s">
        <v>17</v>
      </c>
      <c r="E2985" s="3" t="n">
        <f aca="false">IF(Tabla2[[#This Row],[Frecuencia]]="Annual", Tabla2[[#This Row],[Cosecha/Tarea]]/12,Tabla2[[#This Row],[Cosecha/Tarea]])</f>
        <v>10010.8892215569</v>
      </c>
      <c r="F2985" s="3" t="n">
        <v>68549</v>
      </c>
      <c r="G2985" s="2" t="s">
        <v>18</v>
      </c>
      <c r="H2985" s="2" t="n">
        <f aca="false">F2985/Tabla2[[#This Row],[Cosecha Mensual]]</f>
        <v>6.84744366688129</v>
      </c>
      <c r="I2985" s="2" t="n">
        <f aca="false">H2985*_xlfn.XLOOKUP(Tabla2[[#This Row],[Unidad de producción]],Tabla3[Medida],Tabla3[Equivalencia en Kg],"ELVIS",0)</f>
        <v>310.600044729736</v>
      </c>
      <c r="J2985" s="2" t="n">
        <v>1375.88975694444</v>
      </c>
      <c r="K2985" s="2" t="s">
        <v>18</v>
      </c>
      <c r="L2985" s="2" t="n">
        <f aca="false">J2985/_xlfn.XLOOKUP(Tabla2[[#This Row],[Unidad de precio]],Tabla3[Medida],Tabla3[Equivalencia en Kg],"ELVIS",0)</f>
        <v>30.3326665993042</v>
      </c>
      <c r="M2985" s="2" t="n">
        <v>1789.84398526912</v>
      </c>
      <c r="N2985" s="3" t="n">
        <f aca="false">(Tabla2[[#This Row],[Productividad (kg/TAS)]]*Tabla2[[#This Row],[Precio por kg]]-Tabla2[[#This Row],[Costos (En RD$/Tarea)]])</f>
        <v>7631.48361724693</v>
      </c>
      <c r="O2985" s="9" t="n">
        <f aca="false">IF(Tabla2[[#This Row],[Costos (En RD$/Tarea)]]=0,0,Tabla2[[#This Row],[Beneficio Neto  (En RD$/Tarea)]]/Tabla2[[#This Row],[Costos (En RD$/Tarea)]])</f>
        <v>4.26377029509612</v>
      </c>
      <c r="P2985" s="7" t="n">
        <f aca="false">Tabla2[[#This Row],[Rentabilidad (%)]]/12</f>
        <v>0.35531419125801</v>
      </c>
    </row>
    <row r="2986" customFormat="false" ht="14.25" hidden="false" customHeight="false" outlineLevel="0" collapsed="false">
      <c r="A2986" s="1" t="n">
        <v>44075</v>
      </c>
      <c r="B2986" s="2" t="s">
        <v>27</v>
      </c>
      <c r="C2986" s="3" t="n">
        <v>4785</v>
      </c>
      <c r="D2986" s="8" t="s">
        <v>17</v>
      </c>
      <c r="E2986" s="3" t="n">
        <f aca="false">IF(Tabla2[[#This Row],[Frecuencia]]="Annual", Tabla2[[#This Row],[Cosecha/Tarea]]/12,Tabla2[[#This Row],[Cosecha/Tarea]])</f>
        <v>4785</v>
      </c>
      <c r="F2986" s="3" t="n">
        <v>43644</v>
      </c>
      <c r="G2986" s="2" t="s">
        <v>18</v>
      </c>
      <c r="H2986" s="2" t="n">
        <f aca="false">F2986/Tabla2[[#This Row],[Cosecha Mensual]]</f>
        <v>9.12100313479624</v>
      </c>
      <c r="I2986" s="2" t="n">
        <f aca="false">H2986*_xlfn.XLOOKUP(Tabla2[[#This Row],[Unidad de producción]],Tabla3[Medida],Tabla3[Equivalencia en Kg],"ELVIS",0)</f>
        <v>413.728702194357</v>
      </c>
      <c r="J2986" s="2" t="n">
        <v>957.160714285714</v>
      </c>
      <c r="K2986" s="2" t="s">
        <v>18</v>
      </c>
      <c r="L2986" s="2" t="n">
        <f aca="false">J2986/_xlfn.XLOOKUP(Tabla2[[#This Row],[Unidad de precio]],Tabla3[Medida],Tabla3[Equivalencia en Kg],"ELVIS",0)</f>
        <v>21.1014266817838</v>
      </c>
      <c r="M2986" s="2" t="n">
        <v>9891.72566090888</v>
      </c>
      <c r="N2986" s="3" t="n">
        <f aca="false">(Tabla2[[#This Row],[Productividad (kg/TAS)]]*Tabla2[[#This Row],[Precio por kg]]-Tabla2[[#This Row],[Costos (En RD$/Tarea)]])</f>
        <v>-1161.45978540508</v>
      </c>
      <c r="O2986" s="9" t="n">
        <f aca="false">IF(Tabla2[[#This Row],[Costos (En RD$/Tarea)]]=0,0,Tabla2[[#This Row],[Beneficio Neto  (En RD$/Tarea)]]/Tabla2[[#This Row],[Costos (En RD$/Tarea)]])</f>
        <v>-0.117417306668244</v>
      </c>
      <c r="P2986" s="7" t="n">
        <f aca="false">Tabla2[[#This Row],[Rentabilidad (%)]]/12</f>
        <v>-0.009784775555687</v>
      </c>
    </row>
    <row r="2987" customFormat="false" ht="14.25" hidden="false" customHeight="false" outlineLevel="0" collapsed="false">
      <c r="A2987" s="1" t="n">
        <v>44075</v>
      </c>
      <c r="B2987" s="2" t="s">
        <v>28</v>
      </c>
      <c r="C2987" s="3" t="n">
        <v>76021</v>
      </c>
      <c r="D2987" s="8" t="s">
        <v>17</v>
      </c>
      <c r="E2987" s="3" t="n">
        <f aca="false">IF(Tabla2[[#This Row],[Frecuencia]]="Annual", Tabla2[[#This Row],[Cosecha/Tarea]]/12,Tabla2[[#This Row],[Cosecha/Tarea]])</f>
        <v>76021</v>
      </c>
      <c r="F2987" s="3" t="n">
        <v>1810238.8</v>
      </c>
      <c r="G2987" s="2" t="s">
        <v>18</v>
      </c>
      <c r="H2987" s="2" t="n">
        <f aca="false">F2987/Tabla2[[#This Row],[Cosecha Mensual]]</f>
        <v>23.8123518501467</v>
      </c>
      <c r="I2987" s="2" t="n">
        <f aca="false">H2987*_xlfn.XLOOKUP(Tabla2[[#This Row],[Unidad de producción]],Tabla3[Medida],Tabla3[Equivalencia en Kg],"ELVIS",0)</f>
        <v>1080.12827992265</v>
      </c>
      <c r="J2987" s="2" t="n">
        <v>5694.47222222222</v>
      </c>
      <c r="K2987" s="2" t="s">
        <v>29</v>
      </c>
      <c r="L2987" s="2" t="n">
        <f aca="false">J2987/_xlfn.XLOOKUP(Tabla2[[#This Row],[Unidad de precio]],Tabla3[Medida],Tabla3[Equivalencia en Kg],"ELVIS",0)</f>
        <v>10.1263865672409</v>
      </c>
      <c r="M2987" s="2" t="n">
        <v>13735.1419088583</v>
      </c>
      <c r="N2987" s="3" t="n">
        <f aca="false">(Tabla2[[#This Row],[Productividad (kg/TAS)]]*Tabla2[[#This Row],[Precio por kg]]-Tabla2[[#This Row],[Costos (En RD$/Tarea)]])</f>
        <v>-2797.34540415258</v>
      </c>
      <c r="O2987" s="9" t="n">
        <f aca="false">IF(Tabla2[[#This Row],[Costos (En RD$/Tarea)]]=0,0,Tabla2[[#This Row],[Beneficio Neto  (En RD$/Tarea)]]/Tabla2[[#This Row],[Costos (En RD$/Tarea)]])</f>
        <v>-0.203663378413912</v>
      </c>
      <c r="P2987" s="7" t="n">
        <f aca="false">Tabla2[[#This Row],[Rentabilidad (%)]]/12</f>
        <v>-0.0169719482011593</v>
      </c>
    </row>
    <row r="2988" customFormat="false" ht="14.25" hidden="false" customHeight="false" outlineLevel="0" collapsed="false">
      <c r="A2988" s="1" t="n">
        <v>44075</v>
      </c>
      <c r="B2988" s="2" t="s">
        <v>30</v>
      </c>
      <c r="C2988" s="3" t="n">
        <v>451024</v>
      </c>
      <c r="D2988" s="3" t="s">
        <v>31</v>
      </c>
      <c r="E2988" s="3" t="n">
        <f aca="false">IF(Tabla2[[#This Row],[Frecuencia]]="Annual", Tabla2[[#This Row],[Cosecha/Tarea]]/12,Tabla2[[#This Row],[Cosecha/Tarea]])</f>
        <v>37585.3333333333</v>
      </c>
      <c r="F2988" s="3" t="n">
        <v>2159528.4</v>
      </c>
      <c r="G2988" s="2" t="s">
        <v>18</v>
      </c>
      <c r="H2988" s="2" t="n">
        <f aca="false">F2988/Tabla2[[#This Row],[Cosecha Mensual]]</f>
        <v>57.4566781368619</v>
      </c>
      <c r="I2988" s="2" t="n">
        <f aca="false">H2988*_xlfn.XLOOKUP(Tabla2[[#This Row],[Unidad de producción]],Tabla3[Medida],Tabla3[Equivalencia en Kg],"ELVIS",0)</f>
        <v>2606.23492028806</v>
      </c>
      <c r="J2988" s="2" t="n">
        <v>211.020833333333</v>
      </c>
      <c r="K2988" s="2" t="s">
        <v>32</v>
      </c>
      <c r="L2988" s="2" t="n">
        <f aca="false">J2988/_xlfn.XLOOKUP(Tabla2[[#This Row],[Unidad de precio]],Tabla3[Medida],Tabla3[Equivalencia en Kg],"ELVIS",0)</f>
        <v>7.7552676711993</v>
      </c>
      <c r="M2988" s="3" t="n">
        <v>38019.0770714752</v>
      </c>
      <c r="N2988" s="3" t="n">
        <f aca="false">(Tabla2[[#This Row],[Productividad (kg/TAS)]]*Tabla2[[#This Row],[Precio por kg]]-Tabla2[[#This Row],[Costos (En RD$/Tarea)]])</f>
        <v>-17807.0276506146</v>
      </c>
      <c r="O2988" s="9" t="n">
        <f aca="false">IF(Tabla2[[#This Row],[Costos (En RD$/Tarea)]]=0,0,Tabla2[[#This Row],[Beneficio Neto  (En RD$/Tarea)]]/Tabla2[[#This Row],[Costos (En RD$/Tarea)]])</f>
        <v>-0.468370855429701</v>
      </c>
      <c r="P2988" s="7" t="n">
        <f aca="false">Tabla2[[#This Row],[Rentabilidad (%)]]/12</f>
        <v>-0.0390309046191417</v>
      </c>
    </row>
    <row r="2989" customFormat="false" ht="14.25" hidden="false" customHeight="false" outlineLevel="0" collapsed="false">
      <c r="A2989" s="1" t="n">
        <v>44075</v>
      </c>
      <c r="B2989" s="2" t="s">
        <v>33</v>
      </c>
      <c r="C2989" s="3" t="n">
        <v>726229.367632722</v>
      </c>
      <c r="D2989" s="3" t="s">
        <v>31</v>
      </c>
      <c r="E2989" s="11" t="n">
        <f aca="false">IF(Tabla2[[#This Row],[Frecuencia]]="Annual", Tabla2[[#This Row],[Cosecha/Tarea]]/12,Tabla2[[#This Row],[Cosecha/Tarea]])</f>
        <v>60519.1139693935</v>
      </c>
      <c r="F2989" s="3" t="n">
        <v>1842561</v>
      </c>
      <c r="G2989" s="2" t="s">
        <v>18</v>
      </c>
      <c r="H2989" s="2" t="n">
        <f aca="false">F2989/Tabla2[[#This Row],[Cosecha Mensual]]</f>
        <v>30.4459348319581</v>
      </c>
      <c r="I2989" s="2" t="n">
        <f aca="false">H2989*_xlfn.XLOOKUP(Tabla2[[#This Row],[Unidad de producción]],Tabla3[Medida],Tabla3[Equivalencia en Kg],"ELVIS",0)</f>
        <v>1381.02760397762</v>
      </c>
      <c r="J2989" s="2" t="n">
        <v>11153.0078125</v>
      </c>
      <c r="K2989" s="2" t="s">
        <v>34</v>
      </c>
      <c r="L2989" s="2" t="n">
        <f aca="false">J2989/_xlfn.XLOOKUP(Tabla2[[#This Row],[Unidad de precio]],Tabla3[Medida],Tabla3[Equivalencia en Kg],"ELVIS",0)</f>
        <v>27.3257572277349</v>
      </c>
      <c r="M2989" s="3" t="n">
        <v>33327.4212424613</v>
      </c>
      <c r="N2989" s="3" t="n">
        <f aca="false">(Tabla2[[#This Row],[Productividad (kg/TAS)]]*Tabla2[[#This Row],[Precio por kg]]-Tabla2[[#This Row],[Costos (En RD$/Tarea)]])</f>
        <v>4410.20378863156</v>
      </c>
      <c r="O2989" s="9" t="n">
        <f aca="false">IF(Tabla2[[#This Row],[Costos (En RD$/Tarea)]]=0,0,Tabla2[[#This Row],[Beneficio Neto  (En RD$/Tarea)]]/Tabla2[[#This Row],[Costos (En RD$/Tarea)]])</f>
        <v>0.132329583994716</v>
      </c>
      <c r="P2989" s="7" t="n">
        <f aca="false">Tabla2[[#This Row],[Rentabilidad (%)]]/12</f>
        <v>0.011027465332893</v>
      </c>
    </row>
    <row r="2990" customFormat="false" ht="14.25" hidden="false" customHeight="false" outlineLevel="0" collapsed="false">
      <c r="A2990" s="1" t="n">
        <v>44105</v>
      </c>
      <c r="B2990" s="2" t="s">
        <v>16</v>
      </c>
      <c r="C2990" s="3" t="n">
        <v>246114</v>
      </c>
      <c r="D2990" s="8" t="s">
        <v>17</v>
      </c>
      <c r="E2990" s="3" t="n">
        <f aca="false">IF(Tabla2[[#This Row],[Frecuencia]]="Annual", Tabla2[[#This Row],[Cosecha/Tarea]]/12,Tabla2[[#This Row],[Cosecha/Tarea]])</f>
        <v>246114</v>
      </c>
      <c r="F2990" s="3" t="n">
        <v>817180</v>
      </c>
      <c r="G2990" s="2" t="s">
        <v>18</v>
      </c>
      <c r="H2990" s="2" t="n">
        <f aca="false">F2990/Tabla2[[#This Row],[Cosecha Mensual]]</f>
        <v>3.32033122861763</v>
      </c>
      <c r="I2990" s="2" t="n">
        <f aca="false">H2990*_xlfn.XLOOKUP(Tabla2[[#This Row],[Unidad de producción]],Tabla3[Medida],Tabla3[Equivalencia en Kg],"ELVIS",0)</f>
        <v>150.610224530096</v>
      </c>
      <c r="J2990" s="2" t="n">
        <v>2438.33845381066</v>
      </c>
      <c r="K2990" s="2" t="s">
        <v>19</v>
      </c>
      <c r="L2990" s="2" t="n">
        <f aca="false">J2990/_xlfn.XLOOKUP(Tabla2[[#This Row],[Unidad de precio]],Tabla3[Medida],Tabla3[Equivalencia en Kg],"ELVIS",0)</f>
        <v>22.1667132164605</v>
      </c>
      <c r="M2990" s="2" t="n">
        <v>7092.59436898665</v>
      </c>
      <c r="N2990" s="3" t="n">
        <f aca="false">(Tabla2[[#This Row],[Productividad (kg/TAS)]]*Tabla2[[#This Row],[Precio por kg]]-Tabla2[[#This Row],[Costos (En RD$/Tarea)]])</f>
        <v>-3754.06071436129</v>
      </c>
      <c r="O2990" s="9" t="n">
        <f aca="false">IF(Tabla2[[#This Row],[Costos (En RD$/Tarea)]]=0,0,Tabla2[[#This Row],[Beneficio Neto  (En RD$/Tarea)]]/Tabla2[[#This Row],[Costos (En RD$/Tarea)]])</f>
        <v>-0.529293022984147</v>
      </c>
      <c r="P2990" s="7" t="n">
        <f aca="false">Tabla2[[#This Row],[Rentabilidad (%)]]/12</f>
        <v>-0.0441077519153456</v>
      </c>
    </row>
    <row r="2991" customFormat="false" ht="14.25" hidden="false" customHeight="false" outlineLevel="0" collapsed="false">
      <c r="A2991" s="1" t="n">
        <v>44105</v>
      </c>
      <c r="B2991" s="2" t="s">
        <v>20</v>
      </c>
      <c r="C2991" s="3" t="n">
        <v>20145</v>
      </c>
      <c r="D2991" s="8" t="s">
        <v>17</v>
      </c>
      <c r="E2991" s="3" t="n">
        <f aca="false">IF(Tabla2[[#This Row],[Frecuencia]]="Annual", Tabla2[[#This Row],[Cosecha/Tarea]]/12,Tabla2[[#This Row],[Cosecha/Tarea]])</f>
        <v>20145</v>
      </c>
      <c r="F2991" s="3" t="n">
        <v>50769.5</v>
      </c>
      <c r="G2991" s="2" t="s">
        <v>18</v>
      </c>
      <c r="H2991" s="2" t="n">
        <f aca="false">F2991/Tabla2[[#This Row],[Cosecha Mensual]]</f>
        <v>2.52020352444775</v>
      </c>
      <c r="I2991" s="2" t="n">
        <f aca="false">H2991*_xlfn.XLOOKUP(Tabla2[[#This Row],[Unidad de producción]],Tabla3[Medida],Tabla3[Equivalencia en Kg],"ELVIS",0)</f>
        <v>114.31643186895</v>
      </c>
      <c r="J2991" s="2" t="n">
        <v>950.809895833334</v>
      </c>
      <c r="K2991" s="2" t="s">
        <v>18</v>
      </c>
      <c r="L2991" s="2" t="n">
        <f aca="false">J2991/_xlfn.XLOOKUP(Tabla2[[#This Row],[Unidad de precio]],Tabla3[Medida],Tabla3[Equivalencia en Kg],"ELVIS",0)</f>
        <v>20.9614174566432</v>
      </c>
      <c r="M2991" s="2" t="n">
        <v>2584.15468583726</v>
      </c>
      <c r="N2991" s="3" t="n">
        <f aca="false">(Tabla2[[#This Row],[Productividad (kg/TAS)]]*Tabla2[[#This Row],[Precio por kg]]-Tabla2[[#This Row],[Costos (En RD$/Tarea)]])</f>
        <v>-187.92023527829</v>
      </c>
      <c r="O2991" s="9" t="n">
        <f aca="false">IF(Tabla2[[#This Row],[Costos (En RD$/Tarea)]]=0,0,Tabla2[[#This Row],[Beneficio Neto  (En RD$/Tarea)]]/Tabla2[[#This Row],[Costos (En RD$/Tarea)]])</f>
        <v>-0.0727201960115649</v>
      </c>
      <c r="P2991" s="7" t="n">
        <f aca="false">Tabla2[[#This Row],[Rentabilidad (%)]]/12</f>
        <v>-0.00606001633429708</v>
      </c>
    </row>
    <row r="2992" customFormat="false" ht="14.25" hidden="false" customHeight="false" outlineLevel="0" collapsed="false">
      <c r="A2992" s="1" t="n">
        <v>44105</v>
      </c>
      <c r="B2992" s="2" t="s">
        <v>21</v>
      </c>
      <c r="C2992" s="3" t="n">
        <v>6645</v>
      </c>
      <c r="D2992" s="8" t="s">
        <v>17</v>
      </c>
      <c r="E2992" s="3" t="n">
        <f aca="false">IF(Tabla2[[#This Row],[Frecuencia]]="Annual", Tabla2[[#This Row],[Cosecha/Tarea]]/12,Tabla2[[#This Row],[Cosecha/Tarea]])</f>
        <v>6645</v>
      </c>
      <c r="F2992" s="3" t="n">
        <v>74121</v>
      </c>
      <c r="G2992" s="2" t="s">
        <v>18</v>
      </c>
      <c r="H2992" s="2" t="n">
        <f aca="false">F2992/Tabla2[[#This Row],[Cosecha Mensual]]</f>
        <v>11.1544018058691</v>
      </c>
      <c r="I2992" s="2" t="n">
        <f aca="false">H2992*_xlfn.XLOOKUP(Tabla2[[#This Row],[Unidad de producción]],Tabla3[Medida],Tabla3[Equivalencia en Kg],"ELVIS",0)</f>
        <v>505.963665914221</v>
      </c>
      <c r="J2992" s="2" t="n">
        <v>1138.14583333333</v>
      </c>
      <c r="K2992" s="2" t="s">
        <v>18</v>
      </c>
      <c r="L2992" s="2" t="n">
        <f aca="false">J2992/_xlfn.XLOOKUP(Tabla2[[#This Row],[Unidad de precio]],Tabla3[Medida],Tabla3[Equivalencia en Kg],"ELVIS",0)</f>
        <v>25.0913984420928</v>
      </c>
      <c r="M2992" s="2" t="n">
        <v>6271.46010735965</v>
      </c>
      <c r="N2992" s="3" t="n">
        <f aca="false">(Tabla2[[#This Row],[Productividad (kg/TAS)]]*Tabla2[[#This Row],[Precio por kg]]-Tabla2[[#This Row],[Costos (En RD$/Tarea)]])</f>
        <v>6423.87583131601</v>
      </c>
      <c r="O2992" s="9" t="n">
        <f aca="false">IF(Tabla2[[#This Row],[Costos (En RD$/Tarea)]]=0,0,Tabla2[[#This Row],[Beneficio Neto  (En RD$/Tarea)]]/Tabla2[[#This Row],[Costos (En RD$/Tarea)]])</f>
        <v>1.02430306839989</v>
      </c>
      <c r="P2992" s="7" t="n">
        <f aca="false">Tabla2[[#This Row],[Rentabilidad (%)]]/12</f>
        <v>0.0853585890333244</v>
      </c>
    </row>
    <row r="2993" customFormat="false" ht="14.25" hidden="false" customHeight="false" outlineLevel="0" collapsed="false">
      <c r="A2993" s="1" t="n">
        <v>44105</v>
      </c>
      <c r="B2993" s="2" t="s">
        <v>22</v>
      </c>
      <c r="C2993" s="3" t="n">
        <v>1366</v>
      </c>
      <c r="D2993" s="8" t="s">
        <v>17</v>
      </c>
      <c r="E2993" s="3" t="n">
        <f aca="false">IF(Tabla2[[#This Row],[Frecuencia]]="Annual", Tabla2[[#This Row],[Cosecha/Tarea]]/12,Tabla2[[#This Row],[Cosecha/Tarea]])</f>
        <v>1366</v>
      </c>
      <c r="F2993" s="3" t="n">
        <v>19918</v>
      </c>
      <c r="G2993" s="2" t="s">
        <v>18</v>
      </c>
      <c r="H2993" s="2" t="n">
        <f aca="false">F2993/Tabla2[[#This Row],[Cosecha Mensual]]</f>
        <v>14.5812591508053</v>
      </c>
      <c r="I2993" s="2" t="n">
        <f aca="false">H2993*_xlfn.XLOOKUP(Tabla2[[#This Row],[Unidad de producción]],Tabla3[Medida],Tabla3[Equivalencia en Kg],"ELVIS",0)</f>
        <v>661.405915080527</v>
      </c>
      <c r="J2993" s="2" t="n">
        <v>2224.075</v>
      </c>
      <c r="K2993" s="2" t="s">
        <v>18</v>
      </c>
      <c r="L2993" s="2" t="n">
        <f aca="false">J2993/_xlfn.XLOOKUP(Tabla2[[#This Row],[Unidad de precio]],Tabla3[Medida],Tabla3[Equivalencia en Kg],"ELVIS",0)</f>
        <v>49.0316358024691</v>
      </c>
      <c r="M2993" s="2" t="n">
        <v>10873.3452772193</v>
      </c>
      <c r="N2993" s="3" t="n">
        <f aca="false">(Tabla2[[#This Row],[Productividad (kg/TAS)]]*Tabla2[[#This Row],[Precio por kg]]-Tabla2[[#This Row],[Costos (En RD$/Tarea)]])</f>
        <v>21556.4686686079</v>
      </c>
      <c r="O2993" s="9" t="n">
        <f aca="false">IF(Tabla2[[#This Row],[Costos (En RD$/Tarea)]]=0,0,Tabla2[[#This Row],[Beneficio Neto  (En RD$/Tarea)]]/Tabla2[[#This Row],[Costos (En RD$/Tarea)]])</f>
        <v>1.98250567042792</v>
      </c>
      <c r="P2993" s="7" t="n">
        <f aca="false">Tabla2[[#This Row],[Rentabilidad (%)]]/12</f>
        <v>0.165208805868994</v>
      </c>
    </row>
    <row r="2994" customFormat="false" ht="14.25" hidden="false" customHeight="false" outlineLevel="0" collapsed="false">
      <c r="A2994" s="1" t="n">
        <v>44105</v>
      </c>
      <c r="B2994" s="2" t="s">
        <v>23</v>
      </c>
      <c r="C2994" s="3" t="n">
        <v>2966</v>
      </c>
      <c r="D2994" s="8" t="s">
        <v>17</v>
      </c>
      <c r="E2994" s="3" t="n">
        <f aca="false">IF(Tabla2[[#This Row],[Frecuencia]]="Annual", Tabla2[[#This Row],[Cosecha/Tarea]]/12,Tabla2[[#This Row],[Cosecha/Tarea]])</f>
        <v>2966</v>
      </c>
      <c r="F2994" s="3" t="n">
        <v>148108</v>
      </c>
      <c r="G2994" s="2" t="s">
        <v>18</v>
      </c>
      <c r="H2994" s="2" t="n">
        <f aca="false">F2994/Tabla2[[#This Row],[Cosecha Mensual]]</f>
        <v>49.9352663519892</v>
      </c>
      <c r="I2994" s="2" t="n">
        <f aca="false">H2994*_xlfn.XLOOKUP(Tabla2[[#This Row],[Unidad de producción]],Tabla3[Medida],Tabla3[Equivalencia en Kg],"ELVIS",0)</f>
        <v>2265.06368172623</v>
      </c>
      <c r="J2994" s="2" t="n">
        <v>1189.72222222222</v>
      </c>
      <c r="K2994" s="2" t="s">
        <v>18</v>
      </c>
      <c r="L2994" s="2" t="n">
        <f aca="false">J2994/_xlfn.XLOOKUP(Tabla2[[#This Row],[Unidad de precio]],Tabla3[Medida],Tabla3[Equivalencia en Kg],"ELVIS",0)</f>
        <v>26.2284440525181</v>
      </c>
      <c r="M2994" s="2" t="n">
        <v>28931.455637377</v>
      </c>
      <c r="N2994" s="3" t="n">
        <f aca="false">(Tabla2[[#This Row],[Productividad (kg/TAS)]]*Tabla2[[#This Row],[Precio por kg]]-Tabla2[[#This Row],[Costos (En RD$/Tarea)]])</f>
        <v>30477.6404141701</v>
      </c>
      <c r="O2994" s="9" t="n">
        <f aca="false">IF(Tabla2[[#This Row],[Costos (En RD$/Tarea)]]=0,0,Tabla2[[#This Row],[Beneficio Neto  (En RD$/Tarea)]]/Tabla2[[#This Row],[Costos (En RD$/Tarea)]])</f>
        <v>1.0534430343282</v>
      </c>
      <c r="P2994" s="7" t="n">
        <f aca="false">Tabla2[[#This Row],[Rentabilidad (%)]]/12</f>
        <v>0.0877869195273498</v>
      </c>
    </row>
    <row r="2995" customFormat="false" ht="14.25" hidden="false" customHeight="false" outlineLevel="0" collapsed="false">
      <c r="A2995" s="1" t="n">
        <v>44105</v>
      </c>
      <c r="B2995" s="2" t="s">
        <v>24</v>
      </c>
      <c r="C2995" s="3" t="n">
        <v>5788</v>
      </c>
      <c r="D2995" s="8" t="s">
        <v>17</v>
      </c>
      <c r="E2995" s="3" t="n">
        <f aca="false">IF(Tabla2[[#This Row],[Frecuencia]]="Annual", Tabla2[[#This Row],[Cosecha/Tarea]]/12,Tabla2[[#This Row],[Cosecha/Tarea]])</f>
        <v>5788</v>
      </c>
      <c r="F2995" s="3" t="n">
        <v>60610</v>
      </c>
      <c r="G2995" s="2" t="s">
        <v>18</v>
      </c>
      <c r="H2995" s="2" t="n">
        <f aca="false">F2995/Tabla2[[#This Row],[Cosecha Mensual]]</f>
        <v>10.4716655148583</v>
      </c>
      <c r="I2995" s="2" t="n">
        <f aca="false">H2995*_xlfn.XLOOKUP(Tabla2[[#This Row],[Unidad de producción]],Tabla3[Medida],Tabla3[Equivalencia en Kg],"ELVIS",0)</f>
        <v>474.994747753974</v>
      </c>
      <c r="J2995" s="2" t="n">
        <v>3134.97321428571</v>
      </c>
      <c r="K2995" s="2" t="s">
        <v>18</v>
      </c>
      <c r="L2995" s="2" t="n">
        <f aca="false">J2995/_xlfn.XLOOKUP(Tabla2[[#This Row],[Unidad de precio]],Tabla3[Medida],Tabla3[Equivalencia en Kg],"ELVIS",0)</f>
        <v>69.1131660997732</v>
      </c>
      <c r="M2995" s="2" t="n">
        <v>8997.82973620852</v>
      </c>
      <c r="N2995" s="3" t="n">
        <f aca="false">(Tabla2[[#This Row],[Productividad (kg/TAS)]]*Tabla2[[#This Row],[Precio por kg]]-Tabla2[[#This Row],[Costos (En RD$/Tarea)]])</f>
        <v>23830.5611618317</v>
      </c>
      <c r="O2995" s="9" t="n">
        <f aca="false">IF(Tabla2[[#This Row],[Costos (En RD$/Tarea)]]=0,0,Tabla2[[#This Row],[Beneficio Neto  (En RD$/Tarea)]]/Tabla2[[#This Row],[Costos (En RD$/Tarea)]])</f>
        <v>2.64847878438222</v>
      </c>
      <c r="P2995" s="7" t="n">
        <f aca="false">Tabla2[[#This Row],[Rentabilidad (%)]]/12</f>
        <v>0.220706565365185</v>
      </c>
    </row>
    <row r="2996" customFormat="false" ht="14.25" hidden="false" customHeight="false" outlineLevel="0" collapsed="false">
      <c r="A2996" s="1" t="n">
        <v>44105</v>
      </c>
      <c r="B2996" s="2" t="s">
        <v>25</v>
      </c>
      <c r="C2996" s="3" t="n">
        <v>23496</v>
      </c>
      <c r="D2996" s="8" t="s">
        <v>17</v>
      </c>
      <c r="E2996" s="3" t="n">
        <f aca="false">IF(Tabla2[[#This Row],[Frecuencia]]="Annual", Tabla2[[#This Row],[Cosecha/Tarea]]/12,Tabla2[[#This Row],[Cosecha/Tarea]])</f>
        <v>23496</v>
      </c>
      <c r="F2996" s="3" t="n">
        <v>274814</v>
      </c>
      <c r="G2996" s="2" t="s">
        <v>18</v>
      </c>
      <c r="H2996" s="2" t="n">
        <f aca="false">F2996/Tabla2[[#This Row],[Cosecha Mensual]]</f>
        <v>11.696203609125</v>
      </c>
      <c r="I2996" s="2" t="n">
        <f aca="false">H2996*_xlfn.XLOOKUP(Tabla2[[#This Row],[Unidad de producción]],Tabla3[Medida],Tabla3[Equivalencia en Kg],"ELVIS",0)</f>
        <v>530.539795709908</v>
      </c>
      <c r="J2996" s="2" t="n">
        <v>605.513392857143</v>
      </c>
      <c r="K2996" s="2" t="s">
        <v>18</v>
      </c>
      <c r="L2996" s="2" t="n">
        <f aca="false">J2996/_xlfn.XLOOKUP(Tabla2[[#This Row],[Unidad de precio]],Tabla3[Medida],Tabla3[Equivalencia en Kg],"ELVIS",0)</f>
        <v>13.3490606890905</v>
      </c>
      <c r="M2996" s="2" t="n">
        <v>5060.83945230923</v>
      </c>
      <c r="N2996" s="3" t="n">
        <f aca="false">(Tabla2[[#This Row],[Productividad (kg/TAS)]]*Tabla2[[#This Row],[Precio por kg]]-Tabla2[[#This Row],[Costos (En RD$/Tarea)]])</f>
        <v>2021.36847859998</v>
      </c>
      <c r="O2996" s="9" t="n">
        <f aca="false">IF(Tabla2[[#This Row],[Costos (En RD$/Tarea)]]=0,0,Tabla2[[#This Row],[Beneficio Neto  (En RD$/Tarea)]]/Tabla2[[#This Row],[Costos (En RD$/Tarea)]])</f>
        <v>0.399413673887174</v>
      </c>
      <c r="P2996" s="7" t="n">
        <f aca="false">Tabla2[[#This Row],[Rentabilidad (%)]]/12</f>
        <v>0.0332844728239312</v>
      </c>
    </row>
    <row r="2997" customFormat="false" ht="14.25" hidden="false" customHeight="false" outlineLevel="0" collapsed="false">
      <c r="A2997" s="1" t="n">
        <v>44105</v>
      </c>
      <c r="B2997" s="2" t="s">
        <v>26</v>
      </c>
      <c r="C2997" s="3" t="n">
        <v>4754</v>
      </c>
      <c r="D2997" s="8" t="s">
        <v>17</v>
      </c>
      <c r="E2997" s="3" t="n">
        <f aca="false">IF(Tabla2[[#This Row],[Frecuencia]]="Annual", Tabla2[[#This Row],[Cosecha/Tarea]]/12,Tabla2[[#This Row],[Cosecha/Tarea]])</f>
        <v>4754</v>
      </c>
      <c r="F2997" s="3" t="n">
        <v>49040</v>
      </c>
      <c r="G2997" s="2" t="s">
        <v>18</v>
      </c>
      <c r="H2997" s="2" t="n">
        <f aca="false">F2997/Tabla2[[#This Row],[Cosecha Mensual]]</f>
        <v>10.3155237694573</v>
      </c>
      <c r="I2997" s="2" t="n">
        <f aca="false">H2997*_xlfn.XLOOKUP(Tabla2[[#This Row],[Unidad de producción]],Tabla3[Medida],Tabla3[Equivalencia en Kg],"ELVIS",0)</f>
        <v>467.912158182583</v>
      </c>
      <c r="J2997" s="2" t="n">
        <v>1197.234375</v>
      </c>
      <c r="K2997" s="2" t="s">
        <v>18</v>
      </c>
      <c r="L2997" s="2" t="n">
        <f aca="false">J2997/_xlfn.XLOOKUP(Tabla2[[#This Row],[Unidad de precio]],Tabla3[Medida],Tabla3[Equivalencia en Kg],"ELVIS",0)</f>
        <v>26.3940558862434</v>
      </c>
      <c r="M2997" s="2" t="n">
        <v>1789.84398526912</v>
      </c>
      <c r="N2997" s="3" t="n">
        <f aca="false">(Tabla2[[#This Row],[Productividad (kg/TAS)]]*Tabla2[[#This Row],[Precio por kg]]-Tabla2[[#This Row],[Costos (En RD$/Tarea)]])</f>
        <v>10560.2556676547</v>
      </c>
      <c r="O2997" s="9" t="n">
        <f aca="false">IF(Tabla2[[#This Row],[Costos (En RD$/Tarea)]]=0,0,Tabla2[[#This Row],[Beneficio Neto  (En RD$/Tarea)]]/Tabla2[[#This Row],[Costos (En RD$/Tarea)]])</f>
        <v>5.90009841895069</v>
      </c>
      <c r="P2997" s="7" t="n">
        <f aca="false">Tabla2[[#This Row],[Rentabilidad (%)]]/12</f>
        <v>0.491674868245891</v>
      </c>
    </row>
    <row r="2998" customFormat="false" ht="14.25" hidden="false" customHeight="false" outlineLevel="0" collapsed="false">
      <c r="A2998" s="1" t="n">
        <v>44105</v>
      </c>
      <c r="B2998" s="2" t="s">
        <v>27</v>
      </c>
      <c r="C2998" s="3" t="n">
        <v>1825</v>
      </c>
      <c r="D2998" s="8" t="s">
        <v>17</v>
      </c>
      <c r="E2998" s="3" t="n">
        <f aca="false">IF(Tabla2[[#This Row],[Frecuencia]]="Annual", Tabla2[[#This Row],[Cosecha/Tarea]]/12,Tabla2[[#This Row],[Cosecha/Tarea]])</f>
        <v>1825</v>
      </c>
      <c r="F2998" s="3" t="n">
        <v>13450</v>
      </c>
      <c r="G2998" s="2" t="s">
        <v>18</v>
      </c>
      <c r="H2998" s="2" t="n">
        <f aca="false">F2998/Tabla2[[#This Row],[Cosecha Mensual]]</f>
        <v>7.36986301369863</v>
      </c>
      <c r="I2998" s="2" t="n">
        <f aca="false">H2998*_xlfn.XLOOKUP(Tabla2[[#This Row],[Unidad de producción]],Tabla3[Medida],Tabla3[Equivalencia en Kg],"ELVIS",0)</f>
        <v>334.29698630137</v>
      </c>
      <c r="J2998" s="2" t="n">
        <v>934.175</v>
      </c>
      <c r="K2998" s="2" t="s">
        <v>18</v>
      </c>
      <c r="L2998" s="2" t="n">
        <f aca="false">J2998/_xlfn.XLOOKUP(Tabla2[[#This Row],[Unidad de precio]],Tabla3[Medida],Tabla3[Equivalencia en Kg],"ELVIS",0)</f>
        <v>20.5946869488536</v>
      </c>
      <c r="M2998" s="2" t="n">
        <v>9891.72566090888</v>
      </c>
      <c r="N2998" s="3" t="n">
        <f aca="false">(Tabla2[[#This Row],[Productividad (kg/TAS)]]*Tabla2[[#This Row],[Precio por kg]]-Tabla2[[#This Row],[Costos (En RD$/Tarea)]])</f>
        <v>-3006.98388008696</v>
      </c>
      <c r="O2998" s="9" t="n">
        <f aca="false">IF(Tabla2[[#This Row],[Costos (En RD$/Tarea)]]=0,0,Tabla2[[#This Row],[Beneficio Neto  (En RD$/Tarea)]]/Tabla2[[#This Row],[Costos (En RD$/Tarea)]])</f>
        <v>-0.303989817668545</v>
      </c>
      <c r="P2998" s="7" t="n">
        <f aca="false">Tabla2[[#This Row],[Rentabilidad (%)]]/12</f>
        <v>-0.0253324848057121</v>
      </c>
    </row>
    <row r="2999" customFormat="false" ht="14.25" hidden="false" customHeight="false" outlineLevel="0" collapsed="false">
      <c r="A2999" s="1" t="n">
        <v>44105</v>
      </c>
      <c r="B2999" s="2" t="s">
        <v>28</v>
      </c>
      <c r="C2999" s="3" t="n">
        <v>22687</v>
      </c>
      <c r="D2999" s="8" t="s">
        <v>17</v>
      </c>
      <c r="E2999" s="3" t="n">
        <f aca="false">IF(Tabla2[[#This Row],[Frecuencia]]="Annual", Tabla2[[#This Row],[Cosecha/Tarea]]/12,Tabla2[[#This Row],[Cosecha/Tarea]])</f>
        <v>22687</v>
      </c>
      <c r="F2999" s="3" t="n">
        <v>696656.8</v>
      </c>
      <c r="G2999" s="2" t="s">
        <v>18</v>
      </c>
      <c r="H2999" s="2" t="n">
        <f aca="false">F2999/Tabla2[[#This Row],[Cosecha Mensual]]</f>
        <v>30.7073125578525</v>
      </c>
      <c r="I2999" s="2" t="n">
        <f aca="false">H2999*_xlfn.XLOOKUP(Tabla2[[#This Row],[Unidad de producción]],Tabla3[Medida],Tabla3[Equivalencia en Kg],"ELVIS",0)</f>
        <v>1392.88369762419</v>
      </c>
      <c r="J2999" s="2" t="n">
        <v>5490.57142857143</v>
      </c>
      <c r="K2999" s="2" t="s">
        <v>29</v>
      </c>
      <c r="L2999" s="2" t="n">
        <f aca="false">J2999/_xlfn.XLOOKUP(Tabla2[[#This Row],[Unidad de precio]],Tabla3[Medida],Tabla3[Equivalencia en Kg],"ELVIS",0)</f>
        <v>9.76379312972833</v>
      </c>
      <c r="M2999" s="2" t="n">
        <v>13735.1419088583</v>
      </c>
      <c r="N2999" s="3" t="n">
        <f aca="false">(Tabla2[[#This Row],[Productividad (kg/TAS)]]*Tabla2[[#This Row],[Precio por kg]]-Tabla2[[#This Row],[Costos (En RD$/Tarea)]])</f>
        <v>-135.313631484638</v>
      </c>
      <c r="O2999" s="9" t="n">
        <f aca="false">IF(Tabla2[[#This Row],[Costos (En RD$/Tarea)]]=0,0,Tabla2[[#This Row],[Beneficio Neto  (En RD$/Tarea)]]/Tabla2[[#This Row],[Costos (En RD$/Tarea)]])</f>
        <v>-0.00985163694576531</v>
      </c>
      <c r="P2999" s="7" t="n">
        <f aca="false">Tabla2[[#This Row],[Rentabilidad (%)]]/12</f>
        <v>-0.000820969745480442</v>
      </c>
    </row>
    <row r="3000" customFormat="false" ht="14.25" hidden="false" customHeight="false" outlineLevel="0" collapsed="false">
      <c r="A3000" s="1" t="n">
        <v>44105</v>
      </c>
      <c r="B3000" s="2" t="s">
        <v>30</v>
      </c>
      <c r="C3000" s="3" t="n">
        <v>444251</v>
      </c>
      <c r="D3000" s="3" t="s">
        <v>31</v>
      </c>
      <c r="E3000" s="3" t="n">
        <f aca="false">IF(Tabla2[[#This Row],[Frecuencia]]="Annual", Tabla2[[#This Row],[Cosecha/Tarea]]/12,Tabla2[[#This Row],[Cosecha/Tarea]])</f>
        <v>37020.9166666667</v>
      </c>
      <c r="F3000" s="3" t="n">
        <v>2071467</v>
      </c>
      <c r="G3000" s="2" t="s">
        <v>18</v>
      </c>
      <c r="H3000" s="2" t="n">
        <f aca="false">F3000/Tabla2[[#This Row],[Cosecha Mensual]]</f>
        <v>55.9539629623794</v>
      </c>
      <c r="I3000" s="2" t="n">
        <f aca="false">H3000*_xlfn.XLOOKUP(Tabla2[[#This Row],[Unidad de producción]],Tabla3[Medida],Tabla3[Equivalencia en Kg],"ELVIS",0)</f>
        <v>2538.07175997353</v>
      </c>
      <c r="J3000" s="2" t="n">
        <v>219.775</v>
      </c>
      <c r="K3000" s="2" t="s">
        <v>32</v>
      </c>
      <c r="L3000" s="2" t="n">
        <f aca="false">J3000/_xlfn.XLOOKUP(Tabla2[[#This Row],[Unidad de precio]],Tabla3[Medida],Tabla3[Equivalencia en Kg],"ELVIS",0)</f>
        <v>8.07699375229695</v>
      </c>
      <c r="M3000" s="3" t="n">
        <v>38019.0770714752</v>
      </c>
      <c r="N3000" s="3" t="n">
        <f aca="false">(Tabla2[[#This Row],[Productividad (kg/TAS)]]*Tabla2[[#This Row],[Precio por kg]]-Tabla2[[#This Row],[Costos (En RD$/Tarea)]])</f>
        <v>-17519.0873232877</v>
      </c>
      <c r="O3000" s="9" t="n">
        <f aca="false">IF(Tabla2[[#This Row],[Costos (En RD$/Tarea)]]=0,0,Tabla2[[#This Row],[Beneficio Neto  (En RD$/Tarea)]]/Tabla2[[#This Row],[Costos (En RD$/Tarea)]])</f>
        <v>-0.460797280542926</v>
      </c>
      <c r="P3000" s="7" t="n">
        <f aca="false">Tabla2[[#This Row],[Rentabilidad (%)]]/12</f>
        <v>-0.0383997733785772</v>
      </c>
    </row>
    <row r="3001" customFormat="false" ht="14.25" hidden="false" customHeight="false" outlineLevel="0" collapsed="false">
      <c r="A3001" s="1" t="n">
        <v>44105</v>
      </c>
      <c r="B3001" s="2" t="s">
        <v>33</v>
      </c>
      <c r="C3001" s="3" t="n">
        <v>702067</v>
      </c>
      <c r="D3001" s="3" t="s">
        <v>31</v>
      </c>
      <c r="E3001" s="3" t="n">
        <f aca="false">IF(Tabla2[[#This Row],[Frecuencia]]="Annual", Tabla2[[#This Row],[Cosecha/Tarea]]/12,Tabla2[[#This Row],[Cosecha/Tarea]])</f>
        <v>58505.5833333333</v>
      </c>
      <c r="F3001" s="3" t="n">
        <v>1261952.1</v>
      </c>
      <c r="G3001" s="2" t="s">
        <v>18</v>
      </c>
      <c r="H3001" s="2" t="n">
        <f aca="false">F3001/Tabla2[[#This Row],[Cosecha Mensual]]</f>
        <v>21.5697721157667</v>
      </c>
      <c r="I3001" s="2" t="n">
        <f aca="false">H3001*_xlfn.XLOOKUP(Tabla2[[#This Row],[Unidad de producción]],Tabla3[Medida],Tabla3[Equivalencia en Kg],"ELVIS",0)</f>
        <v>978.404863171179</v>
      </c>
      <c r="J3001" s="2" t="n">
        <v>12479.375</v>
      </c>
      <c r="K3001" s="2" t="s">
        <v>34</v>
      </c>
      <c r="L3001" s="2" t="n">
        <f aca="false">J3001/_xlfn.XLOOKUP(Tabla2[[#This Row],[Unidad de precio]],Tabla3[Medida],Tabla3[Equivalencia en Kg],"ELVIS",0)</f>
        <v>30.5754624525297</v>
      </c>
      <c r="M3001" s="3" t="n">
        <v>33327.4212424613</v>
      </c>
      <c r="N3001" s="3" t="n">
        <f aca="false">(Tabla2[[#This Row],[Productividad (kg/TAS)]]*Tabla2[[#This Row],[Precio por kg]]-Tabla2[[#This Row],[Costos (En RD$/Tarea)]])</f>
        <v>-3412.24008519845</v>
      </c>
      <c r="O3001" s="9" t="n">
        <f aca="false">IF(Tabla2[[#This Row],[Costos (En RD$/Tarea)]]=0,0,Tabla2[[#This Row],[Beneficio Neto  (En RD$/Tarea)]]/Tabla2[[#This Row],[Costos (En RD$/Tarea)]])</f>
        <v>-0.10238536190286</v>
      </c>
      <c r="P3001" s="7" t="n">
        <f aca="false">Tabla2[[#This Row],[Rentabilidad (%)]]/12</f>
        <v>-0.00853211349190497</v>
      </c>
    </row>
    <row r="3002" customFormat="false" ht="14.25" hidden="false" customHeight="false" outlineLevel="0" collapsed="false">
      <c r="A3002" s="1" t="n">
        <v>44136</v>
      </c>
      <c r="B3002" s="2" t="s">
        <v>16</v>
      </c>
      <c r="C3002" s="3" t="n">
        <v>229130</v>
      </c>
      <c r="D3002" s="8" t="s">
        <v>17</v>
      </c>
      <c r="E3002" s="3" t="n">
        <f aca="false">IF(Tabla2[[#This Row],[Frecuencia]]="Annual", Tabla2[[#This Row],[Cosecha/Tarea]]/12,Tabla2[[#This Row],[Cosecha/Tarea]])</f>
        <v>229130</v>
      </c>
      <c r="F3002" s="3" t="n">
        <v>785460</v>
      </c>
      <c r="G3002" s="2" t="s">
        <v>18</v>
      </c>
      <c r="H3002" s="2" t="n">
        <f aca="false">F3002/Tabla2[[#This Row],[Cosecha Mensual]]</f>
        <v>3.42801029982979</v>
      </c>
      <c r="I3002" s="2" t="n">
        <f aca="false">H3002*_xlfn.XLOOKUP(Tabla2[[#This Row],[Unidad de producción]],Tabla3[Medida],Tabla3[Equivalencia en Kg],"ELVIS",0)</f>
        <v>155.494547200279</v>
      </c>
      <c r="J3002" s="2" t="n">
        <v>2422.8676430143</v>
      </c>
      <c r="K3002" s="2" t="s">
        <v>19</v>
      </c>
      <c r="L3002" s="2" t="n">
        <f aca="false">J3002/_xlfn.XLOOKUP(Tabla2[[#This Row],[Unidad de precio]],Tabla3[Medida],Tabla3[Equivalencia en Kg],"ELVIS",0)</f>
        <v>22.0260694819482</v>
      </c>
      <c r="M3002" s="2" t="n">
        <v>7092.59436898665</v>
      </c>
      <c r="N3002" s="3" t="n">
        <f aca="false">(Tabla2[[#This Row],[Productividad (kg/TAS)]]*Tabla2[[#This Row],[Precio por kg]]-Tabla2[[#This Row],[Costos (En RD$/Tarea)]])</f>
        <v>-3667.66066828923</v>
      </c>
      <c r="O3002" s="9" t="n">
        <f aca="false">IF(Tabla2[[#This Row],[Costos (En RD$/Tarea)]]=0,0,Tabla2[[#This Row],[Beneficio Neto  (En RD$/Tarea)]]/Tabla2[[#This Row],[Costos (En RD$/Tarea)]])</f>
        <v>-0.517111296301757</v>
      </c>
      <c r="P3002" s="7" t="n">
        <f aca="false">Tabla2[[#This Row],[Rentabilidad (%)]]/12</f>
        <v>-0.0430926080251464</v>
      </c>
    </row>
    <row r="3003" customFormat="false" ht="14.25" hidden="false" customHeight="false" outlineLevel="0" collapsed="false">
      <c r="A3003" s="1" t="n">
        <v>44136</v>
      </c>
      <c r="B3003" s="2" t="s">
        <v>20</v>
      </c>
      <c r="C3003" s="3" t="n">
        <v>10974</v>
      </c>
      <c r="D3003" s="8" t="s">
        <v>17</v>
      </c>
      <c r="E3003" s="3" t="n">
        <f aca="false">IF(Tabla2[[#This Row],[Frecuencia]]="Annual", Tabla2[[#This Row],[Cosecha/Tarea]]/12,Tabla2[[#This Row],[Cosecha/Tarea]])</f>
        <v>10974</v>
      </c>
      <c r="F3003" s="3" t="n">
        <v>36492</v>
      </c>
      <c r="G3003" s="2" t="s">
        <v>18</v>
      </c>
      <c r="H3003" s="2" t="n">
        <f aca="false">F3003/Tabla2[[#This Row],[Cosecha Mensual]]</f>
        <v>3.32531437944232</v>
      </c>
      <c r="I3003" s="2" t="n">
        <f aca="false">H3003*_xlfn.XLOOKUP(Tabla2[[#This Row],[Unidad de producción]],Tabla3[Medida],Tabla3[Equivalencia en Kg],"ELVIS",0)</f>
        <v>150.836260251504</v>
      </c>
      <c r="J3003" s="2" t="n">
        <v>936.255208333333</v>
      </c>
      <c r="K3003" s="2" t="s">
        <v>18</v>
      </c>
      <c r="L3003" s="2" t="n">
        <f aca="false">J3003/_xlfn.XLOOKUP(Tabla2[[#This Row],[Unidad de precio]],Tabla3[Medida],Tabla3[Equivalencia en Kg],"ELVIS",0)</f>
        <v>20.6405469209289</v>
      </c>
      <c r="M3003" s="2" t="n">
        <v>2584.15468583726</v>
      </c>
      <c r="N3003" s="3" t="n">
        <f aca="false">(Tabla2[[#This Row],[Productividad (kg/TAS)]]*Tabla2[[#This Row],[Precio por kg]]-Tabla2[[#This Row],[Costos (En RD$/Tarea)]])</f>
        <v>529.188221261336</v>
      </c>
      <c r="O3003" s="9" t="n">
        <f aca="false">IF(Tabla2[[#This Row],[Costos (En RD$/Tarea)]]=0,0,Tabla2[[#This Row],[Beneficio Neto  (En RD$/Tarea)]]/Tabla2[[#This Row],[Costos (En RD$/Tarea)]])</f>
        <v>0.204781944425235</v>
      </c>
      <c r="P3003" s="7" t="n">
        <f aca="false">Tabla2[[#This Row],[Rentabilidad (%)]]/12</f>
        <v>0.0170651620354362</v>
      </c>
    </row>
    <row r="3004" customFormat="false" ht="14.25" hidden="false" customHeight="false" outlineLevel="0" collapsed="false">
      <c r="A3004" s="1" t="n">
        <v>44136</v>
      </c>
      <c r="B3004" s="2" t="s">
        <v>21</v>
      </c>
      <c r="C3004" s="3" t="n">
        <v>4820</v>
      </c>
      <c r="D3004" s="8" t="s">
        <v>17</v>
      </c>
      <c r="E3004" s="3" t="n">
        <f aca="false">IF(Tabla2[[#This Row],[Frecuencia]]="Annual", Tabla2[[#This Row],[Cosecha/Tarea]]/12,Tabla2[[#This Row],[Cosecha/Tarea]])</f>
        <v>4820</v>
      </c>
      <c r="F3004" s="3" t="n">
        <v>55181.6</v>
      </c>
      <c r="G3004" s="2" t="s">
        <v>18</v>
      </c>
      <c r="H3004" s="2" t="n">
        <f aca="false">F3004/Tabla2[[#This Row],[Cosecha Mensual]]</f>
        <v>11.4484647302905</v>
      </c>
      <c r="I3004" s="2" t="n">
        <f aca="false">H3004*_xlfn.XLOOKUP(Tabla2[[#This Row],[Unidad de producción]],Tabla3[Medida],Tabla3[Equivalencia en Kg],"ELVIS",0)</f>
        <v>519.302360165975</v>
      </c>
      <c r="J3004" s="2" t="n">
        <v>1132.97023809524</v>
      </c>
      <c r="K3004" s="2" t="s">
        <v>18</v>
      </c>
      <c r="L3004" s="2" t="n">
        <f aca="false">J3004/_xlfn.XLOOKUP(Tabla2[[#This Row],[Unidad de precio]],Tabla3[Medida],Tabla3[Equivalencia en Kg],"ELVIS",0)</f>
        <v>24.9772980179727</v>
      </c>
      <c r="M3004" s="2" t="n">
        <v>6271.46010735965</v>
      </c>
      <c r="N3004" s="3" t="n">
        <f aca="false">(Tabla2[[#This Row],[Productividad (kg/TAS)]]*Tabla2[[#This Row],[Precio por kg]]-Tabla2[[#This Row],[Costos (En RD$/Tarea)]])</f>
        <v>6699.30970394249</v>
      </c>
      <c r="O3004" s="9" t="n">
        <f aca="false">IF(Tabla2[[#This Row],[Costos (En RD$/Tarea)]]=0,0,Tabla2[[#This Row],[Beneficio Neto  (En RD$/Tarea)]]/Tabla2[[#This Row],[Costos (En RD$/Tarea)]])</f>
        <v>1.06822168829245</v>
      </c>
      <c r="P3004" s="7" t="n">
        <f aca="false">Tabla2[[#This Row],[Rentabilidad (%)]]/12</f>
        <v>0.089018474024371</v>
      </c>
    </row>
    <row r="3005" customFormat="false" ht="14.25" hidden="false" customHeight="false" outlineLevel="0" collapsed="false">
      <c r="A3005" s="1" t="n">
        <v>44136</v>
      </c>
      <c r="B3005" s="2" t="s">
        <v>22</v>
      </c>
      <c r="C3005" s="3" t="n">
        <v>3770</v>
      </c>
      <c r="D3005" s="8" t="s">
        <v>17</v>
      </c>
      <c r="E3005" s="3" t="n">
        <f aca="false">IF(Tabla2[[#This Row],[Frecuencia]]="Annual", Tabla2[[#This Row],[Cosecha/Tarea]]/12,Tabla2[[#This Row],[Cosecha/Tarea]])</f>
        <v>3770</v>
      </c>
      <c r="F3005" s="3" t="n">
        <v>49224</v>
      </c>
      <c r="G3005" s="2" t="s">
        <v>18</v>
      </c>
      <c r="H3005" s="2" t="n">
        <f aca="false">F3005/Tabla2[[#This Row],[Cosecha Mensual]]</f>
        <v>13.0567639257294</v>
      </c>
      <c r="I3005" s="2" t="n">
        <f aca="false">H3005*_xlfn.XLOOKUP(Tabla2[[#This Row],[Unidad de producción]],Tabla3[Medida],Tabla3[Equivalencia en Kg],"ELVIS",0)</f>
        <v>592.254811671088</v>
      </c>
      <c r="J3005" s="2" t="n">
        <v>2144.48958333333</v>
      </c>
      <c r="K3005" s="2" t="s">
        <v>18</v>
      </c>
      <c r="L3005" s="2" t="n">
        <f aca="false">J3005/_xlfn.XLOOKUP(Tabla2[[#This Row],[Unidad de precio]],Tabla3[Medida],Tabla3[Equivalencia en Kg],"ELVIS",0)</f>
        <v>47.2771072163433</v>
      </c>
      <c r="M3005" s="2" t="n">
        <v>10873.3452772193</v>
      </c>
      <c r="N3005" s="3" t="n">
        <f aca="false">(Tabla2[[#This Row],[Productividad (kg/TAS)]]*Tabla2[[#This Row],[Precio por kg]]-Tabla2[[#This Row],[Costos (En RD$/Tarea)]])</f>
        <v>17126.7489535499</v>
      </c>
      <c r="O3005" s="9" t="n">
        <f aca="false">IF(Tabla2[[#This Row],[Costos (En RD$/Tarea)]]=0,0,Tabla2[[#This Row],[Beneficio Neto  (En RD$/Tarea)]]/Tabla2[[#This Row],[Costos (En RD$/Tarea)]])</f>
        <v>1.57511313371351</v>
      </c>
      <c r="P3005" s="7" t="n">
        <f aca="false">Tabla2[[#This Row],[Rentabilidad (%)]]/12</f>
        <v>0.131259427809459</v>
      </c>
    </row>
    <row r="3006" customFormat="false" ht="14.25" hidden="false" customHeight="false" outlineLevel="0" collapsed="false">
      <c r="A3006" s="1" t="n">
        <v>44136</v>
      </c>
      <c r="B3006" s="2" t="s">
        <v>23</v>
      </c>
      <c r="C3006" s="3" t="n">
        <v>7638</v>
      </c>
      <c r="D3006" s="8" t="s">
        <v>17</v>
      </c>
      <c r="E3006" s="3" t="n">
        <f aca="false">IF(Tabla2[[#This Row],[Frecuencia]]="Annual", Tabla2[[#This Row],[Cosecha/Tarea]]/12,Tabla2[[#This Row],[Cosecha/Tarea]])</f>
        <v>7638</v>
      </c>
      <c r="F3006" s="3" t="n">
        <v>105020</v>
      </c>
      <c r="G3006" s="2" t="s">
        <v>18</v>
      </c>
      <c r="H3006" s="2" t="n">
        <f aca="false">F3006/Tabla2[[#This Row],[Cosecha Mensual]]</f>
        <v>13.7496726891857</v>
      </c>
      <c r="I3006" s="2" t="n">
        <f aca="false">H3006*_xlfn.XLOOKUP(Tabla2[[#This Row],[Unidad de producción]],Tabla3[Medida],Tabla3[Equivalencia en Kg],"ELVIS",0)</f>
        <v>623.685153181461</v>
      </c>
      <c r="J3006" s="2" t="n">
        <v>1225</v>
      </c>
      <c r="K3006" s="2" t="s">
        <v>18</v>
      </c>
      <c r="L3006" s="2" t="n">
        <f aca="false">J3006/_xlfn.XLOOKUP(Tabla2[[#This Row],[Unidad de precio]],Tabla3[Medida],Tabla3[Equivalencia en Kg],"ELVIS",0)</f>
        <v>27.0061728395062</v>
      </c>
      <c r="M3006" s="2" t="n">
        <v>28931.455637377</v>
      </c>
      <c r="N3006" s="3" t="n">
        <f aca="false">(Tabla2[[#This Row],[Productividad (kg/TAS)]]*Tabla2[[#This Row],[Precio por kg]]-Tabla2[[#This Row],[Costos (En RD$/Tarea)]])</f>
        <v>-12088.1065931246</v>
      </c>
      <c r="O3006" s="9" t="n">
        <f aca="false">IF(Tabla2[[#This Row],[Costos (En RD$/Tarea)]]=0,0,Tabla2[[#This Row],[Beneficio Neto  (En RD$/Tarea)]]/Tabla2[[#This Row],[Costos (En RD$/Tarea)]])</f>
        <v>-0.417818817851244</v>
      </c>
      <c r="P3006" s="7" t="n">
        <f aca="false">Tabla2[[#This Row],[Rentabilidad (%)]]/12</f>
        <v>-0.034818234820937</v>
      </c>
    </row>
    <row r="3007" customFormat="false" ht="14.25" hidden="false" customHeight="false" outlineLevel="0" collapsed="false">
      <c r="A3007" s="1" t="n">
        <v>44136</v>
      </c>
      <c r="B3007" s="2" t="s">
        <v>24</v>
      </c>
      <c r="C3007" s="3" t="n">
        <v>7761</v>
      </c>
      <c r="D3007" s="8" t="s">
        <v>17</v>
      </c>
      <c r="E3007" s="3" t="n">
        <f aca="false">IF(Tabla2[[#This Row],[Frecuencia]]="Annual", Tabla2[[#This Row],[Cosecha/Tarea]]/12,Tabla2[[#This Row],[Cosecha/Tarea]])</f>
        <v>7761</v>
      </c>
      <c r="F3007" s="3" t="n">
        <v>127544</v>
      </c>
      <c r="G3007" s="2" t="s">
        <v>18</v>
      </c>
      <c r="H3007" s="2" t="n">
        <f aca="false">F3007/Tabla2[[#This Row],[Cosecha Mensual]]</f>
        <v>16.4339646952712</v>
      </c>
      <c r="I3007" s="2" t="n">
        <f aca="false">H3007*_xlfn.XLOOKUP(Tabla2[[#This Row],[Unidad de producción]],Tabla3[Medida],Tabla3[Equivalencia en Kg],"ELVIS",0)</f>
        <v>745.444638577503</v>
      </c>
      <c r="J3007" s="2" t="n">
        <v>3293.04166666667</v>
      </c>
      <c r="K3007" s="2" t="s">
        <v>18</v>
      </c>
      <c r="L3007" s="2" t="n">
        <f aca="false">J3007/_xlfn.XLOOKUP(Tabla2[[#This Row],[Unidad de precio]],Tabla3[Medida],Tabla3[Equivalencia en Kg],"ELVIS",0)</f>
        <v>72.597920340976</v>
      </c>
      <c r="M3007" s="2" t="n">
        <v>8997.82973620852</v>
      </c>
      <c r="N3007" s="3" t="n">
        <f aca="false">(Tabla2[[#This Row],[Productividad (kg/TAS)]]*Tabla2[[#This Row],[Precio por kg]]-Tabla2[[#This Row],[Costos (En RD$/Tarea)]])</f>
        <v>45119.9007538487</v>
      </c>
      <c r="O3007" s="9" t="n">
        <f aca="false">IF(Tabla2[[#This Row],[Costos (En RD$/Tarea)]]=0,0,Tabla2[[#This Row],[Beneficio Neto  (En RD$/Tarea)]]/Tabla2[[#This Row],[Costos (En RD$/Tarea)]])</f>
        <v>5.01453151222454</v>
      </c>
      <c r="P3007" s="7" t="n">
        <f aca="false">Tabla2[[#This Row],[Rentabilidad (%)]]/12</f>
        <v>0.417877626018712</v>
      </c>
    </row>
    <row r="3008" customFormat="false" ht="14.25" hidden="false" customHeight="false" outlineLevel="0" collapsed="false">
      <c r="A3008" s="1" t="n">
        <v>44136</v>
      </c>
      <c r="B3008" s="2" t="s">
        <v>25</v>
      </c>
      <c r="C3008" s="3" t="n">
        <v>23757</v>
      </c>
      <c r="D3008" s="8" t="s">
        <v>17</v>
      </c>
      <c r="E3008" s="3" t="n">
        <f aca="false">IF(Tabla2[[#This Row],[Frecuencia]]="Annual", Tabla2[[#This Row],[Cosecha/Tarea]]/12,Tabla2[[#This Row],[Cosecha/Tarea]])</f>
        <v>23757</v>
      </c>
      <c r="F3008" s="3" t="n">
        <v>283045</v>
      </c>
      <c r="G3008" s="2" t="s">
        <v>18</v>
      </c>
      <c r="H3008" s="2" t="n">
        <f aca="false">F3008/Tabla2[[#This Row],[Cosecha Mensual]]</f>
        <v>11.9141726648988</v>
      </c>
      <c r="I3008" s="2" t="n">
        <f aca="false">H3008*_xlfn.XLOOKUP(Tabla2[[#This Row],[Unidad de producción]],Tabla3[Medida],Tabla3[Equivalencia en Kg],"ELVIS",0)</f>
        <v>540.426872079808</v>
      </c>
      <c r="J3008" s="2" t="n">
        <v>596.836041666667</v>
      </c>
      <c r="K3008" s="2" t="s">
        <v>18</v>
      </c>
      <c r="L3008" s="2" t="n">
        <f aca="false">J3008/_xlfn.XLOOKUP(Tabla2[[#This Row],[Unidad de precio]],Tabla3[Medida],Tabla3[Equivalencia en Kg],"ELVIS",0)</f>
        <v>13.1577610596708</v>
      </c>
      <c r="M3008" s="2" t="n">
        <v>5060.83945230923</v>
      </c>
      <c r="N3008" s="3" t="n">
        <f aca="false">(Tabla2[[#This Row],[Productividad (kg/TAS)]]*Tabla2[[#This Row],[Precio por kg]]-Tabla2[[#This Row],[Costos (En RD$/Tarea)]])</f>
        <v>2049.96820074216</v>
      </c>
      <c r="O3008" s="9" t="n">
        <f aca="false">IF(Tabla2[[#This Row],[Costos (En RD$/Tarea)]]=0,0,Tabla2[[#This Row],[Beneficio Neto  (En RD$/Tarea)]]/Tabla2[[#This Row],[Costos (En RD$/Tarea)]])</f>
        <v>0.405064855358485</v>
      </c>
      <c r="P3008" s="7" t="n">
        <f aca="false">Tabla2[[#This Row],[Rentabilidad (%)]]/12</f>
        <v>0.0337554046132071</v>
      </c>
    </row>
    <row r="3009" customFormat="false" ht="14.25" hidden="false" customHeight="false" outlineLevel="0" collapsed="false">
      <c r="A3009" s="1" t="n">
        <v>44136</v>
      </c>
      <c r="B3009" s="2" t="s">
        <v>26</v>
      </c>
      <c r="C3009" s="3" t="n">
        <v>9888</v>
      </c>
      <c r="D3009" s="8" t="s">
        <v>17</v>
      </c>
      <c r="E3009" s="3" t="n">
        <f aca="false">IF(Tabla2[[#This Row],[Frecuencia]]="Annual", Tabla2[[#This Row],[Cosecha/Tarea]]/12,Tabla2[[#This Row],[Cosecha/Tarea]])</f>
        <v>9888</v>
      </c>
      <c r="F3009" s="3" t="n">
        <v>89899</v>
      </c>
      <c r="G3009" s="2" t="s">
        <v>18</v>
      </c>
      <c r="H3009" s="2" t="n">
        <f aca="false">F3009/Tabla2[[#This Row],[Cosecha Mensual]]</f>
        <v>9.09172734627832</v>
      </c>
      <c r="I3009" s="2" t="n">
        <f aca="false">H3009*_xlfn.XLOOKUP(Tabla2[[#This Row],[Unidad de producción]],Tabla3[Medida],Tabla3[Equivalencia en Kg],"ELVIS",0)</f>
        <v>412.400752427184</v>
      </c>
      <c r="J3009" s="2" t="n">
        <v>987.135416666667</v>
      </c>
      <c r="K3009" s="2" t="s">
        <v>18</v>
      </c>
      <c r="L3009" s="2" t="n">
        <f aca="false">J3009/_xlfn.XLOOKUP(Tabla2[[#This Row],[Unidad de precio]],Tabla3[Medida],Tabla3[Equivalencia en Kg],"ELVIS",0)</f>
        <v>21.7622446355085</v>
      </c>
      <c r="M3009" s="2" t="n">
        <v>1789.84398526912</v>
      </c>
      <c r="N3009" s="3" t="n">
        <f aca="false">(Tabla2[[#This Row],[Productividad (kg/TAS)]]*Tabla2[[#This Row],[Precio por kg]]-Tabla2[[#This Row],[Costos (En RD$/Tarea)]])</f>
        <v>7184.92207691906</v>
      </c>
      <c r="O3009" s="9" t="n">
        <f aca="false">IF(Tabla2[[#This Row],[Costos (En RD$/Tarea)]]=0,0,Tabla2[[#This Row],[Beneficio Neto  (En RD$/Tarea)]]/Tabla2[[#This Row],[Costos (En RD$/Tarea)]])</f>
        <v>4.014272828276</v>
      </c>
      <c r="P3009" s="7" t="n">
        <f aca="false">Tabla2[[#This Row],[Rentabilidad (%)]]/12</f>
        <v>0.334522735689667</v>
      </c>
    </row>
    <row r="3010" customFormat="false" ht="14.25" hidden="false" customHeight="false" outlineLevel="0" collapsed="false">
      <c r="A3010" s="1" t="n">
        <v>44136</v>
      </c>
      <c r="B3010" s="2" t="s">
        <v>27</v>
      </c>
      <c r="C3010" s="3" t="n">
        <v>1075</v>
      </c>
      <c r="D3010" s="8" t="s">
        <v>17</v>
      </c>
      <c r="E3010" s="3" t="n">
        <f aca="false">IF(Tabla2[[#This Row],[Frecuencia]]="Annual", Tabla2[[#This Row],[Cosecha/Tarea]]/12,Tabla2[[#This Row],[Cosecha/Tarea]])</f>
        <v>1075</v>
      </c>
      <c r="F3010" s="3" t="n">
        <v>16668.5</v>
      </c>
      <c r="G3010" s="2" t="s">
        <v>18</v>
      </c>
      <c r="H3010" s="2" t="n">
        <f aca="false">F3010/Tabla2[[#This Row],[Cosecha Mensual]]</f>
        <v>15.5055813953488</v>
      </c>
      <c r="I3010" s="2" t="n">
        <f aca="false">H3010*_xlfn.XLOOKUP(Tabla2[[#This Row],[Unidad de producción]],Tabla3[Medida],Tabla3[Equivalencia en Kg],"ELVIS",0)</f>
        <v>703.333172093023</v>
      </c>
      <c r="J3010" s="2" t="n">
        <v>915.952380952381</v>
      </c>
      <c r="K3010" s="2" t="s">
        <v>18</v>
      </c>
      <c r="L3010" s="2" t="n">
        <f aca="false">J3010/_xlfn.XLOOKUP(Tabla2[[#This Row],[Unidad de precio]],Tabla3[Medida],Tabla3[Equivalencia en Kg],"ELVIS",0)</f>
        <v>20.1929537246998</v>
      </c>
      <c r="M3010" s="2" t="n">
        <v>9891.72566090888</v>
      </c>
      <c r="N3010" s="3" t="n">
        <f aca="false">(Tabla2[[#This Row],[Productividad (kg/TAS)]]*Tabla2[[#This Row],[Precio por kg]]-Tabla2[[#This Row],[Costos (En RD$/Tarea)]])</f>
        <v>4310.64853621183</v>
      </c>
      <c r="O3010" s="9" t="n">
        <f aca="false">IF(Tabla2[[#This Row],[Costos (En RD$/Tarea)]]=0,0,Tabla2[[#This Row],[Beneficio Neto  (En RD$/Tarea)]]/Tabla2[[#This Row],[Costos (En RD$/Tarea)]])</f>
        <v>0.435783268155837</v>
      </c>
      <c r="P3010" s="7" t="n">
        <f aca="false">Tabla2[[#This Row],[Rentabilidad (%)]]/12</f>
        <v>0.0363152723463197</v>
      </c>
    </row>
    <row r="3011" customFormat="false" ht="14.25" hidden="false" customHeight="false" outlineLevel="0" collapsed="false">
      <c r="A3011" s="1" t="n">
        <v>44136</v>
      </c>
      <c r="B3011" s="2" t="s">
        <v>28</v>
      </c>
      <c r="C3011" s="3" t="n">
        <v>23727</v>
      </c>
      <c r="D3011" s="8" t="s">
        <v>17</v>
      </c>
      <c r="E3011" s="3" t="n">
        <f aca="false">IF(Tabla2[[#This Row],[Frecuencia]]="Annual", Tabla2[[#This Row],[Cosecha/Tarea]]/12,Tabla2[[#This Row],[Cosecha/Tarea]])</f>
        <v>23727</v>
      </c>
      <c r="F3011" s="3" t="n">
        <v>697234.64</v>
      </c>
      <c r="G3011" s="2" t="s">
        <v>18</v>
      </c>
      <c r="H3011" s="2" t="n">
        <f aca="false">F3011/Tabla2[[#This Row],[Cosecha Mensual]]</f>
        <v>29.3857057360813</v>
      </c>
      <c r="I3011" s="2" t="n">
        <f aca="false">H3011*_xlfn.XLOOKUP(Tabla2[[#This Row],[Unidad de producción]],Tabla3[Medida],Tabla3[Equivalencia en Kg],"ELVIS",0)</f>
        <v>1332.93561218865</v>
      </c>
      <c r="J3011" s="2" t="n">
        <v>6565.578125</v>
      </c>
      <c r="K3011" s="2" t="s">
        <v>29</v>
      </c>
      <c r="L3011" s="2" t="n">
        <f aca="false">J3011/_xlfn.XLOOKUP(Tabla2[[#This Row],[Unidad de precio]],Tabla3[Medida],Tabla3[Equivalencia en Kg],"ELVIS",0)</f>
        <v>11.6754599085962</v>
      </c>
      <c r="M3011" s="2" t="n">
        <v>13735.1419088583</v>
      </c>
      <c r="N3011" s="3" t="n">
        <f aca="false">(Tabla2[[#This Row],[Productividad (kg/TAS)]]*Tabla2[[#This Row],[Precio por kg]]-Tabla2[[#This Row],[Costos (En RD$/Tarea)]])</f>
        <v>1827.4943919904</v>
      </c>
      <c r="O3011" s="9" t="n">
        <f aca="false">IF(Tabla2[[#This Row],[Costos (En RD$/Tarea)]]=0,0,Tabla2[[#This Row],[Beneficio Neto  (En RD$/Tarea)]]/Tabla2[[#This Row],[Costos (En RD$/Tarea)]])</f>
        <v>0.133052458002766</v>
      </c>
      <c r="P3011" s="7" t="n">
        <f aca="false">Tabla2[[#This Row],[Rentabilidad (%)]]/12</f>
        <v>0.0110877048335638</v>
      </c>
    </row>
    <row r="3012" customFormat="false" ht="14.25" hidden="false" customHeight="false" outlineLevel="0" collapsed="false">
      <c r="A3012" s="1" t="n">
        <v>44136</v>
      </c>
      <c r="B3012" s="2" t="s">
        <v>30</v>
      </c>
      <c r="C3012" s="3" t="n">
        <v>443215</v>
      </c>
      <c r="D3012" s="3" t="s">
        <v>31</v>
      </c>
      <c r="E3012" s="3" t="n">
        <f aca="false">IF(Tabla2[[#This Row],[Frecuencia]]="Annual", Tabla2[[#This Row],[Cosecha/Tarea]]/12,Tabla2[[#This Row],[Cosecha/Tarea]])</f>
        <v>36934.5833333333</v>
      </c>
      <c r="F3012" s="3" t="n">
        <v>1649556.6</v>
      </c>
      <c r="G3012" s="2" t="s">
        <v>18</v>
      </c>
      <c r="H3012" s="2" t="n">
        <f aca="false">F3012/Tabla2[[#This Row],[Cosecha Mensual]]</f>
        <v>44.6615732770777</v>
      </c>
      <c r="I3012" s="2" t="n">
        <f aca="false">H3012*_xlfn.XLOOKUP(Tabla2[[#This Row],[Unidad de producción]],Tabla3[Medida],Tabla3[Equivalencia en Kg],"ELVIS",0)</f>
        <v>2025.84896384825</v>
      </c>
      <c r="J3012" s="2" t="n">
        <v>227.830729166667</v>
      </c>
      <c r="K3012" s="2" t="s">
        <v>32</v>
      </c>
      <c r="L3012" s="2" t="n">
        <f aca="false">J3012/_xlfn.XLOOKUP(Tabla2[[#This Row],[Unidad de precio]],Tabla3[Medida],Tabla3[Equivalencia en Kg],"ELVIS",0)</f>
        <v>8.3730514210462</v>
      </c>
      <c r="M3012" s="3" t="n">
        <v>38019.0770714752</v>
      </c>
      <c r="N3012" s="3" t="n">
        <f aca="false">(Tabla2[[#This Row],[Productividad (kg/TAS)]]*Tabla2[[#This Row],[Precio por kg]]-Tabla2[[#This Row],[Costos (En RD$/Tarea)]])</f>
        <v>-21056.5395259007</v>
      </c>
      <c r="O3012" s="9" t="n">
        <f aca="false">IF(Tabla2[[#This Row],[Costos (En RD$/Tarea)]]=0,0,Tabla2[[#This Row],[Beneficio Neto  (En RD$/Tarea)]]/Tabla2[[#This Row],[Costos (En RD$/Tarea)]])</f>
        <v>-0.553841417199969</v>
      </c>
      <c r="P3012" s="7" t="n">
        <f aca="false">Tabla2[[#This Row],[Rentabilidad (%)]]/12</f>
        <v>-0.0461534514333308</v>
      </c>
    </row>
    <row r="3013" customFormat="false" ht="14.25" hidden="false" customHeight="false" outlineLevel="0" collapsed="false">
      <c r="A3013" s="1" t="n">
        <v>44136</v>
      </c>
      <c r="B3013" s="2" t="s">
        <v>33</v>
      </c>
      <c r="C3013" s="3" t="n">
        <v>701469</v>
      </c>
      <c r="D3013" s="3" t="s">
        <v>31</v>
      </c>
      <c r="E3013" s="3" t="n">
        <f aca="false">IF(Tabla2[[#This Row],[Frecuencia]]="Annual", Tabla2[[#This Row],[Cosecha/Tarea]]/12,Tabla2[[#This Row],[Cosecha/Tarea]])</f>
        <v>58455.75</v>
      </c>
      <c r="F3013" s="3" t="n">
        <v>955700.55</v>
      </c>
      <c r="G3013" s="2" t="s">
        <v>18</v>
      </c>
      <c r="H3013" s="2" t="n">
        <f aca="false">F3013/Tabla2[[#This Row],[Cosecha Mensual]]</f>
        <v>16.3491281867053</v>
      </c>
      <c r="I3013" s="2" t="n">
        <f aca="false">H3013*_xlfn.XLOOKUP(Tabla2[[#This Row],[Unidad de producción]],Tabla3[Medida],Tabla3[Equivalencia en Kg],"ELVIS",0)</f>
        <v>741.596454548954</v>
      </c>
      <c r="J3013" s="2" t="n">
        <v>12092.0694444444</v>
      </c>
      <c r="K3013" s="2" t="s">
        <v>34</v>
      </c>
      <c r="L3013" s="2" t="n">
        <f aca="false">J3013/_xlfn.XLOOKUP(Tabla2[[#This Row],[Unidad de precio]],Tabla3[Medida],Tabla3[Equivalencia en Kg],"ELVIS",0)</f>
        <v>29.6265330012113</v>
      </c>
      <c r="M3013" s="3" t="n">
        <v>33327.4212424613</v>
      </c>
      <c r="N3013" s="3" t="n">
        <f aca="false">(Tabla2[[#This Row],[Productividad (kg/TAS)]]*Tabla2[[#This Row],[Precio por kg]]-Tabla2[[#This Row],[Costos (En RD$/Tarea)]])</f>
        <v>-11356.4894081854</v>
      </c>
      <c r="O3013" s="9" t="n">
        <f aca="false">IF(Tabla2[[#This Row],[Costos (En RD$/Tarea)]]=0,0,Tabla2[[#This Row],[Beneficio Neto  (En RD$/Tarea)]]/Tabla2[[#This Row],[Costos (En RD$/Tarea)]])</f>
        <v>-0.340755119502511</v>
      </c>
      <c r="P3013" s="7" t="n">
        <f aca="false">Tabla2[[#This Row],[Rentabilidad (%)]]/12</f>
        <v>-0.0283962599585426</v>
      </c>
    </row>
    <row r="3014" customFormat="false" ht="14.25" hidden="false" customHeight="false" outlineLevel="0" collapsed="false">
      <c r="A3014" s="1" t="n">
        <v>44166</v>
      </c>
      <c r="B3014" s="2" t="s">
        <v>16</v>
      </c>
      <c r="C3014" s="3" t="n">
        <v>182420</v>
      </c>
      <c r="D3014" s="8" t="s">
        <v>17</v>
      </c>
      <c r="E3014" s="3" t="n">
        <f aca="false">IF(Tabla2[[#This Row],[Frecuencia]]="Annual", Tabla2[[#This Row],[Cosecha/Tarea]]/12,Tabla2[[#This Row],[Cosecha/Tarea]])</f>
        <v>182420</v>
      </c>
      <c r="F3014" s="3" t="n">
        <v>601500</v>
      </c>
      <c r="G3014" s="2" t="s">
        <v>18</v>
      </c>
      <c r="H3014" s="2" t="n">
        <f aca="false">F3014/Tabla2[[#This Row],[Cosecha Mensual]]</f>
        <v>3.29733581844096</v>
      </c>
      <c r="I3014" s="2" t="n">
        <f aca="false">H3014*_xlfn.XLOOKUP(Tabla2[[#This Row],[Unidad de producción]],Tabla3[Medida],Tabla3[Equivalencia en Kg],"ELVIS",0)</f>
        <v>149.567152724482</v>
      </c>
      <c r="J3014" s="2" t="n">
        <v>2362.84378437844</v>
      </c>
      <c r="K3014" s="2" t="s">
        <v>19</v>
      </c>
      <c r="L3014" s="2" t="n">
        <f aca="false">J3014/_xlfn.XLOOKUP(Tabla2[[#This Row],[Unidad de precio]],Tabla3[Medida],Tabla3[Equivalencia en Kg],"ELVIS",0)</f>
        <v>21.480398039804</v>
      </c>
      <c r="M3014" s="2" t="n">
        <v>7092.59436898665</v>
      </c>
      <c r="N3014" s="3" t="n">
        <f aca="false">(Tabla2[[#This Row],[Productividad (kg/TAS)]]*Tabla2[[#This Row],[Precio por kg]]-Tabla2[[#This Row],[Costos (En RD$/Tarea)]])</f>
        <v>-3879.83239478462</v>
      </c>
      <c r="O3014" s="9" t="n">
        <f aca="false">IF(Tabla2[[#This Row],[Costos (En RD$/Tarea)]]=0,0,Tabla2[[#This Row],[Beneficio Neto  (En RD$/Tarea)]]/Tabla2[[#This Row],[Costos (En RD$/Tarea)]])</f>
        <v>-0.547025840325752</v>
      </c>
      <c r="P3014" s="7" t="n">
        <f aca="false">Tabla2[[#This Row],[Rentabilidad (%)]]/12</f>
        <v>-0.0455854866938127</v>
      </c>
    </row>
    <row r="3015" customFormat="false" ht="14.25" hidden="false" customHeight="false" outlineLevel="0" collapsed="false">
      <c r="A3015" s="1" t="n">
        <v>44166</v>
      </c>
      <c r="B3015" s="2" t="s">
        <v>20</v>
      </c>
      <c r="C3015" s="3" t="n">
        <v>28985</v>
      </c>
      <c r="D3015" s="8" t="s">
        <v>17</v>
      </c>
      <c r="E3015" s="3" t="n">
        <f aca="false">IF(Tabla2[[#This Row],[Frecuencia]]="Annual", Tabla2[[#This Row],[Cosecha/Tarea]]/12,Tabla2[[#This Row],[Cosecha/Tarea]])</f>
        <v>28985</v>
      </c>
      <c r="F3015" s="3" t="n">
        <v>70214</v>
      </c>
      <c r="G3015" s="2" t="s">
        <v>18</v>
      </c>
      <c r="H3015" s="2" t="n">
        <f aca="false">F3015/Tabla2[[#This Row],[Cosecha Mensual]]</f>
        <v>2.42242539244437</v>
      </c>
      <c r="I3015" s="2" t="n">
        <f aca="false">H3015*_xlfn.XLOOKUP(Tabla2[[#This Row],[Unidad de producción]],Tabla3[Medida],Tabla3[Equivalencia en Kg],"ELVIS",0)</f>
        <v>109.881215801277</v>
      </c>
      <c r="J3015" s="2" t="n">
        <v>991.238020833333</v>
      </c>
      <c r="K3015" s="2" t="s">
        <v>18</v>
      </c>
      <c r="L3015" s="2" t="n">
        <f aca="false">J3015/_xlfn.XLOOKUP(Tabla2[[#This Row],[Unidad de precio]],Tabla3[Medida],Tabla3[Equivalencia en Kg],"ELVIS",0)</f>
        <v>21.8526900536449</v>
      </c>
      <c r="M3015" s="2" t="n">
        <v>2584.15468583726</v>
      </c>
      <c r="N3015" s="3" t="n">
        <f aca="false">(Tabla2[[#This Row],[Productividad (kg/TAS)]]*Tabla2[[#This Row],[Precio por kg]]-Tabla2[[#This Row],[Costos (En RD$/Tarea)]])</f>
        <v>-182.954534214295</v>
      </c>
      <c r="O3015" s="9" t="n">
        <f aca="false">IF(Tabla2[[#This Row],[Costos (En RD$/Tarea)]]=0,0,Tabla2[[#This Row],[Beneficio Neto  (En RD$/Tarea)]]/Tabla2[[#This Row],[Costos (En RD$/Tarea)]])</f>
        <v>-0.070798600105867</v>
      </c>
      <c r="P3015" s="7" t="n">
        <f aca="false">Tabla2[[#This Row],[Rentabilidad (%)]]/12</f>
        <v>-0.00589988334215559</v>
      </c>
    </row>
    <row r="3016" customFormat="false" ht="14.25" hidden="false" customHeight="false" outlineLevel="0" collapsed="false">
      <c r="A3016" s="1" t="n">
        <v>44166</v>
      </c>
      <c r="B3016" s="2" t="s">
        <v>21</v>
      </c>
      <c r="C3016" s="3" t="n">
        <v>9421</v>
      </c>
      <c r="D3016" s="8" t="s">
        <v>17</v>
      </c>
      <c r="E3016" s="3" t="n">
        <f aca="false">IF(Tabla2[[#This Row],[Frecuencia]]="Annual", Tabla2[[#This Row],[Cosecha/Tarea]]/12,Tabla2[[#This Row],[Cosecha/Tarea]])</f>
        <v>9421</v>
      </c>
      <c r="F3016" s="3" t="n">
        <v>110241</v>
      </c>
      <c r="G3016" s="2" t="s">
        <v>18</v>
      </c>
      <c r="H3016" s="2" t="n">
        <f aca="false">F3016/Tabla2[[#This Row],[Cosecha Mensual]]</f>
        <v>11.7016240314192</v>
      </c>
      <c r="I3016" s="2" t="n">
        <f aca="false">H3016*_xlfn.XLOOKUP(Tabla2[[#This Row],[Unidad de producción]],Tabla3[Medida],Tabla3[Equivalencia en Kg],"ELVIS",0)</f>
        <v>530.785666065174</v>
      </c>
      <c r="J3016" s="2" t="n">
        <v>1029.63194444444</v>
      </c>
      <c r="K3016" s="2" t="s">
        <v>18</v>
      </c>
      <c r="L3016" s="2" t="n">
        <f aca="false">J3016/_xlfn.XLOOKUP(Tabla2[[#This Row],[Unidad de precio]],Tabla3[Medida],Tabla3[Equivalencia en Kg],"ELVIS",0)</f>
        <v>22.699116941015</v>
      </c>
      <c r="M3016" s="2" t="n">
        <v>6271.46010735965</v>
      </c>
      <c r="N3016" s="3" t="n">
        <f aca="false">(Tabla2[[#This Row],[Productividad (kg/TAS)]]*Tabla2[[#This Row],[Precio por kg]]-Tabla2[[#This Row],[Costos (En RD$/Tarea)]])</f>
        <v>5776.90579726826</v>
      </c>
      <c r="O3016" s="9" t="n">
        <f aca="false">IF(Tabla2[[#This Row],[Costos (En RD$/Tarea)]]=0,0,Tabla2[[#This Row],[Beneficio Neto  (En RD$/Tarea)]]/Tabla2[[#This Row],[Costos (En RD$/Tarea)]])</f>
        <v>0.921142078299912</v>
      </c>
      <c r="P3016" s="7" t="n">
        <f aca="false">Tabla2[[#This Row],[Rentabilidad (%)]]/12</f>
        <v>0.076761839858326</v>
      </c>
    </row>
    <row r="3017" customFormat="false" ht="14.25" hidden="false" customHeight="false" outlineLevel="0" collapsed="false">
      <c r="A3017" s="1" t="n">
        <v>44166</v>
      </c>
      <c r="B3017" s="2" t="s">
        <v>22</v>
      </c>
      <c r="C3017" s="3" t="n">
        <v>2899</v>
      </c>
      <c r="D3017" s="8" t="s">
        <v>17</v>
      </c>
      <c r="E3017" s="3" t="n">
        <f aca="false">IF(Tabla2[[#This Row],[Frecuencia]]="Annual", Tabla2[[#This Row],[Cosecha/Tarea]]/12,Tabla2[[#This Row],[Cosecha/Tarea]])</f>
        <v>2899</v>
      </c>
      <c r="F3017" s="3" t="n">
        <v>33874</v>
      </c>
      <c r="G3017" s="2" t="s">
        <v>18</v>
      </c>
      <c r="H3017" s="2" t="n">
        <f aca="false">F3017/Tabla2[[#This Row],[Cosecha Mensual]]</f>
        <v>11.6847188685754</v>
      </c>
      <c r="I3017" s="2" t="n">
        <f aca="false">H3017*_xlfn.XLOOKUP(Tabla2[[#This Row],[Unidad de producción]],Tabla3[Medida],Tabla3[Equivalencia en Kg],"ELVIS",0)</f>
        <v>530.018847878579</v>
      </c>
      <c r="J3017" s="2" t="n">
        <v>2148.625</v>
      </c>
      <c r="K3017" s="2" t="s">
        <v>18</v>
      </c>
      <c r="L3017" s="2" t="n">
        <f aca="false">J3017/_xlfn.XLOOKUP(Tabla2[[#This Row],[Unidad de precio]],Tabla3[Medida],Tabla3[Equivalencia en Kg],"ELVIS",0)</f>
        <v>47.3682760141094</v>
      </c>
      <c r="M3017" s="2" t="n">
        <v>10873.3452772193</v>
      </c>
      <c r="N3017" s="3" t="n">
        <f aca="false">(Tabla2[[#This Row],[Productividad (kg/TAS)]]*Tabla2[[#This Row],[Precio por kg]]-Tabla2[[#This Row],[Costos (En RD$/Tarea)]])</f>
        <v>14232.7338017735</v>
      </c>
      <c r="O3017" s="9" t="n">
        <f aca="false">IF(Tabla2[[#This Row],[Costos (En RD$/Tarea)]]=0,0,Tabla2[[#This Row],[Beneficio Neto  (En RD$/Tarea)]]/Tabla2[[#This Row],[Costos (En RD$/Tarea)]])</f>
        <v>1.30895629991557</v>
      </c>
      <c r="P3017" s="7" t="n">
        <f aca="false">Tabla2[[#This Row],[Rentabilidad (%)]]/12</f>
        <v>0.109079691659631</v>
      </c>
    </row>
    <row r="3018" customFormat="false" ht="14.25" hidden="false" customHeight="false" outlineLevel="0" collapsed="false">
      <c r="A3018" s="1" t="n">
        <v>44166</v>
      </c>
      <c r="B3018" s="2" t="s">
        <v>23</v>
      </c>
      <c r="C3018" s="3" t="n">
        <v>2754</v>
      </c>
      <c r="D3018" s="8" t="s">
        <v>17</v>
      </c>
      <c r="E3018" s="3" t="n">
        <f aca="false">IF(Tabla2[[#This Row],[Frecuencia]]="Annual", Tabla2[[#This Row],[Cosecha/Tarea]]/12,Tabla2[[#This Row],[Cosecha/Tarea]])</f>
        <v>2754</v>
      </c>
      <c r="F3018" s="3" t="n">
        <v>145987</v>
      </c>
      <c r="G3018" s="2" t="s">
        <v>18</v>
      </c>
      <c r="H3018" s="2" t="n">
        <f aca="false">F3018/Tabla2[[#This Row],[Cosecha Mensual]]</f>
        <v>53.0090777051561</v>
      </c>
      <c r="I3018" s="2" t="n">
        <f aca="false">H3018*_xlfn.XLOOKUP(Tabla2[[#This Row],[Unidad de producción]],Tabla3[Medida],Tabla3[Equivalencia en Kg],"ELVIS",0)</f>
        <v>2404.49176470588</v>
      </c>
      <c r="J3018" s="2" t="n">
        <v>1402.625</v>
      </c>
      <c r="K3018" s="2" t="s">
        <v>18</v>
      </c>
      <c r="L3018" s="2" t="n">
        <f aca="false">J3018/_xlfn.XLOOKUP(Tabla2[[#This Row],[Unidad de precio]],Tabla3[Medida],Tabla3[Equivalencia en Kg],"ELVIS",0)</f>
        <v>30.9220679012346</v>
      </c>
      <c r="M3018" s="2" t="n">
        <v>28931.455637377</v>
      </c>
      <c r="N3018" s="3" t="n">
        <f aca="false">(Tabla2[[#This Row],[Productividad (kg/TAS)]]*Tabla2[[#This Row],[Precio por kg]]-Tabla2[[#This Row],[Costos (En RD$/Tarea)]])</f>
        <v>45420.4019788176</v>
      </c>
      <c r="O3018" s="9" t="n">
        <f aca="false">IF(Tabla2[[#This Row],[Costos (En RD$/Tarea)]]=0,0,Tabla2[[#This Row],[Beneficio Neto  (En RD$/Tarea)]]/Tabla2[[#This Row],[Costos (En RD$/Tarea)]])</f>
        <v>1.56993144583221</v>
      </c>
      <c r="P3018" s="7" t="n">
        <f aca="false">Tabla2[[#This Row],[Rentabilidad (%)]]/12</f>
        <v>0.130827620486017</v>
      </c>
    </row>
    <row r="3019" customFormat="false" ht="14.25" hidden="false" customHeight="false" outlineLevel="0" collapsed="false">
      <c r="A3019" s="1" t="n">
        <v>44166</v>
      </c>
      <c r="B3019" s="2" t="s">
        <v>24</v>
      </c>
      <c r="C3019" s="3" t="n">
        <v>7899</v>
      </c>
      <c r="D3019" s="8" t="s">
        <v>17</v>
      </c>
      <c r="E3019" s="3" t="n">
        <f aca="false">IF(Tabla2[[#This Row],[Frecuencia]]="Annual", Tabla2[[#This Row],[Cosecha/Tarea]]/12,Tabla2[[#This Row],[Cosecha/Tarea]])</f>
        <v>7899</v>
      </c>
      <c r="F3019" s="3" t="n">
        <v>99899</v>
      </c>
      <c r="G3019" s="2" t="s">
        <v>18</v>
      </c>
      <c r="H3019" s="2" t="n">
        <f aca="false">F3019/Tabla2[[#This Row],[Cosecha Mensual]]</f>
        <v>12.6470439296113</v>
      </c>
      <c r="I3019" s="2" t="n">
        <f aca="false">H3019*_xlfn.XLOOKUP(Tabla2[[#This Row],[Unidad de producción]],Tabla3[Medida],Tabla3[Equivalencia en Kg],"ELVIS",0)</f>
        <v>573.669912647171</v>
      </c>
      <c r="J3019" s="2" t="n">
        <v>3348.58035714286</v>
      </c>
      <c r="K3019" s="2" t="s">
        <v>18</v>
      </c>
      <c r="L3019" s="2" t="n">
        <f aca="false">J3019/_xlfn.XLOOKUP(Tabla2[[#This Row],[Unidad de precio]],Tabla3[Medida],Tabla3[Equivalencia en Kg],"ELVIS",0)</f>
        <v>73.8223182791636</v>
      </c>
      <c r="M3019" s="2" t="n">
        <v>8997.82973620852</v>
      </c>
      <c r="N3019" s="3" t="n">
        <f aca="false">(Tabla2[[#This Row],[Productividad (kg/TAS)]]*Tabla2[[#This Row],[Precio por kg]]-Tabla2[[#This Row],[Costos (En RD$/Tarea)]])</f>
        <v>33351.8131424109</v>
      </c>
      <c r="O3019" s="9" t="n">
        <f aca="false">IF(Tabla2[[#This Row],[Costos (En RD$/Tarea)]]=0,0,Tabla2[[#This Row],[Beneficio Neto  (En RD$/Tarea)]]/Tabla2[[#This Row],[Costos (En RD$/Tarea)]])</f>
        <v>3.70665083916831</v>
      </c>
      <c r="P3019" s="7" t="n">
        <f aca="false">Tabla2[[#This Row],[Rentabilidad (%)]]/12</f>
        <v>0.308887569930692</v>
      </c>
    </row>
    <row r="3020" customFormat="false" ht="14.25" hidden="false" customHeight="false" outlineLevel="0" collapsed="false">
      <c r="A3020" s="1" t="n">
        <v>44166</v>
      </c>
      <c r="B3020" s="2" t="s">
        <v>25</v>
      </c>
      <c r="C3020" s="3" t="n">
        <v>19685</v>
      </c>
      <c r="D3020" s="8" t="s">
        <v>17</v>
      </c>
      <c r="E3020" s="3" t="n">
        <f aca="false">IF(Tabla2[[#This Row],[Frecuencia]]="Annual", Tabla2[[#This Row],[Cosecha/Tarea]]/12,Tabla2[[#This Row],[Cosecha/Tarea]])</f>
        <v>19685</v>
      </c>
      <c r="F3020" s="3" t="n">
        <v>221118</v>
      </c>
      <c r="G3020" s="2" t="s">
        <v>18</v>
      </c>
      <c r="H3020" s="2" t="n">
        <f aca="false">F3020/Tabla2[[#This Row],[Cosecha Mensual]]</f>
        <v>11.2328168656337</v>
      </c>
      <c r="I3020" s="2" t="n">
        <f aca="false">H3020*_xlfn.XLOOKUP(Tabla2[[#This Row],[Unidad de producción]],Tabla3[Medida],Tabla3[Equivalencia en Kg],"ELVIS",0)</f>
        <v>509.520573025146</v>
      </c>
      <c r="J3020" s="2" t="n">
        <v>614.220238095238</v>
      </c>
      <c r="K3020" s="2" t="s">
        <v>18</v>
      </c>
      <c r="L3020" s="2" t="n">
        <f aca="false">J3020/_xlfn.XLOOKUP(Tabla2[[#This Row],[Unidad de precio]],Tabla3[Medida],Tabla3[Equivalencia en Kg],"ELVIS",0)</f>
        <v>13.5410105400185</v>
      </c>
      <c r="M3020" s="2" t="n">
        <v>5060.83945230923</v>
      </c>
      <c r="N3020" s="3" t="n">
        <f aca="false">(Tabla2[[#This Row],[Productividad (kg/TAS)]]*Tabla2[[#This Row],[Precio por kg]]-Tabla2[[#This Row],[Costos (En RD$/Tarea)]])</f>
        <v>1838.58399738053</v>
      </c>
      <c r="O3020" s="9" t="n">
        <f aca="false">IF(Tabla2[[#This Row],[Costos (En RD$/Tarea)]]=0,0,Tabla2[[#This Row],[Beneficio Neto  (En RD$/Tarea)]]/Tabla2[[#This Row],[Costos (En RD$/Tarea)]])</f>
        <v>0.363296250494884</v>
      </c>
      <c r="P3020" s="7" t="n">
        <f aca="false">Tabla2[[#This Row],[Rentabilidad (%)]]/12</f>
        <v>0.0302746875412403</v>
      </c>
    </row>
    <row r="3021" customFormat="false" ht="14.25" hidden="false" customHeight="false" outlineLevel="0" collapsed="false">
      <c r="A3021" s="1" t="n">
        <v>44166</v>
      </c>
      <c r="B3021" s="2" t="s">
        <v>26</v>
      </c>
      <c r="C3021" s="3" t="n">
        <v>9254</v>
      </c>
      <c r="D3021" s="8" t="s">
        <v>17</v>
      </c>
      <c r="E3021" s="3" t="n">
        <f aca="false">IF(Tabla2[[#This Row],[Frecuencia]]="Annual", Tabla2[[#This Row],[Cosecha/Tarea]]/12,Tabla2[[#This Row],[Cosecha/Tarea]])</f>
        <v>9254</v>
      </c>
      <c r="F3021" s="3" t="n">
        <v>85457</v>
      </c>
      <c r="G3021" s="2" t="s">
        <v>18</v>
      </c>
      <c r="H3021" s="2" t="n">
        <f aca="false">F3021/Tabla2[[#This Row],[Cosecha Mensual]]</f>
        <v>9.234601253512</v>
      </c>
      <c r="I3021" s="2" t="n">
        <f aca="false">H3021*_xlfn.XLOOKUP(Tabla2[[#This Row],[Unidad de producción]],Tabla3[Medida],Tabla3[Equivalencia en Kg],"ELVIS",0)</f>
        <v>418.881512859304</v>
      </c>
      <c r="J3021" s="2" t="n">
        <v>929.892857142857</v>
      </c>
      <c r="K3021" s="2" t="s">
        <v>18</v>
      </c>
      <c r="L3021" s="2" t="n">
        <f aca="false">J3021/_xlfn.XLOOKUP(Tabla2[[#This Row],[Unidad de precio]],Tabla3[Medida],Tabla3[Equivalencia en Kg],"ELVIS",0)</f>
        <v>20.500283446712</v>
      </c>
      <c r="M3021" s="2" t="n">
        <v>1789.84398526912</v>
      </c>
      <c r="N3021" s="3" t="n">
        <f aca="false">(Tabla2[[#This Row],[Productividad (kg/TAS)]]*Tabla2[[#This Row],[Precio por kg]]-Tabla2[[#This Row],[Costos (En RD$/Tarea)]])</f>
        <v>6797.34575893416</v>
      </c>
      <c r="O3021" s="9" t="n">
        <f aca="false">IF(Tabla2[[#This Row],[Costos (En RD$/Tarea)]]=0,0,Tabla2[[#This Row],[Beneficio Neto  (En RD$/Tarea)]]/Tabla2[[#This Row],[Costos (En RD$/Tarea)]])</f>
        <v>3.79773087200788</v>
      </c>
      <c r="P3021" s="7" t="n">
        <f aca="false">Tabla2[[#This Row],[Rentabilidad (%)]]/12</f>
        <v>0.316477572667324</v>
      </c>
    </row>
    <row r="3022" customFormat="false" ht="14.25" hidden="false" customHeight="false" outlineLevel="0" collapsed="false">
      <c r="A3022" s="1" t="n">
        <v>44166</v>
      </c>
      <c r="B3022" s="2" t="s">
        <v>27</v>
      </c>
      <c r="C3022" s="3" t="n">
        <v>2879</v>
      </c>
      <c r="D3022" s="8" t="s">
        <v>17</v>
      </c>
      <c r="E3022" s="3" t="n">
        <f aca="false">IF(Tabla2[[#This Row],[Frecuencia]]="Annual", Tabla2[[#This Row],[Cosecha/Tarea]]/12,Tabla2[[#This Row],[Cosecha/Tarea]])</f>
        <v>2879</v>
      </c>
      <c r="F3022" s="3" t="n">
        <v>37784</v>
      </c>
      <c r="G3022" s="2" t="s">
        <v>18</v>
      </c>
      <c r="H3022" s="2" t="n">
        <f aca="false">F3022/Tabla2[[#This Row],[Cosecha Mensual]]</f>
        <v>13.1240013893713</v>
      </c>
      <c r="I3022" s="2" t="n">
        <f aca="false">H3022*_xlfn.XLOOKUP(Tabla2[[#This Row],[Unidad de producción]],Tabla3[Medida],Tabla3[Equivalencia en Kg],"ELVIS",0)</f>
        <v>595.304703021883</v>
      </c>
      <c r="J3022" s="2" t="n">
        <v>1105.30555555556</v>
      </c>
      <c r="K3022" s="2" t="s">
        <v>18</v>
      </c>
      <c r="L3022" s="2" t="n">
        <f aca="false">J3022/_xlfn.XLOOKUP(Tabla2[[#This Row],[Unidad de precio]],Tabla3[Medida],Tabla3[Equivalencia en Kg],"ELVIS",0)</f>
        <v>24.3674064275917</v>
      </c>
      <c r="M3022" s="2" t="n">
        <v>9891.72566090888</v>
      </c>
      <c r="N3022" s="3" t="n">
        <f aca="false">(Tabla2[[#This Row],[Productividad (kg/TAS)]]*Tabla2[[#This Row],[Precio por kg]]-Tabla2[[#This Row],[Costos (En RD$/Tarea)]])</f>
        <v>4614.30598588212</v>
      </c>
      <c r="O3022" s="9" t="n">
        <f aca="false">IF(Tabla2[[#This Row],[Costos (En RD$/Tarea)]]=0,0,Tabla2[[#This Row],[Beneficio Neto  (En RD$/Tarea)]]/Tabla2[[#This Row],[Costos (En RD$/Tarea)]])</f>
        <v>0.466481395063088</v>
      </c>
      <c r="P3022" s="7" t="n">
        <f aca="false">Tabla2[[#This Row],[Rentabilidad (%)]]/12</f>
        <v>0.0388734495885906</v>
      </c>
    </row>
    <row r="3023" customFormat="false" ht="14.25" hidden="false" customHeight="false" outlineLevel="0" collapsed="false">
      <c r="A3023" s="1" t="n">
        <v>44166</v>
      </c>
      <c r="B3023" s="2" t="s">
        <v>28</v>
      </c>
      <c r="C3023" s="3" t="n">
        <v>53124</v>
      </c>
      <c r="D3023" s="8" t="s">
        <v>17</v>
      </c>
      <c r="E3023" s="3" t="n">
        <f aca="false">IF(Tabla2[[#This Row],[Frecuencia]]="Annual", Tabla2[[#This Row],[Cosecha/Tarea]]/12,Tabla2[[#This Row],[Cosecha/Tarea]])</f>
        <v>53124</v>
      </c>
      <c r="F3023" s="3" t="n">
        <v>1227773.6</v>
      </c>
      <c r="G3023" s="2" t="s">
        <v>18</v>
      </c>
      <c r="H3023" s="2" t="n">
        <f aca="false">F3023/Tabla2[[#This Row],[Cosecha Mensual]]</f>
        <v>23.1114675099767</v>
      </c>
      <c r="I3023" s="2" t="n">
        <f aca="false">H3023*_xlfn.XLOOKUP(Tabla2[[#This Row],[Unidad de producción]],Tabla3[Medida],Tabla3[Equivalencia en Kg],"ELVIS",0)</f>
        <v>1048.33616625254</v>
      </c>
      <c r="J3023" s="2" t="n">
        <v>8928.57142857143</v>
      </c>
      <c r="K3023" s="2" t="s">
        <v>29</v>
      </c>
      <c r="L3023" s="2" t="n">
        <f aca="false">J3023/_xlfn.XLOOKUP(Tabla2[[#This Row],[Unidad de precio]],Tabla3[Medida],Tabla3[Equivalencia en Kg],"ELVIS",0)</f>
        <v>15.8775321488271</v>
      </c>
      <c r="M3023" s="2" t="n">
        <v>13735.1419088583</v>
      </c>
      <c r="N3023" s="3" t="n">
        <f aca="false">(Tabla2[[#This Row],[Productividad (kg/TAS)]]*Tabla2[[#This Row],[Precio por kg]]-Tabla2[[#This Row],[Costos (En RD$/Tarea)]])</f>
        <v>2909.84927359457</v>
      </c>
      <c r="O3023" s="9" t="n">
        <f aca="false">IF(Tabla2[[#This Row],[Costos (En RD$/Tarea)]]=0,0,Tabla2[[#This Row],[Beneficio Neto  (En RD$/Tarea)]]/Tabla2[[#This Row],[Costos (En RD$/Tarea)]])</f>
        <v>0.211854329056324</v>
      </c>
      <c r="P3023" s="7" t="n">
        <f aca="false">Tabla2[[#This Row],[Rentabilidad (%)]]/12</f>
        <v>0.0176545274213603</v>
      </c>
    </row>
    <row r="3024" customFormat="false" ht="14.25" hidden="false" customHeight="false" outlineLevel="0" collapsed="false">
      <c r="A3024" s="1" t="n">
        <v>44166</v>
      </c>
      <c r="B3024" s="2" t="s">
        <v>30</v>
      </c>
      <c r="C3024" s="3" t="n">
        <v>442101</v>
      </c>
      <c r="D3024" s="3" t="s">
        <v>31</v>
      </c>
      <c r="E3024" s="3" t="n">
        <f aca="false">IF(Tabla2[[#This Row],[Frecuencia]]="Annual", Tabla2[[#This Row],[Cosecha/Tarea]]/12,Tabla2[[#This Row],[Cosecha/Tarea]])</f>
        <v>36841.75</v>
      </c>
      <c r="F3024" s="3" t="n">
        <v>2324735.4</v>
      </c>
      <c r="G3024" s="2" t="s">
        <v>18</v>
      </c>
      <c r="H3024" s="2" t="n">
        <f aca="false">F3024/Tabla2[[#This Row],[Cosecha Mensual]]</f>
        <v>63.1005693269185</v>
      </c>
      <c r="I3024" s="2" t="n">
        <f aca="false">H3024*_xlfn.XLOOKUP(Tabla2[[#This Row],[Unidad de producción]],Tabla3[Medida],Tabla3[Equivalencia en Kg],"ELVIS",0)</f>
        <v>2862.24182466902</v>
      </c>
      <c r="J3024" s="2" t="n">
        <v>221.567708333333</v>
      </c>
      <c r="K3024" s="2" t="s">
        <v>32</v>
      </c>
      <c r="L3024" s="2" t="n">
        <f aca="false">J3024/_xlfn.XLOOKUP(Tabla2[[#This Row],[Unidad de precio]],Tabla3[Medida],Tabla3[Equivalencia en Kg],"ELVIS",0)</f>
        <v>8.14287792478254</v>
      </c>
      <c r="M3024" s="3" t="n">
        <v>38019.0770714752</v>
      </c>
      <c r="N3024" s="3" t="n">
        <f aca="false">(Tabla2[[#This Row],[Productividad (kg/TAS)]]*Tabla2[[#This Row],[Precio por kg]]-Tabla2[[#This Row],[Costos (En RD$/Tarea)]])</f>
        <v>-14712.1913019885</v>
      </c>
      <c r="O3024" s="9" t="n">
        <f aca="false">IF(Tabla2[[#This Row],[Costos (En RD$/Tarea)]]=0,0,Tabla2[[#This Row],[Beneficio Neto  (En RD$/Tarea)]]/Tabla2[[#This Row],[Costos (En RD$/Tarea)]])</f>
        <v>-0.386968659821222</v>
      </c>
      <c r="P3024" s="7" t="n">
        <f aca="false">Tabla2[[#This Row],[Rentabilidad (%)]]/12</f>
        <v>-0.0322473883184352</v>
      </c>
    </row>
    <row r="3025" customFormat="false" ht="14.25" hidden="false" customHeight="false" outlineLevel="0" collapsed="false">
      <c r="A3025" s="1" t="n">
        <v>44166</v>
      </c>
      <c r="B3025" s="2" t="s">
        <v>33</v>
      </c>
      <c r="C3025" s="3" t="n">
        <v>636244</v>
      </c>
      <c r="D3025" s="3" t="s">
        <v>31</v>
      </c>
      <c r="E3025" s="11" t="n">
        <f aca="false">IF(Tabla2[[#This Row],[Frecuencia]]="Annual", Tabla2[[#This Row],[Cosecha/Tarea]]/12,Tabla2[[#This Row],[Cosecha/Tarea]])</f>
        <v>53020.3333333333</v>
      </c>
      <c r="F3025" s="3" t="n">
        <v>1610982</v>
      </c>
      <c r="G3025" s="2" t="s">
        <v>18</v>
      </c>
      <c r="H3025" s="2" t="n">
        <f aca="false">F3025/Tabla2[[#This Row],[Cosecha Mensual]]</f>
        <v>30.3842299495162</v>
      </c>
      <c r="I3025" s="2" t="n">
        <f aca="false">H3025*_xlfn.XLOOKUP(Tabla2[[#This Row],[Unidad de producción]],Tabla3[Medida],Tabla3[Equivalencia en Kg],"ELVIS",0)</f>
        <v>1378.22867051006</v>
      </c>
      <c r="J3025" s="2" t="n">
        <v>10212.7239583333</v>
      </c>
      <c r="K3025" s="2" t="s">
        <v>34</v>
      </c>
      <c r="L3025" s="2" t="n">
        <f aca="false">J3025/_xlfn.XLOOKUP(Tabla2[[#This Row],[Unidad de precio]],Tabla3[Medida],Tabla3[Equivalencia en Kg],"ELVIS",0)</f>
        <v>25.0219869124912</v>
      </c>
      <c r="M3025" s="3" t="n">
        <v>33327.4212424613</v>
      </c>
      <c r="N3025" s="3" t="n">
        <f aca="false">(Tabla2[[#This Row],[Productividad (kg/TAS)]]*Tabla2[[#This Row],[Precio por kg]]-Tabla2[[#This Row],[Costos (En RD$/Tarea)]])</f>
        <v>1158.59851346152</v>
      </c>
      <c r="O3025" s="9" t="n">
        <f aca="false">IF(Tabla2[[#This Row],[Costos (En RD$/Tarea)]]=0,0,Tabla2[[#This Row],[Beneficio Neto  (En RD$/Tarea)]]/Tabla2[[#This Row],[Costos (En RD$/Tarea)]])</f>
        <v>0.0347641212631654</v>
      </c>
      <c r="P3025" s="7" t="n">
        <f aca="false">Tabla2[[#This Row],[Rentabilidad (%)]]/12</f>
        <v>0.00289701010526378</v>
      </c>
    </row>
    <row r="3026" customFormat="false" ht="14.25" hidden="false" customHeight="false" outlineLevel="0" collapsed="false">
      <c r="A3026" s="1" t="n">
        <v>44197</v>
      </c>
      <c r="B3026" s="2" t="s">
        <v>16</v>
      </c>
      <c r="C3026" s="3" t="n">
        <v>66817</v>
      </c>
      <c r="D3026" s="8" t="s">
        <v>17</v>
      </c>
      <c r="E3026" s="3" t="n">
        <f aca="false">IF(Tabla2[[#This Row],[Frecuencia]]="Annual", Tabla2[[#This Row],[Cosecha/Tarea]]/12,Tabla2[[#This Row],[Cosecha/Tarea]])</f>
        <v>66817</v>
      </c>
      <c r="F3026" s="3" t="n">
        <v>260334</v>
      </c>
      <c r="G3026" s="2" t="s">
        <v>18</v>
      </c>
      <c r="H3026" s="2" t="n">
        <f aca="false">F3026/Tabla2[[#This Row],[Cosecha Mensual]]</f>
        <v>3.89622401484652</v>
      </c>
      <c r="I3026" s="2" t="n">
        <f aca="false">H3026*_xlfn.XLOOKUP(Tabla2[[#This Row],[Unidad de producción]],Tabla3[Medida],Tabla3[Equivalencia en Kg],"ELVIS",0)</f>
        <v>176.732721313438</v>
      </c>
      <c r="J3026" s="2" t="n">
        <v>2300.8328520352</v>
      </c>
      <c r="K3026" s="2" t="s">
        <v>19</v>
      </c>
      <c r="L3026" s="2" t="n">
        <f aca="false">J3026/_xlfn.XLOOKUP(Tabla2[[#This Row],[Unidad de precio]],Tabla3[Medida],Tabla3[Equivalencia en Kg],"ELVIS",0)</f>
        <v>20.9166622912291</v>
      </c>
      <c r="M3026" s="2" t="n">
        <v>7900.39794477161</v>
      </c>
      <c r="N3026" s="3" t="n">
        <f aca="false">(Tabla2[[#This Row],[Productividad (kg/TAS)]]*Tabla2[[#This Row],[Precio por kg]]-Tabla2[[#This Row],[Costos (En RD$/Tarea)]])</f>
        <v>-4203.73929724852</v>
      </c>
      <c r="O3026" s="9" t="n">
        <f aca="false">IF(Tabla2[[#This Row],[Costos (En RD$/Tarea)]]=0,0,Tabla2[[#This Row],[Beneficio Neto  (En RD$/Tarea)]]/Tabla2[[#This Row],[Costos (En RD$/Tarea)]])</f>
        <v>-0.532092095440648</v>
      </c>
      <c r="P3026" s="7" t="n">
        <f aca="false">Tabla2[[#This Row],[Rentabilidad (%)]]/12</f>
        <v>-0.0443410079533874</v>
      </c>
    </row>
    <row r="3027" customFormat="false" ht="14.25" hidden="false" customHeight="false" outlineLevel="0" collapsed="false">
      <c r="A3027" s="1" t="n">
        <v>44197</v>
      </c>
      <c r="B3027" s="2" t="s">
        <v>20</v>
      </c>
      <c r="C3027" s="3" t="n">
        <v>53854</v>
      </c>
      <c r="D3027" s="8" t="s">
        <v>17</v>
      </c>
      <c r="E3027" s="3" t="n">
        <f aca="false">IF(Tabla2[[#This Row],[Frecuencia]]="Annual", Tabla2[[#This Row],[Cosecha/Tarea]]/12,Tabla2[[#This Row],[Cosecha/Tarea]])</f>
        <v>53854</v>
      </c>
      <c r="F3027" s="3" t="n">
        <v>99899</v>
      </c>
      <c r="G3027" s="2" t="s">
        <v>18</v>
      </c>
      <c r="H3027" s="2" t="n">
        <f aca="false">F3027/Tabla2[[#This Row],[Cosecha Mensual]]</f>
        <v>1.85499684331712</v>
      </c>
      <c r="I3027" s="2" t="n">
        <f aca="false">H3027*_xlfn.XLOOKUP(Tabla2[[#This Row],[Unidad de producción]],Tabla3[Medida],Tabla3[Equivalencia en Kg],"ELVIS",0)</f>
        <v>84.1426568128644</v>
      </c>
      <c r="J3027" s="2" t="n">
        <v>990.8125</v>
      </c>
      <c r="K3027" s="2" t="s">
        <v>18</v>
      </c>
      <c r="L3027" s="2" t="n">
        <f aca="false">J3027/_xlfn.XLOOKUP(Tabla2[[#This Row],[Unidad de precio]],Tabla3[Medida],Tabla3[Equivalencia en Kg],"ELVIS",0)</f>
        <v>21.8433090828924</v>
      </c>
      <c r="M3027" s="2" t="n">
        <v>2759.06577122957</v>
      </c>
      <c r="N3027" s="3" t="n">
        <f aca="false">(Tabla2[[#This Row],[Productividad (kg/TAS)]]*Tabla2[[#This Row],[Precio por kg]]-Tabla2[[#This Row],[Costos (En RD$/Tarea)]])</f>
        <v>-921.111711410429</v>
      </c>
      <c r="O3027" s="9" t="n">
        <f aca="false">IF(Tabla2[[#This Row],[Costos (En RD$/Tarea)]]=0,0,Tabla2[[#This Row],[Beneficio Neto  (En RD$/Tarea)]]/Tabla2[[#This Row],[Costos (En RD$/Tarea)]])</f>
        <v>-0.3338491314761</v>
      </c>
      <c r="P3027" s="7" t="n">
        <f aca="false">Tabla2[[#This Row],[Rentabilidad (%)]]/12</f>
        <v>-0.0278207609563417</v>
      </c>
    </row>
    <row r="3028" customFormat="false" ht="14.25" hidden="false" customHeight="false" outlineLevel="0" collapsed="false">
      <c r="A3028" s="1" t="n">
        <v>44197</v>
      </c>
      <c r="B3028" s="2" t="s">
        <v>21</v>
      </c>
      <c r="C3028" s="3" t="n">
        <v>5784</v>
      </c>
      <c r="D3028" s="8" t="s">
        <v>17</v>
      </c>
      <c r="E3028" s="3" t="n">
        <f aca="false">IF(Tabla2[[#This Row],[Frecuencia]]="Annual", Tabla2[[#This Row],[Cosecha/Tarea]]/12,Tabla2[[#This Row],[Cosecha/Tarea]])</f>
        <v>5784</v>
      </c>
      <c r="F3028" s="3" t="n">
        <v>78544</v>
      </c>
      <c r="G3028" s="2" t="s">
        <v>18</v>
      </c>
      <c r="H3028" s="2" t="n">
        <f aca="false">F3028/Tabla2[[#This Row],[Cosecha Mensual]]</f>
        <v>13.5795297372061</v>
      </c>
      <c r="I3028" s="2" t="n">
        <f aca="false">H3028*_xlfn.XLOOKUP(Tabla2[[#This Row],[Unidad de producción]],Tabla3[Medida],Tabla3[Equivalencia en Kg],"ELVIS",0)</f>
        <v>615.967468879668</v>
      </c>
      <c r="J3028" s="2" t="n">
        <v>892.553571428571</v>
      </c>
      <c r="K3028" s="2" t="s">
        <v>18</v>
      </c>
      <c r="L3028" s="2" t="n">
        <f aca="false">J3028/_xlfn.XLOOKUP(Tabla2[[#This Row],[Unidad de precio]],Tabla3[Medida],Tabla3[Equivalencia en Kg],"ELVIS",0)</f>
        <v>19.6771069538927</v>
      </c>
      <c r="M3028" s="2" t="n">
        <v>6695.95013513731</v>
      </c>
      <c r="N3028" s="3" t="n">
        <f aca="false">(Tabla2[[#This Row],[Productividad (kg/TAS)]]*Tabla2[[#This Row],[Precio por kg]]-Tabla2[[#This Row],[Costos (En RD$/Tarea)]])</f>
        <v>5424.50763012646</v>
      </c>
      <c r="O3028" s="9" t="n">
        <f aca="false">IF(Tabla2[[#This Row],[Costos (En RD$/Tarea)]]=0,0,Tabla2[[#This Row],[Beneficio Neto  (En RD$/Tarea)]]/Tabla2[[#This Row],[Costos (En RD$/Tarea)]])</f>
        <v>0.810117686160939</v>
      </c>
      <c r="P3028" s="7" t="n">
        <f aca="false">Tabla2[[#This Row],[Rentabilidad (%)]]/12</f>
        <v>0.0675098071800783</v>
      </c>
    </row>
    <row r="3029" customFormat="false" ht="14.25" hidden="false" customHeight="false" outlineLevel="0" collapsed="false">
      <c r="A3029" s="1" t="n">
        <v>44197</v>
      </c>
      <c r="B3029" s="2" t="s">
        <v>22</v>
      </c>
      <c r="C3029" s="3" t="n">
        <v>9021</v>
      </c>
      <c r="D3029" s="8" t="s">
        <v>17</v>
      </c>
      <c r="E3029" s="3" t="n">
        <f aca="false">IF(Tabla2[[#This Row],[Frecuencia]]="Annual", Tabla2[[#This Row],[Cosecha/Tarea]]/12,Tabla2[[#This Row],[Cosecha/Tarea]])</f>
        <v>9021</v>
      </c>
      <c r="F3029" s="3" t="n">
        <v>75985</v>
      </c>
      <c r="G3029" s="2" t="s">
        <v>18</v>
      </c>
      <c r="H3029" s="2" t="n">
        <f aca="false">F3029/Tabla2[[#This Row],[Cosecha Mensual]]</f>
        <v>8.42312382219266</v>
      </c>
      <c r="I3029" s="2" t="n">
        <f aca="false">H3029*_xlfn.XLOOKUP(Tabla2[[#This Row],[Unidad de producción]],Tabla3[Medida],Tabla3[Equivalencia en Kg],"ELVIS",0)</f>
        <v>382.072896574659</v>
      </c>
      <c r="J3029" s="2" t="n">
        <v>2024.225</v>
      </c>
      <c r="K3029" s="2" t="s">
        <v>18</v>
      </c>
      <c r="L3029" s="2" t="n">
        <f aca="false">J3029/_xlfn.XLOOKUP(Tabla2[[#This Row],[Unidad de precio]],Tabla3[Medida],Tabla3[Equivalencia en Kg],"ELVIS",0)</f>
        <v>44.6257716049383</v>
      </c>
      <c r="M3029" s="2" t="n">
        <v>11609.3184891587</v>
      </c>
      <c r="N3029" s="3" t="n">
        <f aca="false">(Tabla2[[#This Row],[Productividad (kg/TAS)]]*Tabla2[[#This Row],[Precio por kg]]-Tabla2[[#This Row],[Costos (En RD$/Tarea)]])</f>
        <v>5440.97932981924</v>
      </c>
      <c r="O3029" s="9" t="n">
        <f aca="false">IF(Tabla2[[#This Row],[Costos (En RD$/Tarea)]]=0,0,Tabla2[[#This Row],[Beneficio Neto  (En RD$/Tarea)]]/Tabla2[[#This Row],[Costos (En RD$/Tarea)]])</f>
        <v>0.468673448394087</v>
      </c>
      <c r="P3029" s="7" t="n">
        <f aca="false">Tabla2[[#This Row],[Rentabilidad (%)]]/12</f>
        <v>0.0390561206995072</v>
      </c>
    </row>
    <row r="3030" customFormat="false" ht="14.25" hidden="false" customHeight="false" outlineLevel="0" collapsed="false">
      <c r="A3030" s="1" t="n">
        <v>44197</v>
      </c>
      <c r="B3030" s="2" t="s">
        <v>23</v>
      </c>
      <c r="C3030" s="3" t="n">
        <v>5204</v>
      </c>
      <c r="D3030" s="8" t="s">
        <v>17</v>
      </c>
      <c r="E3030" s="3" t="n">
        <f aca="false">IF(Tabla2[[#This Row],[Frecuencia]]="Annual", Tabla2[[#This Row],[Cosecha/Tarea]]/12,Tabla2[[#This Row],[Cosecha/Tarea]])</f>
        <v>5204</v>
      </c>
      <c r="F3030" s="3" t="n">
        <v>146989</v>
      </c>
      <c r="G3030" s="2" t="s">
        <v>18</v>
      </c>
      <c r="H3030" s="2" t="n">
        <f aca="false">F3030/Tabla2[[#This Row],[Cosecha Mensual]]</f>
        <v>28.2453881629516</v>
      </c>
      <c r="I3030" s="2" t="n">
        <f aca="false">H3030*_xlfn.XLOOKUP(Tabla2[[#This Row],[Unidad de producción]],Tabla3[Medida],Tabla3[Equivalencia en Kg],"ELVIS",0)</f>
        <v>1281.21080707148</v>
      </c>
      <c r="J3030" s="2" t="n">
        <v>1194</v>
      </c>
      <c r="K3030" s="2" t="s">
        <v>18</v>
      </c>
      <c r="L3030" s="2" t="n">
        <f aca="false">J3030/_xlfn.XLOOKUP(Tabla2[[#This Row],[Unidad de precio]],Tabla3[Medida],Tabla3[Equivalencia en Kg],"ELVIS",0)</f>
        <v>26.3227513227513</v>
      </c>
      <c r="M3030" s="2" t="n">
        <v>31774.6512666667</v>
      </c>
      <c r="N3030" s="3" t="n">
        <f aca="false">(Tabla2[[#This Row],[Productividad (kg/TAS)]]*Tabla2[[#This Row],[Precio por kg]]-Tabla2[[#This Row],[Costos (En RD$/Tarea)]])</f>
        <v>1950.34219989748</v>
      </c>
      <c r="O3030" s="9" t="n">
        <f aca="false">IF(Tabla2[[#This Row],[Costos (En RD$/Tarea)]]=0,0,Tabla2[[#This Row],[Beneficio Neto  (En RD$/Tarea)]]/Tabla2[[#This Row],[Costos (En RD$/Tarea)]])</f>
        <v>0.0613804439120154</v>
      </c>
      <c r="P3030" s="7" t="n">
        <f aca="false">Tabla2[[#This Row],[Rentabilidad (%)]]/12</f>
        <v>0.00511503699266795</v>
      </c>
    </row>
    <row r="3031" customFormat="false" ht="14.25" hidden="false" customHeight="false" outlineLevel="0" collapsed="false">
      <c r="A3031" s="1" t="n">
        <v>44197</v>
      </c>
      <c r="B3031" s="2" t="s">
        <v>24</v>
      </c>
      <c r="C3031" s="3" t="n">
        <v>5998</v>
      </c>
      <c r="D3031" s="8" t="s">
        <v>17</v>
      </c>
      <c r="E3031" s="3" t="n">
        <f aca="false">IF(Tabla2[[#This Row],[Frecuencia]]="Annual", Tabla2[[#This Row],[Cosecha/Tarea]]/12,Tabla2[[#This Row],[Cosecha/Tarea]])</f>
        <v>5998</v>
      </c>
      <c r="F3031" s="3" t="n">
        <v>72141</v>
      </c>
      <c r="G3031" s="2" t="s">
        <v>18</v>
      </c>
      <c r="H3031" s="2" t="n">
        <f aca="false">F3031/Tabla2[[#This Row],[Cosecha Mensual]]</f>
        <v>12.0275091697232</v>
      </c>
      <c r="I3031" s="2" t="n">
        <f aca="false">H3031*_xlfn.XLOOKUP(Tabla2[[#This Row],[Unidad de producción]],Tabla3[Medida],Tabla3[Equivalencia en Kg],"ELVIS",0)</f>
        <v>545.567815938646</v>
      </c>
      <c r="J3031" s="2" t="n">
        <v>3361.10119047619</v>
      </c>
      <c r="K3031" s="2" t="s">
        <v>18</v>
      </c>
      <c r="L3031" s="2" t="n">
        <f aca="false">J3031/_xlfn.XLOOKUP(Tabla2[[#This Row],[Unidad de precio]],Tabla3[Medida],Tabla3[Equivalencia en Kg],"ELVIS",0)</f>
        <v>74.0983507600571</v>
      </c>
      <c r="M3031" s="2" t="n">
        <v>9606.85680953384</v>
      </c>
      <c r="N3031" s="3" t="n">
        <f aca="false">(Tabla2[[#This Row],[Productividad (kg/TAS)]]*Tabla2[[#This Row],[Precio por kg]]-Tabla2[[#This Row],[Costos (En RD$/Tarea)]])</f>
        <v>30818.8185792862</v>
      </c>
      <c r="O3031" s="9" t="n">
        <f aca="false">IF(Tabla2[[#This Row],[Costos (En RD$/Tarea)]]=0,0,Tabla2[[#This Row],[Beneficio Neto  (En RD$/Tarea)]]/Tabla2[[#This Row],[Costos (En RD$/Tarea)]])</f>
        <v>3.20800228319232</v>
      </c>
      <c r="P3031" s="7" t="n">
        <f aca="false">Tabla2[[#This Row],[Rentabilidad (%)]]/12</f>
        <v>0.26733352359936</v>
      </c>
    </row>
    <row r="3032" customFormat="false" ht="14.25" hidden="false" customHeight="false" outlineLevel="0" collapsed="false">
      <c r="A3032" s="1" t="n">
        <v>44197</v>
      </c>
      <c r="B3032" s="2" t="s">
        <v>25</v>
      </c>
      <c r="C3032" s="3" t="n">
        <v>27451</v>
      </c>
      <c r="D3032" s="8" t="s">
        <v>17</v>
      </c>
      <c r="E3032" s="3" t="n">
        <f aca="false">IF(Tabla2[[#This Row],[Frecuencia]]="Annual", Tabla2[[#This Row],[Cosecha/Tarea]]/12,Tabla2[[#This Row],[Cosecha/Tarea]])</f>
        <v>27451</v>
      </c>
      <c r="F3032" s="3" t="n">
        <v>289954</v>
      </c>
      <c r="G3032" s="2" t="s">
        <v>18</v>
      </c>
      <c r="H3032" s="2" t="n">
        <f aca="false">F3032/Tabla2[[#This Row],[Cosecha Mensual]]</f>
        <v>10.562602455284</v>
      </c>
      <c r="I3032" s="2" t="n">
        <f aca="false">H3032*_xlfn.XLOOKUP(Tabla2[[#This Row],[Unidad de producción]],Tabla3[Medida],Tabla3[Equivalencia en Kg],"ELVIS",0)</f>
        <v>479.11964737168</v>
      </c>
      <c r="J3032" s="2" t="n">
        <v>624.755208333333</v>
      </c>
      <c r="K3032" s="2" t="s">
        <v>18</v>
      </c>
      <c r="L3032" s="2" t="n">
        <f aca="false">J3032/_xlfn.XLOOKUP(Tabla2[[#This Row],[Unidad de precio]],Tabla3[Medida],Tabla3[Equivalencia en Kg],"ELVIS",0)</f>
        <v>13.7732629703116</v>
      </c>
      <c r="M3032" s="2" t="n">
        <v>5403.38741449239</v>
      </c>
      <c r="N3032" s="3" t="n">
        <f aca="false">(Tabla2[[#This Row],[Productividad (kg/TAS)]]*Tabla2[[#This Row],[Precio por kg]]-Tabla2[[#This Row],[Costos (En RD$/Tarea)]])</f>
        <v>1195.65348300072</v>
      </c>
      <c r="O3032" s="9" t="n">
        <f aca="false">IF(Tabla2[[#This Row],[Costos (En RD$/Tarea)]]=0,0,Tabla2[[#This Row],[Beneficio Neto  (En RD$/Tarea)]]/Tabla2[[#This Row],[Costos (En RD$/Tarea)]])</f>
        <v>0.221278503886999</v>
      </c>
      <c r="P3032" s="7" t="n">
        <f aca="false">Tabla2[[#This Row],[Rentabilidad (%)]]/12</f>
        <v>0.0184398753239166</v>
      </c>
    </row>
    <row r="3033" customFormat="false" ht="14.25" hidden="false" customHeight="false" outlineLevel="0" collapsed="false">
      <c r="A3033" s="1" t="n">
        <v>44197</v>
      </c>
      <c r="B3033" s="2" t="s">
        <v>26</v>
      </c>
      <c r="C3033" s="3" t="n">
        <v>13421</v>
      </c>
      <c r="D3033" s="8" t="s">
        <v>17</v>
      </c>
      <c r="E3033" s="3" t="n">
        <f aca="false">IF(Tabla2[[#This Row],[Frecuencia]]="Annual", Tabla2[[#This Row],[Cosecha/Tarea]]/12,Tabla2[[#This Row],[Cosecha/Tarea]])</f>
        <v>13421</v>
      </c>
      <c r="F3033" s="3" t="n">
        <v>86524</v>
      </c>
      <c r="G3033" s="2" t="s">
        <v>18</v>
      </c>
      <c r="H3033" s="2" t="n">
        <f aca="false">F3033/Tabla2[[#This Row],[Cosecha Mensual]]</f>
        <v>6.44691155651591</v>
      </c>
      <c r="I3033" s="2" t="n">
        <f aca="false">H3033*_xlfn.XLOOKUP(Tabla2[[#This Row],[Unidad de producción]],Tabla3[Medida],Tabla3[Equivalencia en Kg],"ELVIS",0)</f>
        <v>292.431908203562</v>
      </c>
      <c r="J3033" s="2" t="n">
        <v>879.973548611111</v>
      </c>
      <c r="K3033" s="2" t="s">
        <v>18</v>
      </c>
      <c r="L3033" s="2" t="n">
        <f aca="false">J3033/_xlfn.XLOOKUP(Tabla2[[#This Row],[Unidad de precio]],Tabla3[Medida],Tabla3[Equivalencia en Kg],"ELVIS",0)</f>
        <v>19.399769590192</v>
      </c>
      <c r="M3033" s="2" t="n">
        <v>1910.99135924874</v>
      </c>
      <c r="N3033" s="3" t="n">
        <f aca="false">(Tabla2[[#This Row],[Productividad (kg/TAS)]]*Tabla2[[#This Row],[Precio por kg]]-Tabla2[[#This Row],[Costos (En RD$/Tarea)]])</f>
        <v>3762.12028072055</v>
      </c>
      <c r="O3033" s="9" t="n">
        <f aca="false">IF(Tabla2[[#This Row],[Costos (En RD$/Tarea)]]=0,0,Tabla2[[#This Row],[Beneficio Neto  (En RD$/Tarea)]]/Tabla2[[#This Row],[Costos (En RD$/Tarea)]])</f>
        <v>1.96867466852364</v>
      </c>
      <c r="P3033" s="7" t="n">
        <f aca="false">Tabla2[[#This Row],[Rentabilidad (%)]]/12</f>
        <v>0.16405622237697</v>
      </c>
    </row>
    <row r="3034" customFormat="false" ht="14.25" hidden="false" customHeight="false" outlineLevel="0" collapsed="false">
      <c r="A3034" s="1" t="n">
        <v>44197</v>
      </c>
      <c r="B3034" s="2" t="s">
        <v>27</v>
      </c>
      <c r="C3034" s="3" t="n">
        <v>6784</v>
      </c>
      <c r="D3034" s="8" t="s">
        <v>17</v>
      </c>
      <c r="E3034" s="3" t="n">
        <f aca="false">IF(Tabla2[[#This Row],[Frecuencia]]="Annual", Tabla2[[#This Row],[Cosecha/Tarea]]/12,Tabla2[[#This Row],[Cosecha/Tarea]])</f>
        <v>6784</v>
      </c>
      <c r="F3034" s="3" t="n">
        <v>57547</v>
      </c>
      <c r="G3034" s="2" t="s">
        <v>18</v>
      </c>
      <c r="H3034" s="2" t="n">
        <f aca="false">F3034/Tabla2[[#This Row],[Cosecha Mensual]]</f>
        <v>8.48275353773585</v>
      </c>
      <c r="I3034" s="2" t="n">
        <f aca="false">H3034*_xlfn.XLOOKUP(Tabla2[[#This Row],[Unidad de producción]],Tabla3[Medida],Tabla3[Equivalencia en Kg],"ELVIS",0)</f>
        <v>384.777700471698</v>
      </c>
      <c r="J3034" s="2" t="n">
        <v>809.033333333333</v>
      </c>
      <c r="K3034" s="2" t="s">
        <v>18</v>
      </c>
      <c r="L3034" s="2" t="n">
        <f aca="false">J3034/_xlfn.XLOOKUP(Tabla2[[#This Row],[Unidad de precio]],Tabla3[Medida],Tabla3[Equivalencia en Kg],"ELVIS",0)</f>
        <v>17.8358318636096</v>
      </c>
      <c r="M3034" s="2" t="n">
        <v>10561.2569707933</v>
      </c>
      <c r="N3034" s="3" t="n">
        <f aca="false">(Tabla2[[#This Row],[Productividad (kg/TAS)]]*Tabla2[[#This Row],[Precio por kg]]-Tabla2[[#This Row],[Costos (En RD$/Tarea)]])</f>
        <v>-3698.42660031374</v>
      </c>
      <c r="O3034" s="9" t="n">
        <f aca="false">IF(Tabla2[[#This Row],[Costos (En RD$/Tarea)]]=0,0,Tabla2[[#This Row],[Beneficio Neto  (En RD$/Tarea)]]/Tabla2[[#This Row],[Costos (En RD$/Tarea)]])</f>
        <v>-0.350188108341799</v>
      </c>
      <c r="P3034" s="7" t="n">
        <f aca="false">Tabla2[[#This Row],[Rentabilidad (%)]]/12</f>
        <v>-0.0291823423618166</v>
      </c>
    </row>
    <row r="3035" customFormat="false" ht="14.25" hidden="false" customHeight="false" outlineLevel="0" collapsed="false">
      <c r="A3035" s="1" t="n">
        <v>44197</v>
      </c>
      <c r="B3035" s="2" t="s">
        <v>28</v>
      </c>
      <c r="C3035" s="3" t="n">
        <v>66441</v>
      </c>
      <c r="D3035" s="8" t="s">
        <v>17</v>
      </c>
      <c r="E3035" s="3" t="n">
        <f aca="false">IF(Tabla2[[#This Row],[Frecuencia]]="Annual", Tabla2[[#This Row],[Cosecha/Tarea]]/12,Tabla2[[#This Row],[Cosecha/Tarea]])</f>
        <v>66441</v>
      </c>
      <c r="F3035" s="3" t="n">
        <v>1226087</v>
      </c>
      <c r="G3035" s="2" t="s">
        <v>18</v>
      </c>
      <c r="H3035" s="2" t="n">
        <f aca="false">F3035/Tabla2[[#This Row],[Cosecha Mensual]]</f>
        <v>18.4537710148854</v>
      </c>
      <c r="I3035" s="2" t="n">
        <f aca="false">H3035*_xlfn.XLOOKUP(Tabla2[[#This Row],[Unidad de producción]],Tabla3[Medida],Tabla3[Equivalencia en Kg],"ELVIS",0)</f>
        <v>837.063053235201</v>
      </c>
      <c r="J3035" s="2" t="n">
        <v>12062.5</v>
      </c>
      <c r="K3035" s="2" t="s">
        <v>29</v>
      </c>
      <c r="L3035" s="2" t="n">
        <f aca="false">J3035/_xlfn.XLOOKUP(Tabla2[[#This Row],[Unidad de precio]],Tabla3[Medida],Tabla3[Equivalencia en Kg],"ELVIS",0)</f>
        <v>21.4505459330654</v>
      </c>
      <c r="M3035" s="2" t="n">
        <v>20320.344</v>
      </c>
      <c r="N3035" s="3" t="n">
        <f aca="false">(Tabla2[[#This Row],[Productividad (kg/TAS)]]*Tabla2[[#This Row],[Precio por kg]]-Tabla2[[#This Row],[Costos (En RD$/Tarea)]])</f>
        <v>-2364.88452770635</v>
      </c>
      <c r="O3035" s="9" t="n">
        <f aca="false">IF(Tabla2[[#This Row],[Costos (En RD$/Tarea)]]=0,0,Tabla2[[#This Row],[Beneficio Neto  (En RD$/Tarea)]]/Tabla2[[#This Row],[Costos (En RD$/Tarea)]])</f>
        <v>-0.116380142368965</v>
      </c>
      <c r="P3035" s="7" t="n">
        <f aca="false">Tabla2[[#This Row],[Rentabilidad (%)]]/12</f>
        <v>-0.00969834519741377</v>
      </c>
    </row>
    <row r="3036" customFormat="false" ht="14.25" hidden="false" customHeight="false" outlineLevel="0" collapsed="false">
      <c r="A3036" s="1" t="n">
        <v>44197</v>
      </c>
      <c r="B3036" s="2" t="s">
        <v>30</v>
      </c>
      <c r="C3036" s="3" t="n">
        <v>429547</v>
      </c>
      <c r="D3036" s="3" t="s">
        <v>31</v>
      </c>
      <c r="E3036" s="3" t="n">
        <f aca="false">IF(Tabla2[[#This Row],[Frecuencia]]="Annual", Tabla2[[#This Row],[Cosecha/Tarea]]/12,Tabla2[[#This Row],[Cosecha/Tarea]])</f>
        <v>35795.5833333333</v>
      </c>
      <c r="F3036" s="3" t="n">
        <v>1967392</v>
      </c>
      <c r="G3036" s="2" t="s">
        <v>18</v>
      </c>
      <c r="H3036" s="2" t="n">
        <f aca="false">F3036/Tabla2[[#This Row],[Cosecha Mensual]]</f>
        <v>54.9618644758315</v>
      </c>
      <c r="I3036" s="2" t="n">
        <f aca="false">H3036*_xlfn.XLOOKUP(Tabla2[[#This Row],[Unidad de producción]],Tabla3[Medida],Tabla3[Equivalencia en Kg],"ELVIS",0)</f>
        <v>2493.07017262372</v>
      </c>
      <c r="J3036" s="2" t="n">
        <v>222.921875</v>
      </c>
      <c r="K3036" s="2" t="s">
        <v>32</v>
      </c>
      <c r="L3036" s="2" t="n">
        <f aca="false">J3036/_xlfn.XLOOKUP(Tabla2[[#This Row],[Unidad de precio]],Tabla3[Medida],Tabla3[Equivalencia en Kg],"ELVIS",0)</f>
        <v>8.19264516721793</v>
      </c>
      <c r="M3036" s="3" t="n">
        <v>40592.4361945306</v>
      </c>
      <c r="N3036" s="3" t="n">
        <f aca="false">(Tabla2[[#This Row],[Productividad (kg/TAS)]]*Tabla2[[#This Row],[Precio por kg]]-Tabla2[[#This Row],[Costos (En RD$/Tarea)]])</f>
        <v>-20167.5968932497</v>
      </c>
      <c r="O3036" s="9" t="n">
        <f aca="false">IF(Tabla2[[#This Row],[Costos (En RD$/Tarea)]]=0,0,Tabla2[[#This Row],[Beneficio Neto  (En RD$/Tarea)]]/Tabla2[[#This Row],[Costos (En RD$/Tarea)]])</f>
        <v>-0.496831399736661</v>
      </c>
      <c r="P3036" s="7" t="n">
        <f aca="false">Tabla2[[#This Row],[Rentabilidad (%)]]/12</f>
        <v>-0.0414026166447217</v>
      </c>
    </row>
    <row r="3037" customFormat="false" ht="14.25" hidden="false" customHeight="false" outlineLevel="0" collapsed="false">
      <c r="A3037" s="1" t="n">
        <v>44197</v>
      </c>
      <c r="B3037" s="2" t="s">
        <v>33</v>
      </c>
      <c r="C3037" s="3" t="n">
        <v>736584</v>
      </c>
      <c r="D3037" s="3" t="s">
        <v>31</v>
      </c>
      <c r="E3037" s="3" t="n">
        <f aca="false">IF(Tabla2[[#This Row],[Frecuencia]]="Annual", Tabla2[[#This Row],[Cosecha/Tarea]]/12,Tabla2[[#This Row],[Cosecha/Tarea]])</f>
        <v>61382</v>
      </c>
      <c r="F3037" s="3" t="n">
        <v>1368126</v>
      </c>
      <c r="G3037" s="2" t="s">
        <v>18</v>
      </c>
      <c r="H3037" s="2" t="n">
        <f aca="false">F3037/Tabla2[[#This Row],[Cosecha Mensual]]</f>
        <v>22.2887165618585</v>
      </c>
      <c r="I3037" s="2" t="n">
        <f aca="false">H3037*_xlfn.XLOOKUP(Tabla2[[#This Row],[Unidad de producción]],Tabla3[Medida],Tabla3[Equivalencia en Kg],"ELVIS",0)</f>
        <v>1011.0161832459</v>
      </c>
      <c r="J3037" s="2" t="n">
        <v>9687.32291666667</v>
      </c>
      <c r="K3037" s="2" t="s">
        <v>34</v>
      </c>
      <c r="L3037" s="2" t="n">
        <f aca="false">J3037/_xlfn.XLOOKUP(Tabla2[[#This Row],[Unidad de precio]],Tabla3[Medida],Tabla3[Equivalencia en Kg],"ELVIS",0)</f>
        <v>23.7347125239904</v>
      </c>
      <c r="M3037" s="3" t="n">
        <v>43963.4440344</v>
      </c>
      <c r="N3037" s="3" t="n">
        <f aca="false">(Tabla2[[#This Row],[Productividad (kg/TAS)]]*Tabla2[[#This Row],[Precio por kg]]-Tabla2[[#This Row],[Costos (En RD$/Tarea)]])</f>
        <v>-19967.2655679565</v>
      </c>
      <c r="O3037" s="9" t="n">
        <f aca="false">IF(Tabla2[[#This Row],[Costos (En RD$/Tarea)]]=0,0,Tabla2[[#This Row],[Beneficio Neto  (En RD$/Tarea)]]/Tabla2[[#This Row],[Costos (En RD$/Tarea)]])</f>
        <v>-0.454178829855386</v>
      </c>
      <c r="P3037" s="7" t="n">
        <f aca="false">Tabla2[[#This Row],[Rentabilidad (%)]]/12</f>
        <v>-0.0378482358212822</v>
      </c>
    </row>
    <row r="3038" customFormat="false" ht="14.25" hidden="false" customHeight="false" outlineLevel="0" collapsed="false">
      <c r="A3038" s="1" t="n">
        <v>44228</v>
      </c>
      <c r="B3038" s="2" t="s">
        <v>16</v>
      </c>
      <c r="C3038" s="3" t="n">
        <v>4493</v>
      </c>
      <c r="D3038" s="8" t="s">
        <v>17</v>
      </c>
      <c r="E3038" s="3" t="n">
        <f aca="false">IF(Tabla2[[#This Row],[Frecuencia]]="Annual", Tabla2[[#This Row],[Cosecha/Tarea]]/12,Tabla2[[#This Row],[Cosecha/Tarea]])</f>
        <v>4493</v>
      </c>
      <c r="F3038" s="3" t="n">
        <v>15964</v>
      </c>
      <c r="G3038" s="2" t="s">
        <v>18</v>
      </c>
      <c r="H3038" s="2" t="n">
        <f aca="false">F3038/Tabla2[[#This Row],[Cosecha Mensual]]</f>
        <v>3.55308257289116</v>
      </c>
      <c r="I3038" s="2" t="n">
        <f aca="false">H3038*_xlfn.XLOOKUP(Tabla2[[#This Row],[Unidad de producción]],Tabla3[Medida],Tabla3[Equivalencia en Kg],"ELVIS",0)</f>
        <v>161.167825506343</v>
      </c>
      <c r="J3038" s="2" t="n">
        <v>2336.96387972131</v>
      </c>
      <c r="K3038" s="2" t="s">
        <v>19</v>
      </c>
      <c r="L3038" s="2" t="n">
        <f aca="false">J3038/_xlfn.XLOOKUP(Tabla2[[#This Row],[Unidad de precio]],Tabla3[Medida],Tabla3[Equivalencia en Kg],"ELVIS",0)</f>
        <v>21.2451261792846</v>
      </c>
      <c r="M3038" s="2" t="n">
        <v>7900.39794477161</v>
      </c>
      <c r="N3038" s="3" t="n">
        <f aca="false">(Tabla2[[#This Row],[Productividad (kg/TAS)]]*Tabla2[[#This Row],[Precio por kg]]-Tabla2[[#This Row],[Costos (En RD$/Tarea)]])</f>
        <v>-4476.36715584842</v>
      </c>
      <c r="O3038" s="9" t="n">
        <f aca="false">IF(Tabla2[[#This Row],[Costos (En RD$/Tarea)]]=0,0,Tabla2[[#This Row],[Beneficio Neto  (En RD$/Tarea)]]/Tabla2[[#This Row],[Costos (En RD$/Tarea)]])</f>
        <v>-0.566600212690657</v>
      </c>
      <c r="P3038" s="7" t="n">
        <f aca="false">Tabla2[[#This Row],[Rentabilidad (%)]]/12</f>
        <v>-0.047216684390888</v>
      </c>
    </row>
    <row r="3039" customFormat="false" ht="14.25" hidden="false" customHeight="false" outlineLevel="0" collapsed="false">
      <c r="A3039" s="1" t="n">
        <v>44228</v>
      </c>
      <c r="B3039" s="2" t="s">
        <v>20</v>
      </c>
      <c r="C3039" s="3" t="n">
        <v>32154</v>
      </c>
      <c r="D3039" s="8" t="s">
        <v>17</v>
      </c>
      <c r="E3039" s="3" t="n">
        <f aca="false">IF(Tabla2[[#This Row],[Frecuencia]]="Annual", Tabla2[[#This Row],[Cosecha/Tarea]]/12,Tabla2[[#This Row],[Cosecha/Tarea]])</f>
        <v>32154</v>
      </c>
      <c r="F3039" s="3" t="n">
        <v>79854</v>
      </c>
      <c r="G3039" s="2" t="s">
        <v>18</v>
      </c>
      <c r="H3039" s="2" t="n">
        <f aca="false">F3039/Tabla2[[#This Row],[Cosecha Mensual]]</f>
        <v>2.48348572494868</v>
      </c>
      <c r="I3039" s="2" t="n">
        <f aca="false">H3039*_xlfn.XLOOKUP(Tabla2[[#This Row],[Unidad de producción]],Tabla3[Medida],Tabla3[Equivalencia en Kg],"ELVIS",0)</f>
        <v>112.650912483672</v>
      </c>
      <c r="J3039" s="2" t="n">
        <v>982.616319444445</v>
      </c>
      <c r="K3039" s="2" t="s">
        <v>18</v>
      </c>
      <c r="L3039" s="2" t="n">
        <f aca="false">J3039/_xlfn.XLOOKUP(Tabla2[[#This Row],[Unidad de precio]],Tabla3[Medida],Tabla3[Equivalencia en Kg],"ELVIS",0)</f>
        <v>21.6626172717029</v>
      </c>
      <c r="M3039" s="2" t="n">
        <v>2759.06577122957</v>
      </c>
      <c r="N3039" s="3" t="n">
        <f aca="false">(Tabla2[[#This Row],[Productividad (kg/TAS)]]*Tabla2[[#This Row],[Precio por kg]]-Tabla2[[#This Row],[Costos (En RD$/Tarea)]])</f>
        <v>-318.752168787675</v>
      </c>
      <c r="O3039" s="9" t="n">
        <f aca="false">IF(Tabla2[[#This Row],[Costos (En RD$/Tarea)]]=0,0,Tabla2[[#This Row],[Beneficio Neto  (En RD$/Tarea)]]/Tabla2[[#This Row],[Costos (En RD$/Tarea)]])</f>
        <v>-0.115529021493976</v>
      </c>
      <c r="P3039" s="7" t="n">
        <f aca="false">Tabla2[[#This Row],[Rentabilidad (%)]]/12</f>
        <v>-0.00962741845783134</v>
      </c>
    </row>
    <row r="3040" customFormat="false" ht="14.25" hidden="false" customHeight="false" outlineLevel="0" collapsed="false">
      <c r="A3040" s="1" t="n">
        <v>44228</v>
      </c>
      <c r="B3040" s="2" t="s">
        <v>21</v>
      </c>
      <c r="C3040" s="3" t="n">
        <v>11452</v>
      </c>
      <c r="D3040" s="8" t="s">
        <v>17</v>
      </c>
      <c r="E3040" s="3" t="n">
        <f aca="false">IF(Tabla2[[#This Row],[Frecuencia]]="Annual", Tabla2[[#This Row],[Cosecha/Tarea]]/12,Tabla2[[#This Row],[Cosecha/Tarea]])</f>
        <v>11452</v>
      </c>
      <c r="F3040" s="3" t="n">
        <v>110249</v>
      </c>
      <c r="G3040" s="2" t="s">
        <v>18</v>
      </c>
      <c r="H3040" s="2" t="n">
        <f aca="false">F3040/Tabla2[[#This Row],[Cosecha Mensual]]</f>
        <v>9.62705204331121</v>
      </c>
      <c r="I3040" s="2" t="n">
        <f aca="false">H3040*_xlfn.XLOOKUP(Tabla2[[#This Row],[Unidad de producción]],Tabla3[Medida],Tabla3[Equivalencia en Kg],"ELVIS",0)</f>
        <v>436.683080684597</v>
      </c>
      <c r="J3040" s="2" t="n">
        <v>792.484375</v>
      </c>
      <c r="K3040" s="2" t="s">
        <v>18</v>
      </c>
      <c r="L3040" s="2" t="n">
        <f aca="false">J3040/_xlfn.XLOOKUP(Tabla2[[#This Row],[Unidad de precio]],Tabla3[Medida],Tabla3[Equivalencia en Kg],"ELVIS",0)</f>
        <v>17.4709959215168</v>
      </c>
      <c r="M3040" s="2" t="n">
        <v>6695.95013513731</v>
      </c>
      <c r="N3040" s="3" t="n">
        <f aca="false">(Tabla2[[#This Row],[Productividad (kg/TAS)]]*Tabla2[[#This Row],[Precio por kg]]-Tabla2[[#This Row],[Costos (En RD$/Tarea)]])</f>
        <v>933.338186498649</v>
      </c>
      <c r="O3040" s="9" t="n">
        <f aca="false">IF(Tabla2[[#This Row],[Costos (En RD$/Tarea)]]=0,0,Tabla2[[#This Row],[Beneficio Neto  (En RD$/Tarea)]]/Tabla2[[#This Row],[Costos (En RD$/Tarea)]])</f>
        <v>0.139388461332905</v>
      </c>
      <c r="P3040" s="7" t="n">
        <f aca="false">Tabla2[[#This Row],[Rentabilidad (%)]]/12</f>
        <v>0.0116157051110754</v>
      </c>
    </row>
    <row r="3041" customFormat="false" ht="14.25" hidden="false" customHeight="false" outlineLevel="0" collapsed="false">
      <c r="A3041" s="1" t="n">
        <v>44228</v>
      </c>
      <c r="B3041" s="2" t="s">
        <v>22</v>
      </c>
      <c r="C3041" s="3" t="n">
        <v>9534</v>
      </c>
      <c r="D3041" s="8" t="s">
        <v>17</v>
      </c>
      <c r="E3041" s="3" t="n">
        <f aca="false">IF(Tabla2[[#This Row],[Frecuencia]]="Annual", Tabla2[[#This Row],[Cosecha/Tarea]]/12,Tabla2[[#This Row],[Cosecha/Tarea]])</f>
        <v>9534</v>
      </c>
      <c r="F3041" s="3" t="n">
        <v>82014</v>
      </c>
      <c r="G3041" s="2" t="s">
        <v>18</v>
      </c>
      <c r="H3041" s="2" t="n">
        <f aca="false">F3041/Tabla2[[#This Row],[Cosecha Mensual]]</f>
        <v>8.60226557583386</v>
      </c>
      <c r="I3041" s="2" t="n">
        <f aca="false">H3041*_xlfn.XLOOKUP(Tabla2[[#This Row],[Unidad de producción]],Tabla3[Medida],Tabla3[Equivalencia en Kg],"ELVIS",0)</f>
        <v>390.198766519824</v>
      </c>
      <c r="J3041" s="2" t="n">
        <v>1870.671875</v>
      </c>
      <c r="K3041" s="2" t="s">
        <v>18</v>
      </c>
      <c r="L3041" s="2" t="n">
        <f aca="false">J3041/_xlfn.XLOOKUP(Tabla2[[#This Row],[Unidad de precio]],Tabla3[Medida],Tabla3[Equivalencia en Kg],"ELVIS",0)</f>
        <v>41.2405616181658</v>
      </c>
      <c r="M3041" s="2" t="n">
        <v>11609.3184891587</v>
      </c>
      <c r="N3041" s="3" t="n">
        <f aca="false">(Tabla2[[#This Row],[Productividad (kg/TAS)]]*Tabla2[[#This Row],[Precio por kg]]-Tabla2[[#This Row],[Costos (En RD$/Tarea)]])</f>
        <v>4482.69778483438</v>
      </c>
      <c r="O3041" s="9" t="n">
        <f aca="false">IF(Tabla2[[#This Row],[Costos (En RD$/Tarea)]]=0,0,Tabla2[[#This Row],[Beneficio Neto  (En RD$/Tarea)]]/Tabla2[[#This Row],[Costos (En RD$/Tarea)]])</f>
        <v>0.386129279597292</v>
      </c>
      <c r="P3041" s="7" t="n">
        <f aca="false">Tabla2[[#This Row],[Rentabilidad (%)]]/12</f>
        <v>0.032177439966441</v>
      </c>
    </row>
    <row r="3042" customFormat="false" ht="14.25" hidden="false" customHeight="false" outlineLevel="0" collapsed="false">
      <c r="A3042" s="1" t="n">
        <v>44228</v>
      </c>
      <c r="B3042" s="2" t="s">
        <v>23</v>
      </c>
      <c r="C3042" s="3" t="n">
        <v>5589</v>
      </c>
      <c r="D3042" s="8" t="s">
        <v>17</v>
      </c>
      <c r="E3042" s="3" t="n">
        <f aca="false">IF(Tabla2[[#This Row],[Frecuencia]]="Annual", Tabla2[[#This Row],[Cosecha/Tarea]]/12,Tabla2[[#This Row],[Cosecha/Tarea]])</f>
        <v>5589</v>
      </c>
      <c r="F3042" s="3" t="n">
        <v>190299</v>
      </c>
      <c r="G3042" s="2" t="s">
        <v>18</v>
      </c>
      <c r="H3042" s="2" t="n">
        <f aca="false">F3042/Tabla2[[#This Row],[Cosecha Mensual]]</f>
        <v>34.0488459473967</v>
      </c>
      <c r="I3042" s="2" t="n">
        <f aca="false">H3042*_xlfn.XLOOKUP(Tabla2[[#This Row],[Unidad de producción]],Tabla3[Medida],Tabla3[Equivalencia en Kg],"ELVIS",0)</f>
        <v>1544.45565217391</v>
      </c>
      <c r="J3042" s="2" t="n">
        <v>1196.66666666667</v>
      </c>
      <c r="K3042" s="2" t="s">
        <v>18</v>
      </c>
      <c r="L3042" s="2" t="n">
        <f aca="false">J3042/_xlfn.XLOOKUP(Tabla2[[#This Row],[Unidad de precio]],Tabla3[Medida],Tabla3[Equivalencia en Kg],"ELVIS",0)</f>
        <v>26.3815402704292</v>
      </c>
      <c r="M3042" s="2" t="n">
        <v>31774.6512666667</v>
      </c>
      <c r="N3042" s="3" t="n">
        <f aca="false">(Tabla2[[#This Row],[Productividad (kg/TAS)]]*Tabla2[[#This Row],[Precio por kg]]-Tabla2[[#This Row],[Costos (En RD$/Tarea)]])</f>
        <v>8970.46771705142</v>
      </c>
      <c r="O3042" s="9" t="n">
        <f aca="false">IF(Tabla2[[#This Row],[Costos (En RD$/Tarea)]]=0,0,Tabla2[[#This Row],[Beneficio Neto  (En RD$/Tarea)]]/Tabla2[[#This Row],[Costos (En RD$/Tarea)]])</f>
        <v>0.282315221708253</v>
      </c>
      <c r="P3042" s="7" t="n">
        <f aca="false">Tabla2[[#This Row],[Rentabilidad (%)]]/12</f>
        <v>0.0235262684756877</v>
      </c>
    </row>
    <row r="3043" customFormat="false" ht="14.25" hidden="false" customHeight="false" outlineLevel="0" collapsed="false">
      <c r="A3043" s="1" t="n">
        <v>44228</v>
      </c>
      <c r="B3043" s="2" t="s">
        <v>24</v>
      </c>
      <c r="C3043" s="3" t="n">
        <v>7629</v>
      </c>
      <c r="D3043" s="8" t="s">
        <v>17</v>
      </c>
      <c r="E3043" s="3" t="n">
        <f aca="false">IF(Tabla2[[#This Row],[Frecuencia]]="Annual", Tabla2[[#This Row],[Cosecha/Tarea]]/12,Tabla2[[#This Row],[Cosecha/Tarea]])</f>
        <v>7629</v>
      </c>
      <c r="F3043" s="3" t="n">
        <v>67524</v>
      </c>
      <c r="G3043" s="2" t="s">
        <v>18</v>
      </c>
      <c r="H3043" s="2" t="n">
        <f aca="false">F3043/Tabla2[[#This Row],[Cosecha Mensual]]</f>
        <v>8.85096342902084</v>
      </c>
      <c r="I3043" s="2" t="n">
        <f aca="false">H3043*_xlfn.XLOOKUP(Tabla2[[#This Row],[Unidad de producción]],Tabla3[Medida],Tabla3[Equivalencia en Kg],"ELVIS",0)</f>
        <v>401.479701140385</v>
      </c>
      <c r="J3043" s="2" t="n">
        <v>2929.73324074074</v>
      </c>
      <c r="K3043" s="2" t="s">
        <v>18</v>
      </c>
      <c r="L3043" s="2" t="n">
        <f aca="false">J3043/_xlfn.XLOOKUP(Tabla2[[#This Row],[Unidad de precio]],Tabla3[Medida],Tabla3[Equivalencia en Kg],"ELVIS",0)</f>
        <v>64.5884753249722</v>
      </c>
      <c r="M3043" s="2" t="n">
        <v>9606.85680953384</v>
      </c>
      <c r="N3043" s="3" t="n">
        <f aca="false">(Tabla2[[#This Row],[Productividad (kg/TAS)]]*Tabla2[[#This Row],[Precio por kg]]-Tabla2[[#This Row],[Costos (En RD$/Tarea)]])</f>
        <v>16324.1049610492</v>
      </c>
      <c r="O3043" s="9" t="n">
        <f aca="false">IF(Tabla2[[#This Row],[Costos (En RD$/Tarea)]]=0,0,Tabla2[[#This Row],[Beneficio Neto  (En RD$/Tarea)]]/Tabla2[[#This Row],[Costos (En RD$/Tarea)]])</f>
        <v>1.6992139348688</v>
      </c>
      <c r="P3043" s="7" t="n">
        <f aca="false">Tabla2[[#This Row],[Rentabilidad (%)]]/12</f>
        <v>0.141601161239067</v>
      </c>
    </row>
    <row r="3044" customFormat="false" ht="14.25" hidden="false" customHeight="false" outlineLevel="0" collapsed="false">
      <c r="A3044" s="1" t="n">
        <v>44228</v>
      </c>
      <c r="B3044" s="2" t="s">
        <v>25</v>
      </c>
      <c r="C3044" s="3" t="n">
        <v>37214</v>
      </c>
      <c r="D3044" s="8" t="s">
        <v>17</v>
      </c>
      <c r="E3044" s="3" t="n">
        <f aca="false">IF(Tabla2[[#This Row],[Frecuencia]]="Annual", Tabla2[[#This Row],[Cosecha/Tarea]]/12,Tabla2[[#This Row],[Cosecha/Tarea]])</f>
        <v>37214</v>
      </c>
      <c r="F3044" s="3" t="n">
        <v>425789</v>
      </c>
      <c r="G3044" s="2" t="s">
        <v>18</v>
      </c>
      <c r="H3044" s="2" t="n">
        <f aca="false">F3044/Tabla2[[#This Row],[Cosecha Mensual]]</f>
        <v>11.4416348685978</v>
      </c>
      <c r="I3044" s="2" t="n">
        <f aca="false">H3044*_xlfn.XLOOKUP(Tabla2[[#This Row],[Unidad de producción]],Tabla3[Medida],Tabla3[Equivalencia en Kg],"ELVIS",0)</f>
        <v>518.992557639598</v>
      </c>
      <c r="J3044" s="2" t="n">
        <v>637.169375</v>
      </c>
      <c r="K3044" s="2" t="s">
        <v>18</v>
      </c>
      <c r="L3044" s="2" t="n">
        <f aca="false">J3044/_xlfn.XLOOKUP(Tabla2[[#This Row],[Unidad de precio]],Tabla3[Medida],Tabla3[Equivalencia en Kg],"ELVIS",0)</f>
        <v>14.0469438932981</v>
      </c>
      <c r="M3044" s="2" t="n">
        <v>5403.38741449239</v>
      </c>
      <c r="N3044" s="3" t="n">
        <f aca="false">(Tabla2[[#This Row],[Productividad (kg/TAS)]]*Tabla2[[#This Row],[Precio por kg]]-Tabla2[[#This Row],[Costos (En RD$/Tarea)]])</f>
        <v>1886.8719237103</v>
      </c>
      <c r="O3044" s="9" t="n">
        <f aca="false">IF(Tabla2[[#This Row],[Costos (En RD$/Tarea)]]=0,0,Tabla2[[#This Row],[Beneficio Neto  (En RD$/Tarea)]]/Tabla2[[#This Row],[Costos (En RD$/Tarea)]])</f>
        <v>0.349201672759857</v>
      </c>
      <c r="P3044" s="7" t="n">
        <f aca="false">Tabla2[[#This Row],[Rentabilidad (%)]]/12</f>
        <v>0.0291001393966547</v>
      </c>
    </row>
    <row r="3045" customFormat="false" ht="14.25" hidden="false" customHeight="false" outlineLevel="0" collapsed="false">
      <c r="A3045" s="1" t="n">
        <v>44228</v>
      </c>
      <c r="B3045" s="2" t="s">
        <v>26</v>
      </c>
      <c r="C3045" s="3" t="n">
        <v>14201</v>
      </c>
      <c r="D3045" s="8" t="s">
        <v>17</v>
      </c>
      <c r="E3045" s="3" t="n">
        <f aca="false">IF(Tabla2[[#This Row],[Frecuencia]]="Annual", Tabla2[[#This Row],[Cosecha/Tarea]]/12,Tabla2[[#This Row],[Cosecha/Tarea]])</f>
        <v>14201</v>
      </c>
      <c r="F3045" s="3" t="n">
        <v>93254</v>
      </c>
      <c r="G3045" s="2" t="s">
        <v>18</v>
      </c>
      <c r="H3045" s="2" t="n">
        <f aca="false">F3045/Tabla2[[#This Row],[Cosecha Mensual]]</f>
        <v>6.56672065347511</v>
      </c>
      <c r="I3045" s="2" t="n">
        <f aca="false">H3045*_xlfn.XLOOKUP(Tabla2[[#This Row],[Unidad de producción]],Tabla3[Medida],Tabla3[Equivalencia en Kg],"ELVIS",0)</f>
        <v>297.866448841631</v>
      </c>
      <c r="J3045" s="2" t="n">
        <v>834.303125</v>
      </c>
      <c r="K3045" s="2" t="s">
        <v>18</v>
      </c>
      <c r="L3045" s="2" t="n">
        <f aca="false">J3045/_xlfn.XLOOKUP(Tabla2[[#This Row],[Unidad de precio]],Tabla3[Medida],Tabla3[Equivalencia en Kg],"ELVIS",0)</f>
        <v>18.3929260361552</v>
      </c>
      <c r="M3045" s="2" t="n">
        <v>1910.99135924874</v>
      </c>
      <c r="N3045" s="3" t="n">
        <f aca="false">(Tabla2[[#This Row],[Productividad (kg/TAS)]]*Tabla2[[#This Row],[Precio por kg]]-Tabla2[[#This Row],[Costos (En RD$/Tarea)]])</f>
        <v>3567.64420294758</v>
      </c>
      <c r="O3045" s="9" t="n">
        <f aca="false">IF(Tabla2[[#This Row],[Costos (En RD$/Tarea)]]=0,0,Tabla2[[#This Row],[Beneficio Neto  (En RD$/Tarea)]]/Tabla2[[#This Row],[Costos (En RD$/Tarea)]])</f>
        <v>1.86690755333929</v>
      </c>
      <c r="P3045" s="7" t="n">
        <f aca="false">Tabla2[[#This Row],[Rentabilidad (%)]]/12</f>
        <v>0.155575629444941</v>
      </c>
    </row>
    <row r="3046" customFormat="false" ht="14.25" hidden="false" customHeight="false" outlineLevel="0" collapsed="false">
      <c r="A3046" s="1" t="n">
        <v>44228</v>
      </c>
      <c r="B3046" s="2" t="s">
        <v>27</v>
      </c>
      <c r="C3046" s="3" t="n">
        <v>6824</v>
      </c>
      <c r="D3046" s="8" t="s">
        <v>17</v>
      </c>
      <c r="E3046" s="3" t="n">
        <f aca="false">IF(Tabla2[[#This Row],[Frecuencia]]="Annual", Tabla2[[#This Row],[Cosecha/Tarea]]/12,Tabla2[[#This Row],[Cosecha/Tarea]])</f>
        <v>6824</v>
      </c>
      <c r="F3046" s="3" t="n">
        <v>63994</v>
      </c>
      <c r="G3046" s="2" t="s">
        <v>18</v>
      </c>
      <c r="H3046" s="2" t="n">
        <f aca="false">F3046/Tabla2[[#This Row],[Cosecha Mensual]]</f>
        <v>9.37778429073857</v>
      </c>
      <c r="I3046" s="2" t="n">
        <f aca="false">H3046*_xlfn.XLOOKUP(Tabla2[[#This Row],[Unidad de producción]],Tabla3[Medida],Tabla3[Equivalencia en Kg],"ELVIS",0)</f>
        <v>425.376295427902</v>
      </c>
      <c r="J3046" s="2" t="n">
        <v>682.338425925926</v>
      </c>
      <c r="K3046" s="2" t="s">
        <v>18</v>
      </c>
      <c r="L3046" s="2" t="n">
        <f aca="false">J3046/_xlfn.XLOOKUP(Tabla2[[#This Row],[Unidad de precio]],Tabla3[Medida],Tabla3[Equivalencia en Kg],"ELVIS",0)</f>
        <v>15.0427342576262</v>
      </c>
      <c r="M3046" s="2" t="n">
        <v>10561.2569707933</v>
      </c>
      <c r="N3046" s="3" t="n">
        <f aca="false">(Tabla2[[#This Row],[Productividad (kg/TAS)]]*Tabla2[[#This Row],[Precio por kg]]-Tabla2[[#This Row],[Costos (En RD$/Tarea)]])</f>
        <v>-4162.43439917787</v>
      </c>
      <c r="O3046" s="9" t="n">
        <f aca="false">IF(Tabla2[[#This Row],[Costos (En RD$/Tarea)]]=0,0,Tabla2[[#This Row],[Beneficio Neto  (En RD$/Tarea)]]/Tabla2[[#This Row],[Costos (En RD$/Tarea)]])</f>
        <v>-0.394123011180289</v>
      </c>
      <c r="P3046" s="7" t="n">
        <f aca="false">Tabla2[[#This Row],[Rentabilidad (%)]]/12</f>
        <v>-0.032843584265024</v>
      </c>
    </row>
    <row r="3047" customFormat="false" ht="14.25" hidden="false" customHeight="false" outlineLevel="0" collapsed="false">
      <c r="A3047" s="1" t="n">
        <v>44228</v>
      </c>
      <c r="B3047" s="2" t="s">
        <v>28</v>
      </c>
      <c r="C3047" s="3" t="n">
        <v>90154</v>
      </c>
      <c r="D3047" s="8" t="s">
        <v>17</v>
      </c>
      <c r="E3047" s="3" t="n">
        <f aca="false">IF(Tabla2[[#This Row],[Frecuencia]]="Annual", Tabla2[[#This Row],[Cosecha/Tarea]]/12,Tabla2[[#This Row],[Cosecha/Tarea]])</f>
        <v>90154</v>
      </c>
      <c r="F3047" s="3" t="n">
        <v>1916060</v>
      </c>
      <c r="G3047" s="2" t="s">
        <v>18</v>
      </c>
      <c r="H3047" s="2" t="n">
        <f aca="false">F3047/Tabla2[[#This Row],[Cosecha Mensual]]</f>
        <v>21.2531889877321</v>
      </c>
      <c r="I3047" s="2" t="n">
        <f aca="false">H3047*_xlfn.XLOOKUP(Tabla2[[#This Row],[Unidad de producción]],Tabla3[Medida],Tabla3[Equivalencia en Kg],"ELVIS",0)</f>
        <v>964.044652483528</v>
      </c>
      <c r="J3047" s="2" t="n">
        <v>12055.5555555556</v>
      </c>
      <c r="K3047" s="2" t="s">
        <v>29</v>
      </c>
      <c r="L3047" s="2" t="n">
        <f aca="false">J3047/_xlfn.XLOOKUP(Tabla2[[#This Row],[Unidad de precio]],Tabla3[Medida],Tabla3[Equivalencia en Kg],"ELVIS",0)</f>
        <v>21.4381967413942</v>
      </c>
      <c r="M3047" s="2" t="n">
        <v>20320.344</v>
      </c>
      <c r="N3047" s="3" t="n">
        <f aca="false">(Tabla2[[#This Row],[Productividad (kg/TAS)]]*Tabla2[[#This Row],[Precio por kg]]-Tabla2[[#This Row],[Costos (En RD$/Tarea)]])</f>
        <v>347.03492743085</v>
      </c>
      <c r="O3047" s="9" t="n">
        <f aca="false">IF(Tabla2[[#This Row],[Costos (En RD$/Tarea)]]=0,0,Tabla2[[#This Row],[Beneficio Neto  (En RD$/Tarea)]]/Tabla2[[#This Row],[Costos (En RD$/Tarea)]])</f>
        <v>0.0170782014040141</v>
      </c>
      <c r="P3047" s="7" t="n">
        <f aca="false">Tabla2[[#This Row],[Rentabilidad (%)]]/12</f>
        <v>0.00142318345033451</v>
      </c>
    </row>
    <row r="3048" customFormat="false" ht="14.25" hidden="false" customHeight="false" outlineLevel="0" collapsed="false">
      <c r="A3048" s="1" t="n">
        <v>44228</v>
      </c>
      <c r="B3048" s="2" t="s">
        <v>30</v>
      </c>
      <c r="C3048" s="3" t="n">
        <v>495219</v>
      </c>
      <c r="D3048" s="3" t="s">
        <v>31</v>
      </c>
      <c r="E3048" s="3" t="n">
        <f aca="false">IF(Tabla2[[#This Row],[Frecuencia]]="Annual", Tabla2[[#This Row],[Cosecha/Tarea]]/12,Tabla2[[#This Row],[Cosecha/Tarea]])</f>
        <v>41268.25</v>
      </c>
      <c r="F3048" s="3" t="n">
        <v>2235248</v>
      </c>
      <c r="G3048" s="2" t="s">
        <v>18</v>
      </c>
      <c r="H3048" s="2" t="n">
        <f aca="false">F3048/Tabla2[[#This Row],[Cosecha Mensual]]</f>
        <v>54.1638668952524</v>
      </c>
      <c r="I3048" s="2" t="n">
        <f aca="false">H3048*_xlfn.XLOOKUP(Tabla2[[#This Row],[Unidad de producción]],Tabla3[Medida],Tabla3[Equivalencia en Kg],"ELVIS",0)</f>
        <v>2456.87300236865</v>
      </c>
      <c r="J3048" s="2" t="n">
        <v>225.674479166667</v>
      </c>
      <c r="K3048" s="2" t="s">
        <v>32</v>
      </c>
      <c r="L3048" s="2" t="n">
        <f aca="false">J3048/_xlfn.XLOOKUP(Tabla2[[#This Row],[Unidad de precio]],Tabla3[Medida],Tabla3[Equivalencia en Kg],"ELVIS",0)</f>
        <v>8.2938066580914</v>
      </c>
      <c r="M3048" s="3" t="n">
        <v>40592.4361945306</v>
      </c>
      <c r="N3048" s="3" t="n">
        <f aca="false">(Tabla2[[#This Row],[Productividad (kg/TAS)]]*Tabla2[[#This Row],[Precio por kg]]-Tabla2[[#This Row],[Costos (En RD$/Tarea)]])</f>
        <v>-20215.6065294005</v>
      </c>
      <c r="O3048" s="9" t="n">
        <f aca="false">IF(Tabla2[[#This Row],[Costos (En RD$/Tarea)]]=0,0,Tabla2[[#This Row],[Beneficio Neto  (En RD$/Tarea)]]/Tabla2[[#This Row],[Costos (En RD$/Tarea)]])</f>
        <v>-0.498014123432294</v>
      </c>
      <c r="P3048" s="7" t="n">
        <f aca="false">Tabla2[[#This Row],[Rentabilidad (%)]]/12</f>
        <v>-0.0415011769526912</v>
      </c>
    </row>
    <row r="3049" customFormat="false" ht="14.25" hidden="false" customHeight="false" outlineLevel="0" collapsed="false">
      <c r="A3049" s="1" t="n">
        <v>44228</v>
      </c>
      <c r="B3049" s="2" t="s">
        <v>33</v>
      </c>
      <c r="C3049" s="3" t="n">
        <v>788458</v>
      </c>
      <c r="D3049" s="3" t="s">
        <v>31</v>
      </c>
      <c r="E3049" s="3" t="n">
        <f aca="false">IF(Tabla2[[#This Row],[Frecuencia]]="Annual", Tabla2[[#This Row],[Cosecha/Tarea]]/12,Tabla2[[#This Row],[Cosecha/Tarea]])</f>
        <v>65704.8333333333</v>
      </c>
      <c r="F3049" s="3" t="n">
        <v>1472301</v>
      </c>
      <c r="G3049" s="2" t="s">
        <v>18</v>
      </c>
      <c r="H3049" s="2" t="n">
        <f aca="false">F3049/Tabla2[[#This Row],[Cosecha Mensual]]</f>
        <v>22.4078035862405</v>
      </c>
      <c r="I3049" s="2" t="n">
        <f aca="false">H3049*_xlfn.XLOOKUP(Tabla2[[#This Row],[Unidad de producción]],Tabla3[Medida],Tabla3[Equivalencia en Kg],"ELVIS",0)</f>
        <v>1016.41797067187</v>
      </c>
      <c r="J3049" s="2" t="n">
        <v>8810.546875</v>
      </c>
      <c r="K3049" s="2" t="s">
        <v>34</v>
      </c>
      <c r="L3049" s="2" t="n">
        <f aca="false">J3049/_xlfn.XLOOKUP(Tabla2[[#This Row],[Unidad de precio]],Tabla3[Medida],Tabla3[Equivalencia en Kg],"ELVIS",0)</f>
        <v>21.5865414063457</v>
      </c>
      <c r="M3049" s="3" t="n">
        <v>43963.4440344</v>
      </c>
      <c r="N3049" s="3" t="n">
        <f aca="false">(Tabla2[[#This Row],[Productividad (kg/TAS)]]*Tabla2[[#This Row],[Precio por kg]]-Tabla2[[#This Row],[Costos (En RD$/Tarea)]])</f>
        <v>-22022.4954243378</v>
      </c>
      <c r="O3049" s="9" t="n">
        <f aca="false">IF(Tabla2[[#This Row],[Costos (En RD$/Tarea)]]=0,0,Tabla2[[#This Row],[Beneficio Neto  (En RD$/Tarea)]]/Tabla2[[#This Row],[Costos (En RD$/Tarea)]])</f>
        <v>-0.500927438876398</v>
      </c>
      <c r="P3049" s="7" t="n">
        <f aca="false">Tabla2[[#This Row],[Rentabilidad (%)]]/12</f>
        <v>-0.0417439532396998</v>
      </c>
    </row>
    <row r="3050" customFormat="false" ht="14.25" hidden="false" customHeight="false" outlineLevel="0" collapsed="false">
      <c r="A3050" s="1" t="n">
        <v>44256</v>
      </c>
      <c r="B3050" s="2" t="s">
        <v>16</v>
      </c>
      <c r="C3050" s="3" t="n">
        <v>140220</v>
      </c>
      <c r="D3050" s="8" t="s">
        <v>17</v>
      </c>
      <c r="E3050" s="3" t="n">
        <f aca="false">IF(Tabla2[[#This Row],[Frecuencia]]="Annual", Tabla2[[#This Row],[Cosecha/Tarea]]/12,Tabla2[[#This Row],[Cosecha/Tarea]])</f>
        <v>140220</v>
      </c>
      <c r="F3050" s="3" t="n">
        <v>742789</v>
      </c>
      <c r="G3050" s="2" t="s">
        <v>18</v>
      </c>
      <c r="H3050" s="2" t="n">
        <f aca="false">F3050/Tabla2[[#This Row],[Cosecha Mensual]]</f>
        <v>5.29731136785052</v>
      </c>
      <c r="I3050" s="2" t="n">
        <f aca="false">H3050*_xlfn.XLOOKUP(Tabla2[[#This Row],[Unidad de producción]],Tabla3[Medida],Tabla3[Equivalencia en Kg],"ELVIS",0)</f>
        <v>240.2860436457</v>
      </c>
      <c r="J3050" s="2" t="n">
        <v>2352.16666666667</v>
      </c>
      <c r="K3050" s="2" t="s">
        <v>19</v>
      </c>
      <c r="L3050" s="2" t="n">
        <f aca="false">J3050/_xlfn.XLOOKUP(Tabla2[[#This Row],[Unidad de precio]],Tabla3[Medida],Tabla3[Equivalencia en Kg],"ELVIS",0)</f>
        <v>21.3833333333334</v>
      </c>
      <c r="M3050" s="2" t="n">
        <v>7900.39794477161</v>
      </c>
      <c r="N3050" s="3" t="n">
        <f aca="false">(Tabla2[[#This Row],[Productividad (kg/TAS)]]*Tabla2[[#This Row],[Precio por kg]]-Tabla2[[#This Row],[Costos (En RD$/Tarea)]])</f>
        <v>-2762.28137814773</v>
      </c>
      <c r="O3050" s="9" t="n">
        <f aca="false">IF(Tabla2[[#This Row],[Costos (En RD$/Tarea)]]=0,0,Tabla2[[#This Row],[Beneficio Neto  (En RD$/Tarea)]]/Tabla2[[#This Row],[Costos (En RD$/Tarea)]])</f>
        <v>-0.349638258408967</v>
      </c>
      <c r="P3050" s="7" t="n">
        <f aca="false">Tabla2[[#This Row],[Rentabilidad (%)]]/12</f>
        <v>-0.0291365215340806</v>
      </c>
    </row>
    <row r="3051" customFormat="false" ht="14.25" hidden="false" customHeight="false" outlineLevel="0" collapsed="false">
      <c r="A3051" s="1" t="n">
        <v>44256</v>
      </c>
      <c r="B3051" s="2" t="s">
        <v>20</v>
      </c>
      <c r="C3051" s="3" t="n">
        <v>34784</v>
      </c>
      <c r="D3051" s="8" t="s">
        <v>17</v>
      </c>
      <c r="E3051" s="3" t="n">
        <f aca="false">IF(Tabla2[[#This Row],[Frecuencia]]="Annual", Tabla2[[#This Row],[Cosecha/Tarea]]/12,Tabla2[[#This Row],[Cosecha/Tarea]])</f>
        <v>34784</v>
      </c>
      <c r="F3051" s="3" t="n">
        <v>85421</v>
      </c>
      <c r="G3051" s="2" t="s">
        <v>18</v>
      </c>
      <c r="H3051" s="2" t="n">
        <f aca="false">F3051/Tabla2[[#This Row],[Cosecha Mensual]]</f>
        <v>2.45575551977921</v>
      </c>
      <c r="I3051" s="2" t="n">
        <f aca="false">H3051*_xlfn.XLOOKUP(Tabla2[[#This Row],[Unidad de producción]],Tabla3[Medida],Tabla3[Equivalencia en Kg],"ELVIS",0)</f>
        <v>111.393070377185</v>
      </c>
      <c r="J3051" s="2" t="n">
        <v>1005.484375</v>
      </c>
      <c r="K3051" s="2" t="s">
        <v>18</v>
      </c>
      <c r="L3051" s="2" t="n">
        <f aca="false">J3051/_xlfn.XLOOKUP(Tabla2[[#This Row],[Unidad de precio]],Tabla3[Medida],Tabla3[Equivalencia en Kg],"ELVIS",0)</f>
        <v>22.166763117284</v>
      </c>
      <c r="M3051" s="2" t="n">
        <v>2759.06577122957</v>
      </c>
      <c r="N3051" s="3" t="n">
        <f aca="false">(Tabla2[[#This Row],[Productividad (kg/TAS)]]*Tabla2[[#This Row],[Precio por kg]]-Tabla2[[#This Row],[Costos (En RD$/Tarea)]])</f>
        <v>-289.841967271572</v>
      </c>
      <c r="O3051" s="9" t="n">
        <f aca="false">IF(Tabla2[[#This Row],[Costos (En RD$/Tarea)]]=0,0,Tabla2[[#This Row],[Beneficio Neto  (En RD$/Tarea)]]/Tabla2[[#This Row],[Costos (En RD$/Tarea)]])</f>
        <v>-0.105050764028146</v>
      </c>
      <c r="P3051" s="7" t="n">
        <f aca="false">Tabla2[[#This Row],[Rentabilidad (%)]]/12</f>
        <v>-0.00875423033567883</v>
      </c>
    </row>
    <row r="3052" customFormat="false" ht="14.25" hidden="false" customHeight="false" outlineLevel="0" collapsed="false">
      <c r="A3052" s="1" t="n">
        <v>44256</v>
      </c>
      <c r="B3052" s="2" t="s">
        <v>21</v>
      </c>
      <c r="C3052" s="3" t="n">
        <v>10754</v>
      </c>
      <c r="D3052" s="8" t="s">
        <v>17</v>
      </c>
      <c r="E3052" s="3" t="n">
        <f aca="false">IF(Tabla2[[#This Row],[Frecuencia]]="Annual", Tabla2[[#This Row],[Cosecha/Tarea]]/12,Tabla2[[#This Row],[Cosecha/Tarea]])</f>
        <v>10754</v>
      </c>
      <c r="F3052" s="3" t="n">
        <v>128744</v>
      </c>
      <c r="G3052" s="2" t="s">
        <v>18</v>
      </c>
      <c r="H3052" s="2" t="n">
        <f aca="false">F3052/Tabla2[[#This Row],[Cosecha Mensual]]</f>
        <v>11.9717314487633</v>
      </c>
      <c r="I3052" s="2" t="n">
        <f aca="false">H3052*_xlfn.XLOOKUP(Tabla2[[#This Row],[Unidad de producción]],Tabla3[Medida],Tabla3[Equivalencia en Kg],"ELVIS",0)</f>
        <v>543.037738515901</v>
      </c>
      <c r="J3052" s="2" t="n">
        <v>823.03125</v>
      </c>
      <c r="K3052" s="2" t="s">
        <v>18</v>
      </c>
      <c r="L3052" s="2" t="n">
        <f aca="false">J3052/_xlfn.XLOOKUP(Tabla2[[#This Row],[Unidad de precio]],Tabla3[Medida],Tabla3[Equivalencia en Kg],"ELVIS",0)</f>
        <v>18.1444279100529</v>
      </c>
      <c r="M3052" s="2" t="n">
        <v>6695.95013513731</v>
      </c>
      <c r="N3052" s="3" t="n">
        <f aca="false">(Tabla2[[#This Row],[Productividad (kg/TAS)]]*Tabla2[[#This Row],[Precio por kg]]-Tabla2[[#This Row],[Costos (En RD$/Tarea)]])</f>
        <v>3157.15896380262</v>
      </c>
      <c r="O3052" s="9" t="n">
        <f aca="false">IF(Tabla2[[#This Row],[Costos (En RD$/Tarea)]]=0,0,Tabla2[[#This Row],[Beneficio Neto  (En RD$/Tarea)]]/Tabla2[[#This Row],[Costos (En RD$/Tarea)]])</f>
        <v>0.471502759143214</v>
      </c>
      <c r="P3052" s="7" t="n">
        <f aca="false">Tabla2[[#This Row],[Rentabilidad (%)]]/12</f>
        <v>0.0392918965952679</v>
      </c>
    </row>
    <row r="3053" customFormat="false" ht="14.25" hidden="false" customHeight="false" outlineLevel="0" collapsed="false">
      <c r="A3053" s="1" t="n">
        <v>44256</v>
      </c>
      <c r="B3053" s="2" t="s">
        <v>22</v>
      </c>
      <c r="C3053" s="3" t="n">
        <v>7014</v>
      </c>
      <c r="D3053" s="8" t="s">
        <v>17</v>
      </c>
      <c r="E3053" s="3" t="n">
        <f aca="false">IF(Tabla2[[#This Row],[Frecuencia]]="Annual", Tabla2[[#This Row],[Cosecha/Tarea]]/12,Tabla2[[#This Row],[Cosecha/Tarea]])</f>
        <v>7014</v>
      </c>
      <c r="F3053" s="3" t="n">
        <v>72145</v>
      </c>
      <c r="G3053" s="2" t="s">
        <v>18</v>
      </c>
      <c r="H3053" s="2" t="n">
        <f aca="false">F3053/Tabla2[[#This Row],[Cosecha Mensual]]</f>
        <v>10.2858568577131</v>
      </c>
      <c r="I3053" s="2" t="n">
        <f aca="false">H3053*_xlfn.XLOOKUP(Tabla2[[#This Row],[Unidad de producción]],Tabla3[Medida],Tabla3[Equivalencia en Kg],"ELVIS",0)</f>
        <v>466.566467065868</v>
      </c>
      <c r="J3053" s="2" t="n">
        <v>2072.80952380952</v>
      </c>
      <c r="K3053" s="2" t="s">
        <v>18</v>
      </c>
      <c r="L3053" s="2" t="n">
        <f aca="false">J3053/_xlfn.XLOOKUP(Tabla2[[#This Row],[Unidad de precio]],Tabla3[Medida],Tabla3[Equivalencia en Kg],"ELVIS",0)</f>
        <v>45.6968589905097</v>
      </c>
      <c r="M3053" s="2" t="n">
        <v>11609.3184891587</v>
      </c>
      <c r="N3053" s="3" t="n">
        <f aca="false">(Tabla2[[#This Row],[Productividad (kg/TAS)]]*Tabla2[[#This Row],[Precio por kg]]-Tabla2[[#This Row],[Costos (En RD$/Tarea)]])</f>
        <v>9711.30356605057</v>
      </c>
      <c r="O3053" s="9" t="n">
        <f aca="false">IF(Tabla2[[#This Row],[Costos (En RD$/Tarea)]]=0,0,Tabla2[[#This Row],[Beneficio Neto  (En RD$/Tarea)]]/Tabla2[[#This Row],[Costos (En RD$/Tarea)]])</f>
        <v>0.836509358849912</v>
      </c>
      <c r="P3053" s="7" t="n">
        <f aca="false">Tabla2[[#This Row],[Rentabilidad (%)]]/12</f>
        <v>0.0697091132374926</v>
      </c>
    </row>
    <row r="3054" customFormat="false" ht="14.25" hidden="false" customHeight="false" outlineLevel="0" collapsed="false">
      <c r="A3054" s="1" t="n">
        <v>44256</v>
      </c>
      <c r="B3054" s="2" t="s">
        <v>23</v>
      </c>
      <c r="C3054" s="3" t="n">
        <v>4852</v>
      </c>
      <c r="D3054" s="8" t="s">
        <v>17</v>
      </c>
      <c r="E3054" s="3" t="n">
        <f aca="false">IF(Tabla2[[#This Row],[Frecuencia]]="Annual", Tabla2[[#This Row],[Cosecha/Tarea]]/12,Tabla2[[#This Row],[Cosecha/Tarea]])</f>
        <v>4852</v>
      </c>
      <c r="F3054" s="3" t="n">
        <v>220145</v>
      </c>
      <c r="G3054" s="2" t="s">
        <v>18</v>
      </c>
      <c r="H3054" s="2" t="n">
        <f aca="false">F3054/Tabla2[[#This Row],[Cosecha Mensual]]</f>
        <v>45.3720115416323</v>
      </c>
      <c r="I3054" s="2" t="n">
        <f aca="false">H3054*_xlfn.XLOOKUP(Tabla2[[#This Row],[Unidad de producción]],Tabla3[Medida],Tabla3[Equivalencia en Kg],"ELVIS",0)</f>
        <v>2058.07444352844</v>
      </c>
      <c r="J3054" s="2" t="n">
        <v>1250</v>
      </c>
      <c r="K3054" s="2" t="s">
        <v>18</v>
      </c>
      <c r="L3054" s="2" t="n">
        <f aca="false">J3054/_xlfn.XLOOKUP(Tabla2[[#This Row],[Unidad de precio]],Tabla3[Medida],Tabla3[Equivalencia en Kg],"ELVIS",0)</f>
        <v>27.5573192239859</v>
      </c>
      <c r="M3054" s="2" t="n">
        <v>31774.6512666667</v>
      </c>
      <c r="N3054" s="3" t="n">
        <f aca="false">(Tabla2[[#This Row],[Productividad (kg/TAS)]]*Tabla2[[#This Row],[Precio por kg]]-Tabla2[[#This Row],[Costos (En RD$/Tarea)]])</f>
        <v>24940.3631603737</v>
      </c>
      <c r="O3054" s="9" t="n">
        <f aca="false">IF(Tabla2[[#This Row],[Costos (En RD$/Tarea)]]=0,0,Tabla2[[#This Row],[Beneficio Neto  (En RD$/Tarea)]]/Tabla2[[#This Row],[Costos (En RD$/Tarea)]])</f>
        <v>0.784913828040576</v>
      </c>
      <c r="P3054" s="7" t="n">
        <f aca="false">Tabla2[[#This Row],[Rentabilidad (%)]]/12</f>
        <v>0.065409485670048</v>
      </c>
    </row>
    <row r="3055" customFormat="false" ht="14.25" hidden="false" customHeight="false" outlineLevel="0" collapsed="false">
      <c r="A3055" s="1" t="n">
        <v>44256</v>
      </c>
      <c r="B3055" s="2" t="s">
        <v>24</v>
      </c>
      <c r="C3055" s="3" t="n">
        <v>6324</v>
      </c>
      <c r="D3055" s="8" t="s">
        <v>17</v>
      </c>
      <c r="E3055" s="3" t="n">
        <f aca="false">IF(Tabla2[[#This Row],[Frecuencia]]="Annual", Tabla2[[#This Row],[Cosecha/Tarea]]/12,Tabla2[[#This Row],[Cosecha/Tarea]])</f>
        <v>6324</v>
      </c>
      <c r="F3055" s="3" t="n">
        <v>53547</v>
      </c>
      <c r="G3055" s="2" t="s">
        <v>18</v>
      </c>
      <c r="H3055" s="2" t="n">
        <f aca="false">F3055/Tabla2[[#This Row],[Cosecha Mensual]]</f>
        <v>8.46726755218216</v>
      </c>
      <c r="I3055" s="2" t="n">
        <f aca="false">H3055*_xlfn.XLOOKUP(Tabla2[[#This Row],[Unidad de producción]],Tabla3[Medida],Tabla3[Equivalencia en Kg],"ELVIS",0)</f>
        <v>384.075256166983</v>
      </c>
      <c r="J3055" s="2" t="n">
        <v>2748.97321428571</v>
      </c>
      <c r="K3055" s="2" t="s">
        <v>18</v>
      </c>
      <c r="L3055" s="2" t="n">
        <f aca="false">J3055/_xlfn.XLOOKUP(Tabla2[[#This Row],[Unidad de precio]],Tabla3[Medida],Tabla3[Equivalencia en Kg],"ELVIS",0)</f>
        <v>60.6034659234063</v>
      </c>
      <c r="M3055" s="2" t="n">
        <v>9606.85680953384</v>
      </c>
      <c r="N3055" s="3" t="n">
        <f aca="false">(Tabla2[[#This Row],[Productividad (kg/TAS)]]*Tabla2[[#This Row],[Precio por kg]]-Tabla2[[#This Row],[Costos (En RD$/Tarea)]])</f>
        <v>13669.4348896055</v>
      </c>
      <c r="O3055" s="9" t="n">
        <f aca="false">IF(Tabla2[[#This Row],[Costos (En RD$/Tarea)]]=0,0,Tabla2[[#This Row],[Beneficio Neto  (En RD$/Tarea)]]/Tabla2[[#This Row],[Costos (En RD$/Tarea)]])</f>
        <v>1.42288317194859</v>
      </c>
      <c r="P3055" s="7" t="n">
        <f aca="false">Tabla2[[#This Row],[Rentabilidad (%)]]/12</f>
        <v>0.118573597662383</v>
      </c>
    </row>
    <row r="3056" customFormat="false" ht="14.25" hidden="false" customHeight="false" outlineLevel="0" collapsed="false">
      <c r="A3056" s="1" t="n">
        <v>44256</v>
      </c>
      <c r="B3056" s="2" t="s">
        <v>25</v>
      </c>
      <c r="C3056" s="3" t="n">
        <v>29668</v>
      </c>
      <c r="D3056" s="8" t="s">
        <v>17</v>
      </c>
      <c r="E3056" s="3" t="n">
        <f aca="false">IF(Tabla2[[#This Row],[Frecuencia]]="Annual", Tabla2[[#This Row],[Cosecha/Tarea]]/12,Tabla2[[#This Row],[Cosecha/Tarea]])</f>
        <v>29668</v>
      </c>
      <c r="F3056" s="3" t="n">
        <v>295411</v>
      </c>
      <c r="G3056" s="2" t="s">
        <v>18</v>
      </c>
      <c r="H3056" s="2" t="n">
        <f aca="false">F3056/Tabla2[[#This Row],[Cosecha Mensual]]</f>
        <v>9.95722664149926</v>
      </c>
      <c r="I3056" s="2" t="n">
        <f aca="false">H3056*_xlfn.XLOOKUP(Tabla2[[#This Row],[Unidad de producción]],Tabla3[Medida],Tabla3[Equivalencia en Kg],"ELVIS",0)</f>
        <v>451.659800458406</v>
      </c>
      <c r="J3056" s="2" t="n">
        <v>654.3978125</v>
      </c>
      <c r="K3056" s="2" t="s">
        <v>18</v>
      </c>
      <c r="L3056" s="2" t="n">
        <f aca="false">J3056/_xlfn.XLOOKUP(Tabla2[[#This Row],[Unidad de precio]],Tabla3[Medida],Tabla3[Equivalencia en Kg],"ELVIS",0)</f>
        <v>14.4267595348325</v>
      </c>
      <c r="M3056" s="2" t="n">
        <v>5403.38741449239</v>
      </c>
      <c r="N3056" s="3" t="n">
        <f aca="false">(Tabla2[[#This Row],[Productividad (kg/TAS)]]*Tabla2[[#This Row],[Precio por kg]]-Tabla2[[#This Row],[Costos (En RD$/Tarea)]])</f>
        <v>1112.59991827145</v>
      </c>
      <c r="O3056" s="9" t="n">
        <f aca="false">IF(Tabla2[[#This Row],[Costos (En RD$/Tarea)]]=0,0,Tabla2[[#This Row],[Beneficio Neto  (En RD$/Tarea)]]/Tabla2[[#This Row],[Costos (En RD$/Tarea)]])</f>
        <v>0.20590785611399</v>
      </c>
      <c r="P3056" s="7" t="n">
        <f aca="false">Tabla2[[#This Row],[Rentabilidad (%)]]/12</f>
        <v>0.0171589880094992</v>
      </c>
    </row>
    <row r="3057" customFormat="false" ht="14.25" hidden="false" customHeight="false" outlineLevel="0" collapsed="false">
      <c r="A3057" s="1" t="n">
        <v>44256</v>
      </c>
      <c r="B3057" s="2" t="s">
        <v>26</v>
      </c>
      <c r="C3057" s="3" t="n">
        <v>14812</v>
      </c>
      <c r="D3057" s="8" t="s">
        <v>17</v>
      </c>
      <c r="E3057" s="3" t="n">
        <f aca="false">IF(Tabla2[[#This Row],[Frecuencia]]="Annual", Tabla2[[#This Row],[Cosecha/Tarea]]/12,Tabla2[[#This Row],[Cosecha/Tarea]])</f>
        <v>14812</v>
      </c>
      <c r="F3057" s="3" t="n">
        <v>83995</v>
      </c>
      <c r="G3057" s="2" t="s">
        <v>18</v>
      </c>
      <c r="H3057" s="2" t="n">
        <f aca="false">F3057/Tabla2[[#This Row],[Cosecha Mensual]]</f>
        <v>5.67073994058871</v>
      </c>
      <c r="I3057" s="2" t="n">
        <f aca="false">H3057*_xlfn.XLOOKUP(Tabla2[[#This Row],[Unidad de producción]],Tabla3[Medida],Tabla3[Equivalencia en Kg],"ELVIS",0)</f>
        <v>257.224763705104</v>
      </c>
      <c r="J3057" s="2" t="n">
        <v>902.371527777778</v>
      </c>
      <c r="K3057" s="2" t="s">
        <v>18</v>
      </c>
      <c r="L3057" s="2" t="n">
        <f aca="false">J3057/_xlfn.XLOOKUP(Tabla2[[#This Row],[Unidad de precio]],Tabla3[Medida],Tabla3[Equivalencia en Kg],"ELVIS",0)</f>
        <v>19.8935521996865</v>
      </c>
      <c r="M3057" s="2" t="n">
        <v>1910.99135924874</v>
      </c>
      <c r="N3057" s="3" t="n">
        <f aca="false">(Tabla2[[#This Row],[Productividad (kg/TAS)]]*Tabla2[[#This Row],[Precio por kg]]-Tabla2[[#This Row],[Costos (En RD$/Tarea)]])</f>
        <v>3206.12290457076</v>
      </c>
      <c r="O3057" s="9" t="n">
        <f aca="false">IF(Tabla2[[#This Row],[Costos (En RD$/Tarea)]]=0,0,Tabla2[[#This Row],[Beneficio Neto  (En RD$/Tarea)]]/Tabla2[[#This Row],[Costos (En RD$/Tarea)]])</f>
        <v>1.67772757791598</v>
      </c>
      <c r="P3057" s="7" t="n">
        <f aca="false">Tabla2[[#This Row],[Rentabilidad (%)]]/12</f>
        <v>0.139810631492999</v>
      </c>
    </row>
    <row r="3058" customFormat="false" ht="14.25" hidden="false" customHeight="false" outlineLevel="0" collapsed="false">
      <c r="A3058" s="1" t="n">
        <v>44256</v>
      </c>
      <c r="B3058" s="2" t="s">
        <v>27</v>
      </c>
      <c r="C3058" s="3" t="n">
        <v>5954</v>
      </c>
      <c r="D3058" s="8" t="s">
        <v>17</v>
      </c>
      <c r="E3058" s="3" t="n">
        <f aca="false">IF(Tabla2[[#This Row],[Frecuencia]]="Annual", Tabla2[[#This Row],[Cosecha/Tarea]]/12,Tabla2[[#This Row],[Cosecha/Tarea]])</f>
        <v>5954</v>
      </c>
      <c r="F3058" s="3" t="n">
        <v>55989</v>
      </c>
      <c r="G3058" s="2" t="s">
        <v>18</v>
      </c>
      <c r="H3058" s="2" t="n">
        <f aca="false">F3058/Tabla2[[#This Row],[Cosecha Mensual]]</f>
        <v>9.40359422237152</v>
      </c>
      <c r="I3058" s="2" t="n">
        <f aca="false">H3058*_xlfn.XLOOKUP(Tabla2[[#This Row],[Unidad de producción]],Tabla3[Medida],Tabla3[Equivalencia en Kg],"ELVIS",0)</f>
        <v>426.547033926772</v>
      </c>
      <c r="J3058" s="2" t="n">
        <v>839.453125</v>
      </c>
      <c r="K3058" s="2" t="s">
        <v>18</v>
      </c>
      <c r="L3058" s="2" t="n">
        <f aca="false">J3058/_xlfn.XLOOKUP(Tabla2[[#This Row],[Unidad de precio]],Tabla3[Medida],Tabla3[Equivalencia en Kg],"ELVIS",0)</f>
        <v>18.506462191358</v>
      </c>
      <c r="M3058" s="2" t="n">
        <v>10561.2569707933</v>
      </c>
      <c r="N3058" s="3" t="n">
        <f aca="false">(Tabla2[[#This Row],[Productividad (kg/TAS)]]*Tabla2[[#This Row],[Precio por kg]]-Tabla2[[#This Row],[Costos (En RD$/Tarea)]])</f>
        <v>-2667.38041459159</v>
      </c>
      <c r="O3058" s="9" t="n">
        <f aca="false">IF(Tabla2[[#This Row],[Costos (En RD$/Tarea)]]=0,0,Tabla2[[#This Row],[Beneficio Neto  (En RD$/Tarea)]]/Tabla2[[#This Row],[Costos (En RD$/Tarea)]])</f>
        <v>-0.25256277940856</v>
      </c>
      <c r="P3058" s="7" t="n">
        <f aca="false">Tabla2[[#This Row],[Rentabilidad (%)]]/12</f>
        <v>-0.0210468982840467</v>
      </c>
    </row>
    <row r="3059" customFormat="false" ht="14.25" hidden="false" customHeight="false" outlineLevel="0" collapsed="false">
      <c r="A3059" s="1" t="n">
        <v>44256</v>
      </c>
      <c r="B3059" s="2" t="s">
        <v>28</v>
      </c>
      <c r="C3059" s="3" t="n">
        <v>76547</v>
      </c>
      <c r="D3059" s="8" t="s">
        <v>17</v>
      </c>
      <c r="E3059" s="3" t="n">
        <f aca="false">IF(Tabla2[[#This Row],[Frecuencia]]="Annual", Tabla2[[#This Row],[Cosecha/Tarea]]/12,Tabla2[[#This Row],[Cosecha/Tarea]])</f>
        <v>76547</v>
      </c>
      <c r="F3059" s="3" t="n">
        <v>1270395</v>
      </c>
      <c r="G3059" s="2" t="s">
        <v>18</v>
      </c>
      <c r="H3059" s="2" t="n">
        <f aca="false">F3059/Tabla2[[#This Row],[Cosecha Mensual]]</f>
        <v>16.596274184488</v>
      </c>
      <c r="I3059" s="2" t="n">
        <f aca="false">H3059*_xlfn.XLOOKUP(Tabla2[[#This Row],[Unidad de producción]],Tabla3[Medida],Tabla3[Equivalencia en Kg],"ELVIS",0)</f>
        <v>752.806997008374</v>
      </c>
      <c r="J3059" s="2" t="n">
        <v>12333.3333333333</v>
      </c>
      <c r="K3059" s="2" t="s">
        <v>29</v>
      </c>
      <c r="L3059" s="2" t="n">
        <f aca="false">J3059/_xlfn.XLOOKUP(Tabla2[[#This Row],[Unidad de precio]],Tabla3[Medida],Tabla3[Equivalencia en Kg],"ELVIS",0)</f>
        <v>21.9321644082464</v>
      </c>
      <c r="M3059" s="2" t="n">
        <v>20320.344</v>
      </c>
      <c r="N3059" s="3" t="n">
        <f aca="false">(Tabla2[[#This Row],[Productividad (kg/TAS)]]*Tabla2[[#This Row],[Precio por kg]]-Tabla2[[#This Row],[Costos (En RD$/Tarea)]])</f>
        <v>-3809.65717393407</v>
      </c>
      <c r="O3059" s="9" t="n">
        <f aca="false">IF(Tabla2[[#This Row],[Costos (En RD$/Tarea)]]=0,0,Tabla2[[#This Row],[Beneficio Neto  (En RD$/Tarea)]]/Tabla2[[#This Row],[Costos (En RD$/Tarea)]])</f>
        <v>-0.187479954765238</v>
      </c>
      <c r="P3059" s="7" t="n">
        <f aca="false">Tabla2[[#This Row],[Rentabilidad (%)]]/12</f>
        <v>-0.0156233295637698</v>
      </c>
    </row>
    <row r="3060" customFormat="false" ht="14.25" hidden="false" customHeight="false" outlineLevel="0" collapsed="false">
      <c r="A3060" s="1" t="n">
        <v>44256</v>
      </c>
      <c r="B3060" s="2" t="s">
        <v>30</v>
      </c>
      <c r="C3060" s="3" t="n">
        <v>490124</v>
      </c>
      <c r="D3060" s="3" t="s">
        <v>31</v>
      </c>
      <c r="E3060" s="3" t="n">
        <f aca="false">IF(Tabla2[[#This Row],[Frecuencia]]="Annual", Tabla2[[#This Row],[Cosecha/Tarea]]/12,Tabla2[[#This Row],[Cosecha/Tarea]])</f>
        <v>40843.6666666667</v>
      </c>
      <c r="F3060" s="3" t="n">
        <v>2279939</v>
      </c>
      <c r="G3060" s="2" t="s">
        <v>18</v>
      </c>
      <c r="H3060" s="2" t="n">
        <f aca="false">F3060/Tabla2[[#This Row],[Cosecha Mensual]]</f>
        <v>55.8211146566991</v>
      </c>
      <c r="I3060" s="2" t="n">
        <f aca="false">H3060*_xlfn.XLOOKUP(Tabla2[[#This Row],[Unidad de producción]],Tabla3[Medida],Tabla3[Equivalencia en Kg],"ELVIS",0)</f>
        <v>2532.04576082787</v>
      </c>
      <c r="J3060" s="2" t="n">
        <v>255.0625</v>
      </c>
      <c r="K3060" s="2" t="s">
        <v>32</v>
      </c>
      <c r="L3060" s="2" t="n">
        <f aca="false">J3060/_xlfn.XLOOKUP(Tabla2[[#This Row],[Unidad de precio]],Tabla3[Medida],Tabla3[Equivalencia en Kg],"ELVIS",0)</f>
        <v>9.37385152517457</v>
      </c>
      <c r="M3060" s="3" t="n">
        <v>40592.4361945306</v>
      </c>
      <c r="N3060" s="3" t="n">
        <f aca="false">(Tabla2[[#This Row],[Productividad (kg/TAS)]]*Tabla2[[#This Row],[Precio por kg]]-Tabla2[[#This Row],[Costos (En RD$/Tarea)]])</f>
        <v>-16857.4151775825</v>
      </c>
      <c r="O3060" s="9" t="n">
        <f aca="false">IF(Tabla2[[#This Row],[Costos (En RD$/Tarea)]]=0,0,Tabla2[[#This Row],[Beneficio Neto  (En RD$/Tarea)]]/Tabla2[[#This Row],[Costos (En RD$/Tarea)]])</f>
        <v>-0.415284638172414</v>
      </c>
      <c r="P3060" s="7" t="n">
        <f aca="false">Tabla2[[#This Row],[Rentabilidad (%)]]/12</f>
        <v>-0.0346070531810345</v>
      </c>
    </row>
    <row r="3061" customFormat="false" ht="14.25" hidden="false" customHeight="false" outlineLevel="0" collapsed="false">
      <c r="A3061" s="1" t="n">
        <v>44256</v>
      </c>
      <c r="B3061" s="2" t="s">
        <v>33</v>
      </c>
      <c r="C3061" s="3" t="n">
        <v>765241</v>
      </c>
      <c r="D3061" s="3" t="s">
        <v>31</v>
      </c>
      <c r="E3061" s="3" t="n">
        <f aca="false">IF(Tabla2[[#This Row],[Frecuencia]]="Annual", Tabla2[[#This Row],[Cosecha/Tarea]]/12,Tabla2[[#This Row],[Cosecha/Tarea]])</f>
        <v>63770.0833333333</v>
      </c>
      <c r="F3061" s="3" t="n">
        <v>1787166</v>
      </c>
      <c r="G3061" s="2" t="s">
        <v>18</v>
      </c>
      <c r="H3061" s="2" t="n">
        <f aca="false">F3061/Tabla2[[#This Row],[Cosecha Mensual]]</f>
        <v>28.0251476332293</v>
      </c>
      <c r="I3061" s="2" t="n">
        <f aca="false">H3061*_xlfn.XLOOKUP(Tabla2[[#This Row],[Unidad de producción]],Tabla3[Medida],Tabla3[Equivalencia en Kg],"ELVIS",0)</f>
        <v>1271.22069664328</v>
      </c>
      <c r="J3061" s="2" t="n">
        <v>7782.56770833333</v>
      </c>
      <c r="K3061" s="2" t="s">
        <v>34</v>
      </c>
      <c r="L3061" s="2" t="n">
        <f aca="false">J3061/_xlfn.XLOOKUP(Tabla2[[#This Row],[Unidad de precio]],Tabla3[Medida],Tabla3[Equivalencia en Kg],"ELVIS",0)</f>
        <v>19.0679105925109</v>
      </c>
      <c r="M3061" s="3" t="n">
        <v>43963.4440344</v>
      </c>
      <c r="N3061" s="3" t="n">
        <f aca="false">(Tabla2[[#This Row],[Productividad (kg/TAS)]]*Tabla2[[#This Row],[Precio por kg]]-Tabla2[[#This Row],[Costos (En RD$/Tarea)]])</f>
        <v>-19723.9214474565</v>
      </c>
      <c r="O3061" s="9" t="n">
        <f aca="false">IF(Tabla2[[#This Row],[Costos (En RD$/Tarea)]]=0,0,Tabla2[[#This Row],[Beneficio Neto  (En RD$/Tarea)]]/Tabla2[[#This Row],[Costos (En RD$/Tarea)]])</f>
        <v>-0.448643682965856</v>
      </c>
      <c r="P3061" s="7" t="n">
        <f aca="false">Tabla2[[#This Row],[Rentabilidad (%)]]/12</f>
        <v>-0.037386973580488</v>
      </c>
    </row>
    <row r="3062" customFormat="false" ht="14.25" hidden="false" customHeight="false" outlineLevel="0" collapsed="false">
      <c r="A3062" s="1" t="n">
        <v>44287</v>
      </c>
      <c r="B3062" s="2" t="s">
        <v>16</v>
      </c>
      <c r="C3062" s="3" t="n">
        <v>558329</v>
      </c>
      <c r="D3062" s="8" t="s">
        <v>17</v>
      </c>
      <c r="E3062" s="3" t="n">
        <f aca="false">IF(Tabla2[[#This Row],[Frecuencia]]="Annual", Tabla2[[#This Row],[Cosecha/Tarea]]/12,Tabla2[[#This Row],[Cosecha/Tarea]])</f>
        <v>558329</v>
      </c>
      <c r="F3062" s="3" t="n">
        <v>3132098</v>
      </c>
      <c r="G3062" s="2" t="s">
        <v>18</v>
      </c>
      <c r="H3062" s="2" t="n">
        <f aca="false">F3062/Tabla2[[#This Row],[Cosecha Mensual]]</f>
        <v>5.60977129971755</v>
      </c>
      <c r="I3062" s="2" t="n">
        <f aca="false">H3062*_xlfn.XLOOKUP(Tabla2[[#This Row],[Unidad de producción]],Tabla3[Medida],Tabla3[Equivalencia en Kg],"ELVIS",0)</f>
        <v>254.459226155188</v>
      </c>
      <c r="J3062" s="2" t="n">
        <v>2499.90525703612</v>
      </c>
      <c r="K3062" s="2" t="s">
        <v>19</v>
      </c>
      <c r="L3062" s="2" t="n">
        <f aca="false">J3062/_xlfn.XLOOKUP(Tabla2[[#This Row],[Unidad de precio]],Tabla3[Medida],Tabla3[Equivalencia en Kg],"ELVIS",0)</f>
        <v>22.7264114276011</v>
      </c>
      <c r="M3062" s="2" t="n">
        <v>7900.39794477161</v>
      </c>
      <c r="N3062" s="3" t="n">
        <f aca="false">(Tabla2[[#This Row],[Productividad (kg/TAS)]]*Tabla2[[#This Row],[Precio por kg]]-Tabla2[[#This Row],[Costos (En RD$/Tarea)]])</f>
        <v>-2117.45287961981</v>
      </c>
      <c r="O3062" s="9" t="n">
        <f aca="false">IF(Tabla2[[#This Row],[Costos (En RD$/Tarea)]]=0,0,Tabla2[[#This Row],[Beneficio Neto  (En RD$/Tarea)]]/Tabla2[[#This Row],[Costos (En RD$/Tarea)]])</f>
        <v>-0.268018509247515</v>
      </c>
      <c r="P3062" s="7" t="n">
        <f aca="false">Tabla2[[#This Row],[Rentabilidad (%)]]/12</f>
        <v>-0.0223348757706262</v>
      </c>
    </row>
    <row r="3063" customFormat="false" ht="14.25" hidden="false" customHeight="false" outlineLevel="0" collapsed="false">
      <c r="A3063" s="1" t="n">
        <v>44287</v>
      </c>
      <c r="B3063" s="2" t="s">
        <v>20</v>
      </c>
      <c r="C3063" s="3" t="n">
        <v>29524</v>
      </c>
      <c r="D3063" s="8" t="s">
        <v>17</v>
      </c>
      <c r="E3063" s="3" t="n">
        <f aca="false">IF(Tabla2[[#This Row],[Frecuencia]]="Annual", Tabla2[[#This Row],[Cosecha/Tarea]]/12,Tabla2[[#This Row],[Cosecha/Tarea]])</f>
        <v>29524</v>
      </c>
      <c r="F3063" s="3" t="n">
        <v>73854</v>
      </c>
      <c r="G3063" s="2" t="s">
        <v>18</v>
      </c>
      <c r="H3063" s="2" t="n">
        <f aca="false">F3063/Tabla2[[#This Row],[Cosecha Mensual]]</f>
        <v>2.50149031296572</v>
      </c>
      <c r="I3063" s="2" t="n">
        <f aca="false">H3063*_xlfn.XLOOKUP(Tabla2[[#This Row],[Unidad de producción]],Tabla3[Medida],Tabla3[Equivalencia en Kg],"ELVIS",0)</f>
        <v>113.467600596125</v>
      </c>
      <c r="J3063" s="2" t="n">
        <v>1057.3359375</v>
      </c>
      <c r="K3063" s="2" t="s">
        <v>18</v>
      </c>
      <c r="L3063" s="2" t="n">
        <f aca="false">J3063/_xlfn.XLOOKUP(Tabla2[[#This Row],[Unidad de precio]],Tabla3[Medida],Tabla3[Equivalencia en Kg],"ELVIS",0)</f>
        <v>23.3098751653439</v>
      </c>
      <c r="M3063" s="2" t="n">
        <v>2759.06577122957</v>
      </c>
      <c r="N3063" s="3" t="n">
        <f aca="false">(Tabla2[[#This Row],[Productividad (kg/TAS)]]*Tabla2[[#This Row],[Precio por kg]]-Tabla2[[#This Row],[Costos (En RD$/Tarea)]])</f>
        <v>-114.15016602279</v>
      </c>
      <c r="O3063" s="9" t="n">
        <f aca="false">IF(Tabla2[[#This Row],[Costos (En RD$/Tarea)]]=0,0,Tabla2[[#This Row],[Beneficio Neto  (En RD$/Tarea)]]/Tabla2[[#This Row],[Costos (En RD$/Tarea)]])</f>
        <v>-0.0413727600164888</v>
      </c>
      <c r="P3063" s="7" t="n">
        <f aca="false">Tabla2[[#This Row],[Rentabilidad (%)]]/12</f>
        <v>-0.00344773000137407</v>
      </c>
    </row>
    <row r="3064" customFormat="false" ht="14.25" hidden="false" customHeight="false" outlineLevel="0" collapsed="false">
      <c r="A3064" s="1" t="n">
        <v>44287</v>
      </c>
      <c r="B3064" s="2" t="s">
        <v>21</v>
      </c>
      <c r="C3064" s="3" t="n">
        <v>12420</v>
      </c>
      <c r="D3064" s="8" t="s">
        <v>17</v>
      </c>
      <c r="E3064" s="3" t="n">
        <f aca="false">IF(Tabla2[[#This Row],[Frecuencia]]="Annual", Tabla2[[#This Row],[Cosecha/Tarea]]/12,Tabla2[[#This Row],[Cosecha/Tarea]])</f>
        <v>12420</v>
      </c>
      <c r="F3064" s="3" t="n">
        <v>145301</v>
      </c>
      <c r="G3064" s="2" t="s">
        <v>18</v>
      </c>
      <c r="H3064" s="2" t="n">
        <f aca="false">F3064/Tabla2[[#This Row],[Cosecha Mensual]]</f>
        <v>11.6989533011272</v>
      </c>
      <c r="I3064" s="2" t="n">
        <f aca="false">H3064*_xlfn.XLOOKUP(Tabla2[[#This Row],[Unidad de producción]],Tabla3[Medida],Tabla3[Equivalencia en Kg],"ELVIS",0)</f>
        <v>530.66452173913</v>
      </c>
      <c r="J3064" s="2" t="n">
        <v>836.744791666667</v>
      </c>
      <c r="K3064" s="2" t="s">
        <v>18</v>
      </c>
      <c r="L3064" s="2" t="n">
        <f aca="false">J3064/_xlfn.XLOOKUP(Tabla2[[#This Row],[Unidad de precio]],Tabla3[Medida],Tabla3[Equivalencia en Kg],"ELVIS",0)</f>
        <v>18.4467546663727</v>
      </c>
      <c r="M3064" s="2" t="n">
        <v>6695.95013513731</v>
      </c>
      <c r="N3064" s="3" t="n">
        <f aca="false">(Tabla2[[#This Row],[Productividad (kg/TAS)]]*Tabla2[[#This Row],[Precio por kg]]-Tabla2[[#This Row],[Costos (En RD$/Tarea)]])</f>
        <v>3093.08810753245</v>
      </c>
      <c r="O3064" s="9" t="n">
        <f aca="false">IF(Tabla2[[#This Row],[Costos (En RD$/Tarea)]]=0,0,Tabla2[[#This Row],[Beneficio Neto  (En RD$/Tarea)]]/Tabla2[[#This Row],[Costos (En RD$/Tarea)]])</f>
        <v>0.461934160964151</v>
      </c>
      <c r="P3064" s="7" t="n">
        <f aca="false">Tabla2[[#This Row],[Rentabilidad (%)]]/12</f>
        <v>0.0384945134136792</v>
      </c>
    </row>
    <row r="3065" customFormat="false" ht="14.25" hidden="false" customHeight="false" outlineLevel="0" collapsed="false">
      <c r="A3065" s="1" t="n">
        <v>44287</v>
      </c>
      <c r="B3065" s="2" t="s">
        <v>22</v>
      </c>
      <c r="C3065" s="3" t="n">
        <v>9124</v>
      </c>
      <c r="D3065" s="8" t="s">
        <v>17</v>
      </c>
      <c r="E3065" s="3" t="n">
        <f aca="false">IF(Tabla2[[#This Row],[Frecuencia]]="Annual", Tabla2[[#This Row],[Cosecha/Tarea]]/12,Tabla2[[#This Row],[Cosecha/Tarea]])</f>
        <v>9124</v>
      </c>
      <c r="F3065" s="3" t="n">
        <v>88544</v>
      </c>
      <c r="G3065" s="2" t="s">
        <v>18</v>
      </c>
      <c r="H3065" s="2" t="n">
        <f aca="false">F3065/Tabla2[[#This Row],[Cosecha Mensual]]</f>
        <v>9.70451556334941</v>
      </c>
      <c r="I3065" s="2" t="n">
        <f aca="false">H3065*_xlfn.XLOOKUP(Tabla2[[#This Row],[Unidad de producción]],Tabla3[Medida],Tabla3[Equivalencia en Kg],"ELVIS",0)</f>
        <v>440.196825953529</v>
      </c>
      <c r="J3065" s="2" t="n">
        <v>1880.72222222222</v>
      </c>
      <c r="K3065" s="2" t="s">
        <v>18</v>
      </c>
      <c r="L3065" s="2" t="n">
        <f aca="false">J3065/_xlfn.XLOOKUP(Tabla2[[#This Row],[Unidad de precio]],Tabla3[Medida],Tabla3[Equivalencia en Kg],"ELVIS",0)</f>
        <v>41.4621301195375</v>
      </c>
      <c r="M3065" s="2" t="n">
        <v>11609.3184891587</v>
      </c>
      <c r="N3065" s="3" t="n">
        <f aca="false">(Tabla2[[#This Row],[Productividad (kg/TAS)]]*Tabla2[[#This Row],[Precio por kg]]-Tabla2[[#This Row],[Costos (En RD$/Tarea)]])</f>
        <v>6642.17958673392</v>
      </c>
      <c r="O3065" s="9" t="n">
        <f aca="false">IF(Tabla2[[#This Row],[Costos (En RD$/Tarea)]]=0,0,Tabla2[[#This Row],[Beneficio Neto  (En RD$/Tarea)]]/Tabla2[[#This Row],[Costos (En RD$/Tarea)]])</f>
        <v>0.572142076465271</v>
      </c>
      <c r="P3065" s="7" t="n">
        <f aca="false">Tabla2[[#This Row],[Rentabilidad (%)]]/12</f>
        <v>0.0476785063721059</v>
      </c>
    </row>
    <row r="3066" customFormat="false" ht="14.25" hidden="false" customHeight="false" outlineLevel="0" collapsed="false">
      <c r="A3066" s="1" t="n">
        <v>44287</v>
      </c>
      <c r="B3066" s="2" t="s">
        <v>23</v>
      </c>
      <c r="C3066" s="3" t="n">
        <v>4561</v>
      </c>
      <c r="D3066" s="8" t="s">
        <v>17</v>
      </c>
      <c r="E3066" s="3" t="n">
        <f aca="false">IF(Tabla2[[#This Row],[Frecuencia]]="Annual", Tabla2[[#This Row],[Cosecha/Tarea]]/12,Tabla2[[#This Row],[Cosecha/Tarea]])</f>
        <v>4561</v>
      </c>
      <c r="F3066" s="3" t="n">
        <v>175425</v>
      </c>
      <c r="G3066" s="2" t="s">
        <v>18</v>
      </c>
      <c r="H3066" s="2" t="n">
        <f aca="false">F3066/Tabla2[[#This Row],[Cosecha Mensual]]</f>
        <v>38.4619600964701</v>
      </c>
      <c r="I3066" s="2" t="n">
        <f aca="false">H3066*_xlfn.XLOOKUP(Tabla2[[#This Row],[Unidad de producción]],Tabla3[Medida],Tabla3[Equivalencia en Kg],"ELVIS",0)</f>
        <v>1744.63450997588</v>
      </c>
      <c r="J3066" s="2" t="n">
        <v>1037.33333333333</v>
      </c>
      <c r="K3066" s="2" t="s">
        <v>18</v>
      </c>
      <c r="L3066" s="2" t="n">
        <f aca="false">J3066/_xlfn.XLOOKUP(Tabla2[[#This Row],[Unidad de precio]],Tabla3[Medida],Tabla3[Equivalencia en Kg],"ELVIS",0)</f>
        <v>22.8689006466784</v>
      </c>
      <c r="M3066" s="2" t="n">
        <v>31774.6512666667</v>
      </c>
      <c r="N3066" s="3" t="n">
        <f aca="false">(Tabla2[[#This Row],[Productividad (kg/TAS)]]*Tabla2[[#This Row],[Precio por kg]]-Tabla2[[#This Row],[Costos (En RD$/Tarea)]])</f>
        <v>8123.22200673813</v>
      </c>
      <c r="O3066" s="9" t="n">
        <f aca="false">IF(Tabla2[[#This Row],[Costos (En RD$/Tarea)]]=0,0,Tabla2[[#This Row],[Beneficio Neto  (En RD$/Tarea)]]/Tabla2[[#This Row],[Costos (En RD$/Tarea)]])</f>
        <v>0.255651020008513</v>
      </c>
      <c r="P3066" s="7" t="n">
        <f aca="false">Tabla2[[#This Row],[Rentabilidad (%)]]/12</f>
        <v>0.0213042516673761</v>
      </c>
    </row>
    <row r="3067" customFormat="false" ht="14.25" hidden="false" customHeight="false" outlineLevel="0" collapsed="false">
      <c r="A3067" s="1" t="n">
        <v>44287</v>
      </c>
      <c r="B3067" s="2" t="s">
        <v>24</v>
      </c>
      <c r="C3067" s="3" t="n">
        <v>7124</v>
      </c>
      <c r="D3067" s="8" t="s">
        <v>17</v>
      </c>
      <c r="E3067" s="3" t="n">
        <f aca="false">IF(Tabla2[[#This Row],[Frecuencia]]="Annual", Tabla2[[#This Row],[Cosecha/Tarea]]/12,Tabla2[[#This Row],[Cosecha/Tarea]])</f>
        <v>7124</v>
      </c>
      <c r="F3067" s="3" t="n">
        <v>68544</v>
      </c>
      <c r="G3067" s="2" t="s">
        <v>18</v>
      </c>
      <c r="H3067" s="2" t="n">
        <f aca="false">F3067/Tabla2[[#This Row],[Cosecha Mensual]]</f>
        <v>9.62156092083099</v>
      </c>
      <c r="I3067" s="2" t="n">
        <f aca="false">H3067*_xlfn.XLOOKUP(Tabla2[[#This Row],[Unidad de producción]],Tabla3[Medida],Tabla3[Equivalencia en Kg],"ELVIS",0)</f>
        <v>436.434003368894</v>
      </c>
      <c r="J3067" s="2" t="n">
        <v>2603.00595238095</v>
      </c>
      <c r="K3067" s="2" t="s">
        <v>18</v>
      </c>
      <c r="L3067" s="2" t="n">
        <f aca="false">J3067/_xlfn.XLOOKUP(Tabla2[[#This Row],[Unidad de precio]],Tabla3[Medida],Tabla3[Equivalencia en Kg],"ELVIS",0)</f>
        <v>57.3854927773578</v>
      </c>
      <c r="M3067" s="2" t="n">
        <v>9606.85680953384</v>
      </c>
      <c r="N3067" s="3" t="n">
        <f aca="false">(Tabla2[[#This Row],[Productividad (kg/TAS)]]*Tabla2[[#This Row],[Precio por kg]]-Tabla2[[#This Row],[Costos (En RD$/Tarea)]])</f>
        <v>15438.1235385852</v>
      </c>
      <c r="O3067" s="9" t="n">
        <f aca="false">IF(Tabla2[[#This Row],[Costos (En RD$/Tarea)]]=0,0,Tabla2[[#This Row],[Beneficio Neto  (En RD$/Tarea)]]/Tabla2[[#This Row],[Costos (En RD$/Tarea)]])</f>
        <v>1.60699007434611</v>
      </c>
      <c r="P3067" s="7" t="n">
        <f aca="false">Tabla2[[#This Row],[Rentabilidad (%)]]/12</f>
        <v>0.133915839528842</v>
      </c>
    </row>
    <row r="3068" customFormat="false" ht="14.25" hidden="false" customHeight="false" outlineLevel="0" collapsed="false">
      <c r="A3068" s="1" t="n">
        <v>44287</v>
      </c>
      <c r="B3068" s="2" t="s">
        <v>25</v>
      </c>
      <c r="C3068" s="3" t="n">
        <v>30102</v>
      </c>
      <c r="D3068" s="8" t="s">
        <v>17</v>
      </c>
      <c r="E3068" s="3" t="n">
        <f aca="false">IF(Tabla2[[#This Row],[Frecuencia]]="Annual", Tabla2[[#This Row],[Cosecha/Tarea]]/12,Tabla2[[#This Row],[Cosecha/Tarea]])</f>
        <v>30102</v>
      </c>
      <c r="F3068" s="3" t="n">
        <v>292140</v>
      </c>
      <c r="G3068" s="2" t="s">
        <v>18</v>
      </c>
      <c r="H3068" s="2" t="n">
        <f aca="false">F3068/Tabla2[[#This Row],[Cosecha Mensual]]</f>
        <v>9.70500298983456</v>
      </c>
      <c r="I3068" s="2" t="n">
        <f aca="false">H3068*_xlfn.XLOOKUP(Tabla2[[#This Row],[Unidad de producción]],Tabla3[Medida],Tabla3[Equivalencia en Kg],"ELVIS",0)</f>
        <v>440.218935618896</v>
      </c>
      <c r="J3068" s="2" t="n">
        <v>757.809895833333</v>
      </c>
      <c r="K3068" s="2" t="s">
        <v>18</v>
      </c>
      <c r="L3068" s="2" t="n">
        <f aca="false">J3068/_xlfn.XLOOKUP(Tabla2[[#This Row],[Unidad de precio]],Tabla3[Medida],Tabla3[Equivalencia en Kg],"ELVIS",0)</f>
        <v>16.7065673684597</v>
      </c>
      <c r="M3068" s="2" t="n">
        <v>5403.38741449239</v>
      </c>
      <c r="N3068" s="3" t="n">
        <f aca="false">(Tabla2[[#This Row],[Productividad (kg/TAS)]]*Tabla2[[#This Row],[Precio por kg]]-Tabla2[[#This Row],[Costos (En RD$/Tarea)]])</f>
        <v>1951.15989029633</v>
      </c>
      <c r="O3068" s="9" t="n">
        <f aca="false">IF(Tabla2[[#This Row],[Costos (En RD$/Tarea)]]=0,0,Tabla2[[#This Row],[Beneficio Neto  (En RD$/Tarea)]]/Tabla2[[#This Row],[Costos (En RD$/Tarea)]])</f>
        <v>0.361099388332425</v>
      </c>
      <c r="P3068" s="7" t="n">
        <f aca="false">Tabla2[[#This Row],[Rentabilidad (%)]]/12</f>
        <v>0.0300916156943688</v>
      </c>
    </row>
    <row r="3069" customFormat="false" ht="14.25" hidden="false" customHeight="false" outlineLevel="0" collapsed="false">
      <c r="A3069" s="1" t="n">
        <v>44287</v>
      </c>
      <c r="B3069" s="2" t="s">
        <v>26</v>
      </c>
      <c r="C3069" s="3" t="n">
        <v>9214</v>
      </c>
      <c r="D3069" s="8" t="s">
        <v>17</v>
      </c>
      <c r="E3069" s="3" t="n">
        <f aca="false">IF(Tabla2[[#This Row],[Frecuencia]]="Annual", Tabla2[[#This Row],[Cosecha/Tarea]]/12,Tabla2[[#This Row],[Cosecha/Tarea]])</f>
        <v>9214</v>
      </c>
      <c r="F3069" s="3" t="n">
        <v>74547</v>
      </c>
      <c r="G3069" s="2" t="s">
        <v>18</v>
      </c>
      <c r="H3069" s="2" t="n">
        <f aca="false">F3069/Tabla2[[#This Row],[Cosecha Mensual]]</f>
        <v>8.09062296505318</v>
      </c>
      <c r="I3069" s="2" t="n">
        <f aca="false">H3069*_xlfn.XLOOKUP(Tabla2[[#This Row],[Unidad de producción]],Tabla3[Medida],Tabla3[Equivalencia en Kg],"ELVIS",0)</f>
        <v>366.990657694812</v>
      </c>
      <c r="J3069" s="2" t="n">
        <v>1049.62847222222</v>
      </c>
      <c r="K3069" s="2" t="s">
        <v>18</v>
      </c>
      <c r="L3069" s="2" t="n">
        <f aca="false">J3069/_xlfn.XLOOKUP(Tabla2[[#This Row],[Unidad de precio]],Tabla3[Medida],Tabla3[Equivalencia en Kg],"ELVIS",0)</f>
        <v>23.1399575004899</v>
      </c>
      <c r="M3069" s="2" t="n">
        <v>1910.99135924874</v>
      </c>
      <c r="N3069" s="3" t="n">
        <f aca="false">(Tabla2[[#This Row],[Productividad (kg/TAS)]]*Tabla2[[#This Row],[Precio por kg]]-Tabla2[[#This Row],[Costos (En RD$/Tarea)]])</f>
        <v>6581.15686288604</v>
      </c>
      <c r="O3069" s="9" t="n">
        <f aca="false">IF(Tabla2[[#This Row],[Costos (En RD$/Tarea)]]=0,0,Tabla2[[#This Row],[Beneficio Neto  (En RD$/Tarea)]]/Tabla2[[#This Row],[Costos (En RD$/Tarea)]])</f>
        <v>3.44384438528977</v>
      </c>
      <c r="P3069" s="7" t="n">
        <f aca="false">Tabla2[[#This Row],[Rentabilidad (%)]]/12</f>
        <v>0.286987032107481</v>
      </c>
    </row>
    <row r="3070" customFormat="false" ht="14.25" hidden="false" customHeight="false" outlineLevel="0" collapsed="false">
      <c r="A3070" s="1" t="n">
        <v>44287</v>
      </c>
      <c r="B3070" s="2" t="s">
        <v>27</v>
      </c>
      <c r="C3070" s="3" t="n">
        <v>2014</v>
      </c>
      <c r="D3070" s="8" t="s">
        <v>17</v>
      </c>
      <c r="E3070" s="3" t="n">
        <f aca="false">IF(Tabla2[[#This Row],[Frecuencia]]="Annual", Tabla2[[#This Row],[Cosecha/Tarea]]/12,Tabla2[[#This Row],[Cosecha/Tarea]])</f>
        <v>2014</v>
      </c>
      <c r="F3070" s="3" t="n">
        <v>49857</v>
      </c>
      <c r="G3070" s="2" t="s">
        <v>18</v>
      </c>
      <c r="H3070" s="2" t="n">
        <f aca="false">F3070/Tabla2[[#This Row],[Cosecha Mensual]]</f>
        <v>24.7552135054618</v>
      </c>
      <c r="I3070" s="2" t="n">
        <f aca="false">H3070*_xlfn.XLOOKUP(Tabla2[[#This Row],[Unidad de producción]],Tabla3[Medida],Tabla3[Equivalencia en Kg],"ELVIS",0)</f>
        <v>1122.89648460775</v>
      </c>
      <c r="J3070" s="2" t="n">
        <v>667.371607142857</v>
      </c>
      <c r="K3070" s="2" t="s">
        <v>18</v>
      </c>
      <c r="L3070" s="2" t="n">
        <f aca="false">J3070/_xlfn.XLOOKUP(Tabla2[[#This Row],[Unidad de precio]],Tabla3[Medida],Tabla3[Equivalencia en Kg],"ELVIS",0)</f>
        <v>14.7127779352482</v>
      </c>
      <c r="M3070" s="2" t="n">
        <v>10561.2569707933</v>
      </c>
      <c r="N3070" s="3" t="n">
        <f aca="false">(Tabla2[[#This Row],[Productividad (kg/TAS)]]*Tabla2[[#This Row],[Precio por kg]]-Tabla2[[#This Row],[Costos (En RD$/Tarea)]])</f>
        <v>5959.66965151128</v>
      </c>
      <c r="O3070" s="9" t="n">
        <f aca="false">IF(Tabla2[[#This Row],[Costos (En RD$/Tarea)]]=0,0,Tabla2[[#This Row],[Beneficio Neto  (En RD$/Tarea)]]/Tabla2[[#This Row],[Costos (En RD$/Tarea)]])</f>
        <v>0.564295487553469</v>
      </c>
      <c r="P3070" s="7" t="n">
        <f aca="false">Tabla2[[#This Row],[Rentabilidad (%)]]/12</f>
        <v>0.0470246239627891</v>
      </c>
    </row>
    <row r="3071" customFormat="false" ht="14.25" hidden="false" customHeight="false" outlineLevel="0" collapsed="false">
      <c r="A3071" s="1" t="n">
        <v>44287</v>
      </c>
      <c r="B3071" s="2" t="s">
        <v>28</v>
      </c>
      <c r="C3071" s="3" t="n">
        <v>12301</v>
      </c>
      <c r="D3071" s="8" t="s">
        <v>17</v>
      </c>
      <c r="E3071" s="3" t="n">
        <f aca="false">IF(Tabla2[[#This Row],[Frecuencia]]="Annual", Tabla2[[#This Row],[Cosecha/Tarea]]/12,Tabla2[[#This Row],[Cosecha/Tarea]])</f>
        <v>12301</v>
      </c>
      <c r="F3071" s="3" t="n">
        <v>173749</v>
      </c>
      <c r="G3071" s="2" t="s">
        <v>18</v>
      </c>
      <c r="H3071" s="2" t="n">
        <f aca="false">F3071/Tabla2[[#This Row],[Cosecha Mensual]]</f>
        <v>14.1247866027152</v>
      </c>
      <c r="I3071" s="2" t="n">
        <f aca="false">H3071*_xlfn.XLOOKUP(Tabla2[[#This Row],[Unidad de producción]],Tabla3[Medida],Tabla3[Equivalencia en Kg],"ELVIS",0)</f>
        <v>640.700320299163</v>
      </c>
      <c r="J3071" s="2" t="n">
        <v>9888.25911706349</v>
      </c>
      <c r="K3071" s="2" t="s">
        <v>29</v>
      </c>
      <c r="L3071" s="2" t="n">
        <f aca="false">J3071/_xlfn.XLOOKUP(Tabla2[[#This Row],[Unidad de precio]],Tabla3[Medida],Tabla3[Equivalencia en Kg],"ELVIS",0)</f>
        <v>17.5841290270361</v>
      </c>
      <c r="M3071" s="2" t="n">
        <v>20320.344</v>
      </c>
      <c r="N3071" s="3" t="n">
        <f aca="false">(Tabla2[[#This Row],[Productividad (kg/TAS)]]*Tabla2[[#This Row],[Precio por kg]]-Tabla2[[#This Row],[Costos (En RD$/Tarea)]])</f>
        <v>-9054.18690019616</v>
      </c>
      <c r="O3071" s="9" t="n">
        <f aca="false">IF(Tabla2[[#This Row],[Costos (En RD$/Tarea)]]=0,0,Tabla2[[#This Row],[Beneficio Neto  (En RD$/Tarea)]]/Tabla2[[#This Row],[Costos (En RD$/Tarea)]])</f>
        <v>-0.445572520829183</v>
      </c>
      <c r="P3071" s="7" t="n">
        <f aca="false">Tabla2[[#This Row],[Rentabilidad (%)]]/12</f>
        <v>-0.0371310434024319</v>
      </c>
    </row>
    <row r="3072" customFormat="false" ht="14.25" hidden="false" customHeight="false" outlineLevel="0" collapsed="false">
      <c r="A3072" s="1" t="n">
        <v>44287</v>
      </c>
      <c r="B3072" s="2" t="s">
        <v>30</v>
      </c>
      <c r="C3072" s="3" t="n">
        <v>498978</v>
      </c>
      <c r="D3072" s="3" t="s">
        <v>31</v>
      </c>
      <c r="E3072" s="3" t="n">
        <f aca="false">IF(Tabla2[[#This Row],[Frecuencia]]="Annual", Tabla2[[#This Row],[Cosecha/Tarea]]/12,Tabla2[[#This Row],[Cosecha/Tarea]])</f>
        <v>41581.5</v>
      </c>
      <c r="F3072" s="3" t="n">
        <v>2529269</v>
      </c>
      <c r="G3072" s="2" t="s">
        <v>18</v>
      </c>
      <c r="H3072" s="2" t="n">
        <f aca="false">F3072/Tabla2[[#This Row],[Cosecha Mensual]]</f>
        <v>60.8267859504828</v>
      </c>
      <c r="I3072" s="2" t="n">
        <f aca="false">H3072*_xlfn.XLOOKUP(Tabla2[[#This Row],[Unidad de producción]],Tabla3[Medida],Tabla3[Equivalencia en Kg],"ELVIS",0)</f>
        <v>2759.1030107139</v>
      </c>
      <c r="J3072" s="2" t="n">
        <v>221.7109375</v>
      </c>
      <c r="K3072" s="2" t="s">
        <v>32</v>
      </c>
      <c r="L3072" s="2" t="n">
        <f aca="false">J3072/_xlfn.XLOOKUP(Tabla2[[#This Row],[Unidad de precio]],Tabla3[Medida],Tabla3[Equivalencia en Kg],"ELVIS",0)</f>
        <v>8.14814176773245</v>
      </c>
      <c r="M3072" s="3" t="n">
        <v>40592.4361945306</v>
      </c>
      <c r="N3072" s="3" t="n">
        <f aca="false">(Tabla2[[#This Row],[Productividad (kg/TAS)]]*Tabla2[[#This Row],[Precio por kg]]-Tabla2[[#This Row],[Costos (En RD$/Tarea)]])</f>
        <v>-18110.8737114563</v>
      </c>
      <c r="O3072" s="9" t="n">
        <f aca="false">IF(Tabla2[[#This Row],[Costos (En RD$/Tarea)]]=0,0,Tabla2[[#This Row],[Beneficio Neto  (En RD$/Tarea)]]/Tabla2[[#This Row],[Costos (En RD$/Tarea)]])</f>
        <v>-0.446163753874338</v>
      </c>
      <c r="P3072" s="7" t="n">
        <f aca="false">Tabla2[[#This Row],[Rentabilidad (%)]]/12</f>
        <v>-0.0371803128228615</v>
      </c>
    </row>
    <row r="3073" customFormat="false" ht="14.25" hidden="false" customHeight="false" outlineLevel="0" collapsed="false">
      <c r="A3073" s="1" t="n">
        <v>44287</v>
      </c>
      <c r="B3073" s="2" t="s">
        <v>33</v>
      </c>
      <c r="C3073" s="3" t="n">
        <v>810219</v>
      </c>
      <c r="D3073" s="3" t="s">
        <v>31</v>
      </c>
      <c r="E3073" s="3" t="n">
        <f aca="false">IF(Tabla2[[#This Row],[Frecuencia]]="Annual", Tabla2[[#This Row],[Cosecha/Tarea]]/12,Tabla2[[#This Row],[Cosecha/Tarea]])</f>
        <v>67518.25</v>
      </c>
      <c r="F3073" s="3" t="n">
        <v>3379266</v>
      </c>
      <c r="G3073" s="2" t="s">
        <v>18</v>
      </c>
      <c r="H3073" s="2" t="n">
        <f aca="false">F3073/Tabla2[[#This Row],[Cosecha Mensual]]</f>
        <v>50.0496680527117</v>
      </c>
      <c r="I3073" s="2" t="n">
        <f aca="false">H3073*_xlfn.XLOOKUP(Tabla2[[#This Row],[Unidad de producción]],Tabla3[Medida],Tabla3[Equivalencia en Kg],"ELVIS",0)</f>
        <v>2270.252942871</v>
      </c>
      <c r="J3073" s="2" t="n">
        <v>7716.95052083333</v>
      </c>
      <c r="K3073" s="2" t="s">
        <v>34</v>
      </c>
      <c r="L3073" s="2" t="n">
        <f aca="false">J3073/_xlfn.XLOOKUP(Tabla2[[#This Row],[Unidad de precio]],Tabla3[Medida],Tabla3[Equivalencia en Kg],"ELVIS",0)</f>
        <v>18.9071432581976</v>
      </c>
      <c r="M3073" s="3" t="n">
        <v>43963.4440344</v>
      </c>
      <c r="N3073" s="3" t="n">
        <f aca="false">(Tabla2[[#This Row],[Productividad (kg/TAS)]]*Tabla2[[#This Row],[Precio por kg]]-Tabla2[[#This Row],[Costos (En RD$/Tarea)]])</f>
        <v>-1039.4464111934</v>
      </c>
      <c r="O3073" s="9" t="n">
        <f aca="false">IF(Tabla2[[#This Row],[Costos (En RD$/Tarea)]]=0,0,Tabla2[[#This Row],[Beneficio Neto  (En RD$/Tarea)]]/Tabla2[[#This Row],[Costos (En RD$/Tarea)]])</f>
        <v>-0.0236434254418299</v>
      </c>
      <c r="P3073" s="7" t="n">
        <f aca="false">Tabla2[[#This Row],[Rentabilidad (%)]]/12</f>
        <v>-0.00197028545348583</v>
      </c>
    </row>
    <row r="3074" customFormat="false" ht="14.25" hidden="false" customHeight="false" outlineLevel="0" collapsed="false">
      <c r="A3074" s="1" t="n">
        <v>44317</v>
      </c>
      <c r="B3074" s="2" t="s">
        <v>16</v>
      </c>
      <c r="C3074" s="3" t="n">
        <v>413027</v>
      </c>
      <c r="D3074" s="8" t="s">
        <v>17</v>
      </c>
      <c r="E3074" s="3" t="n">
        <f aca="false">IF(Tabla2[[#This Row],[Frecuencia]]="Annual", Tabla2[[#This Row],[Cosecha/Tarea]]/12,Tabla2[[#This Row],[Cosecha/Tarea]])</f>
        <v>413027</v>
      </c>
      <c r="F3074" s="3" t="n">
        <v>2458225</v>
      </c>
      <c r="G3074" s="2" t="s">
        <v>18</v>
      </c>
      <c r="H3074" s="2" t="n">
        <f aca="false">F3074/Tabla2[[#This Row],[Cosecha Mensual]]</f>
        <v>5.95172954794723</v>
      </c>
      <c r="I3074" s="2" t="n">
        <f aca="false">H3074*_xlfn.XLOOKUP(Tabla2[[#This Row],[Unidad de producción]],Tabla3[Medida],Tabla3[Equivalencia en Kg],"ELVIS",0)</f>
        <v>269.970452294886</v>
      </c>
      <c r="J3074" s="2" t="n">
        <v>2567.99192488693</v>
      </c>
      <c r="K3074" s="2" t="s">
        <v>19</v>
      </c>
      <c r="L3074" s="2" t="n">
        <f aca="false">J3074/_xlfn.XLOOKUP(Tabla2[[#This Row],[Unidad de precio]],Tabla3[Medida],Tabla3[Equivalencia en Kg],"ELVIS",0)</f>
        <v>23.3453811353357</v>
      </c>
      <c r="M3074" s="2" t="n">
        <v>7900.39794477161</v>
      </c>
      <c r="N3074" s="3" t="n">
        <f aca="false">(Tabla2[[#This Row],[Productividad (kg/TAS)]]*Tabla2[[#This Row],[Precio por kg]]-Tabla2[[#This Row],[Costos (En RD$/Tarea)]])</f>
        <v>-1597.83484066852</v>
      </c>
      <c r="O3074" s="9" t="n">
        <f aca="false">IF(Tabla2[[#This Row],[Costos (En RD$/Tarea)]]=0,0,Tabla2[[#This Row],[Beneficio Neto  (En RD$/Tarea)]]/Tabla2[[#This Row],[Costos (En RD$/Tarea)]])</f>
        <v>-0.202247387009909</v>
      </c>
      <c r="P3074" s="7" t="n">
        <f aca="false">Tabla2[[#This Row],[Rentabilidad (%)]]/12</f>
        <v>-0.0168539489174925</v>
      </c>
    </row>
    <row r="3075" customFormat="false" ht="14.25" hidden="false" customHeight="false" outlineLevel="0" collapsed="false">
      <c r="A3075" s="1" t="n">
        <v>44317</v>
      </c>
      <c r="B3075" s="2" t="s">
        <v>20</v>
      </c>
      <c r="C3075" s="3" t="n">
        <v>23654</v>
      </c>
      <c r="D3075" s="8" t="s">
        <v>17</v>
      </c>
      <c r="E3075" s="3" t="n">
        <f aca="false">IF(Tabla2[[#This Row],[Frecuencia]]="Annual", Tabla2[[#This Row],[Cosecha/Tarea]]/12,Tabla2[[#This Row],[Cosecha/Tarea]])</f>
        <v>23654</v>
      </c>
      <c r="F3075" s="3" t="n">
        <v>86241</v>
      </c>
      <c r="G3075" s="2" t="s">
        <v>18</v>
      </c>
      <c r="H3075" s="2" t="n">
        <f aca="false">F3075/Tabla2[[#This Row],[Cosecha Mensual]]</f>
        <v>3.64593726219667</v>
      </c>
      <c r="I3075" s="2" t="n">
        <f aca="false">H3075*_xlfn.XLOOKUP(Tabla2[[#This Row],[Unidad de producción]],Tabla3[Medida],Tabla3[Equivalencia en Kg],"ELVIS",0)</f>
        <v>165.379714213241</v>
      </c>
      <c r="J3075" s="2" t="n">
        <v>1063.3359375</v>
      </c>
      <c r="K3075" s="2" t="s">
        <v>18</v>
      </c>
      <c r="L3075" s="2" t="n">
        <f aca="false">J3075/_xlfn.XLOOKUP(Tabla2[[#This Row],[Unidad de precio]],Tabla3[Medida],Tabla3[Equivalencia en Kg],"ELVIS",0)</f>
        <v>23.442150297619</v>
      </c>
      <c r="M3075" s="2" t="n">
        <v>2759.06577122957</v>
      </c>
      <c r="N3075" s="3" t="n">
        <f aca="false">(Tabla2[[#This Row],[Productividad (kg/TAS)]]*Tabla2[[#This Row],[Precio por kg]]-Tabla2[[#This Row],[Costos (En RD$/Tarea)]])</f>
        <v>1117.79034553451</v>
      </c>
      <c r="O3075" s="9" t="n">
        <f aca="false">IF(Tabla2[[#This Row],[Costos (En RD$/Tarea)]]=0,0,Tabla2[[#This Row],[Beneficio Neto  (En RD$/Tarea)]]/Tabla2[[#This Row],[Costos (En RD$/Tarea)]])</f>
        <v>0.405133635156645</v>
      </c>
      <c r="P3075" s="7" t="n">
        <f aca="false">Tabla2[[#This Row],[Rentabilidad (%)]]/12</f>
        <v>0.0337611362630538</v>
      </c>
    </row>
    <row r="3076" customFormat="false" ht="14.25" hidden="false" customHeight="false" outlineLevel="0" collapsed="false">
      <c r="A3076" s="1" t="n">
        <v>44317</v>
      </c>
      <c r="B3076" s="2" t="s">
        <v>21</v>
      </c>
      <c r="C3076" s="3" t="n">
        <v>10821</v>
      </c>
      <c r="D3076" s="8" t="s">
        <v>17</v>
      </c>
      <c r="E3076" s="3" t="n">
        <f aca="false">IF(Tabla2[[#This Row],[Frecuencia]]="Annual", Tabla2[[#This Row],[Cosecha/Tarea]]/12,Tabla2[[#This Row],[Cosecha/Tarea]])</f>
        <v>10821</v>
      </c>
      <c r="F3076" s="3" t="n">
        <v>125471</v>
      </c>
      <c r="G3076" s="2" t="s">
        <v>18</v>
      </c>
      <c r="H3076" s="2" t="n">
        <f aca="false">F3076/Tabla2[[#This Row],[Cosecha Mensual]]</f>
        <v>11.5951390814158</v>
      </c>
      <c r="I3076" s="2" t="n">
        <f aca="false">H3076*_xlfn.XLOOKUP(Tabla2[[#This Row],[Unidad de producción]],Tabla3[Medida],Tabla3[Equivalencia en Kg],"ELVIS",0)</f>
        <v>525.955508733019</v>
      </c>
      <c r="J3076" s="2" t="n">
        <v>752.330729166667</v>
      </c>
      <c r="K3076" s="2" t="s">
        <v>18</v>
      </c>
      <c r="L3076" s="2" t="n">
        <f aca="false">J3076/_xlfn.XLOOKUP(Tabla2[[#This Row],[Unidad de precio]],Tabla3[Medida],Tabla3[Equivalencia en Kg],"ELVIS",0)</f>
        <v>16.5857744525279</v>
      </c>
      <c r="M3076" s="2" t="n">
        <v>6695.95013513731</v>
      </c>
      <c r="N3076" s="3" t="n">
        <f aca="false">(Tabla2[[#This Row],[Productividad (kg/TAS)]]*Tabla2[[#This Row],[Precio por kg]]-Tabla2[[#This Row],[Costos (En RD$/Tarea)]])</f>
        <v>2027.42930477313</v>
      </c>
      <c r="O3076" s="9" t="n">
        <f aca="false">IF(Tabla2[[#This Row],[Costos (En RD$/Tarea)]]=0,0,Tabla2[[#This Row],[Beneficio Neto  (En RD$/Tarea)]]/Tabla2[[#This Row],[Costos (En RD$/Tarea)]])</f>
        <v>0.302784409061546</v>
      </c>
      <c r="P3076" s="7" t="n">
        <f aca="false">Tabla2[[#This Row],[Rentabilidad (%)]]/12</f>
        <v>0.0252320340884622</v>
      </c>
    </row>
    <row r="3077" customFormat="false" ht="14.25" hidden="false" customHeight="false" outlineLevel="0" collapsed="false">
      <c r="A3077" s="1" t="n">
        <v>44317</v>
      </c>
      <c r="B3077" s="2" t="s">
        <v>22</v>
      </c>
      <c r="C3077" s="3" t="n">
        <v>5498</v>
      </c>
      <c r="D3077" s="8" t="s">
        <v>17</v>
      </c>
      <c r="E3077" s="3" t="n">
        <f aca="false">IF(Tabla2[[#This Row],[Frecuencia]]="Annual", Tabla2[[#This Row],[Cosecha/Tarea]]/12,Tabla2[[#This Row],[Cosecha/Tarea]])</f>
        <v>5498</v>
      </c>
      <c r="F3077" s="3" t="n">
        <v>56988</v>
      </c>
      <c r="G3077" s="2" t="s">
        <v>18</v>
      </c>
      <c r="H3077" s="2" t="n">
        <f aca="false">F3077/Tabla2[[#This Row],[Cosecha Mensual]]</f>
        <v>10.3652237177155</v>
      </c>
      <c r="I3077" s="2" t="n">
        <f aca="false">H3077*_xlfn.XLOOKUP(Tabla2[[#This Row],[Unidad de producción]],Tabla3[Medida],Tabla3[Equivalencia en Kg],"ELVIS",0)</f>
        <v>470.166547835577</v>
      </c>
      <c r="J3077" s="2" t="n">
        <v>1683.46875</v>
      </c>
      <c r="K3077" s="2" t="s">
        <v>18</v>
      </c>
      <c r="L3077" s="2" t="n">
        <f aca="false">J3077/_xlfn.XLOOKUP(Tabla2[[#This Row],[Unidad de precio]],Tabla3[Medida],Tabla3[Equivalencia en Kg],"ELVIS",0)</f>
        <v>37.1135085978836</v>
      </c>
      <c r="M3077" s="2" t="n">
        <v>11609.3184891587</v>
      </c>
      <c r="N3077" s="3" t="n">
        <f aca="false">(Tabla2[[#This Row],[Productividad (kg/TAS)]]*Tabla2[[#This Row],[Precio por kg]]-Tabla2[[#This Row],[Costos (En RD$/Tarea)]])</f>
        <v>5840.21172637422</v>
      </c>
      <c r="O3077" s="9" t="n">
        <f aca="false">IF(Tabla2[[#This Row],[Costos (En RD$/Tarea)]]=0,0,Tabla2[[#This Row],[Beneficio Neto  (En RD$/Tarea)]]/Tabla2[[#This Row],[Costos (En RD$/Tarea)]])</f>
        <v>0.503062409031854</v>
      </c>
      <c r="P3077" s="7" t="n">
        <f aca="false">Tabla2[[#This Row],[Rentabilidad (%)]]/12</f>
        <v>0.0419218674193212</v>
      </c>
    </row>
    <row r="3078" customFormat="false" ht="14.25" hidden="false" customHeight="false" outlineLevel="0" collapsed="false">
      <c r="A3078" s="1" t="n">
        <v>44317</v>
      </c>
      <c r="B3078" s="2" t="s">
        <v>23</v>
      </c>
      <c r="C3078" s="3" t="n">
        <v>4945</v>
      </c>
      <c r="D3078" s="8" t="s">
        <v>17</v>
      </c>
      <c r="E3078" s="3" t="n">
        <f aca="false">IF(Tabla2[[#This Row],[Frecuencia]]="Annual", Tabla2[[#This Row],[Cosecha/Tarea]]/12,Tabla2[[#This Row],[Cosecha/Tarea]])</f>
        <v>4945</v>
      </c>
      <c r="F3078" s="3" t="n">
        <v>190144</v>
      </c>
      <c r="G3078" s="2" t="s">
        <v>18</v>
      </c>
      <c r="H3078" s="2" t="n">
        <f aca="false">F3078/Tabla2[[#This Row],[Cosecha Mensual]]</f>
        <v>38.4517694641052</v>
      </c>
      <c r="I3078" s="2" t="n">
        <f aca="false">H3078*_xlfn.XLOOKUP(Tabla2[[#This Row],[Unidad de producción]],Tabla3[Medida],Tabla3[Equivalencia en Kg],"ELVIS",0)</f>
        <v>1744.17226289181</v>
      </c>
      <c r="J3078" s="2" t="n">
        <v>884.75</v>
      </c>
      <c r="K3078" s="2" t="s">
        <v>18</v>
      </c>
      <c r="L3078" s="2" t="n">
        <f aca="false">J3078/_xlfn.XLOOKUP(Tabla2[[#This Row],[Unidad de precio]],Tabla3[Medida],Tabla3[Equivalencia en Kg],"ELVIS",0)</f>
        <v>19.5050705467372</v>
      </c>
      <c r="M3078" s="2" t="n">
        <v>31774.6512666667</v>
      </c>
      <c r="N3078" s="3" t="n">
        <f aca="false">(Tabla2[[#This Row],[Productividad (kg/TAS)]]*Tabla2[[#This Row],[Precio por kg]]-Tabla2[[#This Row],[Costos (En RD$/Tarea)]])</f>
        <v>2245.55176670034</v>
      </c>
      <c r="O3078" s="9" t="n">
        <f aca="false">IF(Tabla2[[#This Row],[Costos (En RD$/Tarea)]]=0,0,Tabla2[[#This Row],[Beneficio Neto  (En RD$/Tarea)]]/Tabla2[[#This Row],[Costos (En RD$/Tarea)]])</f>
        <v>0.0706711695387211</v>
      </c>
      <c r="P3078" s="7" t="n">
        <f aca="false">Tabla2[[#This Row],[Rentabilidad (%)]]/12</f>
        <v>0.00588926412822676</v>
      </c>
    </row>
    <row r="3079" customFormat="false" ht="14.25" hidden="false" customHeight="false" outlineLevel="0" collapsed="false">
      <c r="A3079" s="1" t="n">
        <v>44317</v>
      </c>
      <c r="B3079" s="2" t="s">
        <v>24</v>
      </c>
      <c r="C3079" s="3" t="n">
        <v>6524</v>
      </c>
      <c r="D3079" s="8" t="s">
        <v>17</v>
      </c>
      <c r="E3079" s="3" t="n">
        <f aca="false">IF(Tabla2[[#This Row],[Frecuencia]]="Annual", Tabla2[[#This Row],[Cosecha/Tarea]]/12,Tabla2[[#This Row],[Cosecha/Tarea]])</f>
        <v>6524</v>
      </c>
      <c r="F3079" s="3" t="n">
        <v>43214</v>
      </c>
      <c r="G3079" s="2" t="s">
        <v>18</v>
      </c>
      <c r="H3079" s="2" t="n">
        <f aca="false">F3079/Tabla2[[#This Row],[Cosecha Mensual]]</f>
        <v>6.62385039852851</v>
      </c>
      <c r="I3079" s="2" t="n">
        <f aca="false">H3079*_xlfn.XLOOKUP(Tabla2[[#This Row],[Unidad de producción]],Tabla3[Medida],Tabla3[Equivalencia en Kg],"ELVIS",0)</f>
        <v>300.457854077253</v>
      </c>
      <c r="J3079" s="2" t="n">
        <v>2295.06205357143</v>
      </c>
      <c r="K3079" s="2" t="s">
        <v>18</v>
      </c>
      <c r="L3079" s="2" t="n">
        <f aca="false">J3079/_xlfn.XLOOKUP(Tabla2[[#This Row],[Unidad de precio]],Tabla3[Medida],Tabla3[Equivalencia en Kg],"ELVIS",0)</f>
        <v>50.5966061192996</v>
      </c>
      <c r="M3079" s="2" t="n">
        <v>9606.85680953384</v>
      </c>
      <c r="N3079" s="3" t="n">
        <f aca="false">(Tabla2[[#This Row],[Productividad (kg/TAS)]]*Tabla2[[#This Row],[Precio por kg]]-Tabla2[[#This Row],[Costos (En RD$/Tarea)]])</f>
        <v>5595.29088866294</v>
      </c>
      <c r="O3079" s="9" t="n">
        <f aca="false">IF(Tabla2[[#This Row],[Costos (En RD$/Tarea)]]=0,0,Tabla2[[#This Row],[Beneficio Neto  (En RD$/Tarea)]]/Tabla2[[#This Row],[Costos (En RD$/Tarea)]])</f>
        <v>0.582426801980662</v>
      </c>
      <c r="P3079" s="7" t="n">
        <f aca="false">Tabla2[[#This Row],[Rentabilidad (%)]]/12</f>
        <v>0.0485355668317218</v>
      </c>
    </row>
    <row r="3080" customFormat="false" ht="14.25" hidden="false" customHeight="false" outlineLevel="0" collapsed="false">
      <c r="A3080" s="1" t="n">
        <v>44317</v>
      </c>
      <c r="B3080" s="2" t="s">
        <v>25</v>
      </c>
      <c r="C3080" s="3" t="n">
        <v>26887</v>
      </c>
      <c r="D3080" s="8" t="s">
        <v>17</v>
      </c>
      <c r="E3080" s="3" t="n">
        <f aca="false">IF(Tabla2[[#This Row],[Frecuencia]]="Annual", Tabla2[[#This Row],[Cosecha/Tarea]]/12,Tabla2[[#This Row],[Cosecha/Tarea]])</f>
        <v>26887</v>
      </c>
      <c r="F3080" s="3" t="n">
        <v>295999</v>
      </c>
      <c r="G3080" s="2" t="s">
        <v>18</v>
      </c>
      <c r="H3080" s="2" t="n">
        <f aca="false">F3080/Tabla2[[#This Row],[Cosecha Mensual]]</f>
        <v>11.0090006322758</v>
      </c>
      <c r="I3080" s="2" t="n">
        <f aca="false">H3080*_xlfn.XLOOKUP(Tabla2[[#This Row],[Unidad de producción]],Tabla3[Medida],Tabla3[Equivalencia en Kg],"ELVIS",0)</f>
        <v>499.368268680031</v>
      </c>
      <c r="J3080" s="2" t="n">
        <v>756.499375</v>
      </c>
      <c r="K3080" s="2" t="s">
        <v>18</v>
      </c>
      <c r="L3080" s="2" t="n">
        <f aca="false">J3080/_xlfn.XLOOKUP(Tabla2[[#This Row],[Unidad de precio]],Tabla3[Medida],Tabla3[Equivalencia en Kg],"ELVIS",0)</f>
        <v>16.6776758156967</v>
      </c>
      <c r="M3080" s="2" t="n">
        <v>5403.38741449239</v>
      </c>
      <c r="N3080" s="3" t="n">
        <f aca="false">(Tabla2[[#This Row],[Productividad (kg/TAS)]]*Tabla2[[#This Row],[Precio por kg]]-Tabla2[[#This Row],[Costos (En RD$/Tarea)]])</f>
        <v>2924.91468319887</v>
      </c>
      <c r="O3080" s="9" t="n">
        <f aca="false">IF(Tabla2[[#This Row],[Costos (En RD$/Tarea)]]=0,0,Tabla2[[#This Row],[Beneficio Neto  (En RD$/Tarea)]]/Tabla2[[#This Row],[Costos (En RD$/Tarea)]])</f>
        <v>0.541311303230632</v>
      </c>
      <c r="P3080" s="7" t="n">
        <f aca="false">Tabla2[[#This Row],[Rentabilidad (%)]]/12</f>
        <v>0.0451092752692194</v>
      </c>
    </row>
    <row r="3081" customFormat="false" ht="14.25" hidden="false" customHeight="false" outlineLevel="0" collapsed="false">
      <c r="A3081" s="1" t="n">
        <v>44317</v>
      </c>
      <c r="B3081" s="2" t="s">
        <v>26</v>
      </c>
      <c r="C3081" s="3" t="n">
        <v>11120</v>
      </c>
      <c r="D3081" s="8" t="s">
        <v>17</v>
      </c>
      <c r="E3081" s="3" t="n">
        <f aca="false">IF(Tabla2[[#This Row],[Frecuencia]]="Annual", Tabla2[[#This Row],[Cosecha/Tarea]]/12,Tabla2[[#This Row],[Cosecha/Tarea]])</f>
        <v>11120</v>
      </c>
      <c r="F3081" s="3" t="n">
        <v>76584</v>
      </c>
      <c r="G3081" s="2" t="s">
        <v>18</v>
      </c>
      <c r="H3081" s="2" t="n">
        <f aca="false">F3081/Tabla2[[#This Row],[Cosecha Mensual]]</f>
        <v>6.88705035971223</v>
      </c>
      <c r="I3081" s="2" t="n">
        <f aca="false">H3081*_xlfn.XLOOKUP(Tabla2[[#This Row],[Unidad de producción]],Tabla3[Medida],Tabla3[Equivalencia en Kg],"ELVIS",0)</f>
        <v>312.396604316547</v>
      </c>
      <c r="J3081" s="2" t="n">
        <v>979.168402777778</v>
      </c>
      <c r="K3081" s="2" t="s">
        <v>18</v>
      </c>
      <c r="L3081" s="2" t="n">
        <f aca="false">J3081/_xlfn.XLOOKUP(Tabla2[[#This Row],[Unidad de precio]],Tabla3[Medida],Tabla3[Equivalencia en Kg],"ELVIS",0)</f>
        <v>21.5866049995101</v>
      </c>
      <c r="M3081" s="2" t="n">
        <v>1910.99135924874</v>
      </c>
      <c r="N3081" s="3" t="n">
        <f aca="false">(Tabla2[[#This Row],[Productividad (kg/TAS)]]*Tabla2[[#This Row],[Precio por kg]]-Tabla2[[#This Row],[Costos (En RD$/Tarea)]])</f>
        <v>4832.59074132081</v>
      </c>
      <c r="O3081" s="9" t="n">
        <f aca="false">IF(Tabla2[[#This Row],[Costos (En RD$/Tarea)]]=0,0,Tabla2[[#This Row],[Beneficio Neto  (En RD$/Tarea)]]/Tabla2[[#This Row],[Costos (En RD$/Tarea)]])</f>
        <v>2.52883966111737</v>
      </c>
      <c r="P3081" s="7" t="n">
        <f aca="false">Tabla2[[#This Row],[Rentabilidad (%)]]/12</f>
        <v>0.210736638426448</v>
      </c>
    </row>
    <row r="3082" customFormat="false" ht="14.25" hidden="false" customHeight="false" outlineLevel="0" collapsed="false">
      <c r="A3082" s="1" t="n">
        <v>44317</v>
      </c>
      <c r="B3082" s="2" t="s">
        <v>27</v>
      </c>
      <c r="C3082" s="3" t="n">
        <v>4520</v>
      </c>
      <c r="D3082" s="8" t="s">
        <v>17</v>
      </c>
      <c r="E3082" s="3" t="n">
        <f aca="false">IF(Tabla2[[#This Row],[Frecuencia]]="Annual", Tabla2[[#This Row],[Cosecha/Tarea]]/12,Tabla2[[#This Row],[Cosecha/Tarea]])</f>
        <v>4520</v>
      </c>
      <c r="F3082" s="3" t="n">
        <v>48755</v>
      </c>
      <c r="G3082" s="2" t="s">
        <v>18</v>
      </c>
      <c r="H3082" s="2" t="n">
        <f aca="false">F3082/Tabla2[[#This Row],[Cosecha Mensual]]</f>
        <v>10.7865044247788</v>
      </c>
      <c r="I3082" s="2" t="n">
        <f aca="false">H3082*_xlfn.XLOOKUP(Tabla2[[#This Row],[Unidad de producción]],Tabla3[Medida],Tabla3[Equivalencia en Kg],"ELVIS",0)</f>
        <v>489.275840707965</v>
      </c>
      <c r="J3082" s="2" t="n">
        <v>668.545833333333</v>
      </c>
      <c r="K3082" s="2" t="s">
        <v>18</v>
      </c>
      <c r="L3082" s="2" t="n">
        <f aca="false">J3082/_xlfn.XLOOKUP(Tabla2[[#This Row],[Unidad de precio]],Tabla3[Medida],Tabla3[Equivalencia en Kg],"ELVIS",0)</f>
        <v>14.7386647560259</v>
      </c>
      <c r="M3082" s="2" t="n">
        <v>10561.2569707933</v>
      </c>
      <c r="N3082" s="3" t="n">
        <f aca="false">(Tabla2[[#This Row],[Productividad (kg/TAS)]]*Tabla2[[#This Row],[Precio por kg]]-Tabla2[[#This Row],[Costos (En RD$/Tarea)]])</f>
        <v>-3349.9843813759</v>
      </c>
      <c r="O3082" s="9" t="n">
        <f aca="false">IF(Tabla2[[#This Row],[Costos (En RD$/Tarea)]]=0,0,Tabla2[[#This Row],[Beneficio Neto  (En RD$/Tarea)]]/Tabla2[[#This Row],[Costos (En RD$/Tarea)]])</f>
        <v>-0.317195613234309</v>
      </c>
      <c r="P3082" s="7" t="n">
        <f aca="false">Tabla2[[#This Row],[Rentabilidad (%)]]/12</f>
        <v>-0.0264329677695257</v>
      </c>
    </row>
    <row r="3083" customFormat="false" ht="14.25" hidden="false" customHeight="false" outlineLevel="0" collapsed="false">
      <c r="A3083" s="1" t="n">
        <v>44317</v>
      </c>
      <c r="B3083" s="2" t="s">
        <v>28</v>
      </c>
      <c r="C3083" s="3" t="n">
        <v>10878</v>
      </c>
      <c r="D3083" s="8" t="s">
        <v>17</v>
      </c>
      <c r="E3083" s="3" t="n">
        <f aca="false">IF(Tabla2[[#This Row],[Frecuencia]]="Annual", Tabla2[[#This Row],[Cosecha/Tarea]]/12,Tabla2[[#This Row],[Cosecha/Tarea]])</f>
        <v>10878</v>
      </c>
      <c r="F3083" s="3" t="n">
        <v>322375</v>
      </c>
      <c r="G3083" s="2" t="s">
        <v>18</v>
      </c>
      <c r="H3083" s="2" t="n">
        <f aca="false">F3083/Tabla2[[#This Row],[Cosecha Mensual]]</f>
        <v>29.6355028497886</v>
      </c>
      <c r="I3083" s="2" t="n">
        <f aca="false">H3083*_xlfn.XLOOKUP(Tabla2[[#This Row],[Unidad de producción]],Tabla3[Medida],Tabla3[Equivalencia en Kg],"ELVIS",0)</f>
        <v>1344.26640926641</v>
      </c>
      <c r="J3083" s="2" t="n">
        <v>9888.25911706349</v>
      </c>
      <c r="K3083" s="2" t="s">
        <v>29</v>
      </c>
      <c r="L3083" s="2" t="n">
        <f aca="false">J3083/_xlfn.XLOOKUP(Tabla2[[#This Row],[Unidad de precio]],Tabla3[Medida],Tabla3[Equivalencia en Kg],"ELVIS",0)</f>
        <v>17.5841290270361</v>
      </c>
      <c r="M3083" s="2" t="n">
        <v>20320.344</v>
      </c>
      <c r="N3083" s="3" t="n">
        <f aca="false">(Tabla2[[#This Row],[Productividad (kg/TAS)]]*Tabla2[[#This Row],[Precio por kg]]-Tabla2[[#This Row],[Costos (En RD$/Tarea)]])</f>
        <v>3317.40998725108</v>
      </c>
      <c r="O3083" s="9" t="n">
        <f aca="false">IF(Tabla2[[#This Row],[Costos (En RD$/Tarea)]]=0,0,Tabla2[[#This Row],[Beneficio Neto  (En RD$/Tarea)]]/Tabla2[[#This Row],[Costos (En RD$/Tarea)]])</f>
        <v>0.16325560173839</v>
      </c>
      <c r="P3083" s="7" t="n">
        <f aca="false">Tabla2[[#This Row],[Rentabilidad (%)]]/12</f>
        <v>0.0136046334781991</v>
      </c>
    </row>
    <row r="3084" customFormat="false" ht="14.25" hidden="false" customHeight="false" outlineLevel="0" collapsed="false">
      <c r="A3084" s="1" t="n">
        <v>44317</v>
      </c>
      <c r="B3084" s="2" t="s">
        <v>30</v>
      </c>
      <c r="C3084" s="3" t="n">
        <v>520145</v>
      </c>
      <c r="D3084" s="3" t="s">
        <v>31</v>
      </c>
      <c r="E3084" s="3" t="n">
        <f aca="false">IF(Tabla2[[#This Row],[Frecuencia]]="Annual", Tabla2[[#This Row],[Cosecha/Tarea]]/12,Tabla2[[#This Row],[Cosecha/Tarea]])</f>
        <v>43345.4166666667</v>
      </c>
      <c r="F3084" s="3" t="n">
        <v>2461295</v>
      </c>
      <c r="G3084" s="2" t="s">
        <v>18</v>
      </c>
      <c r="H3084" s="2" t="n">
        <f aca="false">F3084/Tabla2[[#This Row],[Cosecha Mensual]]</f>
        <v>56.7832815849427</v>
      </c>
      <c r="I3084" s="2" t="n">
        <f aca="false">H3084*_xlfn.XLOOKUP(Tabla2[[#This Row],[Unidad de producción]],Tabla3[Medida],Tabla3[Equivalencia en Kg],"ELVIS",0)</f>
        <v>2575.689652693</v>
      </c>
      <c r="J3084" s="2" t="n">
        <v>217.367708333333</v>
      </c>
      <c r="K3084" s="2" t="s">
        <v>32</v>
      </c>
      <c r="L3084" s="2" t="n">
        <f aca="false">J3084/_xlfn.XLOOKUP(Tabla2[[#This Row],[Unidad de precio]],Tabla3[Medida],Tabla3[Equivalencia en Kg],"ELVIS",0)</f>
        <v>7.98852290824451</v>
      </c>
      <c r="M3084" s="3" t="n">
        <v>40592.4361945306</v>
      </c>
      <c r="N3084" s="3" t="n">
        <f aca="false">(Tabla2[[#This Row],[Productividad (kg/TAS)]]*Tabla2[[#This Row],[Precio por kg]]-Tabla2[[#This Row],[Costos (En RD$/Tarea)]])</f>
        <v>-20016.4803994642</v>
      </c>
      <c r="O3084" s="9" t="n">
        <f aca="false">IF(Tabla2[[#This Row],[Costos (En RD$/Tarea)]]=0,0,Tabla2[[#This Row],[Beneficio Neto  (En RD$/Tarea)]]/Tabla2[[#This Row],[Costos (En RD$/Tarea)]])</f>
        <v>-0.493108625053681</v>
      </c>
      <c r="P3084" s="7" t="n">
        <f aca="false">Tabla2[[#This Row],[Rentabilidad (%)]]/12</f>
        <v>-0.0410923854211401</v>
      </c>
    </row>
    <row r="3085" customFormat="false" ht="14.25" hidden="false" customHeight="false" outlineLevel="0" collapsed="false">
      <c r="A3085" s="1" t="n">
        <v>44317</v>
      </c>
      <c r="B3085" s="2" t="s">
        <v>33</v>
      </c>
      <c r="C3085" s="3" t="n">
        <v>852414</v>
      </c>
      <c r="D3085" s="3" t="s">
        <v>31</v>
      </c>
      <c r="E3085" s="3" t="n">
        <f aca="false">IF(Tabla2[[#This Row],[Frecuencia]]="Annual", Tabla2[[#This Row],[Cosecha/Tarea]]/12,Tabla2[[#This Row],[Cosecha/Tarea]])</f>
        <v>71034.5</v>
      </c>
      <c r="F3085" s="3" t="n">
        <v>3079296</v>
      </c>
      <c r="G3085" s="2" t="s">
        <v>18</v>
      </c>
      <c r="H3085" s="2" t="n">
        <f aca="false">F3085/Tabla2[[#This Row],[Cosecha Mensual]]</f>
        <v>43.349302099684</v>
      </c>
      <c r="I3085" s="2" t="n">
        <f aca="false">H3085*_xlfn.XLOOKUP(Tabla2[[#This Row],[Unidad de producción]],Tabla3[Medida],Tabla3[Equivalencia en Kg],"ELVIS",0)</f>
        <v>1966.32434324166</v>
      </c>
      <c r="J3085" s="2" t="n">
        <v>7609.29166666667</v>
      </c>
      <c r="K3085" s="2" t="s">
        <v>34</v>
      </c>
      <c r="L3085" s="2" t="n">
        <f aca="false">J3085/_xlfn.XLOOKUP(Tabla2[[#This Row],[Unidad de precio]],Tabla3[Medida],Tabla3[Equivalencia en Kg],"ELVIS",0)</f>
        <v>18.6433704928744</v>
      </c>
      <c r="M3085" s="3" t="n">
        <v>43963.4440344</v>
      </c>
      <c r="N3085" s="3" t="n">
        <f aca="false">(Tabla2[[#This Row],[Productividad (kg/TAS)]]*Tabla2[[#This Row],[Precio por kg]]-Tabla2[[#This Row],[Costos (En RD$/Tarea)]])</f>
        <v>-7304.53079418781</v>
      </c>
      <c r="O3085" s="9" t="n">
        <f aca="false">IF(Tabla2[[#This Row],[Costos (En RD$/Tarea)]]=0,0,Tabla2[[#This Row],[Beneficio Neto  (En RD$/Tarea)]]/Tabla2[[#This Row],[Costos (En RD$/Tarea)]])</f>
        <v>-0.166150103901602</v>
      </c>
      <c r="P3085" s="7" t="n">
        <f aca="false">Tabla2[[#This Row],[Rentabilidad (%)]]/12</f>
        <v>-0.0138458419918001</v>
      </c>
    </row>
    <row r="3086" customFormat="false" ht="14.25" hidden="false" customHeight="false" outlineLevel="0" collapsed="false">
      <c r="A3086" s="1" t="n">
        <v>44348</v>
      </c>
      <c r="B3086" s="2" t="s">
        <v>16</v>
      </c>
      <c r="C3086" s="3" t="n">
        <v>190891</v>
      </c>
      <c r="D3086" s="8" t="s">
        <v>17</v>
      </c>
      <c r="E3086" s="3" t="n">
        <f aca="false">IF(Tabla2[[#This Row],[Frecuencia]]="Annual", Tabla2[[#This Row],[Cosecha/Tarea]]/12,Tabla2[[#This Row],[Cosecha/Tarea]])</f>
        <v>190891</v>
      </c>
      <c r="F3086" s="3" t="n">
        <v>945181</v>
      </c>
      <c r="G3086" s="2" t="s">
        <v>18</v>
      </c>
      <c r="H3086" s="2" t="n">
        <f aca="false">F3086/Tabla2[[#This Row],[Cosecha Mensual]]</f>
        <v>4.95141730097281</v>
      </c>
      <c r="I3086" s="2" t="n">
        <f aca="false">H3086*_xlfn.XLOOKUP(Tabla2[[#This Row],[Unidad de producción]],Tabla3[Medida],Tabla3[Equivalencia en Kg],"ELVIS",0)</f>
        <v>224.596288772127</v>
      </c>
      <c r="J3086" s="2" t="n">
        <v>2529.33336389195</v>
      </c>
      <c r="K3086" s="2" t="s">
        <v>19</v>
      </c>
      <c r="L3086" s="2" t="n">
        <f aca="false">J3086/_xlfn.XLOOKUP(Tabla2[[#This Row],[Unidad de precio]],Tabla3[Medida],Tabla3[Equivalencia en Kg],"ELVIS",0)</f>
        <v>22.993939671745</v>
      </c>
      <c r="M3086" s="2" t="n">
        <v>7900.39794477161</v>
      </c>
      <c r="N3086" s="3" t="n">
        <f aca="false">(Tabla2[[#This Row],[Productividad (kg/TAS)]]*Tabla2[[#This Row],[Precio por kg]]-Tabla2[[#This Row],[Costos (En RD$/Tarea)]])</f>
        <v>-2736.04443024751</v>
      </c>
      <c r="O3086" s="9" t="n">
        <f aca="false">IF(Tabla2[[#This Row],[Costos (En RD$/Tarea)]]=0,0,Tabla2[[#This Row],[Beneficio Neto  (En RD$/Tarea)]]/Tabla2[[#This Row],[Costos (En RD$/Tarea)]])</f>
        <v>-0.346317293049548</v>
      </c>
      <c r="P3086" s="7" t="n">
        <f aca="false">Tabla2[[#This Row],[Rentabilidad (%)]]/12</f>
        <v>-0.0288597744207956</v>
      </c>
    </row>
    <row r="3087" customFormat="false" ht="14.25" hidden="false" customHeight="false" outlineLevel="0" collapsed="false">
      <c r="A3087" s="1" t="n">
        <v>44348</v>
      </c>
      <c r="B3087" s="2" t="s">
        <v>20</v>
      </c>
      <c r="C3087" s="3" t="n">
        <v>40145</v>
      </c>
      <c r="D3087" s="8" t="s">
        <v>17</v>
      </c>
      <c r="E3087" s="3" t="n">
        <f aca="false">IF(Tabla2[[#This Row],[Frecuencia]]="Annual", Tabla2[[#This Row],[Cosecha/Tarea]]/12,Tabla2[[#This Row],[Cosecha/Tarea]])</f>
        <v>40145</v>
      </c>
      <c r="F3087" s="3" t="n">
        <v>101012</v>
      </c>
      <c r="G3087" s="2" t="s">
        <v>18</v>
      </c>
      <c r="H3087" s="2" t="n">
        <f aca="false">F3087/Tabla2[[#This Row],[Cosecha Mensual]]</f>
        <v>2.51617885166272</v>
      </c>
      <c r="I3087" s="2" t="n">
        <f aca="false">H3087*_xlfn.XLOOKUP(Tabla2[[#This Row],[Unidad de producción]],Tabla3[Medida],Tabla3[Equivalencia en Kg],"ELVIS",0)</f>
        <v>114.133872711421</v>
      </c>
      <c r="J3087" s="2" t="n">
        <v>1101.16197916667</v>
      </c>
      <c r="K3087" s="2" t="s">
        <v>18</v>
      </c>
      <c r="L3087" s="2" t="n">
        <f aca="false">J3087/_xlfn.XLOOKUP(Tabla2[[#This Row],[Unidad de precio]],Tabla3[Medida],Tabla3[Equivalencia en Kg],"ELVIS",0)</f>
        <v>24.2760577417696</v>
      </c>
      <c r="M3087" s="2" t="n">
        <v>2759.06577122957</v>
      </c>
      <c r="N3087" s="3" t="n">
        <f aca="false">(Tabla2[[#This Row],[Productividad (kg/TAS)]]*Tabla2[[#This Row],[Precio por kg]]-Tabla2[[#This Row],[Costos (En RD$/Tarea)]])</f>
        <v>11.6547130046724</v>
      </c>
      <c r="O3087" s="9" t="n">
        <f aca="false">IF(Tabla2[[#This Row],[Costos (En RD$/Tarea)]]=0,0,Tabla2[[#This Row],[Beneficio Neto  (En RD$/Tarea)]]/Tabla2[[#This Row],[Costos (En RD$/Tarea)]])</f>
        <v>0.00422415193077421</v>
      </c>
      <c r="P3087" s="7" t="n">
        <f aca="false">Tabla2[[#This Row],[Rentabilidad (%)]]/12</f>
        <v>0.000352012660897851</v>
      </c>
    </row>
    <row r="3088" customFormat="false" ht="14.25" hidden="false" customHeight="false" outlineLevel="0" collapsed="false">
      <c r="A3088" s="1" t="n">
        <v>44348</v>
      </c>
      <c r="B3088" s="2" t="s">
        <v>21</v>
      </c>
      <c r="C3088" s="3" t="n">
        <v>9821</v>
      </c>
      <c r="D3088" s="8" t="s">
        <v>17</v>
      </c>
      <c r="E3088" s="3" t="n">
        <f aca="false">IF(Tabla2[[#This Row],[Frecuencia]]="Annual", Tabla2[[#This Row],[Cosecha/Tarea]]/12,Tabla2[[#This Row],[Cosecha/Tarea]])</f>
        <v>9821</v>
      </c>
      <c r="F3088" s="3" t="n">
        <v>114210</v>
      </c>
      <c r="G3088" s="2" t="s">
        <v>18</v>
      </c>
      <c r="H3088" s="2" t="n">
        <f aca="false">F3088/Tabla2[[#This Row],[Cosecha Mensual]]</f>
        <v>11.6291619997964</v>
      </c>
      <c r="I3088" s="2" t="n">
        <f aca="false">H3088*_xlfn.XLOOKUP(Tabla2[[#This Row],[Unidad de producción]],Tabla3[Medida],Tabla3[Equivalencia en Kg],"ELVIS",0)</f>
        <v>527.498788310763</v>
      </c>
      <c r="J3088" s="2" t="n">
        <v>826.177083333333</v>
      </c>
      <c r="K3088" s="2" t="s">
        <v>18</v>
      </c>
      <c r="L3088" s="2" t="n">
        <f aca="false">J3088/_xlfn.XLOOKUP(Tabla2[[#This Row],[Unidad de precio]],Tabla3[Medida],Tabla3[Equivalencia en Kg],"ELVIS",0)</f>
        <v>18.2137804967666</v>
      </c>
      <c r="M3088" s="2" t="n">
        <v>6695.95013513731</v>
      </c>
      <c r="N3088" s="3" t="n">
        <f aca="false">(Tabla2[[#This Row],[Productividad (kg/TAS)]]*Tabla2[[#This Row],[Precio por kg]]-Tabla2[[#This Row],[Costos (En RD$/Tarea)]])</f>
        <v>2911.79700746527</v>
      </c>
      <c r="O3088" s="9" t="n">
        <f aca="false">IF(Tabla2[[#This Row],[Costos (En RD$/Tarea)]]=0,0,Tabla2[[#This Row],[Beneficio Neto  (En RD$/Tarea)]]/Tabla2[[#This Row],[Costos (En RD$/Tarea)]])</f>
        <v>0.434859422292511</v>
      </c>
      <c r="P3088" s="7" t="n">
        <f aca="false">Tabla2[[#This Row],[Rentabilidad (%)]]/12</f>
        <v>0.0362382851910426</v>
      </c>
    </row>
    <row r="3089" customFormat="false" ht="14.25" hidden="false" customHeight="false" outlineLevel="0" collapsed="false">
      <c r="A3089" s="1" t="n">
        <v>44348</v>
      </c>
      <c r="B3089" s="2" t="s">
        <v>22</v>
      </c>
      <c r="C3089" s="3" t="n">
        <v>6785</v>
      </c>
      <c r="D3089" s="8" t="s">
        <v>17</v>
      </c>
      <c r="E3089" s="3" t="n">
        <f aca="false">IF(Tabla2[[#This Row],[Frecuencia]]="Annual", Tabla2[[#This Row],[Cosecha/Tarea]]/12,Tabla2[[#This Row],[Cosecha/Tarea]])</f>
        <v>6785</v>
      </c>
      <c r="F3089" s="3" t="n">
        <v>49244</v>
      </c>
      <c r="G3089" s="2" t="s">
        <v>18</v>
      </c>
      <c r="H3089" s="2" t="n">
        <f aca="false">F3089/Tabla2[[#This Row],[Cosecha Mensual]]</f>
        <v>7.25777450257922</v>
      </c>
      <c r="I3089" s="2" t="n">
        <f aca="false">H3089*_xlfn.XLOOKUP(Tabla2[[#This Row],[Unidad de producción]],Tabla3[Medida],Tabla3[Equivalencia en Kg],"ELVIS",0)</f>
        <v>329.212651436993</v>
      </c>
      <c r="J3089" s="2" t="n">
        <v>1962.39761904762</v>
      </c>
      <c r="K3089" s="2" t="s">
        <v>18</v>
      </c>
      <c r="L3089" s="2" t="n">
        <f aca="false">J3089/_xlfn.XLOOKUP(Tabla2[[#This Row],[Unidad de precio]],Tabla3[Medida],Tabla3[Equivalencia en Kg],"ELVIS",0)</f>
        <v>43.2627341059881</v>
      </c>
      <c r="M3089" s="2" t="n">
        <v>11609.3184891587</v>
      </c>
      <c r="N3089" s="3" t="n">
        <f aca="false">(Tabla2[[#This Row],[Productividad (kg/TAS)]]*Tabla2[[#This Row],[Precio por kg]]-Tabla2[[#This Row],[Costos (En RD$/Tarea)]])</f>
        <v>2633.32091428728</v>
      </c>
      <c r="O3089" s="9" t="n">
        <f aca="false">IF(Tabla2[[#This Row],[Costos (En RD$/Tarea)]]=0,0,Tabla2[[#This Row],[Beneficio Neto  (En RD$/Tarea)]]/Tabla2[[#This Row],[Costos (En RD$/Tarea)]])</f>
        <v>0.226828208455681</v>
      </c>
      <c r="P3089" s="7" t="n">
        <f aca="false">Tabla2[[#This Row],[Rentabilidad (%)]]/12</f>
        <v>0.0189023507046401</v>
      </c>
    </row>
    <row r="3090" customFormat="false" ht="14.25" hidden="false" customHeight="false" outlineLevel="0" collapsed="false">
      <c r="A3090" s="1" t="n">
        <v>44348</v>
      </c>
      <c r="B3090" s="2" t="s">
        <v>23</v>
      </c>
      <c r="C3090" s="3" t="n">
        <v>4277</v>
      </c>
      <c r="D3090" s="8" t="s">
        <v>17</v>
      </c>
      <c r="E3090" s="3" t="n">
        <f aca="false">IF(Tabla2[[#This Row],[Frecuencia]]="Annual", Tabla2[[#This Row],[Cosecha/Tarea]]/12,Tabla2[[#This Row],[Cosecha/Tarea]])</f>
        <v>4277</v>
      </c>
      <c r="F3090" s="3" t="n">
        <v>163878</v>
      </c>
      <c r="G3090" s="2" t="s">
        <v>18</v>
      </c>
      <c r="H3090" s="2" t="n">
        <f aca="false">F3090/Tabla2[[#This Row],[Cosecha Mensual]]</f>
        <v>38.3161094224924</v>
      </c>
      <c r="I3090" s="2" t="n">
        <f aca="false">H3090*_xlfn.XLOOKUP(Tabla2[[#This Row],[Unidad de producción]],Tabla3[Medida],Tabla3[Equivalencia en Kg],"ELVIS",0)</f>
        <v>1738.01872340426</v>
      </c>
      <c r="J3090" s="2" t="n">
        <v>1003.9375</v>
      </c>
      <c r="K3090" s="2" t="s">
        <v>18</v>
      </c>
      <c r="L3090" s="2" t="n">
        <f aca="false">J3090/_xlfn.XLOOKUP(Tabla2[[#This Row],[Unidad de precio]],Tabla3[Medida],Tabla3[Equivalencia en Kg],"ELVIS",0)</f>
        <v>22.1326609347443</v>
      </c>
      <c r="M3090" s="2" t="n">
        <v>31774.6512666667</v>
      </c>
      <c r="N3090" s="3" t="n">
        <f aca="false">(Tabla2[[#This Row],[Productividad (kg/TAS)]]*Tabla2[[#This Row],[Precio por kg]]-Tabla2[[#This Row],[Costos (En RD$/Tarea)]])</f>
        <v>6692.32783667677</v>
      </c>
      <c r="O3090" s="9" t="n">
        <f aca="false">IF(Tabla2[[#This Row],[Costos (En RD$/Tarea)]]=0,0,Tabla2[[#This Row],[Beneficio Neto  (En RD$/Tarea)]]/Tabla2[[#This Row],[Costos (En RD$/Tarea)]])</f>
        <v>0.210618451183361</v>
      </c>
      <c r="P3090" s="7" t="n">
        <f aca="false">Tabla2[[#This Row],[Rentabilidad (%)]]/12</f>
        <v>0.0175515375986134</v>
      </c>
    </row>
    <row r="3091" customFormat="false" ht="14.25" hidden="false" customHeight="false" outlineLevel="0" collapsed="false">
      <c r="A3091" s="1" t="n">
        <v>44348</v>
      </c>
      <c r="B3091" s="2" t="s">
        <v>24</v>
      </c>
      <c r="C3091" s="3" t="n">
        <v>6352</v>
      </c>
      <c r="D3091" s="8" t="s">
        <v>17</v>
      </c>
      <c r="E3091" s="3" t="n">
        <f aca="false">IF(Tabla2[[#This Row],[Frecuencia]]="Annual", Tabla2[[#This Row],[Cosecha/Tarea]]/12,Tabla2[[#This Row],[Cosecha/Tarea]])</f>
        <v>6352</v>
      </c>
      <c r="F3091" s="3" t="n">
        <v>61647</v>
      </c>
      <c r="G3091" s="2" t="s">
        <v>18</v>
      </c>
      <c r="H3091" s="2" t="n">
        <f aca="false">F3091/Tabla2[[#This Row],[Cosecha Mensual]]</f>
        <v>9.7051322418136</v>
      </c>
      <c r="I3091" s="2" t="n">
        <f aca="false">H3091*_xlfn.XLOOKUP(Tabla2[[#This Row],[Unidad de producción]],Tabla3[Medida],Tabla3[Equivalencia en Kg],"ELVIS",0)</f>
        <v>440.224798488665</v>
      </c>
      <c r="J3091" s="2" t="n">
        <v>2330.93035714286</v>
      </c>
      <c r="K3091" s="2" t="s">
        <v>18</v>
      </c>
      <c r="L3091" s="2" t="n">
        <f aca="false">J3091/_xlfn.XLOOKUP(Tabla2[[#This Row],[Unidad de precio]],Tabla3[Medida],Tabla3[Equivalencia en Kg],"ELVIS",0)</f>
        <v>51.3873535525322</v>
      </c>
      <c r="M3091" s="2" t="n">
        <v>9606.85680953384</v>
      </c>
      <c r="N3091" s="3" t="n">
        <f aca="false">(Tabla2[[#This Row],[Productividad (kg/TAS)]]*Tabla2[[#This Row],[Precio por kg]]-Tabla2[[#This Row],[Costos (En RD$/Tarea)]])</f>
        <v>13015.1305529954</v>
      </c>
      <c r="O3091" s="9" t="n">
        <f aca="false">IF(Tabla2[[#This Row],[Costos (En RD$/Tarea)]]=0,0,Tabla2[[#This Row],[Beneficio Neto  (En RD$/Tarea)]]/Tabla2[[#This Row],[Costos (En RD$/Tarea)]])</f>
        <v>1.35477511646465</v>
      </c>
      <c r="P3091" s="7" t="n">
        <f aca="false">Tabla2[[#This Row],[Rentabilidad (%)]]/12</f>
        <v>0.112897926372054</v>
      </c>
    </row>
    <row r="3092" customFormat="false" ht="14.25" hidden="false" customHeight="false" outlineLevel="0" collapsed="false">
      <c r="A3092" s="1" t="n">
        <v>44348</v>
      </c>
      <c r="B3092" s="2" t="s">
        <v>25</v>
      </c>
      <c r="C3092" s="3" t="n">
        <v>40210</v>
      </c>
      <c r="D3092" s="8" t="s">
        <v>17</v>
      </c>
      <c r="E3092" s="3" t="n">
        <f aca="false">IF(Tabla2[[#This Row],[Frecuencia]]="Annual", Tabla2[[#This Row],[Cosecha/Tarea]]/12,Tabla2[[#This Row],[Cosecha/Tarea]])</f>
        <v>40210</v>
      </c>
      <c r="F3092" s="3" t="n">
        <v>389898</v>
      </c>
      <c r="G3092" s="2" t="s">
        <v>18</v>
      </c>
      <c r="H3092" s="2" t="n">
        <f aca="false">F3092/Tabla2[[#This Row],[Cosecha Mensual]]</f>
        <v>9.69654314847053</v>
      </c>
      <c r="I3092" s="2" t="n">
        <f aca="false">H3092*_xlfn.XLOOKUP(Tabla2[[#This Row],[Unidad de producción]],Tabla3[Medida],Tabla3[Equivalencia en Kg],"ELVIS",0)</f>
        <v>439.835197214623</v>
      </c>
      <c r="J3092" s="2" t="n">
        <v>776.4414375</v>
      </c>
      <c r="K3092" s="2" t="s">
        <v>18</v>
      </c>
      <c r="L3092" s="2" t="n">
        <f aca="false">J3092/_xlfn.XLOOKUP(Tabla2[[#This Row],[Unidad de precio]],Tabla3[Medida],Tabla3[Equivalencia en Kg],"ELVIS",0)</f>
        <v>17.1173156415344</v>
      </c>
      <c r="M3092" s="2" t="n">
        <v>5403.38741449239</v>
      </c>
      <c r="N3092" s="3" t="n">
        <f aca="false">(Tabla2[[#This Row],[Productividad (kg/TAS)]]*Tabla2[[#This Row],[Precio por kg]]-Tabla2[[#This Row],[Costos (En RD$/Tarea)]])</f>
        <v>2125.41048648685</v>
      </c>
      <c r="O3092" s="9" t="n">
        <f aca="false">IF(Tabla2[[#This Row],[Costos (En RD$/Tarea)]]=0,0,Tabla2[[#This Row],[Beneficio Neto  (En RD$/Tarea)]]/Tabla2[[#This Row],[Costos (En RD$/Tarea)]])</f>
        <v>0.393347787868457</v>
      </c>
      <c r="P3092" s="7" t="n">
        <f aca="false">Tabla2[[#This Row],[Rentabilidad (%)]]/12</f>
        <v>0.0327789823223715</v>
      </c>
    </row>
    <row r="3093" customFormat="false" ht="14.25" hidden="false" customHeight="false" outlineLevel="0" collapsed="false">
      <c r="A3093" s="1" t="n">
        <v>44348</v>
      </c>
      <c r="B3093" s="2" t="s">
        <v>26</v>
      </c>
      <c r="C3093" s="3" t="n">
        <v>11201</v>
      </c>
      <c r="D3093" s="8" t="s">
        <v>17</v>
      </c>
      <c r="E3093" s="3" t="n">
        <f aca="false">IF(Tabla2[[#This Row],[Frecuencia]]="Annual", Tabla2[[#This Row],[Cosecha/Tarea]]/12,Tabla2[[#This Row],[Cosecha/Tarea]])</f>
        <v>11201</v>
      </c>
      <c r="F3093" s="3" t="n">
        <v>68254</v>
      </c>
      <c r="G3093" s="2" t="s">
        <v>18</v>
      </c>
      <c r="H3093" s="2" t="n">
        <f aca="false">F3093/Tabla2[[#This Row],[Cosecha Mensual]]</f>
        <v>6.09356307472547</v>
      </c>
      <c r="I3093" s="2" t="n">
        <f aca="false">H3093*_xlfn.XLOOKUP(Tabla2[[#This Row],[Unidad de producción]],Tabla3[Medida],Tabla3[Equivalencia en Kg],"ELVIS",0)</f>
        <v>276.404021069547</v>
      </c>
      <c r="J3093" s="2" t="n">
        <v>999.358680555556</v>
      </c>
      <c r="K3093" s="2" t="s">
        <v>18</v>
      </c>
      <c r="L3093" s="2" t="n">
        <f aca="false">J3093/_xlfn.XLOOKUP(Tabla2[[#This Row],[Unidad de precio]],Tabla3[Medida],Tabla3[Equivalencia en Kg],"ELVIS",0)</f>
        <v>22.0317169434646</v>
      </c>
      <c r="M3093" s="2" t="n">
        <v>1910.99135924874</v>
      </c>
      <c r="N3093" s="3" t="n">
        <f aca="false">(Tabla2[[#This Row],[Productividad (kg/TAS)]]*Tabla2[[#This Row],[Precio por kg]]-Tabla2[[#This Row],[Costos (En RD$/Tarea)]])</f>
        <v>4178.66379499096</v>
      </c>
      <c r="O3093" s="9" t="n">
        <f aca="false">IF(Tabla2[[#This Row],[Costos (En RD$/Tarea)]]=0,0,Tabla2[[#This Row],[Beneficio Neto  (En RD$/Tarea)]]/Tabla2[[#This Row],[Costos (En RD$/Tarea)]])</f>
        <v>2.18664714247254</v>
      </c>
      <c r="P3093" s="7" t="n">
        <f aca="false">Tabla2[[#This Row],[Rentabilidad (%)]]/12</f>
        <v>0.182220595206045</v>
      </c>
    </row>
    <row r="3094" customFormat="false" ht="14.25" hidden="false" customHeight="false" outlineLevel="0" collapsed="false">
      <c r="A3094" s="1" t="n">
        <v>44348</v>
      </c>
      <c r="B3094" s="2" t="s">
        <v>27</v>
      </c>
      <c r="C3094" s="3" t="n">
        <v>8365</v>
      </c>
      <c r="D3094" s="8" t="s">
        <v>17</v>
      </c>
      <c r="E3094" s="3" t="n">
        <f aca="false">IF(Tabla2[[#This Row],[Frecuencia]]="Annual", Tabla2[[#This Row],[Cosecha/Tarea]]/12,Tabla2[[#This Row],[Cosecha/Tarea]])</f>
        <v>8365</v>
      </c>
      <c r="F3094" s="3" t="n">
        <v>58241</v>
      </c>
      <c r="G3094" s="2" t="s">
        <v>18</v>
      </c>
      <c r="H3094" s="2" t="n">
        <f aca="false">F3094/Tabla2[[#This Row],[Cosecha Mensual]]</f>
        <v>6.96246264196055</v>
      </c>
      <c r="I3094" s="2" t="n">
        <f aca="false">H3094*_xlfn.XLOOKUP(Tabla2[[#This Row],[Unidad de producción]],Tabla3[Medida],Tabla3[Equivalencia en Kg],"ELVIS",0)</f>
        <v>315.817305439331</v>
      </c>
      <c r="J3094" s="2" t="n">
        <v>748.216666666667</v>
      </c>
      <c r="K3094" s="2" t="s">
        <v>18</v>
      </c>
      <c r="L3094" s="2" t="n">
        <f aca="false">J3094/_xlfn.XLOOKUP(Tabla2[[#This Row],[Unidad de precio]],Tabla3[Medida],Tabla3[Equivalencia en Kg],"ELVIS",0)</f>
        <v>16.495076425632</v>
      </c>
      <c r="M3094" s="2" t="n">
        <v>10561.2569707933</v>
      </c>
      <c r="N3094" s="3" t="n">
        <f aca="false">(Tabla2[[#This Row],[Productividad (kg/TAS)]]*Tabla2[[#This Row],[Precio por kg]]-Tabla2[[#This Row],[Costos (En RD$/Tarea)]])</f>
        <v>-5351.82638103438</v>
      </c>
      <c r="O3094" s="9" t="n">
        <f aca="false">IF(Tabla2[[#This Row],[Costos (En RD$/Tarea)]]=0,0,Tabla2[[#This Row],[Beneficio Neto  (En RD$/Tarea)]]/Tabla2[[#This Row],[Costos (En RD$/Tarea)]])</f>
        <v>-0.506741422525238</v>
      </c>
      <c r="P3094" s="7" t="n">
        <f aca="false">Tabla2[[#This Row],[Rentabilidad (%)]]/12</f>
        <v>-0.0422284518771032</v>
      </c>
    </row>
    <row r="3095" customFormat="false" ht="14.25" hidden="false" customHeight="false" outlineLevel="0" collapsed="false">
      <c r="A3095" s="1" t="n">
        <v>44348</v>
      </c>
      <c r="B3095" s="2" t="s">
        <v>28</v>
      </c>
      <c r="C3095" s="3" t="n">
        <v>46255</v>
      </c>
      <c r="D3095" s="8" t="s">
        <v>17</v>
      </c>
      <c r="E3095" s="3" t="n">
        <f aca="false">IF(Tabla2[[#This Row],[Frecuencia]]="Annual", Tabla2[[#This Row],[Cosecha/Tarea]]/12,Tabla2[[#This Row],[Cosecha/Tarea]])</f>
        <v>46255</v>
      </c>
      <c r="F3095" s="3" t="n">
        <v>1362748</v>
      </c>
      <c r="G3095" s="2" t="s">
        <v>18</v>
      </c>
      <c r="H3095" s="2" t="n">
        <f aca="false">F3095/Tabla2[[#This Row],[Cosecha Mensual]]</f>
        <v>29.4616365798292</v>
      </c>
      <c r="I3095" s="2" t="n">
        <f aca="false">H3095*_xlfn.XLOOKUP(Tabla2[[#This Row],[Unidad de producción]],Tabla3[Medida],Tabla3[Equivalencia en Kg],"ELVIS",0)</f>
        <v>1336.37983526105</v>
      </c>
      <c r="J3095" s="2" t="n">
        <v>15333.3333333333</v>
      </c>
      <c r="K3095" s="2" t="s">
        <v>29</v>
      </c>
      <c r="L3095" s="2" t="n">
        <f aca="false">J3095/_xlfn.XLOOKUP(Tabla2[[#This Row],[Unidad de precio]],Tabla3[Medida],Tabla3[Equivalencia en Kg],"ELVIS",0)</f>
        <v>27.2670152102523</v>
      </c>
      <c r="M3095" s="2" t="n">
        <v>20320.344</v>
      </c>
      <c r="N3095" s="3" t="n">
        <f aca="false">(Tabla2[[#This Row],[Productividad (kg/TAS)]]*Tabla2[[#This Row],[Precio por kg]]-Tabla2[[#This Row],[Costos (En RD$/Tarea)]])</f>
        <v>16118.7452947376</v>
      </c>
      <c r="O3095" s="9" t="n">
        <f aca="false">IF(Tabla2[[#This Row],[Costos (En RD$/Tarea)]]=0,0,Tabla2[[#This Row],[Beneficio Neto  (En RD$/Tarea)]]/Tabla2[[#This Row],[Costos (En RD$/Tarea)]])</f>
        <v>0.79323191057876</v>
      </c>
      <c r="P3095" s="7" t="n">
        <f aca="false">Tabla2[[#This Row],[Rentabilidad (%)]]/12</f>
        <v>0.0661026592148967</v>
      </c>
    </row>
    <row r="3096" customFormat="false" ht="14.25" hidden="false" customHeight="false" outlineLevel="0" collapsed="false">
      <c r="A3096" s="1" t="n">
        <v>44348</v>
      </c>
      <c r="B3096" s="2" t="s">
        <v>30</v>
      </c>
      <c r="C3096" s="3" t="n">
        <v>501756</v>
      </c>
      <c r="D3096" s="3" t="s">
        <v>31</v>
      </c>
      <c r="E3096" s="3" t="n">
        <f aca="false">IF(Tabla2[[#This Row],[Frecuencia]]="Annual", Tabla2[[#This Row],[Cosecha/Tarea]]/12,Tabla2[[#This Row],[Cosecha/Tarea]])</f>
        <v>41813</v>
      </c>
      <c r="F3096" s="3" t="n">
        <v>2547089</v>
      </c>
      <c r="G3096" s="2" t="s">
        <v>18</v>
      </c>
      <c r="H3096" s="2" t="n">
        <f aca="false">F3096/Tabla2[[#This Row],[Cosecha Mensual]]</f>
        <v>60.9161983115299</v>
      </c>
      <c r="I3096" s="2" t="n">
        <f aca="false">H3096*_xlfn.XLOOKUP(Tabla2[[#This Row],[Unidad de producción]],Tabla3[Medida],Tabla3[Equivalencia en Kg],"ELVIS",0)</f>
        <v>2763.158755411</v>
      </c>
      <c r="J3096" s="2" t="n">
        <v>216.387083333333</v>
      </c>
      <c r="K3096" s="2" t="s">
        <v>32</v>
      </c>
      <c r="L3096" s="2" t="n">
        <f aca="false">J3096/_xlfn.XLOOKUP(Tabla2[[#This Row],[Unidad de precio]],Tabla3[Medida],Tabla3[Equivalencia en Kg],"ELVIS",0)</f>
        <v>7.95248376822246</v>
      </c>
      <c r="M3096" s="3" t="n">
        <v>40592.4361945306</v>
      </c>
      <c r="N3096" s="3" t="n">
        <f aca="false">(Tabla2[[#This Row],[Productividad (kg/TAS)]]*Tabla2[[#This Row],[Precio por kg]]-Tabla2[[#This Row],[Costos (En RD$/Tarea)]])</f>
        <v>-18618.4610431029</v>
      </c>
      <c r="O3096" s="9" t="n">
        <f aca="false">IF(Tabla2[[#This Row],[Costos (En RD$/Tarea)]]=0,0,Tabla2[[#This Row],[Beneficio Neto  (En RD$/Tarea)]]/Tabla2[[#This Row],[Costos (En RD$/Tarea)]])</f>
        <v>-0.458668234492699</v>
      </c>
      <c r="P3096" s="7" t="n">
        <f aca="false">Tabla2[[#This Row],[Rentabilidad (%)]]/12</f>
        <v>-0.0382223528743916</v>
      </c>
    </row>
    <row r="3097" customFormat="false" ht="14.25" hidden="false" customHeight="false" outlineLevel="0" collapsed="false">
      <c r="A3097" s="1" t="n">
        <v>44348</v>
      </c>
      <c r="B3097" s="2" t="s">
        <v>33</v>
      </c>
      <c r="C3097" s="3" t="n">
        <v>865475</v>
      </c>
      <c r="D3097" s="3" t="s">
        <v>31</v>
      </c>
      <c r="E3097" s="3" t="n">
        <f aca="false">IF(Tabla2[[#This Row],[Frecuencia]]="Annual", Tabla2[[#This Row],[Cosecha/Tarea]]/12,Tabla2[[#This Row],[Cosecha/Tarea]])</f>
        <v>72122.9166666667</v>
      </c>
      <c r="F3097" s="3" t="n">
        <v>2028735</v>
      </c>
      <c r="G3097" s="2" t="s">
        <v>18</v>
      </c>
      <c r="H3097" s="2" t="n">
        <f aca="false">F3097/Tabla2[[#This Row],[Cosecha Mensual]]</f>
        <v>28.1288540974609</v>
      </c>
      <c r="I3097" s="2" t="n">
        <f aca="false">H3097*_xlfn.XLOOKUP(Tabla2[[#This Row],[Unidad de producción]],Tabla3[Medida],Tabla3[Equivalencia en Kg],"ELVIS",0)</f>
        <v>1275.92482186083</v>
      </c>
      <c r="J3097" s="2" t="n">
        <v>6871.83229166667</v>
      </c>
      <c r="K3097" s="2" t="s">
        <v>34</v>
      </c>
      <c r="L3097" s="2" t="n">
        <f aca="false">J3097/_xlfn.XLOOKUP(Tabla2[[#This Row],[Unidad de precio]],Tabla3[Medida],Tabla3[Equivalencia en Kg],"ELVIS",0)</f>
        <v>16.8365363020132</v>
      </c>
      <c r="M3097" s="3" t="n">
        <v>43963.4440344</v>
      </c>
      <c r="N3097" s="3" t="n">
        <f aca="false">(Tabla2[[#This Row],[Productividad (kg/TAS)]]*Tabla2[[#This Row],[Precio por kg]]-Tabla2[[#This Row],[Costos (En RD$/Tarea)]])</f>
        <v>-22481.2894525005</v>
      </c>
      <c r="O3097" s="9" t="n">
        <f aca="false">IF(Tabla2[[#This Row],[Costos (En RD$/Tarea)]]=0,0,Tabla2[[#This Row],[Beneficio Neto  (En RD$/Tarea)]]/Tabla2[[#This Row],[Costos (En RD$/Tarea)]])</f>
        <v>-0.511363246130344</v>
      </c>
      <c r="P3097" s="7" t="n">
        <f aca="false">Tabla2[[#This Row],[Rentabilidad (%)]]/12</f>
        <v>-0.0426136038441954</v>
      </c>
    </row>
    <row r="3098" customFormat="false" ht="14.25" hidden="false" customHeight="false" outlineLevel="0" collapsed="false">
      <c r="A3098" s="1" t="n">
        <v>44378</v>
      </c>
      <c r="B3098" s="2" t="s">
        <v>16</v>
      </c>
      <c r="C3098" s="3" t="n">
        <v>153807</v>
      </c>
      <c r="D3098" s="8" t="s">
        <v>17</v>
      </c>
      <c r="E3098" s="3" t="n">
        <f aca="false">IF(Tabla2[[#This Row],[Frecuencia]]="Annual", Tabla2[[#This Row],[Cosecha/Tarea]]/12,Tabla2[[#This Row],[Cosecha/Tarea]])</f>
        <v>153807</v>
      </c>
      <c r="F3098" s="3" t="n">
        <v>744331</v>
      </c>
      <c r="G3098" s="2" t="s">
        <v>18</v>
      </c>
      <c r="H3098" s="2" t="n">
        <f aca="false">F3098/Tabla2[[#This Row],[Cosecha Mensual]]</f>
        <v>4.8393831230048</v>
      </c>
      <c r="I3098" s="2" t="n">
        <f aca="false">H3098*_xlfn.XLOOKUP(Tabla2[[#This Row],[Unidad de producción]],Tabla3[Medida],Tabla3[Equivalencia en Kg],"ELVIS",0)</f>
        <v>219.514418459498</v>
      </c>
      <c r="J3098" s="2" t="n">
        <v>2527.85</v>
      </c>
      <c r="K3098" s="2" t="s">
        <v>19</v>
      </c>
      <c r="L3098" s="2" t="n">
        <f aca="false">J3098/_xlfn.XLOOKUP(Tabla2[[#This Row],[Unidad de precio]],Tabla3[Medida],Tabla3[Equivalencia en Kg],"ELVIS",0)</f>
        <v>22.9804545454545</v>
      </c>
      <c r="M3098" s="2" t="n">
        <v>7900.39794477161</v>
      </c>
      <c r="N3098" s="3" t="n">
        <f aca="false">(Tabla2[[#This Row],[Productividad (kg/TAS)]]*Tabla2[[#This Row],[Precio por kg]]-Tabla2[[#This Row],[Costos (En RD$/Tarea)]])</f>
        <v>-2855.85682929123</v>
      </c>
      <c r="O3098" s="9" t="n">
        <f aca="false">IF(Tabla2[[#This Row],[Costos (En RD$/Tarea)]]=0,0,Tabla2[[#This Row],[Beneficio Neto  (En RD$/Tarea)]]/Tabla2[[#This Row],[Costos (En RD$/Tarea)]])</f>
        <v>-0.361482655589672</v>
      </c>
      <c r="P3098" s="7" t="n">
        <f aca="false">Tabla2[[#This Row],[Rentabilidad (%)]]/12</f>
        <v>-0.0301235546324727</v>
      </c>
    </row>
    <row r="3099" customFormat="false" ht="14.25" hidden="false" customHeight="false" outlineLevel="0" collapsed="false">
      <c r="A3099" s="1" t="n">
        <v>44378</v>
      </c>
      <c r="B3099" s="2" t="s">
        <v>20</v>
      </c>
      <c r="C3099" s="3" t="n">
        <v>36998</v>
      </c>
      <c r="D3099" s="8" t="s">
        <v>17</v>
      </c>
      <c r="E3099" s="3" t="n">
        <f aca="false">IF(Tabla2[[#This Row],[Frecuencia]]="Annual", Tabla2[[#This Row],[Cosecha/Tarea]]/12,Tabla2[[#This Row],[Cosecha/Tarea]])</f>
        <v>36998</v>
      </c>
      <c r="F3099" s="3" t="n">
        <v>116789</v>
      </c>
      <c r="G3099" s="2" t="s">
        <v>18</v>
      </c>
      <c r="H3099" s="2" t="n">
        <f aca="false">F3099/Tabla2[[#This Row],[Cosecha Mensual]]</f>
        <v>3.15663008811287</v>
      </c>
      <c r="I3099" s="2" t="n">
        <f aca="false">H3099*_xlfn.XLOOKUP(Tabla2[[#This Row],[Unidad de producción]],Tabla3[Medida],Tabla3[Equivalencia en Kg],"ELVIS",0)</f>
        <v>143.1847407968</v>
      </c>
      <c r="J3099" s="2" t="n">
        <v>1118.98697916667</v>
      </c>
      <c r="K3099" s="2" t="s">
        <v>18</v>
      </c>
      <c r="L3099" s="2" t="n">
        <f aca="false">J3099/_xlfn.XLOOKUP(Tabla2[[#This Row],[Unidad de precio]],Tabla3[Medida],Tabla3[Equivalencia en Kg],"ELVIS",0)</f>
        <v>24.6690251139037</v>
      </c>
      <c r="M3099" s="2" t="n">
        <v>2759.06577122957</v>
      </c>
      <c r="N3099" s="3" t="n">
        <f aca="false">(Tabla2[[#This Row],[Productividad (kg/TAS)]]*Tabla2[[#This Row],[Precio por kg]]-Tabla2[[#This Row],[Costos (En RD$/Tarea)]])</f>
        <v>773.16219541447</v>
      </c>
      <c r="O3099" s="9" t="n">
        <f aca="false">IF(Tabla2[[#This Row],[Costos (En RD$/Tarea)]]=0,0,Tabla2[[#This Row],[Beneficio Neto  (En RD$/Tarea)]]/Tabla2[[#This Row],[Costos (En RD$/Tarea)]])</f>
        <v>0.280226083581151</v>
      </c>
      <c r="P3099" s="7" t="n">
        <f aca="false">Tabla2[[#This Row],[Rentabilidad (%)]]/12</f>
        <v>0.0233521736317626</v>
      </c>
    </row>
    <row r="3100" customFormat="false" ht="14.25" hidden="false" customHeight="false" outlineLevel="0" collapsed="false">
      <c r="A3100" s="1" t="n">
        <v>44378</v>
      </c>
      <c r="B3100" s="2" t="s">
        <v>21</v>
      </c>
      <c r="C3100" s="3" t="n">
        <v>7599</v>
      </c>
      <c r="D3100" s="8" t="s">
        <v>17</v>
      </c>
      <c r="E3100" s="3" t="n">
        <f aca="false">IF(Tabla2[[#This Row],[Frecuencia]]="Annual", Tabla2[[#This Row],[Cosecha/Tarea]]/12,Tabla2[[#This Row],[Cosecha/Tarea]])</f>
        <v>7599</v>
      </c>
      <c r="F3100" s="3" t="n">
        <v>92788</v>
      </c>
      <c r="G3100" s="2" t="s">
        <v>18</v>
      </c>
      <c r="H3100" s="2" t="n">
        <f aca="false">F3100/Tabla2[[#This Row],[Cosecha Mensual]]</f>
        <v>12.2105540202658</v>
      </c>
      <c r="I3100" s="2" t="n">
        <f aca="false">H3100*_xlfn.XLOOKUP(Tabla2[[#This Row],[Unidad de producción]],Tabla3[Medida],Tabla3[Equivalencia en Kg],"ELVIS",0)</f>
        <v>553.870730359258</v>
      </c>
      <c r="J3100" s="2" t="n">
        <v>804.036458333333</v>
      </c>
      <c r="K3100" s="2" t="s">
        <v>18</v>
      </c>
      <c r="L3100" s="2" t="n">
        <f aca="false">J3100/_xlfn.XLOOKUP(Tabla2[[#This Row],[Unidad de precio]],Tabla3[Medida],Tabla3[Equivalencia en Kg],"ELVIS",0)</f>
        <v>17.7256714800118</v>
      </c>
      <c r="M3100" s="2" t="n">
        <v>6695.95013513731</v>
      </c>
      <c r="N3100" s="3" t="n">
        <f aca="false">(Tabla2[[#This Row],[Productividad (kg/TAS)]]*Tabla2[[#This Row],[Precio por kg]]-Tabla2[[#This Row],[Costos (En RD$/Tarea)]])</f>
        <v>3121.78047360507</v>
      </c>
      <c r="O3100" s="9" t="n">
        <f aca="false">IF(Tabla2[[#This Row],[Costos (En RD$/Tarea)]]=0,0,Tabla2[[#This Row],[Beneficio Neto  (En RD$/Tarea)]]/Tabla2[[#This Row],[Costos (En RD$/Tarea)]])</f>
        <v>0.466219193781533</v>
      </c>
      <c r="P3100" s="7" t="n">
        <f aca="false">Tabla2[[#This Row],[Rentabilidad (%)]]/12</f>
        <v>0.0388515994817944</v>
      </c>
    </row>
    <row r="3101" customFormat="false" ht="14.25" hidden="false" customHeight="false" outlineLevel="0" collapsed="false">
      <c r="A3101" s="1" t="n">
        <v>44378</v>
      </c>
      <c r="B3101" s="2" t="s">
        <v>22</v>
      </c>
      <c r="C3101" s="3" t="n">
        <v>4300</v>
      </c>
      <c r="D3101" s="8" t="s">
        <v>17</v>
      </c>
      <c r="E3101" s="3" t="n">
        <f aca="false">IF(Tabla2[[#This Row],[Frecuencia]]="Annual", Tabla2[[#This Row],[Cosecha/Tarea]]/12,Tabla2[[#This Row],[Cosecha/Tarea]])</f>
        <v>4300</v>
      </c>
      <c r="F3101" s="3" t="n">
        <v>42155</v>
      </c>
      <c r="G3101" s="2" t="s">
        <v>18</v>
      </c>
      <c r="H3101" s="2" t="n">
        <f aca="false">F3101/Tabla2[[#This Row],[Cosecha Mensual]]</f>
        <v>9.80348837209302</v>
      </c>
      <c r="I3101" s="2" t="n">
        <f aca="false">H3101*_xlfn.XLOOKUP(Tabla2[[#This Row],[Unidad de producción]],Tabla3[Medida],Tabla3[Equivalencia en Kg],"ELVIS",0)</f>
        <v>444.68623255814</v>
      </c>
      <c r="J3101" s="2" t="n">
        <v>2054.0625</v>
      </c>
      <c r="K3101" s="2" t="s">
        <v>18</v>
      </c>
      <c r="L3101" s="2" t="n">
        <f aca="false">J3101/_xlfn.XLOOKUP(Tabla2[[#This Row],[Unidad de precio]],Tabla3[Medida],Tabla3[Equivalencia en Kg],"ELVIS",0)</f>
        <v>45.2835648148148</v>
      </c>
      <c r="M3101" s="2" t="n">
        <v>11609.3184891587</v>
      </c>
      <c r="N3101" s="3" t="n">
        <f aca="false">(Tabla2[[#This Row],[Productividad (kg/TAS)]]*Tabla2[[#This Row],[Precio por kg]]-Tabla2[[#This Row],[Costos (En RD$/Tarea)]])</f>
        <v>8527.65934514362</v>
      </c>
      <c r="O3101" s="9" t="n">
        <f aca="false">IF(Tabla2[[#This Row],[Costos (En RD$/Tarea)]]=0,0,Tabla2[[#This Row],[Beneficio Neto  (En RD$/Tarea)]]/Tabla2[[#This Row],[Costos (En RD$/Tarea)]])</f>
        <v>0.734552967351799</v>
      </c>
      <c r="P3101" s="7" t="n">
        <f aca="false">Tabla2[[#This Row],[Rentabilidad (%)]]/12</f>
        <v>0.0612127472793166</v>
      </c>
    </row>
    <row r="3102" customFormat="false" ht="14.25" hidden="false" customHeight="false" outlineLevel="0" collapsed="false">
      <c r="A3102" s="1" t="n">
        <v>44378</v>
      </c>
      <c r="B3102" s="2" t="s">
        <v>23</v>
      </c>
      <c r="C3102" s="3" t="n">
        <v>3501</v>
      </c>
      <c r="D3102" s="8" t="s">
        <v>17</v>
      </c>
      <c r="E3102" s="3" t="n">
        <f aca="false">IF(Tabla2[[#This Row],[Frecuencia]]="Annual", Tabla2[[#This Row],[Cosecha/Tarea]]/12,Tabla2[[#This Row],[Cosecha/Tarea]])</f>
        <v>3501</v>
      </c>
      <c r="F3102" s="3" t="n">
        <v>122899</v>
      </c>
      <c r="G3102" s="2" t="s">
        <v>18</v>
      </c>
      <c r="H3102" s="2" t="n">
        <f aca="false">F3102/Tabla2[[#This Row],[Cosecha Mensual]]</f>
        <v>35.1039702942017</v>
      </c>
      <c r="I3102" s="2" t="n">
        <f aca="false">H3102*_xlfn.XLOOKUP(Tabla2[[#This Row],[Unidad de producción]],Tabla3[Medida],Tabla3[Equivalencia en Kg],"ELVIS",0)</f>
        <v>1592.31609254499</v>
      </c>
      <c r="J3102" s="2" t="n">
        <v>953.125</v>
      </c>
      <c r="K3102" s="2" t="s">
        <v>18</v>
      </c>
      <c r="L3102" s="2" t="n">
        <f aca="false">J3102/_xlfn.XLOOKUP(Tabla2[[#This Row],[Unidad de precio]],Tabla3[Medida],Tabla3[Equivalencia en Kg],"ELVIS",0)</f>
        <v>21.0124559082892</v>
      </c>
      <c r="M3102" s="2" t="n">
        <v>31774.6512666667</v>
      </c>
      <c r="N3102" s="3" t="n">
        <f aca="false">(Tabla2[[#This Row],[Productividad (kg/TAS)]]*Tabla2[[#This Row],[Precio por kg]]-Tabla2[[#This Row],[Costos (En RD$/Tarea)]])</f>
        <v>1683.82041999425</v>
      </c>
      <c r="O3102" s="9" t="n">
        <f aca="false">IF(Tabla2[[#This Row],[Costos (En RD$/Tarea)]]=0,0,Tabla2[[#This Row],[Beneficio Neto  (En RD$/Tarea)]]/Tabla2[[#This Row],[Costos (En RD$/Tarea)]])</f>
        <v>0.0529925696387003</v>
      </c>
      <c r="P3102" s="7" t="n">
        <f aca="false">Tabla2[[#This Row],[Rentabilidad (%)]]/12</f>
        <v>0.00441604746989169</v>
      </c>
    </row>
    <row r="3103" customFormat="false" ht="14.25" hidden="false" customHeight="false" outlineLevel="0" collapsed="false">
      <c r="A3103" s="1" t="n">
        <v>44378</v>
      </c>
      <c r="B3103" s="2" t="s">
        <v>24</v>
      </c>
      <c r="C3103" s="3" t="n">
        <v>6599</v>
      </c>
      <c r="D3103" s="8" t="s">
        <v>17</v>
      </c>
      <c r="E3103" s="3" t="n">
        <f aca="false">IF(Tabla2[[#This Row],[Frecuencia]]="Annual", Tabla2[[#This Row],[Cosecha/Tarea]]/12,Tabla2[[#This Row],[Cosecha/Tarea]])</f>
        <v>6599</v>
      </c>
      <c r="F3103" s="3" t="n">
        <v>61898</v>
      </c>
      <c r="G3103" s="2" t="s">
        <v>18</v>
      </c>
      <c r="H3103" s="2" t="n">
        <f aca="false">F3103/Tabla2[[#This Row],[Cosecha Mensual]]</f>
        <v>9.37990604637066</v>
      </c>
      <c r="I3103" s="2" t="n">
        <f aca="false">H3103*_xlfn.XLOOKUP(Tabla2[[#This Row],[Unidad de producción]],Tabla3[Medida],Tabla3[Equivalencia en Kg],"ELVIS",0)</f>
        <v>425.472538263373</v>
      </c>
      <c r="J3103" s="2" t="n">
        <v>2193.223125</v>
      </c>
      <c r="K3103" s="2" t="s">
        <v>18</v>
      </c>
      <c r="L3103" s="2" t="n">
        <f aca="false">J3103/_xlfn.XLOOKUP(Tabla2[[#This Row],[Unidad de precio]],Tabla3[Medida],Tabla3[Equivalencia en Kg],"ELVIS",0)</f>
        <v>48.3514798280423</v>
      </c>
      <c r="M3103" s="2" t="n">
        <v>9606.85680953384</v>
      </c>
      <c r="N3103" s="3" t="n">
        <f aca="false">(Tabla2[[#This Row],[Productividad (kg/TAS)]]*Tabla2[[#This Row],[Precio por kg]]-Tabla2[[#This Row],[Costos (En RD$/Tarea)]])</f>
        <v>10965.3700416936</v>
      </c>
      <c r="O3103" s="9" t="n">
        <f aca="false">IF(Tabla2[[#This Row],[Costos (En RD$/Tarea)]]=0,0,Tabla2[[#This Row],[Beneficio Neto  (En RD$/Tarea)]]/Tabla2[[#This Row],[Costos (En RD$/Tarea)]])</f>
        <v>1.14141079221787</v>
      </c>
      <c r="P3103" s="7" t="n">
        <f aca="false">Tabla2[[#This Row],[Rentabilidad (%)]]/12</f>
        <v>0.0951175660181555</v>
      </c>
    </row>
    <row r="3104" customFormat="false" ht="14.25" hidden="false" customHeight="false" outlineLevel="0" collapsed="false">
      <c r="A3104" s="1" t="n">
        <v>44378</v>
      </c>
      <c r="B3104" s="2" t="s">
        <v>25</v>
      </c>
      <c r="C3104" s="3" t="n">
        <v>30324</v>
      </c>
      <c r="D3104" s="8" t="s">
        <v>17</v>
      </c>
      <c r="E3104" s="3" t="n">
        <f aca="false">IF(Tabla2[[#This Row],[Frecuencia]]="Annual", Tabla2[[#This Row],[Cosecha/Tarea]]/12,Tabla2[[#This Row],[Cosecha/Tarea]])</f>
        <v>30324</v>
      </c>
      <c r="F3104" s="3" t="n">
        <v>304251</v>
      </c>
      <c r="G3104" s="2" t="s">
        <v>18</v>
      </c>
      <c r="H3104" s="2" t="n">
        <f aca="false">F3104/Tabla2[[#This Row],[Cosecha Mensual]]</f>
        <v>10.0333399287693</v>
      </c>
      <c r="I3104" s="2" t="n">
        <f aca="false">H3104*_xlfn.XLOOKUP(Tabla2[[#This Row],[Unidad de producción]],Tabla3[Medida],Tabla3[Equivalencia en Kg],"ELVIS",0)</f>
        <v>455.112299168975</v>
      </c>
      <c r="J3104" s="2" t="n">
        <v>746.823125</v>
      </c>
      <c r="K3104" s="2" t="s">
        <v>18</v>
      </c>
      <c r="L3104" s="2" t="n">
        <f aca="false">J3104/_xlfn.XLOOKUP(Tabla2[[#This Row],[Unidad de precio]],Tabla3[Medida],Tabla3[Equivalencia en Kg],"ELVIS",0)</f>
        <v>16.4643546075838</v>
      </c>
      <c r="M3104" s="2" t="n">
        <v>5403.38741449239</v>
      </c>
      <c r="N3104" s="3" t="n">
        <f aca="false">(Tabla2[[#This Row],[Productividad (kg/TAS)]]*Tabla2[[#This Row],[Precio por kg]]-Tabla2[[#This Row],[Costos (En RD$/Tarea)]])</f>
        <v>2089.74286529837</v>
      </c>
      <c r="O3104" s="9" t="n">
        <f aca="false">IF(Tabla2[[#This Row],[Costos (En RD$/Tarea)]]=0,0,Tabla2[[#This Row],[Beneficio Neto  (En RD$/Tarea)]]/Tabla2[[#This Row],[Costos (En RD$/Tarea)]])</f>
        <v>0.386746813617969</v>
      </c>
      <c r="P3104" s="7" t="n">
        <f aca="false">Tabla2[[#This Row],[Rentabilidad (%)]]/12</f>
        <v>0.0322289011348308</v>
      </c>
    </row>
    <row r="3105" customFormat="false" ht="14.25" hidden="false" customHeight="false" outlineLevel="0" collapsed="false">
      <c r="A3105" s="1" t="n">
        <v>44378</v>
      </c>
      <c r="B3105" s="2" t="s">
        <v>26</v>
      </c>
      <c r="C3105" s="3" t="n">
        <v>9214</v>
      </c>
      <c r="D3105" s="8" t="s">
        <v>17</v>
      </c>
      <c r="E3105" s="3" t="n">
        <f aca="false">IF(Tabla2[[#This Row],[Frecuencia]]="Annual", Tabla2[[#This Row],[Cosecha/Tarea]]/12,Tabla2[[#This Row],[Cosecha/Tarea]])</f>
        <v>9214</v>
      </c>
      <c r="F3105" s="3" t="n">
        <v>52147</v>
      </c>
      <c r="G3105" s="2" t="s">
        <v>18</v>
      </c>
      <c r="H3105" s="2" t="n">
        <f aca="false">F3105/Tabla2[[#This Row],[Cosecha Mensual]]</f>
        <v>5.65953983069243</v>
      </c>
      <c r="I3105" s="2" t="n">
        <f aca="false">H3105*_xlfn.XLOOKUP(Tabla2[[#This Row],[Unidad de producción]],Tabla3[Medida],Tabla3[Equivalencia en Kg],"ELVIS",0)</f>
        <v>256.716726720208</v>
      </c>
      <c r="J3105" s="2" t="n">
        <v>1031.84635416667</v>
      </c>
      <c r="K3105" s="2" t="s">
        <v>18</v>
      </c>
      <c r="L3105" s="2" t="n">
        <f aca="false">J3105/_xlfn.XLOOKUP(Tabla2[[#This Row],[Unidad de precio]],Tabla3[Medida],Tabla3[Equivalencia en Kg],"ELVIS",0)</f>
        <v>22.7479354975015</v>
      </c>
      <c r="M3105" s="2" t="n">
        <v>1910.99135924874</v>
      </c>
      <c r="N3105" s="3" t="n">
        <f aca="false">(Tabla2[[#This Row],[Productividad (kg/TAS)]]*Tabla2[[#This Row],[Precio por kg]]-Tabla2[[#This Row],[Costos (En RD$/Tarea)]])</f>
        <v>3928.78418131229</v>
      </c>
      <c r="O3105" s="9" t="n">
        <f aca="false">IF(Tabla2[[#This Row],[Costos (En RD$/Tarea)]]=0,0,Tabla2[[#This Row],[Beneficio Neto  (En RD$/Tarea)]]/Tabla2[[#This Row],[Costos (En RD$/Tarea)]])</f>
        <v>2.0558879883459</v>
      </c>
      <c r="P3105" s="7" t="n">
        <f aca="false">Tabla2[[#This Row],[Rentabilidad (%)]]/12</f>
        <v>0.171323999028825</v>
      </c>
    </row>
    <row r="3106" customFormat="false" ht="14.25" hidden="false" customHeight="false" outlineLevel="0" collapsed="false">
      <c r="A3106" s="1" t="n">
        <v>44378</v>
      </c>
      <c r="B3106" s="2" t="s">
        <v>27</v>
      </c>
      <c r="C3106" s="3" t="n">
        <v>5077</v>
      </c>
      <c r="D3106" s="8" t="s">
        <v>17</v>
      </c>
      <c r="E3106" s="3" t="n">
        <f aca="false">IF(Tabla2[[#This Row],[Frecuencia]]="Annual", Tabla2[[#This Row],[Cosecha/Tarea]]/12,Tabla2[[#This Row],[Cosecha/Tarea]])</f>
        <v>5077</v>
      </c>
      <c r="F3106" s="3" t="n">
        <v>51044</v>
      </c>
      <c r="G3106" s="2" t="s">
        <v>18</v>
      </c>
      <c r="H3106" s="2" t="n">
        <f aca="false">F3106/Tabla2[[#This Row],[Cosecha Mensual]]</f>
        <v>10.0539688792594</v>
      </c>
      <c r="I3106" s="2" t="n">
        <f aca="false">H3106*_xlfn.XLOOKUP(Tabla2[[#This Row],[Unidad de producción]],Tabla3[Medida],Tabla3[Equivalencia en Kg],"ELVIS",0)</f>
        <v>456.048028363207</v>
      </c>
      <c r="J3106" s="2" t="n">
        <v>862.21875</v>
      </c>
      <c r="K3106" s="2" t="s">
        <v>18</v>
      </c>
      <c r="L3106" s="2" t="n">
        <f aca="false">J3106/_xlfn.XLOOKUP(Tabla2[[#This Row],[Unidad de precio]],Tabla3[Medida],Tabla3[Equivalencia en Kg],"ELVIS",0)</f>
        <v>19.0083498677249</v>
      </c>
      <c r="M3106" s="2" t="n">
        <v>10561.2569707933</v>
      </c>
      <c r="N3106" s="3" t="n">
        <f aca="false">(Tabla2[[#This Row],[Productividad (kg/TAS)]]*Tabla2[[#This Row],[Precio por kg]]-Tabla2[[#This Row],[Costos (En RD$/Tarea)]])</f>
        <v>-1892.53649117936</v>
      </c>
      <c r="O3106" s="9" t="n">
        <f aca="false">IF(Tabla2[[#This Row],[Costos (En RD$/Tarea)]]=0,0,Tabla2[[#This Row],[Beneficio Neto  (En RD$/Tarea)]]/Tabla2[[#This Row],[Costos (En RD$/Tarea)]])</f>
        <v>-0.179196140801524</v>
      </c>
      <c r="P3106" s="7" t="n">
        <f aca="false">Tabla2[[#This Row],[Rentabilidad (%)]]/12</f>
        <v>-0.0149330117334604</v>
      </c>
    </row>
    <row r="3107" customFormat="false" ht="14.25" hidden="false" customHeight="false" outlineLevel="0" collapsed="false">
      <c r="A3107" s="1" t="n">
        <v>44378</v>
      </c>
      <c r="B3107" s="2" t="s">
        <v>28</v>
      </c>
      <c r="C3107" s="3" t="n">
        <v>34401</v>
      </c>
      <c r="D3107" s="8" t="s">
        <v>17</v>
      </c>
      <c r="E3107" s="3" t="n">
        <f aca="false">IF(Tabla2[[#This Row],[Frecuencia]]="Annual", Tabla2[[#This Row],[Cosecha/Tarea]]/12,Tabla2[[#This Row],[Cosecha/Tarea]])</f>
        <v>34401</v>
      </c>
      <c r="F3107" s="3" t="n">
        <v>1264775</v>
      </c>
      <c r="G3107" s="2" t="s">
        <v>18</v>
      </c>
      <c r="H3107" s="2" t="n">
        <f aca="false">F3107/Tabla2[[#This Row],[Cosecha Mensual]]</f>
        <v>36.7656463474899</v>
      </c>
      <c r="I3107" s="2" t="n">
        <f aca="false">H3107*_xlfn.XLOOKUP(Tabla2[[#This Row],[Unidad de producción]],Tabla3[Medida],Tabla3[Equivalencia en Kg],"ELVIS",0)</f>
        <v>1667.68971832214</v>
      </c>
      <c r="J3107" s="2" t="n">
        <v>8600</v>
      </c>
      <c r="K3107" s="2" t="s">
        <v>29</v>
      </c>
      <c r="L3107" s="2" t="n">
        <f aca="false">J3107/_xlfn.XLOOKUP(Tabla2[[#This Row],[Unidad de precio]],Tabla3[Medida],Tabla3[Equivalencia en Kg],"ELVIS",0)</f>
        <v>15.2932389657503</v>
      </c>
      <c r="M3107" s="2" t="n">
        <v>20320.344</v>
      </c>
      <c r="N3107" s="3" t="n">
        <f aca="false">(Tabla2[[#This Row],[Productividad (kg/TAS)]]*Tabla2[[#This Row],[Precio por kg]]-Tabla2[[#This Row],[Costos (En RD$/Tarea)]])</f>
        <v>5184.03338302525</v>
      </c>
      <c r="O3107" s="9" t="n">
        <f aca="false">IF(Tabla2[[#This Row],[Costos (En RD$/Tarea)]]=0,0,Tabla2[[#This Row],[Beneficio Neto  (En RD$/Tarea)]]/Tabla2[[#This Row],[Costos (En RD$/Tarea)]])</f>
        <v>0.255115434218301</v>
      </c>
      <c r="P3107" s="7" t="n">
        <f aca="false">Tabla2[[#This Row],[Rentabilidad (%)]]/12</f>
        <v>0.0212596195181918</v>
      </c>
    </row>
    <row r="3108" customFormat="false" ht="14.25" hidden="false" customHeight="false" outlineLevel="0" collapsed="false">
      <c r="A3108" s="1" t="n">
        <v>44378</v>
      </c>
      <c r="B3108" s="2" t="s">
        <v>30</v>
      </c>
      <c r="C3108" s="3" t="n">
        <v>477888</v>
      </c>
      <c r="D3108" s="3" t="s">
        <v>31</v>
      </c>
      <c r="E3108" s="3" t="n">
        <f aca="false">IF(Tabla2[[#This Row],[Frecuencia]]="Annual", Tabla2[[#This Row],[Cosecha/Tarea]]/12,Tabla2[[#This Row],[Cosecha/Tarea]])</f>
        <v>39824</v>
      </c>
      <c r="F3108" s="3" t="n">
        <v>2573753</v>
      </c>
      <c r="G3108" s="2" t="s">
        <v>18</v>
      </c>
      <c r="H3108" s="2" t="n">
        <f aca="false">F3108/Tabla2[[#This Row],[Cosecha Mensual]]</f>
        <v>64.6281890317397</v>
      </c>
      <c r="I3108" s="2" t="n">
        <f aca="false">H3108*_xlfn.XLOOKUP(Tabla2[[#This Row],[Unidad de producción]],Tabla3[Medida],Tabla3[Equivalencia en Kg],"ELVIS",0)</f>
        <v>2931.53465447971</v>
      </c>
      <c r="J3108" s="2" t="n">
        <v>404.223958333333</v>
      </c>
      <c r="K3108" s="2" t="s">
        <v>32</v>
      </c>
      <c r="L3108" s="2" t="n">
        <f aca="false">J3108/_xlfn.XLOOKUP(Tabla2[[#This Row],[Unidad de precio]],Tabla3[Medida],Tabla3[Equivalencia en Kg],"ELVIS",0)</f>
        <v>14.8557132794316</v>
      </c>
      <c r="M3108" s="3" t="n">
        <v>40592.4361945306</v>
      </c>
      <c r="N3108" s="3" t="n">
        <f aca="false">(Tabla2[[#This Row],[Productividad (kg/TAS)]]*Tabla2[[#This Row],[Precio por kg]]-Tabla2[[#This Row],[Costos (En RD$/Tarea)]])</f>
        <v>2957.60210113747</v>
      </c>
      <c r="O3108" s="9" t="n">
        <f aca="false">IF(Tabla2[[#This Row],[Costos (En RD$/Tarea)]]=0,0,Tabla2[[#This Row],[Beneficio Neto  (En RD$/Tarea)]]/Tabla2[[#This Row],[Costos (En RD$/Tarea)]])</f>
        <v>0.0728609164269863</v>
      </c>
      <c r="P3108" s="7" t="n">
        <f aca="false">Tabla2[[#This Row],[Rentabilidad (%)]]/12</f>
        <v>0.00607174303558219</v>
      </c>
    </row>
    <row r="3109" customFormat="false" ht="14.25" hidden="false" customHeight="false" outlineLevel="0" collapsed="false">
      <c r="A3109" s="1" t="n">
        <v>44378</v>
      </c>
      <c r="B3109" s="2" t="s">
        <v>33</v>
      </c>
      <c r="C3109" s="3" t="n">
        <v>831998</v>
      </c>
      <c r="D3109" s="3" t="s">
        <v>31</v>
      </c>
      <c r="E3109" s="3" t="n">
        <f aca="false">IF(Tabla2[[#This Row],[Frecuencia]]="Annual", Tabla2[[#This Row],[Cosecha/Tarea]]/12,Tabla2[[#This Row],[Cosecha/Tarea]])</f>
        <v>69333.1666666667</v>
      </c>
      <c r="F3109" s="3" t="n">
        <v>2268441</v>
      </c>
      <c r="G3109" s="2" t="s">
        <v>18</v>
      </c>
      <c r="H3109" s="2" t="n">
        <f aca="false">F3109/Tabla2[[#This Row],[Cosecha Mensual]]</f>
        <v>32.7179776874464</v>
      </c>
      <c r="I3109" s="2" t="n">
        <f aca="false">H3109*_xlfn.XLOOKUP(Tabla2[[#This Row],[Unidad de producción]],Tabla3[Medida],Tabla3[Equivalencia en Kg],"ELVIS",0)</f>
        <v>1484.08746790257</v>
      </c>
      <c r="J3109" s="2" t="n">
        <v>6441.67708333333</v>
      </c>
      <c r="K3109" s="2" t="s">
        <v>34</v>
      </c>
      <c r="L3109" s="2" t="n">
        <f aca="false">J3109/_xlfn.XLOOKUP(Tabla2[[#This Row],[Unidad de precio]],Tabla3[Medida],Tabla3[Equivalencia en Kg],"ELVIS",0)</f>
        <v>15.7826217893748</v>
      </c>
      <c r="M3109" s="3" t="n">
        <v>43963.4440344</v>
      </c>
      <c r="N3109" s="3" t="n">
        <f aca="false">(Tabla2[[#This Row],[Productividad (kg/TAS)]]*Tabla2[[#This Row],[Precio por kg]]-Tabla2[[#This Row],[Costos (En RD$/Tarea)]])</f>
        <v>-20540.6528261429</v>
      </c>
      <c r="O3109" s="9" t="n">
        <f aca="false">IF(Tabla2[[#This Row],[Costos (En RD$/Tarea)]]=0,0,Tabla2[[#This Row],[Beneficio Neto  (En RD$/Tarea)]]/Tabla2[[#This Row],[Costos (En RD$/Tarea)]])</f>
        <v>-0.467221194273825</v>
      </c>
      <c r="P3109" s="7" t="n">
        <f aca="false">Tabla2[[#This Row],[Rentabilidad (%)]]/12</f>
        <v>-0.0389350995228188</v>
      </c>
    </row>
    <row r="3110" customFormat="false" ht="14.25" hidden="false" customHeight="false" outlineLevel="0" collapsed="false">
      <c r="A3110" s="1" t="n">
        <v>44409</v>
      </c>
      <c r="B3110" s="2" t="s">
        <v>16</v>
      </c>
      <c r="C3110" s="3" t="n">
        <v>387733</v>
      </c>
      <c r="D3110" s="8" t="s">
        <v>17</v>
      </c>
      <c r="E3110" s="3" t="n">
        <f aca="false">IF(Tabla2[[#This Row],[Frecuencia]]="Annual", Tabla2[[#This Row],[Cosecha/Tarea]]/12,Tabla2[[#This Row],[Cosecha/Tarea]])</f>
        <v>387733</v>
      </c>
      <c r="F3110" s="3" t="n">
        <v>1639575</v>
      </c>
      <c r="G3110" s="2" t="s">
        <v>18</v>
      </c>
      <c r="H3110" s="2" t="n">
        <f aca="false">F3110/Tabla2[[#This Row],[Cosecha Mensual]]</f>
        <v>4.22861866284273</v>
      </c>
      <c r="I3110" s="2" t="n">
        <f aca="false">H3110*_xlfn.XLOOKUP(Tabla2[[#This Row],[Unidad de producción]],Tabla3[Medida],Tabla3[Equivalencia en Kg],"ELVIS",0)</f>
        <v>191.810142546546</v>
      </c>
      <c r="J3110" s="2" t="n">
        <v>2605.973189184</v>
      </c>
      <c r="K3110" s="2" t="s">
        <v>19</v>
      </c>
      <c r="L3110" s="2" t="n">
        <f aca="false">J3110/_xlfn.XLOOKUP(Tabla2[[#This Row],[Unidad de precio]],Tabla3[Medida],Tabla3[Equivalencia en Kg],"ELVIS",0)</f>
        <v>23.6906653562182</v>
      </c>
      <c r="M3110" s="2" t="n">
        <v>7900.39794477161</v>
      </c>
      <c r="N3110" s="3" t="n">
        <f aca="false">(Tabla2[[#This Row],[Productividad (kg/TAS)]]*Tabla2[[#This Row],[Precio por kg]]-Tabla2[[#This Row],[Costos (En RD$/Tarea)]])</f>
        <v>-3356.28804577288</v>
      </c>
      <c r="O3110" s="9" t="n">
        <f aca="false">IF(Tabla2[[#This Row],[Costos (En RD$/Tarea)]]=0,0,Tabla2[[#This Row],[Beneficio Neto  (En RD$/Tarea)]]/Tabla2[[#This Row],[Costos (En RD$/Tarea)]])</f>
        <v>-0.424825188456998</v>
      </c>
      <c r="P3110" s="7" t="n">
        <f aca="false">Tabla2[[#This Row],[Rentabilidad (%)]]/12</f>
        <v>-0.0354020990380832</v>
      </c>
    </row>
    <row r="3111" customFormat="false" ht="14.25" hidden="false" customHeight="false" outlineLevel="0" collapsed="false">
      <c r="A3111" s="1" t="n">
        <v>44409</v>
      </c>
      <c r="B3111" s="2" t="s">
        <v>20</v>
      </c>
      <c r="C3111" s="3" t="n">
        <v>42767</v>
      </c>
      <c r="D3111" s="8" t="s">
        <v>17</v>
      </c>
      <c r="E3111" s="3" t="n">
        <f aca="false">IF(Tabla2[[#This Row],[Frecuencia]]="Annual", Tabla2[[#This Row],[Cosecha/Tarea]]/12,Tabla2[[#This Row],[Cosecha/Tarea]])</f>
        <v>42767</v>
      </c>
      <c r="F3111" s="3" t="n">
        <v>90245</v>
      </c>
      <c r="G3111" s="2" t="s">
        <v>18</v>
      </c>
      <c r="H3111" s="2" t="n">
        <f aca="false">F3111/Tabla2[[#This Row],[Cosecha Mensual]]</f>
        <v>2.1101550260715</v>
      </c>
      <c r="I3111" s="2" t="n">
        <f aca="false">H3111*_xlfn.XLOOKUP(Tabla2[[#This Row],[Unidad de producción]],Tabla3[Medida],Tabla3[Equivalencia en Kg],"ELVIS",0)</f>
        <v>95.7166319826034</v>
      </c>
      <c r="J3111" s="2" t="n">
        <v>1108.18489583333</v>
      </c>
      <c r="K3111" s="2" t="s">
        <v>18</v>
      </c>
      <c r="L3111" s="2" t="n">
        <f aca="false">J3111/_xlfn.XLOOKUP(Tabla2[[#This Row],[Unidad de precio]],Tabla3[Medida],Tabla3[Equivalencia en Kg],"ELVIS",0)</f>
        <v>24.4308839469429</v>
      </c>
      <c r="M3111" s="2" t="n">
        <v>2759.06577122957</v>
      </c>
      <c r="N3111" s="3" t="n">
        <f aca="false">(Tabla2[[#This Row],[Productividad (kg/TAS)]]*Tabla2[[#This Row],[Precio por kg]]-Tabla2[[#This Row],[Costos (En RD$/Tarea)]])</f>
        <v>-420.623843470343</v>
      </c>
      <c r="O3111" s="9" t="n">
        <f aca="false">IF(Tabla2[[#This Row],[Costos (En RD$/Tarea)]]=0,0,Tabla2[[#This Row],[Beneficio Neto  (En RD$/Tarea)]]/Tabla2[[#This Row],[Costos (En RD$/Tarea)]])</f>
        <v>-0.152451546409817</v>
      </c>
      <c r="P3111" s="7" t="n">
        <f aca="false">Tabla2[[#This Row],[Rentabilidad (%)]]/12</f>
        <v>-0.0127042955341514</v>
      </c>
    </row>
    <row r="3112" customFormat="false" ht="14.25" hidden="false" customHeight="false" outlineLevel="0" collapsed="false">
      <c r="A3112" s="1" t="n">
        <v>44409</v>
      </c>
      <c r="B3112" s="2" t="s">
        <v>21</v>
      </c>
      <c r="C3112" s="3" t="n">
        <v>7101</v>
      </c>
      <c r="D3112" s="8" t="s">
        <v>17</v>
      </c>
      <c r="E3112" s="3" t="n">
        <f aca="false">IF(Tabla2[[#This Row],[Frecuencia]]="Annual", Tabla2[[#This Row],[Cosecha/Tarea]]/12,Tabla2[[#This Row],[Cosecha/Tarea]])</f>
        <v>7101</v>
      </c>
      <c r="F3112" s="3" t="n">
        <v>85885</v>
      </c>
      <c r="G3112" s="2" t="s">
        <v>18</v>
      </c>
      <c r="H3112" s="2" t="n">
        <f aca="false">F3112/Tabla2[[#This Row],[Cosecha Mensual]]</f>
        <v>12.0947753837488</v>
      </c>
      <c r="I3112" s="2" t="n">
        <f aca="false">H3112*_xlfn.XLOOKUP(Tabla2[[#This Row],[Unidad de producción]],Tabla3[Medida],Tabla3[Equivalencia en Kg],"ELVIS",0)</f>
        <v>548.619011406844</v>
      </c>
      <c r="J3112" s="2" t="n">
        <v>679.705089583333</v>
      </c>
      <c r="K3112" s="2" t="s">
        <v>18</v>
      </c>
      <c r="L3112" s="2" t="n">
        <f aca="false">J3112/_xlfn.XLOOKUP(Tabla2[[#This Row],[Unidad de precio]],Tabla3[Medida],Tabla3[Equivalencia en Kg],"ELVIS",0)</f>
        <v>14.9846801054527</v>
      </c>
      <c r="M3112" s="2" t="n">
        <v>6695.95013513731</v>
      </c>
      <c r="N3112" s="3" t="n">
        <f aca="false">(Tabla2[[#This Row],[Productividad (kg/TAS)]]*Tabla2[[#This Row],[Precio por kg]]-Tabla2[[#This Row],[Costos (En RD$/Tarea)]])</f>
        <v>1524.93025056394</v>
      </c>
      <c r="O3112" s="9" t="n">
        <f aca="false">IF(Tabla2[[#This Row],[Costos (En RD$/Tarea)]]=0,0,Tabla2[[#This Row],[Beneficio Neto  (En RD$/Tarea)]]/Tabla2[[#This Row],[Costos (En RD$/Tarea)]])</f>
        <v>0.227739188582334</v>
      </c>
      <c r="P3112" s="7" t="n">
        <f aca="false">Tabla2[[#This Row],[Rentabilidad (%)]]/12</f>
        <v>0.0189782657151945</v>
      </c>
    </row>
    <row r="3113" customFormat="false" ht="14.25" hidden="false" customHeight="false" outlineLevel="0" collapsed="false">
      <c r="A3113" s="1" t="n">
        <v>44409</v>
      </c>
      <c r="B3113" s="2" t="s">
        <v>22</v>
      </c>
      <c r="C3113" s="3" t="n">
        <v>3978</v>
      </c>
      <c r="D3113" s="8" t="s">
        <v>17</v>
      </c>
      <c r="E3113" s="3" t="n">
        <f aca="false">IF(Tabla2[[#This Row],[Frecuencia]]="Annual", Tabla2[[#This Row],[Cosecha/Tarea]]/12,Tabla2[[#This Row],[Cosecha/Tarea]])</f>
        <v>3978</v>
      </c>
      <c r="F3113" s="3" t="n">
        <v>33345</v>
      </c>
      <c r="G3113" s="2" t="s">
        <v>18</v>
      </c>
      <c r="H3113" s="2" t="n">
        <f aca="false">F3113/Tabla2[[#This Row],[Cosecha Mensual]]</f>
        <v>8.38235294117647</v>
      </c>
      <c r="I3113" s="2" t="n">
        <f aca="false">H3113*_xlfn.XLOOKUP(Tabla2[[#This Row],[Unidad de producción]],Tabla3[Medida],Tabla3[Equivalencia en Kg],"ELVIS",0)</f>
        <v>380.223529411765</v>
      </c>
      <c r="J3113" s="2" t="n">
        <v>1943.78333333333</v>
      </c>
      <c r="K3113" s="2" t="s">
        <v>18</v>
      </c>
      <c r="L3113" s="2" t="n">
        <f aca="false">J3113/_xlfn.XLOOKUP(Tabla2[[#This Row],[Unidad de precio]],Tabla3[Medida],Tabla3[Equivalencia en Kg],"ELVIS",0)</f>
        <v>42.852366255144</v>
      </c>
      <c r="M3113" s="2" t="n">
        <v>11609.3184891587</v>
      </c>
      <c r="N3113" s="3" t="n">
        <f aca="false">(Tabla2[[#This Row],[Productividad (kg/TAS)]]*Tabla2[[#This Row],[Precio por kg]]-Tabla2[[#This Row],[Costos (En RD$/Tarea)]])</f>
        <v>4684.15945201774</v>
      </c>
      <c r="O3113" s="9" t="n">
        <f aca="false">IF(Tabla2[[#This Row],[Costos (En RD$/Tarea)]]=0,0,Tabla2[[#This Row],[Beneficio Neto  (En RD$/Tarea)]]/Tabla2[[#This Row],[Costos (En RD$/Tarea)]])</f>
        <v>0.403482724364227</v>
      </c>
      <c r="P3113" s="7" t="n">
        <f aca="false">Tabla2[[#This Row],[Rentabilidad (%)]]/12</f>
        <v>0.0336235603636856</v>
      </c>
    </row>
    <row r="3114" customFormat="false" ht="14.25" hidden="false" customHeight="false" outlineLevel="0" collapsed="false">
      <c r="A3114" s="1" t="n">
        <v>44409</v>
      </c>
      <c r="B3114" s="2" t="s">
        <v>23</v>
      </c>
      <c r="C3114" s="3" t="n">
        <v>4359</v>
      </c>
      <c r="D3114" s="8" t="s">
        <v>17</v>
      </c>
      <c r="E3114" s="3" t="n">
        <f aca="false">IF(Tabla2[[#This Row],[Frecuencia]]="Annual", Tabla2[[#This Row],[Cosecha/Tarea]]/12,Tabla2[[#This Row],[Cosecha/Tarea]])</f>
        <v>4359</v>
      </c>
      <c r="F3114" s="3" t="n">
        <v>165478</v>
      </c>
      <c r="G3114" s="2" t="s">
        <v>18</v>
      </c>
      <c r="H3114" s="2" t="n">
        <f aca="false">F3114/Tabla2[[#This Row],[Cosecha Mensual]]</f>
        <v>37.9623766919018</v>
      </c>
      <c r="I3114" s="2" t="n">
        <f aca="false">H3114*_xlfn.XLOOKUP(Tabla2[[#This Row],[Unidad de producción]],Tabla3[Medida],Tabla3[Equivalencia en Kg],"ELVIS",0)</f>
        <v>1721.97340674467</v>
      </c>
      <c r="J3114" s="2" t="n">
        <v>955</v>
      </c>
      <c r="K3114" s="2" t="s">
        <v>18</v>
      </c>
      <c r="L3114" s="2" t="n">
        <f aca="false">J3114/_xlfn.XLOOKUP(Tabla2[[#This Row],[Unidad de precio]],Tabla3[Medida],Tabla3[Equivalencia en Kg],"ELVIS",0)</f>
        <v>21.0537918871252</v>
      </c>
      <c r="M3114" s="2" t="n">
        <v>31774.6512666667</v>
      </c>
      <c r="N3114" s="3" t="n">
        <f aca="false">(Tabla2[[#This Row],[Productividad (kg/TAS)]]*Tabla2[[#This Row],[Precio por kg]]-Tabla2[[#This Row],[Costos (En RD$/Tarea)]])</f>
        <v>4479.41847409953</v>
      </c>
      <c r="O3114" s="9" t="n">
        <f aca="false">IF(Tabla2[[#This Row],[Costos (En RD$/Tarea)]]=0,0,Tabla2[[#This Row],[Beneficio Neto  (En RD$/Tarea)]]/Tabla2[[#This Row],[Costos (En RD$/Tarea)]])</f>
        <v>0.140974591239611</v>
      </c>
      <c r="P3114" s="7" t="n">
        <f aca="false">Tabla2[[#This Row],[Rentabilidad (%)]]/12</f>
        <v>0.0117478826033009</v>
      </c>
    </row>
    <row r="3115" customFormat="false" ht="14.25" hidden="false" customHeight="false" outlineLevel="0" collapsed="false">
      <c r="A3115" s="1" t="n">
        <v>44409</v>
      </c>
      <c r="B3115" s="2" t="s">
        <v>24</v>
      </c>
      <c r="C3115" s="3" t="n">
        <v>4945</v>
      </c>
      <c r="D3115" s="8" t="s">
        <v>17</v>
      </c>
      <c r="E3115" s="3" t="n">
        <f aca="false">IF(Tabla2[[#This Row],[Frecuencia]]="Annual", Tabla2[[#This Row],[Cosecha/Tarea]]/12,Tabla2[[#This Row],[Cosecha/Tarea]])</f>
        <v>4945</v>
      </c>
      <c r="F3115" s="3" t="n">
        <v>52141</v>
      </c>
      <c r="G3115" s="2" t="s">
        <v>18</v>
      </c>
      <c r="H3115" s="2" t="n">
        <f aca="false">F3115/Tabla2[[#This Row],[Cosecha Mensual]]</f>
        <v>10.5441860465116</v>
      </c>
      <c r="I3115" s="2" t="n">
        <f aca="false">H3115*_xlfn.XLOOKUP(Tabla2[[#This Row],[Unidad de producción]],Tabla3[Medida],Tabla3[Equivalencia en Kg],"ELVIS",0)</f>
        <v>478.284279069767</v>
      </c>
      <c r="J3115" s="2" t="n">
        <v>2228.75</v>
      </c>
      <c r="K3115" s="2" t="s">
        <v>18</v>
      </c>
      <c r="L3115" s="2" t="n">
        <f aca="false">J3115/_xlfn.XLOOKUP(Tabla2[[#This Row],[Unidad de precio]],Tabla3[Medida],Tabla3[Equivalencia en Kg],"ELVIS",0)</f>
        <v>49.1347001763668</v>
      </c>
      <c r="M3115" s="2" t="n">
        <v>9606.85680953384</v>
      </c>
      <c r="N3115" s="3" t="n">
        <f aca="false">(Tabla2[[#This Row],[Productividad (kg/TAS)]]*Tabla2[[#This Row],[Precio por kg]]-Tabla2[[#This Row],[Costos (En RD$/Tarea)]])</f>
        <v>13893.497841629</v>
      </c>
      <c r="O3115" s="9" t="n">
        <f aca="false">IF(Tabla2[[#This Row],[Costos (En RD$/Tarea)]]=0,0,Tabla2[[#This Row],[Beneficio Neto  (En RD$/Tarea)]]/Tabla2[[#This Row],[Costos (En RD$/Tarea)]])</f>
        <v>1.44620640414262</v>
      </c>
      <c r="P3115" s="7" t="n">
        <f aca="false">Tabla2[[#This Row],[Rentabilidad (%)]]/12</f>
        <v>0.120517200345218</v>
      </c>
    </row>
    <row r="3116" customFormat="false" ht="14.25" hidden="false" customHeight="false" outlineLevel="0" collapsed="false">
      <c r="A3116" s="1" t="n">
        <v>44409</v>
      </c>
      <c r="B3116" s="2" t="s">
        <v>25</v>
      </c>
      <c r="C3116" s="3" t="n">
        <v>32477</v>
      </c>
      <c r="D3116" s="8" t="s">
        <v>17</v>
      </c>
      <c r="E3116" s="3" t="n">
        <f aca="false">IF(Tabla2[[#This Row],[Frecuencia]]="Annual", Tabla2[[#This Row],[Cosecha/Tarea]]/12,Tabla2[[#This Row],[Cosecha/Tarea]])</f>
        <v>32477</v>
      </c>
      <c r="F3116" s="3" t="n">
        <v>347145</v>
      </c>
      <c r="G3116" s="2" t="s">
        <v>18</v>
      </c>
      <c r="H3116" s="2" t="n">
        <f aca="false">F3116/Tabla2[[#This Row],[Cosecha Mensual]]</f>
        <v>10.6889491024417</v>
      </c>
      <c r="I3116" s="2" t="n">
        <f aca="false">H3116*_xlfn.XLOOKUP(Tabla2[[#This Row],[Unidad de producción]],Tabla3[Medida],Tabla3[Equivalencia en Kg],"ELVIS",0)</f>
        <v>484.850731286757</v>
      </c>
      <c r="J3116" s="2" t="n">
        <v>723.447916666667</v>
      </c>
      <c r="K3116" s="2" t="s">
        <v>18</v>
      </c>
      <c r="L3116" s="2" t="n">
        <f aca="false">J3116/_xlfn.XLOOKUP(Tabla2[[#This Row],[Unidad de precio]],Tabla3[Medida],Tabla3[Equivalencia en Kg],"ELVIS",0)</f>
        <v>15.9490281452087</v>
      </c>
      <c r="M3116" s="2" t="n">
        <v>5403.38741449239</v>
      </c>
      <c r="N3116" s="3" t="n">
        <f aca="false">(Tabla2[[#This Row],[Productividad (kg/TAS)]]*Tabla2[[#This Row],[Precio por kg]]-Tabla2[[#This Row],[Costos (En RD$/Tarea)]])</f>
        <v>2329.51054502512</v>
      </c>
      <c r="O3116" s="9" t="n">
        <f aca="false">IF(Tabla2[[#This Row],[Costos (En RD$/Tarea)]]=0,0,Tabla2[[#This Row],[Beneficio Neto  (En RD$/Tarea)]]/Tabla2[[#This Row],[Costos (En RD$/Tarea)]])</f>
        <v>0.431120400283931</v>
      </c>
      <c r="P3116" s="7" t="n">
        <f aca="false">Tabla2[[#This Row],[Rentabilidad (%)]]/12</f>
        <v>0.035926700023661</v>
      </c>
    </row>
    <row r="3117" customFormat="false" ht="14.25" hidden="false" customHeight="false" outlineLevel="0" collapsed="false">
      <c r="A3117" s="1" t="n">
        <v>44409</v>
      </c>
      <c r="B3117" s="2" t="s">
        <v>26</v>
      </c>
      <c r="C3117" s="3" t="n">
        <v>9324</v>
      </c>
      <c r="D3117" s="8" t="s">
        <v>17</v>
      </c>
      <c r="E3117" s="3" t="n">
        <f aca="false">IF(Tabla2[[#This Row],[Frecuencia]]="Annual", Tabla2[[#This Row],[Cosecha/Tarea]]/12,Tabla2[[#This Row],[Cosecha/Tarea]])</f>
        <v>9324</v>
      </c>
      <c r="F3117" s="3" t="n">
        <v>81254</v>
      </c>
      <c r="G3117" s="2" t="s">
        <v>18</v>
      </c>
      <c r="H3117" s="2" t="n">
        <f aca="false">F3117/Tabla2[[#This Row],[Cosecha Mensual]]</f>
        <v>8.71450021450021</v>
      </c>
      <c r="I3117" s="2" t="n">
        <f aca="false">H3117*_xlfn.XLOOKUP(Tabla2[[#This Row],[Unidad de producción]],Tabla3[Medida],Tabla3[Equivalencia en Kg],"ELVIS",0)</f>
        <v>395.28972972973</v>
      </c>
      <c r="J3117" s="2" t="n">
        <v>1260.64684305556</v>
      </c>
      <c r="K3117" s="2" t="s">
        <v>18</v>
      </c>
      <c r="L3117" s="2" t="n">
        <f aca="false">J3117/_xlfn.XLOOKUP(Tabla2[[#This Row],[Unidad de precio]],Tabla3[Medida],Tabla3[Equivalencia en Kg],"ELVIS",0)</f>
        <v>27.7920379862337</v>
      </c>
      <c r="M3117" s="2" t="n">
        <v>1910.99135924874</v>
      </c>
      <c r="N3117" s="3" t="n">
        <f aca="false">(Tabla2[[#This Row],[Productividad (kg/TAS)]]*Tabla2[[#This Row],[Precio por kg]]-Tabla2[[#This Row],[Costos (En RD$/Tarea)]])</f>
        <v>9074.91582496796</v>
      </c>
      <c r="O3117" s="9" t="n">
        <f aca="false">IF(Tabla2[[#This Row],[Costos (En RD$/Tarea)]]=0,0,Tabla2[[#This Row],[Beneficio Neto  (En RD$/Tarea)]]/Tabla2[[#This Row],[Costos (En RD$/Tarea)]])</f>
        <v>4.74880003043841</v>
      </c>
      <c r="P3117" s="7" t="n">
        <f aca="false">Tabla2[[#This Row],[Rentabilidad (%)]]/12</f>
        <v>0.395733335869868</v>
      </c>
    </row>
    <row r="3118" customFormat="false" ht="14.25" hidden="false" customHeight="false" outlineLevel="0" collapsed="false">
      <c r="A3118" s="1" t="n">
        <v>44409</v>
      </c>
      <c r="B3118" s="2" t="s">
        <v>27</v>
      </c>
      <c r="C3118" s="3" t="n">
        <v>4788</v>
      </c>
      <c r="D3118" s="8" t="s">
        <v>17</v>
      </c>
      <c r="E3118" s="3" t="n">
        <f aca="false">IF(Tabla2[[#This Row],[Frecuencia]]="Annual", Tabla2[[#This Row],[Cosecha/Tarea]]/12,Tabla2[[#This Row],[Cosecha/Tarea]])</f>
        <v>4788</v>
      </c>
      <c r="F3118" s="3" t="n">
        <v>47889</v>
      </c>
      <c r="G3118" s="2" t="s">
        <v>18</v>
      </c>
      <c r="H3118" s="2" t="n">
        <f aca="false">F3118/Tabla2[[#This Row],[Cosecha Mensual]]</f>
        <v>10.0018796992481</v>
      </c>
      <c r="I3118" s="2" t="n">
        <f aca="false">H3118*_xlfn.XLOOKUP(Tabla2[[#This Row],[Unidad de producción]],Tabla3[Medida],Tabla3[Equivalencia en Kg],"ELVIS",0)</f>
        <v>453.685263157895</v>
      </c>
      <c r="J3118" s="2" t="n">
        <v>1119.60714285714</v>
      </c>
      <c r="K3118" s="2" t="s">
        <v>18</v>
      </c>
      <c r="L3118" s="2" t="n">
        <f aca="false">J3118/_xlfn.XLOOKUP(Tabla2[[#This Row],[Unidad de precio]],Tabla3[Medida],Tabla3[Equivalencia en Kg],"ELVIS",0)</f>
        <v>24.6826971529352</v>
      </c>
      <c r="M3118" s="2" t="n">
        <v>10561.2569707933</v>
      </c>
      <c r="N3118" s="3" t="n">
        <f aca="false">(Tabla2[[#This Row],[Productividad (kg/TAS)]]*Tabla2[[#This Row],[Precio por kg]]-Tabla2[[#This Row],[Costos (En RD$/Tarea)]])</f>
        <v>636.918982482717</v>
      </c>
      <c r="O3118" s="9" t="n">
        <f aca="false">IF(Tabla2[[#This Row],[Costos (En RD$/Tarea)]]=0,0,Tabla2[[#This Row],[Beneficio Neto  (En RD$/Tarea)]]/Tabla2[[#This Row],[Costos (En RD$/Tarea)]])</f>
        <v>0.0603071191472842</v>
      </c>
      <c r="P3118" s="7" t="n">
        <f aca="false">Tabla2[[#This Row],[Rentabilidad (%)]]/12</f>
        <v>0.00502559326227368</v>
      </c>
    </row>
    <row r="3119" customFormat="false" ht="14.25" hidden="false" customHeight="false" outlineLevel="0" collapsed="false">
      <c r="A3119" s="1" t="n">
        <v>44409</v>
      </c>
      <c r="B3119" s="2" t="s">
        <v>28</v>
      </c>
      <c r="C3119" s="3" t="n">
        <v>54352</v>
      </c>
      <c r="D3119" s="8" t="s">
        <v>17</v>
      </c>
      <c r="E3119" s="3" t="n">
        <f aca="false">IF(Tabla2[[#This Row],[Frecuencia]]="Annual", Tabla2[[#This Row],[Cosecha/Tarea]]/12,Tabla2[[#This Row],[Cosecha/Tarea]])</f>
        <v>54352</v>
      </c>
      <c r="F3119" s="3" t="n">
        <v>1475451</v>
      </c>
      <c r="G3119" s="2" t="s">
        <v>18</v>
      </c>
      <c r="H3119" s="2" t="n">
        <f aca="false">F3119/Tabla2[[#This Row],[Cosecha Mensual]]</f>
        <v>27.1462135707978</v>
      </c>
      <c r="I3119" s="2" t="n">
        <f aca="false">H3119*_xlfn.XLOOKUP(Tabla2[[#This Row],[Unidad de producción]],Tabla3[Medida],Tabla3[Equivalencia en Kg],"ELVIS",0)</f>
        <v>1231.35224757139</v>
      </c>
      <c r="J3119" s="2" t="n">
        <v>5916.175</v>
      </c>
      <c r="K3119" s="2" t="s">
        <v>29</v>
      </c>
      <c r="L3119" s="2" t="n">
        <f aca="false">J3119/_xlfn.XLOOKUP(Tabla2[[#This Row],[Unidad de precio]],Tabla3[Medida],Tabla3[Equivalencia en Kg],"ELVIS",0)</f>
        <v>10.5206369811858</v>
      </c>
      <c r="M3119" s="2" t="n">
        <v>20320.344</v>
      </c>
      <c r="N3119" s="3" t="n">
        <f aca="false">(Tabla2[[#This Row],[Productividad (kg/TAS)]]*Tabla2[[#This Row],[Precio por kg]]-Tabla2[[#This Row],[Costos (En RD$/Tarea)]])</f>
        <v>-7365.73400733427</v>
      </c>
      <c r="O3119" s="9" t="n">
        <f aca="false">IF(Tabla2[[#This Row],[Costos (En RD$/Tarea)]]=0,0,Tabla2[[#This Row],[Beneficio Neto  (En RD$/Tarea)]]/Tabla2[[#This Row],[Costos (En RD$/Tarea)]])</f>
        <v>-0.362480773324225</v>
      </c>
      <c r="P3119" s="7" t="n">
        <f aca="false">Tabla2[[#This Row],[Rentabilidad (%)]]/12</f>
        <v>-0.0302067311103521</v>
      </c>
    </row>
    <row r="3120" customFormat="false" ht="14.25" hidden="false" customHeight="false" outlineLevel="0" collapsed="false">
      <c r="A3120" s="1" t="n">
        <v>44409</v>
      </c>
      <c r="B3120" s="2" t="s">
        <v>30</v>
      </c>
      <c r="C3120" s="3" t="n">
        <v>490899</v>
      </c>
      <c r="D3120" s="3" t="s">
        <v>31</v>
      </c>
      <c r="E3120" s="3" t="n">
        <f aca="false">IF(Tabla2[[#This Row],[Frecuencia]]="Annual", Tabla2[[#This Row],[Cosecha/Tarea]]/12,Tabla2[[#This Row],[Cosecha/Tarea]])</f>
        <v>40908.25</v>
      </c>
      <c r="F3120" s="3" t="n">
        <v>2595001</v>
      </c>
      <c r="G3120" s="2" t="s">
        <v>18</v>
      </c>
      <c r="H3120" s="2" t="n">
        <f aca="false">F3120/Tabla2[[#This Row],[Cosecha Mensual]]</f>
        <v>63.4346617124908</v>
      </c>
      <c r="I3120" s="2" t="n">
        <f aca="false">H3120*_xlfn.XLOOKUP(Tabla2[[#This Row],[Unidad de producción]],Tabla3[Medida],Tabla3[Equivalencia en Kg],"ELVIS",0)</f>
        <v>2877.39625527858</v>
      </c>
      <c r="J3120" s="2" t="n">
        <v>204.36328125</v>
      </c>
      <c r="K3120" s="2" t="s">
        <v>32</v>
      </c>
      <c r="L3120" s="2" t="n">
        <f aca="false">J3120/_xlfn.XLOOKUP(Tabla2[[#This Row],[Unidad de precio]],Tabla3[Medida],Tabla3[Equivalencia en Kg],"ELVIS",0)</f>
        <v>7.51059468026461</v>
      </c>
      <c r="M3120" s="3" t="n">
        <v>40592.4361945306</v>
      </c>
      <c r="N3120" s="3" t="n">
        <f aca="false">(Tabla2[[#This Row],[Productividad (kg/TAS)]]*Tabla2[[#This Row],[Precio por kg]]-Tabla2[[#This Row],[Costos (En RD$/Tarea)]])</f>
        <v>-18981.479186622</v>
      </c>
      <c r="O3120" s="9" t="n">
        <f aca="false">IF(Tabla2[[#This Row],[Costos (En RD$/Tarea)]]=0,0,Tabla2[[#This Row],[Beneficio Neto  (En RD$/Tarea)]]/Tabla2[[#This Row],[Costos (En RD$/Tarea)]])</f>
        <v>-0.467611234163362</v>
      </c>
      <c r="P3120" s="7" t="n">
        <f aca="false">Tabla2[[#This Row],[Rentabilidad (%)]]/12</f>
        <v>-0.0389676028469469</v>
      </c>
    </row>
    <row r="3121" customFormat="false" ht="14.25" hidden="false" customHeight="false" outlineLevel="0" collapsed="false">
      <c r="A3121" s="1" t="n">
        <v>44409</v>
      </c>
      <c r="B3121" s="2" t="s">
        <v>33</v>
      </c>
      <c r="C3121" s="3" t="n">
        <v>778541</v>
      </c>
      <c r="D3121" s="3" t="s">
        <v>31</v>
      </c>
      <c r="E3121" s="3" t="n">
        <f aca="false">IF(Tabla2[[#This Row],[Frecuencia]]="Annual", Tabla2[[#This Row],[Cosecha/Tarea]]/12,Tabla2[[#This Row],[Cosecha/Tarea]])</f>
        <v>64878.4166666667</v>
      </c>
      <c r="F3121" s="3" t="n">
        <v>2325726</v>
      </c>
      <c r="G3121" s="2" t="s">
        <v>18</v>
      </c>
      <c r="H3121" s="2" t="n">
        <f aca="false">F3121/Tabla2[[#This Row],[Cosecha Mensual]]</f>
        <v>35.8474531206449</v>
      </c>
      <c r="I3121" s="2" t="n">
        <f aca="false">H3121*_xlfn.XLOOKUP(Tabla2[[#This Row],[Unidad de producción]],Tabla3[Medida],Tabla3[Equivalencia en Kg],"ELVIS",0)</f>
        <v>1626.04047355245</v>
      </c>
      <c r="J3121" s="2" t="n">
        <v>6394.19097222222</v>
      </c>
      <c r="K3121" s="2" t="s">
        <v>34</v>
      </c>
      <c r="L3121" s="2" t="n">
        <f aca="false">J3121/_xlfn.XLOOKUP(Tabla2[[#This Row],[Unidad de precio]],Tabla3[Medida],Tabla3[Equivalencia en Kg],"ELVIS",0)</f>
        <v>15.6662770359481</v>
      </c>
      <c r="M3121" s="3" t="n">
        <v>43963.4440344</v>
      </c>
      <c r="N3121" s="3" t="n">
        <f aca="false">(Tabla2[[#This Row],[Productividad (kg/TAS)]]*Tabla2[[#This Row],[Precio por kg]]-Tabla2[[#This Row],[Costos (En RD$/Tarea)]])</f>
        <v>-18489.443504063</v>
      </c>
      <c r="O3121" s="9" t="n">
        <f aca="false">IF(Tabla2[[#This Row],[Costos (En RD$/Tarea)]]=0,0,Tabla2[[#This Row],[Beneficio Neto  (En RD$/Tarea)]]/Tabla2[[#This Row],[Costos (En RD$/Tarea)]])</f>
        <v>-0.420564037012106</v>
      </c>
      <c r="P3121" s="7" t="n">
        <f aca="false">Tabla2[[#This Row],[Rentabilidad (%)]]/12</f>
        <v>-0.0350470030843421</v>
      </c>
    </row>
    <row r="3122" customFormat="false" ht="14.25" hidden="false" customHeight="false" outlineLevel="0" collapsed="false">
      <c r="A3122" s="1" t="n">
        <v>44440</v>
      </c>
      <c r="B3122" s="2" t="s">
        <v>16</v>
      </c>
      <c r="C3122" s="3" t="n">
        <v>417433</v>
      </c>
      <c r="D3122" s="8" t="s">
        <v>17</v>
      </c>
      <c r="E3122" s="3" t="n">
        <f aca="false">IF(Tabla2[[#This Row],[Frecuencia]]="Annual", Tabla2[[#This Row],[Cosecha/Tarea]]/12,Tabla2[[#This Row],[Cosecha/Tarea]])</f>
        <v>417433</v>
      </c>
      <c r="F3122" s="3" t="n">
        <v>1651300</v>
      </c>
      <c r="G3122" s="2" t="s">
        <v>18</v>
      </c>
      <c r="H3122" s="2" t="n">
        <f aca="false">F3122/Tabla2[[#This Row],[Cosecha Mensual]]</f>
        <v>3.95584441095936</v>
      </c>
      <c r="I3122" s="2" t="n">
        <f aca="false">H3122*_xlfn.XLOOKUP(Tabla2[[#This Row],[Unidad de producción]],Tabla3[Medida],Tabla3[Equivalencia en Kg],"ELVIS",0)</f>
        <v>179.437102481117</v>
      </c>
      <c r="J3122" s="2" t="n">
        <v>2545.44444444445</v>
      </c>
      <c r="K3122" s="2" t="s">
        <v>19</v>
      </c>
      <c r="L3122" s="2" t="n">
        <f aca="false">J3122/_xlfn.XLOOKUP(Tabla2[[#This Row],[Unidad de precio]],Tabla3[Medida],Tabla3[Equivalencia en Kg],"ELVIS",0)</f>
        <v>23.1404040404041</v>
      </c>
      <c r="M3122" s="2" t="n">
        <v>7900.39794477161</v>
      </c>
      <c r="N3122" s="3" t="n">
        <f aca="false">(Tabla2[[#This Row],[Productividad (kg/TAS)]]*Tabla2[[#This Row],[Precio por kg]]-Tabla2[[#This Row],[Costos (En RD$/Tarea)]])</f>
        <v>-3748.15089351917</v>
      </c>
      <c r="O3122" s="9" t="n">
        <f aca="false">IF(Tabla2[[#This Row],[Costos (En RD$/Tarea)]]=0,0,Tabla2[[#This Row],[Beneficio Neto  (En RD$/Tarea)]]/Tabla2[[#This Row],[Costos (En RD$/Tarea)]])</f>
        <v>-0.474425582068262</v>
      </c>
      <c r="P3122" s="7" t="n">
        <f aca="false">Tabla2[[#This Row],[Rentabilidad (%)]]/12</f>
        <v>-0.0395354651723552</v>
      </c>
    </row>
    <row r="3123" customFormat="false" ht="14.25" hidden="false" customHeight="false" outlineLevel="0" collapsed="false">
      <c r="A3123" s="1" t="n">
        <v>44440</v>
      </c>
      <c r="B3123" s="2" t="s">
        <v>20</v>
      </c>
      <c r="C3123" s="3" t="n">
        <v>52457</v>
      </c>
      <c r="D3123" s="8" t="s">
        <v>17</v>
      </c>
      <c r="E3123" s="3" t="n">
        <f aca="false">IF(Tabla2[[#This Row],[Frecuencia]]="Annual", Tabla2[[#This Row],[Cosecha/Tarea]]/12,Tabla2[[#This Row],[Cosecha/Tarea]])</f>
        <v>52457</v>
      </c>
      <c r="F3123" s="3" t="n">
        <v>132457</v>
      </c>
      <c r="G3123" s="2" t="s">
        <v>18</v>
      </c>
      <c r="H3123" s="2" t="n">
        <f aca="false">F3123/Tabla2[[#This Row],[Cosecha Mensual]]</f>
        <v>2.52505861944068</v>
      </c>
      <c r="I3123" s="2" t="n">
        <f aca="false">H3123*_xlfn.XLOOKUP(Tabla2[[#This Row],[Unidad de producción]],Tabla3[Medida],Tabla3[Equivalencia en Kg],"ELVIS",0)</f>
        <v>114.536658977829</v>
      </c>
      <c r="J3123" s="2" t="n">
        <v>1108.05341666667</v>
      </c>
      <c r="K3123" s="2" t="s">
        <v>18</v>
      </c>
      <c r="L3123" s="2" t="n">
        <f aca="false">J3123/_xlfn.XLOOKUP(Tabla2[[#This Row],[Unidad de precio]],Tabla3[Medida],Tabla3[Equivalencia en Kg],"ELVIS",0)</f>
        <v>24.4279853762493</v>
      </c>
      <c r="M3123" s="2" t="n">
        <v>2759.06577122957</v>
      </c>
      <c r="N3123" s="3" t="n">
        <f aca="false">(Tabla2[[#This Row],[Productividad (kg/TAS)]]*Tabla2[[#This Row],[Precio por kg]]-Tabla2[[#This Row],[Costos (En RD$/Tarea)]])</f>
        <v>38.8340593253051</v>
      </c>
      <c r="O3123" s="9" t="n">
        <f aca="false">IF(Tabla2[[#This Row],[Costos (En RD$/Tarea)]]=0,0,Tabla2[[#This Row],[Beneficio Neto  (En RD$/Tarea)]]/Tabla2[[#This Row],[Costos (En RD$/Tarea)]])</f>
        <v>0.0140750756035797</v>
      </c>
      <c r="P3123" s="7" t="n">
        <f aca="false">Tabla2[[#This Row],[Rentabilidad (%)]]/12</f>
        <v>0.00117292296696498</v>
      </c>
    </row>
    <row r="3124" customFormat="false" ht="14.25" hidden="false" customHeight="false" outlineLevel="0" collapsed="false">
      <c r="A3124" s="1" t="n">
        <v>44440</v>
      </c>
      <c r="B3124" s="2" t="s">
        <v>21</v>
      </c>
      <c r="C3124" s="3" t="n">
        <v>7721</v>
      </c>
      <c r="D3124" s="8" t="s">
        <v>17</v>
      </c>
      <c r="E3124" s="3" t="n">
        <f aca="false">IF(Tabla2[[#This Row],[Frecuencia]]="Annual", Tabla2[[#This Row],[Cosecha/Tarea]]/12,Tabla2[[#This Row],[Cosecha/Tarea]])</f>
        <v>7721</v>
      </c>
      <c r="F3124" s="3" t="n">
        <v>79987</v>
      </c>
      <c r="G3124" s="2" t="s">
        <v>18</v>
      </c>
      <c r="H3124" s="2" t="n">
        <f aca="false">F3124/Tabla2[[#This Row],[Cosecha Mensual]]</f>
        <v>10.359668436731</v>
      </c>
      <c r="I3124" s="2" t="n">
        <f aca="false">H3124*_xlfn.XLOOKUP(Tabla2[[#This Row],[Unidad de producción]],Tabla3[Medida],Tabla3[Equivalencia en Kg],"ELVIS",0)</f>
        <v>469.914560290118</v>
      </c>
      <c r="J3124" s="2" t="n">
        <v>701.675</v>
      </c>
      <c r="K3124" s="2" t="s">
        <v>18</v>
      </c>
      <c r="L3124" s="2" t="n">
        <f aca="false">J3124/_xlfn.XLOOKUP(Tabla2[[#This Row],[Unidad de precio]],Tabla3[Medida],Tabla3[Equivalencia en Kg],"ELVIS",0)</f>
        <v>15.4690255731922</v>
      </c>
      <c r="M3124" s="2" t="n">
        <v>6695.95013513731</v>
      </c>
      <c r="N3124" s="3" t="n">
        <f aca="false">(Tabla2[[#This Row],[Productividad (kg/TAS)]]*Tabla2[[#This Row],[Precio por kg]]-Tabla2[[#This Row],[Costos (En RD$/Tarea)]])</f>
        <v>573.17021520591</v>
      </c>
      <c r="O3124" s="9" t="n">
        <f aca="false">IF(Tabla2[[#This Row],[Costos (En RD$/Tarea)]]=0,0,Tabla2[[#This Row],[Beneficio Neto  (En RD$/Tarea)]]/Tabla2[[#This Row],[Costos (En RD$/Tarea)]])</f>
        <v>0.085599534590046</v>
      </c>
      <c r="P3124" s="7" t="n">
        <f aca="false">Tabla2[[#This Row],[Rentabilidad (%)]]/12</f>
        <v>0.0071332945491705</v>
      </c>
    </row>
    <row r="3125" customFormat="false" ht="14.25" hidden="false" customHeight="false" outlineLevel="0" collapsed="false">
      <c r="A3125" s="1" t="n">
        <v>44440</v>
      </c>
      <c r="B3125" s="2" t="s">
        <v>22</v>
      </c>
      <c r="C3125" s="3" t="n">
        <v>4588</v>
      </c>
      <c r="D3125" s="8" t="s">
        <v>17</v>
      </c>
      <c r="E3125" s="3" t="n">
        <f aca="false">IF(Tabla2[[#This Row],[Frecuencia]]="Annual", Tabla2[[#This Row],[Cosecha/Tarea]]/12,Tabla2[[#This Row],[Cosecha/Tarea]])</f>
        <v>4588</v>
      </c>
      <c r="F3125" s="3" t="n">
        <v>40214</v>
      </c>
      <c r="G3125" s="2" t="s">
        <v>18</v>
      </c>
      <c r="H3125" s="2" t="n">
        <f aca="false">F3125/Tabla2[[#This Row],[Cosecha Mensual]]</f>
        <v>8.76503923278117</v>
      </c>
      <c r="I3125" s="2" t="n">
        <f aca="false">H3125*_xlfn.XLOOKUP(Tabla2[[#This Row],[Unidad de producción]],Tabla3[Medida],Tabla3[Equivalencia en Kg],"ELVIS",0)</f>
        <v>397.582179598954</v>
      </c>
      <c r="J3125" s="2" t="n">
        <v>1753.48</v>
      </c>
      <c r="K3125" s="2" t="s">
        <v>18</v>
      </c>
      <c r="L3125" s="2" t="n">
        <f aca="false">J3125/_xlfn.XLOOKUP(Tabla2[[#This Row],[Unidad de precio]],Tabla3[Medida],Tabla3[Equivalencia en Kg],"ELVIS",0)</f>
        <v>38.6569664902998</v>
      </c>
      <c r="M3125" s="2" t="n">
        <v>11609.3184891587</v>
      </c>
      <c r="N3125" s="3" t="n">
        <f aca="false">(Tabla2[[#This Row],[Productividad (kg/TAS)]]*Tabla2[[#This Row],[Precio por kg]]-Tabla2[[#This Row],[Costos (En RD$/Tarea)]])</f>
        <v>3760.00250473842</v>
      </c>
      <c r="O3125" s="9" t="n">
        <f aca="false">IF(Tabla2[[#This Row],[Costos (En RD$/Tarea)]]=0,0,Tabla2[[#This Row],[Beneficio Neto  (En RD$/Tarea)]]/Tabla2[[#This Row],[Costos (En RD$/Tarea)]])</f>
        <v>0.323877969947132</v>
      </c>
      <c r="P3125" s="7" t="n">
        <f aca="false">Tabla2[[#This Row],[Rentabilidad (%)]]/12</f>
        <v>0.0269898308289276</v>
      </c>
    </row>
    <row r="3126" customFormat="false" ht="14.25" hidden="false" customHeight="false" outlineLevel="0" collapsed="false">
      <c r="A3126" s="1" t="n">
        <v>44440</v>
      </c>
      <c r="B3126" s="2" t="s">
        <v>23</v>
      </c>
      <c r="C3126" s="3" t="n">
        <v>4710</v>
      </c>
      <c r="D3126" s="8" t="s">
        <v>17</v>
      </c>
      <c r="E3126" s="3" t="n">
        <f aca="false">IF(Tabla2[[#This Row],[Frecuencia]]="Annual", Tabla2[[#This Row],[Cosecha/Tarea]]/12,Tabla2[[#This Row],[Cosecha/Tarea]])</f>
        <v>4710</v>
      </c>
      <c r="F3126" s="3" t="n">
        <v>193554</v>
      </c>
      <c r="G3126" s="2" t="s">
        <v>18</v>
      </c>
      <c r="H3126" s="2" t="n">
        <f aca="false">F3126/Tabla2[[#This Row],[Cosecha Mensual]]</f>
        <v>41.0942675159236</v>
      </c>
      <c r="I3126" s="2" t="n">
        <f aca="false">H3126*_xlfn.XLOOKUP(Tabla2[[#This Row],[Unidad de producción]],Tabla3[Medida],Tabla3[Equivalencia en Kg],"ELVIS",0)</f>
        <v>1864.03597452229</v>
      </c>
      <c r="J3126" s="2" t="n">
        <v>938</v>
      </c>
      <c r="K3126" s="2" t="s">
        <v>18</v>
      </c>
      <c r="L3126" s="2" t="n">
        <f aca="false">J3126/_xlfn.XLOOKUP(Tabla2[[#This Row],[Unidad de precio]],Tabla3[Medida],Tabla3[Equivalencia en Kg],"ELVIS",0)</f>
        <v>20.679012345679</v>
      </c>
      <c r="M3126" s="2" t="n">
        <v>31774.6512666667</v>
      </c>
      <c r="N3126" s="3" t="n">
        <f aca="false">(Tabla2[[#This Row],[Productividad (kg/TAS)]]*Tabla2[[#This Row],[Precio por kg]]-Tabla2[[#This Row],[Costos (En RD$/Tarea)]])</f>
        <v>6771.77166326961</v>
      </c>
      <c r="O3126" s="9" t="n">
        <f aca="false">IF(Tabla2[[#This Row],[Costos (En RD$/Tarea)]]=0,0,Tabla2[[#This Row],[Beneficio Neto  (En RD$/Tarea)]]/Tabla2[[#This Row],[Costos (En RD$/Tarea)]])</f>
        <v>0.213118677729551</v>
      </c>
      <c r="P3126" s="7" t="n">
        <f aca="false">Tabla2[[#This Row],[Rentabilidad (%)]]/12</f>
        <v>0.0177598898107959</v>
      </c>
    </row>
    <row r="3127" customFormat="false" ht="14.25" hidden="false" customHeight="false" outlineLevel="0" collapsed="false">
      <c r="A3127" s="1" t="n">
        <v>44440</v>
      </c>
      <c r="B3127" s="2" t="s">
        <v>24</v>
      </c>
      <c r="C3127" s="3" t="n">
        <v>4689</v>
      </c>
      <c r="D3127" s="8" t="s">
        <v>17</v>
      </c>
      <c r="E3127" s="3" t="n">
        <f aca="false">IF(Tabla2[[#This Row],[Frecuencia]]="Annual", Tabla2[[#This Row],[Cosecha/Tarea]]/12,Tabla2[[#This Row],[Cosecha/Tarea]])</f>
        <v>4689</v>
      </c>
      <c r="F3127" s="3" t="n">
        <v>45844</v>
      </c>
      <c r="G3127" s="2" t="s">
        <v>18</v>
      </c>
      <c r="H3127" s="2" t="n">
        <f aca="false">F3127/Tabla2[[#This Row],[Cosecha Mensual]]</f>
        <v>9.77692471742376</v>
      </c>
      <c r="I3127" s="2" t="n">
        <f aca="false">H3127*_xlfn.XLOOKUP(Tabla2[[#This Row],[Unidad de producción]],Tabla3[Medida],Tabla3[Equivalencia en Kg],"ELVIS",0)</f>
        <v>443.481305182342</v>
      </c>
      <c r="J3127" s="2" t="n">
        <v>2292.50476190476</v>
      </c>
      <c r="K3127" s="2" t="s">
        <v>18</v>
      </c>
      <c r="L3127" s="2" t="n">
        <f aca="false">J3127/_xlfn.XLOOKUP(Tabla2[[#This Row],[Unidad de precio]],Tabla3[Medida],Tabla3[Equivalencia en Kg],"ELVIS",0)</f>
        <v>50.5402284370538</v>
      </c>
      <c r="M3127" s="2" t="n">
        <v>9606.85680953384</v>
      </c>
      <c r="N3127" s="3" t="n">
        <f aca="false">(Tabla2[[#This Row],[Productividad (kg/TAS)]]*Tabla2[[#This Row],[Precio por kg]]-Tabla2[[#This Row],[Costos (En RD$/Tarea)]])</f>
        <v>12806.7896619445</v>
      </c>
      <c r="O3127" s="9" t="n">
        <f aca="false">IF(Tabla2[[#This Row],[Costos (En RD$/Tarea)]]=0,0,Tabla2[[#This Row],[Beneficio Neto  (En RD$/Tarea)]]/Tabla2[[#This Row],[Costos (En RD$/Tarea)]])</f>
        <v>1.33308843005082</v>
      </c>
      <c r="P3127" s="7" t="n">
        <f aca="false">Tabla2[[#This Row],[Rentabilidad (%)]]/12</f>
        <v>0.111090702504235</v>
      </c>
    </row>
    <row r="3128" customFormat="false" ht="14.25" hidden="false" customHeight="false" outlineLevel="0" collapsed="false">
      <c r="A3128" s="1" t="n">
        <v>44440</v>
      </c>
      <c r="B3128" s="2" t="s">
        <v>25</v>
      </c>
      <c r="C3128" s="3" t="n">
        <v>28654</v>
      </c>
      <c r="D3128" s="8" t="s">
        <v>17</v>
      </c>
      <c r="E3128" s="3" t="n">
        <f aca="false">IF(Tabla2[[#This Row],[Frecuencia]]="Annual", Tabla2[[#This Row],[Cosecha/Tarea]]/12,Tabla2[[#This Row],[Cosecha/Tarea]])</f>
        <v>28654</v>
      </c>
      <c r="F3128" s="3" t="n">
        <v>345214</v>
      </c>
      <c r="G3128" s="2" t="s">
        <v>18</v>
      </c>
      <c r="H3128" s="2" t="n">
        <f aca="false">F3128/Tabla2[[#This Row],[Cosecha Mensual]]</f>
        <v>12.0476722272632</v>
      </c>
      <c r="I3128" s="2" t="n">
        <f aca="false">H3128*_xlfn.XLOOKUP(Tabla2[[#This Row],[Unidad de producción]],Tabla3[Medida],Tabla3[Equivalencia en Kg],"ELVIS",0)</f>
        <v>546.482412228659</v>
      </c>
      <c r="J3128" s="2" t="n">
        <v>758.614583333333</v>
      </c>
      <c r="K3128" s="2" t="s">
        <v>18</v>
      </c>
      <c r="L3128" s="2" t="n">
        <f aca="false">J3128/_xlfn.XLOOKUP(Tabla2[[#This Row],[Unidad de precio]],Tabla3[Medida],Tabla3[Equivalencia en Kg],"ELVIS",0)</f>
        <v>16.7243073927102</v>
      </c>
      <c r="M3128" s="2" t="n">
        <v>5403.38741449239</v>
      </c>
      <c r="N3128" s="3" t="n">
        <f aca="false">(Tabla2[[#This Row],[Productividad (kg/TAS)]]*Tabla2[[#This Row],[Precio por kg]]-Tabla2[[#This Row],[Costos (En RD$/Tarea)]])</f>
        <v>3736.15243232946</v>
      </c>
      <c r="O3128" s="9" t="n">
        <f aca="false">IF(Tabla2[[#This Row],[Costos (En RD$/Tarea)]]=0,0,Tabla2[[#This Row],[Beneficio Neto  (En RD$/Tarea)]]/Tabla2[[#This Row],[Costos (En RD$/Tarea)]])</f>
        <v>0.691446336479363</v>
      </c>
      <c r="P3128" s="7" t="n">
        <f aca="false">Tabla2[[#This Row],[Rentabilidad (%)]]/12</f>
        <v>0.0576205280399469</v>
      </c>
    </row>
    <row r="3129" customFormat="false" ht="14.25" hidden="false" customHeight="false" outlineLevel="0" collapsed="false">
      <c r="A3129" s="1" t="n">
        <v>44440</v>
      </c>
      <c r="B3129" s="2" t="s">
        <v>26</v>
      </c>
      <c r="C3129" s="3" t="n">
        <v>10285</v>
      </c>
      <c r="D3129" s="8" t="s">
        <v>17</v>
      </c>
      <c r="E3129" s="3" t="n">
        <f aca="false">IF(Tabla2[[#This Row],[Frecuencia]]="Annual", Tabla2[[#This Row],[Cosecha/Tarea]]/12,Tabla2[[#This Row],[Cosecha/Tarea]])</f>
        <v>10285</v>
      </c>
      <c r="F3129" s="3" t="n">
        <v>64214</v>
      </c>
      <c r="G3129" s="2" t="s">
        <v>18</v>
      </c>
      <c r="H3129" s="2" t="n">
        <f aca="false">F3129/Tabla2[[#This Row],[Cosecha Mensual]]</f>
        <v>6.24346135148274</v>
      </c>
      <c r="I3129" s="2" t="n">
        <f aca="false">H3129*_xlfn.XLOOKUP(Tabla2[[#This Row],[Unidad de producción]],Tabla3[Medida],Tabla3[Equivalencia en Kg],"ELVIS",0)</f>
        <v>283.203406903257</v>
      </c>
      <c r="J3129" s="2" t="n">
        <v>1270.19583333333</v>
      </c>
      <c r="K3129" s="2" t="s">
        <v>18</v>
      </c>
      <c r="L3129" s="2" t="n">
        <f aca="false">J3129/_xlfn.XLOOKUP(Tabla2[[#This Row],[Unidad de precio]],Tabla3[Medida],Tabla3[Equivalencia en Kg],"ELVIS",0)</f>
        <v>28.0025536449147</v>
      </c>
      <c r="M3129" s="2" t="n">
        <v>1910.99135924874</v>
      </c>
      <c r="N3129" s="3" t="n">
        <f aca="false">(Tabla2[[#This Row],[Productividad (kg/TAS)]]*Tabla2[[#This Row],[Precio por kg]]-Tabla2[[#This Row],[Costos (En RD$/Tarea)]])</f>
        <v>6019.42723498232</v>
      </c>
      <c r="O3129" s="9" t="n">
        <f aca="false">IF(Tabla2[[#This Row],[Costos (En RD$/Tarea)]]=0,0,Tabla2[[#This Row],[Beneficio Neto  (En RD$/Tarea)]]/Tabla2[[#This Row],[Costos (En RD$/Tarea)]])</f>
        <v>3.14989767266594</v>
      </c>
      <c r="P3129" s="7" t="n">
        <f aca="false">Tabla2[[#This Row],[Rentabilidad (%)]]/12</f>
        <v>0.262491472722161</v>
      </c>
    </row>
    <row r="3130" customFormat="false" ht="14.25" hidden="false" customHeight="false" outlineLevel="0" collapsed="false">
      <c r="A3130" s="1" t="n">
        <v>44440</v>
      </c>
      <c r="B3130" s="2" t="s">
        <v>27</v>
      </c>
      <c r="C3130" s="3" t="n">
        <v>4886</v>
      </c>
      <c r="D3130" s="8" t="s">
        <v>17</v>
      </c>
      <c r="E3130" s="3" t="n">
        <f aca="false">IF(Tabla2[[#This Row],[Frecuencia]]="Annual", Tabla2[[#This Row],[Cosecha/Tarea]]/12,Tabla2[[#This Row],[Cosecha/Tarea]])</f>
        <v>4886</v>
      </c>
      <c r="F3130" s="3" t="n">
        <v>44577</v>
      </c>
      <c r="G3130" s="2" t="s">
        <v>18</v>
      </c>
      <c r="H3130" s="2" t="n">
        <f aca="false">F3130/Tabla2[[#This Row],[Cosecha Mensual]]</f>
        <v>9.12341383544822</v>
      </c>
      <c r="I3130" s="2" t="n">
        <f aca="false">H3130*_xlfn.XLOOKUP(Tabla2[[#This Row],[Unidad de producción]],Tabla3[Medida],Tabla3[Equivalencia en Kg],"ELVIS",0)</f>
        <v>413.838051575931</v>
      </c>
      <c r="J3130" s="2" t="n">
        <v>1081.03958333333</v>
      </c>
      <c r="K3130" s="2" t="s">
        <v>18</v>
      </c>
      <c r="L3130" s="2" t="n">
        <f aca="false">J3130/_xlfn.XLOOKUP(Tabla2[[#This Row],[Unidad de precio]],Tabla3[Medida],Tabla3[Equivalencia en Kg],"ELVIS",0)</f>
        <v>23.832442313345</v>
      </c>
      <c r="M3130" s="2" t="n">
        <v>10561.2569707933</v>
      </c>
      <c r="N3130" s="3" t="n">
        <f aca="false">(Tabla2[[#This Row],[Productividad (kg/TAS)]]*Tabla2[[#This Row],[Precio por kg]]-Tabla2[[#This Row],[Costos (En RD$/Tarea)]])</f>
        <v>-698.485479542816</v>
      </c>
      <c r="O3130" s="9" t="n">
        <f aca="false">IF(Tabla2[[#This Row],[Costos (En RD$/Tarea)]]=0,0,Tabla2[[#This Row],[Beneficio Neto  (En RD$/Tarea)]]/Tabla2[[#This Row],[Costos (En RD$/Tarea)]])</f>
        <v>-0.066136585964573</v>
      </c>
      <c r="P3130" s="7" t="n">
        <f aca="false">Tabla2[[#This Row],[Rentabilidad (%)]]/12</f>
        <v>-0.00551138216371441</v>
      </c>
    </row>
    <row r="3131" customFormat="false" ht="14.25" hidden="false" customHeight="false" outlineLevel="0" collapsed="false">
      <c r="A3131" s="1" t="n">
        <v>44440</v>
      </c>
      <c r="B3131" s="2" t="s">
        <v>28</v>
      </c>
      <c r="C3131" s="3" t="n">
        <v>75844</v>
      </c>
      <c r="D3131" s="8" t="s">
        <v>17</v>
      </c>
      <c r="E3131" s="3" t="n">
        <f aca="false">IF(Tabla2[[#This Row],[Frecuencia]]="Annual", Tabla2[[#This Row],[Cosecha/Tarea]]/12,Tabla2[[#This Row],[Cosecha/Tarea]])</f>
        <v>75844</v>
      </c>
      <c r="F3131" s="3" t="n">
        <v>1799538</v>
      </c>
      <c r="G3131" s="2" t="s">
        <v>18</v>
      </c>
      <c r="H3131" s="2" t="n">
        <f aca="false">F3131/Tabla2[[#This Row],[Cosecha Mensual]]</f>
        <v>23.7268340277412</v>
      </c>
      <c r="I3131" s="2" t="n">
        <f aca="false">H3131*_xlfn.XLOOKUP(Tabla2[[#This Row],[Unidad de producción]],Tabla3[Medida],Tabla3[Equivalencia en Kg],"ELVIS",0)</f>
        <v>1076.24919149834</v>
      </c>
      <c r="J3131" s="2" t="n">
        <v>6006.05555555556</v>
      </c>
      <c r="K3131" s="2" t="s">
        <v>29</v>
      </c>
      <c r="L3131" s="2" t="n">
        <f aca="false">J3131/_xlfn.XLOOKUP(Tabla2[[#This Row],[Unidad de precio]],Tabla3[Medida],Tabla3[Equivalencia en Kg],"ELVIS",0)</f>
        <v>10.6804700991492</v>
      </c>
      <c r="M3131" s="2" t="n">
        <v>20320.344</v>
      </c>
      <c r="N3131" s="3" t="n">
        <f aca="false">(Tabla2[[#This Row],[Productividad (kg/TAS)]]*Tabla2[[#This Row],[Precio por kg]]-Tabla2[[#This Row],[Costos (En RD$/Tarea)]])</f>
        <v>-8825.4966909685</v>
      </c>
      <c r="O3131" s="9" t="n">
        <f aca="false">IF(Tabla2[[#This Row],[Costos (En RD$/Tarea)]]=0,0,Tabla2[[#This Row],[Beneficio Neto  (En RD$/Tarea)]]/Tabla2[[#This Row],[Costos (En RD$/Tarea)]])</f>
        <v>-0.434318271923374</v>
      </c>
      <c r="P3131" s="7" t="n">
        <f aca="false">Tabla2[[#This Row],[Rentabilidad (%)]]/12</f>
        <v>-0.0361931893269478</v>
      </c>
    </row>
    <row r="3132" customFormat="false" ht="14.25" hidden="false" customHeight="false" outlineLevel="0" collapsed="false">
      <c r="A3132" s="1" t="n">
        <v>44440</v>
      </c>
      <c r="B3132" s="2" t="s">
        <v>30</v>
      </c>
      <c r="C3132" s="3" t="n">
        <v>434587</v>
      </c>
      <c r="D3132" s="3" t="s">
        <v>31</v>
      </c>
      <c r="E3132" s="3" t="n">
        <f aca="false">IF(Tabla2[[#This Row],[Frecuencia]]="Annual", Tabla2[[#This Row],[Cosecha/Tarea]]/12,Tabla2[[#This Row],[Cosecha/Tarea]])</f>
        <v>36215.5833333333</v>
      </c>
      <c r="F3132" s="3" t="n">
        <v>2189879</v>
      </c>
      <c r="G3132" s="2" t="s">
        <v>18</v>
      </c>
      <c r="H3132" s="2" t="n">
        <f aca="false">F3132/Tabla2[[#This Row],[Cosecha Mensual]]</f>
        <v>60.4678648924151</v>
      </c>
      <c r="I3132" s="2" t="n">
        <f aca="false">H3132*_xlfn.XLOOKUP(Tabla2[[#This Row],[Unidad de producción]],Tabla3[Medida],Tabla3[Equivalencia en Kg],"ELVIS",0)</f>
        <v>2742.82235151995</v>
      </c>
      <c r="J3132" s="2" t="n">
        <v>220.020833333333</v>
      </c>
      <c r="K3132" s="2" t="s">
        <v>32</v>
      </c>
      <c r="L3132" s="2" t="n">
        <f aca="false">J3132/_xlfn.XLOOKUP(Tabla2[[#This Row],[Unidad de precio]],Tabla3[Medida],Tabla3[Equivalencia en Kg],"ELVIS",0)</f>
        <v>8.08602842092367</v>
      </c>
      <c r="M3132" s="3" t="n">
        <v>40592.4361945306</v>
      </c>
      <c r="N3132" s="3" t="n">
        <f aca="false">(Tabla2[[#This Row],[Productividad (kg/TAS)]]*Tabla2[[#This Row],[Precio por kg]]-Tabla2[[#This Row],[Costos (En RD$/Tarea)]])</f>
        <v>-18413.8967065956</v>
      </c>
      <c r="O3132" s="9" t="n">
        <f aca="false">IF(Tabla2[[#This Row],[Costos (En RD$/Tarea)]]=0,0,Tabla2[[#This Row],[Beneficio Neto  (En RD$/Tarea)]]/Tabla2[[#This Row],[Costos (En RD$/Tarea)]])</f>
        <v>-0.453628765180561</v>
      </c>
      <c r="P3132" s="7" t="n">
        <f aca="false">Tabla2[[#This Row],[Rentabilidad (%)]]/12</f>
        <v>-0.03780239709838</v>
      </c>
    </row>
    <row r="3133" customFormat="false" ht="14.25" hidden="false" customHeight="false" outlineLevel="0" collapsed="false">
      <c r="A3133" s="1" t="n">
        <v>44440</v>
      </c>
      <c r="B3133" s="2" t="s">
        <v>33</v>
      </c>
      <c r="C3133" s="3" t="n">
        <v>765421</v>
      </c>
      <c r="D3133" s="3" t="s">
        <v>31</v>
      </c>
      <c r="E3133" s="3" t="n">
        <f aca="false">IF(Tabla2[[#This Row],[Frecuencia]]="Annual", Tabla2[[#This Row],[Cosecha/Tarea]]/12,Tabla2[[#This Row],[Cosecha/Tarea]])</f>
        <v>63785.0833333333</v>
      </c>
      <c r="F3133" s="3" t="n">
        <v>1892205</v>
      </c>
      <c r="G3133" s="2" t="s">
        <v>18</v>
      </c>
      <c r="H3133" s="2" t="n">
        <f aca="false">F3133/Tabla2[[#This Row],[Cosecha Mensual]]</f>
        <v>29.6653214374834</v>
      </c>
      <c r="I3133" s="2" t="n">
        <f aca="false">H3133*_xlfn.XLOOKUP(Tabla2[[#This Row],[Unidad de producción]],Tabla3[Medida],Tabla3[Equivalencia en Kg],"ELVIS",0)</f>
        <v>1345.61898040425</v>
      </c>
      <c r="J3133" s="2" t="n">
        <v>6003.99583333333</v>
      </c>
      <c r="K3133" s="2" t="s">
        <v>34</v>
      </c>
      <c r="L3133" s="2" t="n">
        <f aca="false">J3133/_xlfn.XLOOKUP(Tabla2[[#This Row],[Unidad de precio]],Tabla3[Medida],Tabla3[Equivalencia en Kg],"ELVIS",0)</f>
        <v>14.7102678753726</v>
      </c>
      <c r="M3133" s="3" t="n">
        <v>43963.4440344</v>
      </c>
      <c r="N3133" s="3" t="n">
        <f aca="false">(Tabla2[[#This Row],[Productividad (kg/TAS)]]*Tabla2[[#This Row],[Precio por kg]]-Tabla2[[#This Row],[Costos (En RD$/Tarea)]])</f>
        <v>-24169.0283744678</v>
      </c>
      <c r="O3133" s="9" t="n">
        <f aca="false">IF(Tabla2[[#This Row],[Costos (En RD$/Tarea)]]=0,0,Tabla2[[#This Row],[Beneficio Neto  (En RD$/Tarea)]]/Tabla2[[#This Row],[Costos (En RD$/Tarea)]])</f>
        <v>-0.549752843647924</v>
      </c>
      <c r="P3133" s="7" t="n">
        <f aca="false">Tabla2[[#This Row],[Rentabilidad (%)]]/12</f>
        <v>-0.0458127369706603</v>
      </c>
    </row>
    <row r="3134" customFormat="false" ht="14.25" hidden="false" customHeight="false" outlineLevel="0" collapsed="false">
      <c r="A3134" s="1" t="n">
        <v>44470</v>
      </c>
      <c r="B3134" s="2" t="s">
        <v>16</v>
      </c>
      <c r="C3134" s="3" t="n">
        <v>329926</v>
      </c>
      <c r="D3134" s="8" t="s">
        <v>17</v>
      </c>
      <c r="E3134" s="3" t="n">
        <f aca="false">IF(Tabla2[[#This Row],[Frecuencia]]="Annual", Tabla2[[#This Row],[Cosecha/Tarea]]/12,Tabla2[[#This Row],[Cosecha/Tarea]])</f>
        <v>329926</v>
      </c>
      <c r="F3134" s="3" t="n">
        <v>1407096</v>
      </c>
      <c r="G3134" s="2" t="s">
        <v>18</v>
      </c>
      <c r="H3134" s="2" t="n">
        <f aca="false">F3134/Tabla2[[#This Row],[Cosecha Mensual]]</f>
        <v>4.26488364057395</v>
      </c>
      <c r="I3134" s="2" t="n">
        <f aca="false">H3134*_xlfn.XLOOKUP(Tabla2[[#This Row],[Unidad de producción]],Tabla3[Medida],Tabla3[Equivalencia en Kg],"ELVIS",0)</f>
        <v>193.455121936434</v>
      </c>
      <c r="J3134" s="2" t="n">
        <v>2568.74839894704</v>
      </c>
      <c r="K3134" s="2" t="s">
        <v>19</v>
      </c>
      <c r="L3134" s="2" t="n">
        <f aca="false">J3134/_xlfn.XLOOKUP(Tabla2[[#This Row],[Unidad de precio]],Tabla3[Medida],Tabla3[Equivalencia en Kg],"ELVIS",0)</f>
        <v>23.3522581722458</v>
      </c>
      <c r="M3134" s="2" t="n">
        <v>7900.39794477161</v>
      </c>
      <c r="N3134" s="3" t="n">
        <f aca="false">(Tabla2[[#This Row],[Productividad (kg/TAS)]]*Tabla2[[#This Row],[Precio por kg]]-Tabla2[[#This Row],[Costos (En RD$/Tarea)]])</f>
        <v>-3382.7839925687</v>
      </c>
      <c r="O3134" s="9" t="n">
        <f aca="false">IF(Tabla2[[#This Row],[Costos (En RD$/Tarea)]]=0,0,Tabla2[[#This Row],[Beneficio Neto  (En RD$/Tarea)]]/Tabla2[[#This Row],[Costos (En RD$/Tarea)]])</f>
        <v>-0.428178936835377</v>
      </c>
      <c r="P3134" s="7" t="n">
        <f aca="false">Tabla2[[#This Row],[Rentabilidad (%)]]/12</f>
        <v>-0.0356815780696147</v>
      </c>
    </row>
    <row r="3135" customFormat="false" ht="14.25" hidden="false" customHeight="false" outlineLevel="0" collapsed="false">
      <c r="A3135" s="1" t="n">
        <v>44470</v>
      </c>
      <c r="B3135" s="2" t="s">
        <v>20</v>
      </c>
      <c r="C3135" s="3" t="n">
        <v>61610</v>
      </c>
      <c r="D3135" s="8" t="s">
        <v>17</v>
      </c>
      <c r="E3135" s="3" t="n">
        <f aca="false">IF(Tabla2[[#This Row],[Frecuencia]]="Annual", Tabla2[[#This Row],[Cosecha/Tarea]]/12,Tabla2[[#This Row],[Cosecha/Tarea]])</f>
        <v>61610</v>
      </c>
      <c r="F3135" s="3" t="n">
        <v>162345</v>
      </c>
      <c r="G3135" s="2" t="s">
        <v>18</v>
      </c>
      <c r="H3135" s="2" t="n">
        <f aca="false">F3135/Tabla2[[#This Row],[Cosecha Mensual]]</f>
        <v>2.63504301249797</v>
      </c>
      <c r="I3135" s="2" t="n">
        <f aca="false">H3135*_xlfn.XLOOKUP(Tabla2[[#This Row],[Unidad de producción]],Tabla3[Medida],Tabla3[Equivalencia en Kg],"ELVIS",0)</f>
        <v>119.525551046908</v>
      </c>
      <c r="J3135" s="2" t="n">
        <v>1015.36536458333</v>
      </c>
      <c r="K3135" s="2" t="s">
        <v>18</v>
      </c>
      <c r="L3135" s="2" t="n">
        <f aca="false">J3135/_xlfn.XLOOKUP(Tabla2[[#This Row],[Unidad de precio]],Tabla3[Medida],Tabla3[Equivalencia en Kg],"ELVIS",0)</f>
        <v>22.3845979846413</v>
      </c>
      <c r="M3135" s="2" t="n">
        <v>2759.06577122957</v>
      </c>
      <c r="N3135" s="3" t="n">
        <f aca="false">(Tabla2[[#This Row],[Productividad (kg/TAS)]]*Tabla2[[#This Row],[Precio por kg]]-Tabla2[[#This Row],[Costos (En RD$/Tarea)]])</f>
        <v>-83.5343621518118</v>
      </c>
      <c r="O3135" s="9" t="n">
        <f aca="false">IF(Tabla2[[#This Row],[Costos (En RD$/Tarea)]]=0,0,Tabla2[[#This Row],[Beneficio Neto  (En RD$/Tarea)]]/Tabla2[[#This Row],[Costos (En RD$/Tarea)]])</f>
        <v>-0.0302763214356376</v>
      </c>
      <c r="P3135" s="7" t="n">
        <f aca="false">Tabla2[[#This Row],[Rentabilidad (%)]]/12</f>
        <v>-0.00252302678630313</v>
      </c>
    </row>
    <row r="3136" customFormat="false" ht="14.25" hidden="false" customHeight="false" outlineLevel="0" collapsed="false">
      <c r="A3136" s="1" t="n">
        <v>44470</v>
      </c>
      <c r="B3136" s="2" t="s">
        <v>21</v>
      </c>
      <c r="C3136" s="3" t="n">
        <v>8010</v>
      </c>
      <c r="D3136" s="8" t="s">
        <v>17</v>
      </c>
      <c r="E3136" s="3" t="n">
        <f aca="false">IF(Tabla2[[#This Row],[Frecuencia]]="Annual", Tabla2[[#This Row],[Cosecha/Tarea]]/12,Tabla2[[#This Row],[Cosecha/Tarea]])</f>
        <v>8010</v>
      </c>
      <c r="F3136" s="3" t="n">
        <v>103107</v>
      </c>
      <c r="G3136" s="2" t="s">
        <v>18</v>
      </c>
      <c r="H3136" s="2" t="n">
        <f aca="false">F3136/Tabla2[[#This Row],[Cosecha Mensual]]</f>
        <v>12.8722846441948</v>
      </c>
      <c r="I3136" s="2" t="n">
        <f aca="false">H3136*_xlfn.XLOOKUP(Tabla2[[#This Row],[Unidad de producción]],Tabla3[Medida],Tabla3[Equivalencia en Kg],"ELVIS",0)</f>
        <v>583.886831460674</v>
      </c>
      <c r="J3136" s="2" t="n">
        <v>736.46484375</v>
      </c>
      <c r="K3136" s="2" t="s">
        <v>18</v>
      </c>
      <c r="L3136" s="2" t="n">
        <f aca="false">J3136/_xlfn.XLOOKUP(Tabla2[[#This Row],[Unidad de precio]],Tabla3[Medida],Tabla3[Equivalencia en Kg],"ELVIS",0)</f>
        <v>16.2359974371693</v>
      </c>
      <c r="M3136" s="2" t="n">
        <v>6695.95013513731</v>
      </c>
      <c r="N3136" s="3" t="n">
        <f aca="false">(Tabla2[[#This Row],[Productividad (kg/TAS)]]*Tabla2[[#This Row],[Precio por kg]]-Tabla2[[#This Row],[Costos (En RD$/Tarea)]])</f>
        <v>2784.03496405511</v>
      </c>
      <c r="O3136" s="9" t="n">
        <f aca="false">IF(Tabla2[[#This Row],[Costos (En RD$/Tarea)]]=0,0,Tabla2[[#This Row],[Beneficio Neto  (En RD$/Tarea)]]/Tabla2[[#This Row],[Costos (En RD$/Tarea)]])</f>
        <v>0.415778927242267</v>
      </c>
      <c r="P3136" s="7" t="n">
        <f aca="false">Tabla2[[#This Row],[Rentabilidad (%)]]/12</f>
        <v>0.0346482439368556</v>
      </c>
    </row>
    <row r="3137" customFormat="false" ht="14.25" hidden="false" customHeight="false" outlineLevel="0" collapsed="false">
      <c r="A3137" s="1" t="n">
        <v>44470</v>
      </c>
      <c r="B3137" s="2" t="s">
        <v>22</v>
      </c>
      <c r="C3137" s="3" t="n">
        <v>3843</v>
      </c>
      <c r="D3137" s="8" t="s">
        <v>17</v>
      </c>
      <c r="E3137" s="3" t="n">
        <f aca="false">IF(Tabla2[[#This Row],[Frecuencia]]="Annual", Tabla2[[#This Row],[Cosecha/Tarea]]/12,Tabla2[[#This Row],[Cosecha/Tarea]])</f>
        <v>3843</v>
      </c>
      <c r="F3137" s="3" t="n">
        <v>55813</v>
      </c>
      <c r="G3137" s="2" t="s">
        <v>18</v>
      </c>
      <c r="H3137" s="2" t="n">
        <f aca="false">F3137/Tabla2[[#This Row],[Cosecha Mensual]]</f>
        <v>14.5232890970596</v>
      </c>
      <c r="I3137" s="2" t="n">
        <f aca="false">H3137*_xlfn.XLOOKUP(Tabla2[[#This Row],[Unidad de producción]],Tabla3[Medida],Tabla3[Equivalencia en Kg],"ELVIS",0)</f>
        <v>658.776393442623</v>
      </c>
      <c r="J3137" s="2" t="n">
        <v>1850.825</v>
      </c>
      <c r="K3137" s="2" t="s">
        <v>18</v>
      </c>
      <c r="L3137" s="2" t="n">
        <f aca="false">J3137/_xlfn.XLOOKUP(Tabla2[[#This Row],[Unidad de precio]],Tabla3[Medida],Tabla3[Equivalencia en Kg],"ELVIS",0)</f>
        <v>40.803020282187</v>
      </c>
      <c r="M3137" s="2" t="n">
        <v>11609.3184891587</v>
      </c>
      <c r="N3137" s="3" t="n">
        <f aca="false">(Tabla2[[#This Row],[Productividad (kg/TAS)]]*Tabla2[[#This Row],[Precio por kg]]-Tabla2[[#This Row],[Costos (En RD$/Tarea)]])</f>
        <v>15270.7480539066</v>
      </c>
      <c r="O3137" s="9" t="n">
        <f aca="false">IF(Tabla2[[#This Row],[Costos (En RD$/Tarea)]]=0,0,Tabla2[[#This Row],[Beneficio Neto  (En RD$/Tarea)]]/Tabla2[[#This Row],[Costos (En RD$/Tarea)]])</f>
        <v>1.31538712355657</v>
      </c>
      <c r="P3137" s="7" t="n">
        <f aca="false">Tabla2[[#This Row],[Rentabilidad (%)]]/12</f>
        <v>0.109615593629714</v>
      </c>
    </row>
    <row r="3138" customFormat="false" ht="14.25" hidden="false" customHeight="false" outlineLevel="0" collapsed="false">
      <c r="A3138" s="1" t="n">
        <v>44470</v>
      </c>
      <c r="B3138" s="2" t="s">
        <v>23</v>
      </c>
      <c r="C3138" s="3" t="n">
        <v>4000</v>
      </c>
      <c r="D3138" s="8" t="s">
        <v>17</v>
      </c>
      <c r="E3138" s="3" t="n">
        <f aca="false">IF(Tabla2[[#This Row],[Frecuencia]]="Annual", Tabla2[[#This Row],[Cosecha/Tarea]]/12,Tabla2[[#This Row],[Cosecha/Tarea]])</f>
        <v>4000</v>
      </c>
      <c r="F3138" s="3" t="n">
        <v>147110</v>
      </c>
      <c r="G3138" s="2" t="s">
        <v>18</v>
      </c>
      <c r="H3138" s="2" t="n">
        <f aca="false">F3138/Tabla2[[#This Row],[Cosecha Mensual]]</f>
        <v>36.7775</v>
      </c>
      <c r="I3138" s="2" t="n">
        <f aca="false">H3138*_xlfn.XLOOKUP(Tabla2[[#This Row],[Unidad de producción]],Tabla3[Medida],Tabla3[Equivalencia en Kg],"ELVIS",0)</f>
        <v>1668.2274</v>
      </c>
      <c r="J3138" s="2" t="n">
        <v>914.666666666667</v>
      </c>
      <c r="K3138" s="2" t="s">
        <v>18</v>
      </c>
      <c r="L3138" s="2" t="n">
        <f aca="false">J3138/_xlfn.XLOOKUP(Tabla2[[#This Row],[Unidad de precio]],Tabla3[Medida],Tabla3[Equivalencia en Kg],"ELVIS",0)</f>
        <v>20.1646090534979</v>
      </c>
      <c r="M3138" s="2" t="n">
        <v>31774.6512666667</v>
      </c>
      <c r="N3138" s="3" t="n">
        <f aca="false">(Tabla2[[#This Row],[Productividad (kg/TAS)]]*Tabla2[[#This Row],[Precio por kg]]-Tabla2[[#This Row],[Costos (En RD$/Tarea)]])</f>
        <v>1864.50206666665</v>
      </c>
      <c r="O3138" s="9" t="n">
        <f aca="false">IF(Tabla2[[#This Row],[Costos (En RD$/Tarea)]]=0,0,Tabla2[[#This Row],[Beneficio Neto  (En RD$/Tarea)]]/Tabla2[[#This Row],[Costos (En RD$/Tarea)]])</f>
        <v>0.0586789151836455</v>
      </c>
      <c r="P3138" s="7" t="n">
        <f aca="false">Tabla2[[#This Row],[Rentabilidad (%)]]/12</f>
        <v>0.00488990959863713</v>
      </c>
    </row>
    <row r="3139" customFormat="false" ht="14.25" hidden="false" customHeight="false" outlineLevel="0" collapsed="false">
      <c r="A3139" s="1" t="n">
        <v>44470</v>
      </c>
      <c r="B3139" s="2" t="s">
        <v>24</v>
      </c>
      <c r="C3139" s="3" t="n">
        <v>4185</v>
      </c>
      <c r="D3139" s="8" t="s">
        <v>17</v>
      </c>
      <c r="E3139" s="3" t="n">
        <f aca="false">IF(Tabla2[[#This Row],[Frecuencia]]="Annual", Tabla2[[#This Row],[Cosecha/Tarea]]/12,Tabla2[[#This Row],[Cosecha/Tarea]])</f>
        <v>4185</v>
      </c>
      <c r="F3139" s="3" t="n">
        <v>44643</v>
      </c>
      <c r="G3139" s="2" t="s">
        <v>18</v>
      </c>
      <c r="H3139" s="2" t="n">
        <f aca="false">F3139/Tabla2[[#This Row],[Cosecha Mensual]]</f>
        <v>10.6673835125448</v>
      </c>
      <c r="I3139" s="2" t="n">
        <f aca="false">H3139*_xlfn.XLOOKUP(Tabla2[[#This Row],[Unidad de producción]],Tabla3[Medida],Tabla3[Equivalencia en Kg],"ELVIS",0)</f>
        <v>483.872516129032</v>
      </c>
      <c r="J3139" s="2" t="n">
        <v>2397.63095238095</v>
      </c>
      <c r="K3139" s="2" t="s">
        <v>18</v>
      </c>
      <c r="L3139" s="2" t="n">
        <f aca="false">J3139/_xlfn.XLOOKUP(Tabla2[[#This Row],[Unidad de precio]],Tabla3[Medida],Tabla3[Equivalencia en Kg],"ELVIS",0)</f>
        <v>52.8578252288569</v>
      </c>
      <c r="M3139" s="2" t="n">
        <v>9606.85680953384</v>
      </c>
      <c r="N3139" s="3" t="n">
        <f aca="false">(Tabla2[[#This Row],[Productividad (kg/TAS)]]*Tabla2[[#This Row],[Precio por kg]]-Tabla2[[#This Row],[Costos (En RD$/Tarea)]])</f>
        <v>15969.5920810618</v>
      </c>
      <c r="O3139" s="9" t="n">
        <f aca="false">IF(Tabla2[[#This Row],[Costos (En RD$/Tarea)]]=0,0,Tabla2[[#This Row],[Beneficio Neto  (En RD$/Tarea)]]/Tabla2[[#This Row],[Costos (En RD$/Tarea)]])</f>
        <v>1.66231186720859</v>
      </c>
      <c r="P3139" s="7" t="n">
        <f aca="false">Tabla2[[#This Row],[Rentabilidad (%)]]/12</f>
        <v>0.13852598893405</v>
      </c>
    </row>
    <row r="3140" customFormat="false" ht="14.25" hidden="false" customHeight="false" outlineLevel="0" collapsed="false">
      <c r="A3140" s="1" t="n">
        <v>44470</v>
      </c>
      <c r="B3140" s="2" t="s">
        <v>25</v>
      </c>
      <c r="C3140" s="3" t="n">
        <v>17295</v>
      </c>
      <c r="D3140" s="8" t="s">
        <v>17</v>
      </c>
      <c r="E3140" s="3" t="n">
        <f aca="false">IF(Tabla2[[#This Row],[Frecuencia]]="Annual", Tabla2[[#This Row],[Cosecha/Tarea]]/12,Tabla2[[#This Row],[Cosecha/Tarea]])</f>
        <v>17295</v>
      </c>
      <c r="F3140" s="3" t="n">
        <v>205460</v>
      </c>
      <c r="G3140" s="2" t="s">
        <v>18</v>
      </c>
      <c r="H3140" s="2" t="n">
        <f aca="false">F3140/Tabla2[[#This Row],[Cosecha Mensual]]</f>
        <v>11.8797340271755</v>
      </c>
      <c r="I3140" s="2" t="n">
        <f aca="false">H3140*_xlfn.XLOOKUP(Tabla2[[#This Row],[Unidad de producción]],Tabla3[Medida],Tabla3[Equivalencia en Kg],"ELVIS",0)</f>
        <v>538.86473547268</v>
      </c>
      <c r="J3140" s="2" t="n">
        <v>820.605902777778</v>
      </c>
      <c r="K3140" s="2" t="s">
        <v>18</v>
      </c>
      <c r="L3140" s="2" t="n">
        <f aca="false">J3140/_xlfn.XLOOKUP(Tabla2[[#This Row],[Unidad de precio]],Tabla3[Medida],Tabla3[Equivalencia en Kg],"ELVIS",0)</f>
        <v>18.0909590559475</v>
      </c>
      <c r="M3140" s="2" t="n">
        <v>5403.38741449239</v>
      </c>
      <c r="N3140" s="3" t="n">
        <f aca="false">(Tabla2[[#This Row],[Productividad (kg/TAS)]]*Tabla2[[#This Row],[Precio por kg]]-Tabla2[[#This Row],[Costos (En RD$/Tarea)]])</f>
        <v>4345.19245163784</v>
      </c>
      <c r="O3140" s="9" t="n">
        <f aca="false">IF(Tabla2[[#This Row],[Costos (En RD$/Tarea)]]=0,0,Tabla2[[#This Row],[Beneficio Neto  (En RD$/Tarea)]]/Tabla2[[#This Row],[Costos (En RD$/Tarea)]])</f>
        <v>0.804160819559898</v>
      </c>
      <c r="P3140" s="7" t="n">
        <f aca="false">Tabla2[[#This Row],[Rentabilidad (%)]]/12</f>
        <v>0.0670134016299915</v>
      </c>
    </row>
    <row r="3141" customFormat="false" ht="14.25" hidden="false" customHeight="false" outlineLevel="0" collapsed="false">
      <c r="A3141" s="1" t="n">
        <v>44470</v>
      </c>
      <c r="B3141" s="2" t="s">
        <v>26</v>
      </c>
      <c r="C3141" s="3" t="n">
        <v>7431</v>
      </c>
      <c r="D3141" s="8" t="s">
        <v>17</v>
      </c>
      <c r="E3141" s="3" t="n">
        <f aca="false">IF(Tabla2[[#This Row],[Frecuencia]]="Annual", Tabla2[[#This Row],[Cosecha/Tarea]]/12,Tabla2[[#This Row],[Cosecha/Tarea]])</f>
        <v>7431</v>
      </c>
      <c r="F3141" s="3" t="n">
        <v>75837</v>
      </c>
      <c r="G3141" s="2" t="s">
        <v>18</v>
      </c>
      <c r="H3141" s="2" t="n">
        <f aca="false">F3141/Tabla2[[#This Row],[Cosecha Mensual]]</f>
        <v>10.205490512717</v>
      </c>
      <c r="I3141" s="2" t="n">
        <f aca="false">H3141*_xlfn.XLOOKUP(Tabla2[[#This Row],[Unidad de producción]],Tabla3[Medida],Tabla3[Equivalencia en Kg],"ELVIS",0)</f>
        <v>462.921049656843</v>
      </c>
      <c r="J3141" s="2" t="n">
        <v>1168.49565972222</v>
      </c>
      <c r="K3141" s="2" t="s">
        <v>18</v>
      </c>
      <c r="L3141" s="2" t="n">
        <f aca="false">J3141/_xlfn.XLOOKUP(Tabla2[[#This Row],[Unidad de precio]],Tabla3[Medida],Tabla3[Equivalencia en Kg],"ELVIS",0)</f>
        <v>25.7604863254458</v>
      </c>
      <c r="M3141" s="2" t="n">
        <v>1910.99135924874</v>
      </c>
      <c r="N3141" s="3" t="n">
        <f aca="false">(Tabla2[[#This Row],[Productividad (kg/TAS)]]*Tabla2[[#This Row],[Precio por kg]]-Tabla2[[#This Row],[Costos (En RD$/Tarea)]])</f>
        <v>10014.0800101974</v>
      </c>
      <c r="O3141" s="9" t="n">
        <f aca="false">IF(Tabla2[[#This Row],[Costos (En RD$/Tarea)]]=0,0,Tabla2[[#This Row],[Beneficio Neto  (En RD$/Tarea)]]/Tabla2[[#This Row],[Costos (En RD$/Tarea)]])</f>
        <v>5.24025394554068</v>
      </c>
      <c r="P3141" s="7" t="n">
        <f aca="false">Tabla2[[#This Row],[Rentabilidad (%)]]/12</f>
        <v>0.436687828795057</v>
      </c>
    </row>
    <row r="3142" customFormat="false" ht="14.25" hidden="false" customHeight="false" outlineLevel="0" collapsed="false">
      <c r="A3142" s="1" t="n">
        <v>44470</v>
      </c>
      <c r="B3142" s="2" t="s">
        <v>27</v>
      </c>
      <c r="C3142" s="3" t="n">
        <v>1673</v>
      </c>
      <c r="D3142" s="8" t="s">
        <v>17</v>
      </c>
      <c r="E3142" s="3" t="n">
        <f aca="false">IF(Tabla2[[#This Row],[Frecuencia]]="Annual", Tabla2[[#This Row],[Cosecha/Tarea]]/12,Tabla2[[#This Row],[Cosecha/Tarea]])</f>
        <v>1673</v>
      </c>
      <c r="F3142" s="3" t="n">
        <v>12252</v>
      </c>
      <c r="G3142" s="2" t="s">
        <v>18</v>
      </c>
      <c r="H3142" s="2" t="n">
        <f aca="false">F3142/Tabla2[[#This Row],[Cosecha Mensual]]</f>
        <v>7.32337118947998</v>
      </c>
      <c r="I3142" s="2" t="n">
        <f aca="false">H3142*_xlfn.XLOOKUP(Tabla2[[#This Row],[Unidad de producción]],Tabla3[Medida],Tabla3[Equivalencia en Kg],"ELVIS",0)</f>
        <v>332.188117154812</v>
      </c>
      <c r="J3142" s="2" t="n">
        <v>805.142222222222</v>
      </c>
      <c r="K3142" s="2" t="s">
        <v>18</v>
      </c>
      <c r="L3142" s="2" t="n">
        <f aca="false">J3142/_xlfn.XLOOKUP(Tabla2[[#This Row],[Unidad de precio]],Tabla3[Medida],Tabla3[Equivalencia en Kg],"ELVIS",0)</f>
        <v>17.7500489907897</v>
      </c>
      <c r="M3142" s="2" t="n">
        <v>10561.2569707933</v>
      </c>
      <c r="N3142" s="3" t="n">
        <f aca="false">(Tabla2[[#This Row],[Productividad (kg/TAS)]]*Tabla2[[#This Row],[Precio por kg]]-Tabla2[[#This Row],[Costos (En RD$/Tarea)]])</f>
        <v>-4664.90161713719</v>
      </c>
      <c r="O3142" s="9" t="n">
        <f aca="false">IF(Tabla2[[#This Row],[Costos (En RD$/Tarea)]]=0,0,Tabla2[[#This Row],[Beneficio Neto  (En RD$/Tarea)]]/Tabla2[[#This Row],[Costos (En RD$/Tarea)]])</f>
        <v>-0.441699471004046</v>
      </c>
      <c r="P3142" s="7" t="n">
        <f aca="false">Tabla2[[#This Row],[Rentabilidad (%)]]/12</f>
        <v>-0.0368082892503372</v>
      </c>
    </row>
    <row r="3143" customFormat="false" ht="14.25" hidden="false" customHeight="false" outlineLevel="0" collapsed="false">
      <c r="A3143" s="1" t="n">
        <v>44470</v>
      </c>
      <c r="B3143" s="2" t="s">
        <v>28</v>
      </c>
      <c r="C3143" s="3" t="n">
        <v>27140</v>
      </c>
      <c r="D3143" s="8" t="s">
        <v>17</v>
      </c>
      <c r="E3143" s="3" t="n">
        <f aca="false">IF(Tabla2[[#This Row],[Frecuencia]]="Annual", Tabla2[[#This Row],[Cosecha/Tarea]]/12,Tabla2[[#This Row],[Cosecha/Tarea]])</f>
        <v>27140</v>
      </c>
      <c r="F3143" s="3" t="n">
        <v>826770</v>
      </c>
      <c r="G3143" s="2" t="s">
        <v>18</v>
      </c>
      <c r="H3143" s="2" t="n">
        <f aca="false">F3143/Tabla2[[#This Row],[Cosecha Mensual]]</f>
        <v>30.4631540162122</v>
      </c>
      <c r="I3143" s="2" t="n">
        <f aca="false">H3143*_xlfn.XLOOKUP(Tabla2[[#This Row],[Unidad de producción]],Tabla3[Medida],Tabla3[Equivalencia en Kg],"ELVIS",0)</f>
        <v>1381.80866617539</v>
      </c>
      <c r="J3143" s="2" t="n">
        <v>7822.9375</v>
      </c>
      <c r="K3143" s="2" t="s">
        <v>29</v>
      </c>
      <c r="L3143" s="2" t="n">
        <f aca="false">J3143/_xlfn.XLOOKUP(Tabla2[[#This Row],[Unidad de precio]],Tabla3[Medida],Tabla3[Equivalencia en Kg],"ELVIS",0)</f>
        <v>13.9114014653057</v>
      </c>
      <c r="M3143" s="2" t="n">
        <v>20320.344</v>
      </c>
      <c r="N3143" s="3" t="n">
        <f aca="false">(Tabla2[[#This Row],[Productividad (kg/TAS)]]*Tabla2[[#This Row],[Precio por kg]]-Tabla2[[#This Row],[Costos (En RD$/Tarea)]])</f>
        <v>-1097.44889659563</v>
      </c>
      <c r="O3143" s="9" t="n">
        <f aca="false">IF(Tabla2[[#This Row],[Costos (En RD$/Tarea)]]=0,0,Tabla2[[#This Row],[Beneficio Neto  (En RD$/Tarea)]]/Tabla2[[#This Row],[Costos (En RD$/Tarea)]])</f>
        <v>-0.0540073975418736</v>
      </c>
      <c r="P3143" s="7" t="n">
        <f aca="false">Tabla2[[#This Row],[Rentabilidad (%)]]/12</f>
        <v>-0.0045006164618228</v>
      </c>
    </row>
    <row r="3144" customFormat="false" ht="14.25" hidden="false" customHeight="false" outlineLevel="0" collapsed="false">
      <c r="A3144" s="1" t="n">
        <v>44470</v>
      </c>
      <c r="B3144" s="2" t="s">
        <v>30</v>
      </c>
      <c r="C3144" s="3" t="n">
        <v>339828</v>
      </c>
      <c r="D3144" s="3" t="s">
        <v>31</v>
      </c>
      <c r="E3144" s="3" t="n">
        <f aca="false">IF(Tabla2[[#This Row],[Frecuencia]]="Annual", Tabla2[[#This Row],[Cosecha/Tarea]]/12,Tabla2[[#This Row],[Cosecha/Tarea]])</f>
        <v>28319</v>
      </c>
      <c r="F3144" s="3" t="n">
        <v>2200394</v>
      </c>
      <c r="G3144" s="2" t="s">
        <v>18</v>
      </c>
      <c r="H3144" s="2" t="n">
        <f aca="false">F3144/Tabla2[[#This Row],[Cosecha Mensual]]</f>
        <v>77.7002719022564</v>
      </c>
      <c r="I3144" s="2" t="n">
        <f aca="false">H3144*_xlfn.XLOOKUP(Tabla2[[#This Row],[Unidad de producción]],Tabla3[Medida],Tabla3[Equivalencia en Kg],"ELVIS",0)</f>
        <v>3524.48433348635</v>
      </c>
      <c r="J3144" s="2" t="n">
        <v>196.623697916667</v>
      </c>
      <c r="K3144" s="2" t="s">
        <v>32</v>
      </c>
      <c r="L3144" s="2" t="n">
        <f aca="false">J3144/_xlfn.XLOOKUP(Tabla2[[#This Row],[Unidad de precio]],Tabla3[Medida],Tabla3[Equivalencia en Kg],"ELVIS",0)</f>
        <v>7.22615574849934</v>
      </c>
      <c r="M3144" s="3" t="n">
        <v>40592.4361945306</v>
      </c>
      <c r="N3144" s="3" t="n">
        <f aca="false">(Tabla2[[#This Row],[Productividad (kg/TAS)]]*Tabla2[[#This Row],[Precio por kg]]-Tabla2[[#This Row],[Costos (En RD$/Tarea)]])</f>
        <v>-15123.9634676123</v>
      </c>
      <c r="O3144" s="9" t="n">
        <f aca="false">IF(Tabla2[[#This Row],[Costos (En RD$/Tarea)]]=0,0,Tabla2[[#This Row],[Beneficio Neto  (En RD$/Tarea)]]/Tabla2[[#This Row],[Costos (En RD$/Tarea)]])</f>
        <v>-0.372580827500325</v>
      </c>
      <c r="P3144" s="7" t="n">
        <f aca="false">Tabla2[[#This Row],[Rentabilidad (%)]]/12</f>
        <v>-0.0310484022916937</v>
      </c>
    </row>
    <row r="3145" customFormat="false" ht="14.25" hidden="false" customHeight="false" outlineLevel="0" collapsed="false">
      <c r="A3145" s="1" t="n">
        <v>44470</v>
      </c>
      <c r="B3145" s="2" t="s">
        <v>33</v>
      </c>
      <c r="C3145" s="3" t="n">
        <v>548722</v>
      </c>
      <c r="D3145" s="3" t="s">
        <v>31</v>
      </c>
      <c r="E3145" s="3" t="n">
        <f aca="false">IF(Tabla2[[#This Row],[Frecuencia]]="Annual", Tabla2[[#This Row],[Cosecha/Tarea]]/12,Tabla2[[#This Row],[Cosecha/Tarea]])</f>
        <v>45726.8333333333</v>
      </c>
      <c r="F3145" s="3" t="n">
        <v>1280331</v>
      </c>
      <c r="G3145" s="2" t="s">
        <v>18</v>
      </c>
      <c r="H3145" s="2" t="n">
        <f aca="false">F3145/Tabla2[[#This Row],[Cosecha Mensual]]</f>
        <v>27.9995553303859</v>
      </c>
      <c r="I3145" s="2" t="n">
        <f aca="false">H3145*_xlfn.XLOOKUP(Tabla2[[#This Row],[Unidad de producción]],Tabla3[Medida],Tabla3[Equivalencia en Kg],"ELVIS",0)</f>
        <v>1270.0598297863</v>
      </c>
      <c r="J3145" s="2" t="n">
        <v>5472.59114583333</v>
      </c>
      <c r="K3145" s="2" t="s">
        <v>34</v>
      </c>
      <c r="L3145" s="2" t="n">
        <f aca="false">J3145/_xlfn.XLOOKUP(Tabla2[[#This Row],[Unidad de precio]],Tabla3[Medida],Tabla3[Equivalencia en Kg],"ELVIS",0)</f>
        <v>13.4082840765241</v>
      </c>
      <c r="M3145" s="3" t="n">
        <v>43963.4440344</v>
      </c>
      <c r="N3145" s="3" t="n">
        <f aca="false">(Tabla2[[#This Row],[Productividad (kg/TAS)]]*Tabla2[[#This Row],[Precio por kg]]-Tabla2[[#This Row],[Costos (En RD$/Tarea)]])</f>
        <v>-26934.1210424433</v>
      </c>
      <c r="O3145" s="9" t="n">
        <f aca="false">IF(Tabla2[[#This Row],[Costos (En RD$/Tarea)]]=0,0,Tabla2[[#This Row],[Beneficio Neto  (En RD$/Tarea)]]/Tabla2[[#This Row],[Costos (En RD$/Tarea)]])</f>
        <v>-0.612648113313603</v>
      </c>
      <c r="P3145" s="7" t="n">
        <f aca="false">Tabla2[[#This Row],[Rentabilidad (%)]]/12</f>
        <v>-0.0510540094428003</v>
      </c>
    </row>
    <row r="3146" customFormat="false" ht="14.25" hidden="false" customHeight="false" outlineLevel="0" collapsed="false">
      <c r="A3146" s="1" t="n">
        <v>44501</v>
      </c>
      <c r="B3146" s="2" t="s">
        <v>16</v>
      </c>
      <c r="C3146" s="3" t="n">
        <v>233525</v>
      </c>
      <c r="D3146" s="8" t="s">
        <v>17</v>
      </c>
      <c r="E3146" s="3" t="n">
        <f aca="false">IF(Tabla2[[#This Row],[Frecuencia]]="Annual", Tabla2[[#This Row],[Cosecha/Tarea]]/12,Tabla2[[#This Row],[Cosecha/Tarea]])</f>
        <v>233525</v>
      </c>
      <c r="F3146" s="3" t="n">
        <v>885679</v>
      </c>
      <c r="G3146" s="2" t="s">
        <v>18</v>
      </c>
      <c r="H3146" s="2" t="n">
        <f aca="false">F3146/Tabla2[[#This Row],[Cosecha Mensual]]</f>
        <v>3.79265175034793</v>
      </c>
      <c r="I3146" s="2" t="n">
        <f aca="false">H3146*_xlfn.XLOOKUP(Tabla2[[#This Row],[Unidad de producción]],Tabla3[Medida],Tabla3[Equivalencia en Kg],"ELVIS",0)</f>
        <v>172.034683395782</v>
      </c>
      <c r="J3146" s="2" t="n">
        <v>2601.26148043376</v>
      </c>
      <c r="K3146" s="2" t="s">
        <v>19</v>
      </c>
      <c r="L3146" s="2" t="n">
        <f aca="false">J3146/_xlfn.XLOOKUP(Tabla2[[#This Row],[Unidad de precio]],Tabla3[Medida],Tabla3[Equivalencia en Kg],"ELVIS",0)</f>
        <v>23.6478316403069</v>
      </c>
      <c r="M3146" s="2" t="n">
        <v>7900.39794477161</v>
      </c>
      <c r="N3146" s="3" t="n">
        <f aca="false">(Tabla2[[#This Row],[Productividad (kg/TAS)]]*Tabla2[[#This Row],[Precio por kg]]-Tabla2[[#This Row],[Costos (En RD$/Tarea)]])</f>
        <v>-3832.15071553465</v>
      </c>
      <c r="O3146" s="9" t="n">
        <f aca="false">IF(Tabla2[[#This Row],[Costos (En RD$/Tarea)]]=0,0,Tabla2[[#This Row],[Beneficio Neto  (En RD$/Tarea)]]/Tabla2[[#This Row],[Costos (En RD$/Tarea)]])</f>
        <v>-0.485057935350045</v>
      </c>
      <c r="P3146" s="7" t="n">
        <f aca="false">Tabla2[[#This Row],[Rentabilidad (%)]]/12</f>
        <v>-0.0404214946125037</v>
      </c>
    </row>
    <row r="3147" customFormat="false" ht="14.25" hidden="false" customHeight="false" outlineLevel="0" collapsed="false">
      <c r="A3147" s="1" t="n">
        <v>44501</v>
      </c>
      <c r="B3147" s="2" t="s">
        <v>20</v>
      </c>
      <c r="C3147" s="3" t="n">
        <v>45014</v>
      </c>
      <c r="D3147" s="8" t="s">
        <v>17</v>
      </c>
      <c r="E3147" s="3" t="n">
        <f aca="false">IF(Tabla2[[#This Row],[Frecuencia]]="Annual", Tabla2[[#This Row],[Cosecha/Tarea]]/12,Tabla2[[#This Row],[Cosecha/Tarea]])</f>
        <v>45014</v>
      </c>
      <c r="F3147" s="3" t="n">
        <v>103477</v>
      </c>
      <c r="G3147" s="2" t="s">
        <v>18</v>
      </c>
      <c r="H3147" s="2" t="n">
        <f aca="false">F3147/Tabla2[[#This Row],[Cosecha Mensual]]</f>
        <v>2.29877371484427</v>
      </c>
      <c r="I3147" s="2" t="n">
        <f aca="false">H3147*_xlfn.XLOOKUP(Tabla2[[#This Row],[Unidad de producción]],Tabla3[Medida],Tabla3[Equivalencia en Kg],"ELVIS",0)</f>
        <v>104.272375705336</v>
      </c>
      <c r="J3147" s="2" t="n">
        <v>989.893229166667</v>
      </c>
      <c r="K3147" s="2" t="s">
        <v>18</v>
      </c>
      <c r="L3147" s="2" t="n">
        <f aca="false">J3147/_xlfn.XLOOKUP(Tabla2[[#This Row],[Unidad de precio]],Tabla3[Medida],Tabla3[Equivalencia en Kg],"ELVIS",0)</f>
        <v>21.8230429710465</v>
      </c>
      <c r="M3147" s="2" t="n">
        <v>2759.06577122957</v>
      </c>
      <c r="N3147" s="3" t="n">
        <f aca="false">(Tabla2[[#This Row],[Productividad (kg/TAS)]]*Tabla2[[#This Row],[Precio por kg]]-Tabla2[[#This Row],[Costos (En RD$/Tarea)]])</f>
        <v>-483.52523551892</v>
      </c>
      <c r="O3147" s="9" t="n">
        <f aca="false">IF(Tabla2[[#This Row],[Costos (En RD$/Tarea)]]=0,0,Tabla2[[#This Row],[Beneficio Neto  (En RD$/Tarea)]]/Tabla2[[#This Row],[Costos (En RD$/Tarea)]])</f>
        <v>-0.175249622738583</v>
      </c>
      <c r="P3147" s="7" t="n">
        <f aca="false">Tabla2[[#This Row],[Rentabilidad (%)]]/12</f>
        <v>-0.0146041352282153</v>
      </c>
    </row>
    <row r="3148" customFormat="false" ht="14.25" hidden="false" customHeight="false" outlineLevel="0" collapsed="false">
      <c r="A3148" s="1" t="n">
        <v>44501</v>
      </c>
      <c r="B3148" s="2" t="s">
        <v>21</v>
      </c>
      <c r="C3148" s="3" t="n">
        <v>8954</v>
      </c>
      <c r="D3148" s="8" t="s">
        <v>17</v>
      </c>
      <c r="E3148" s="3" t="n">
        <f aca="false">IF(Tabla2[[#This Row],[Frecuencia]]="Annual", Tabla2[[#This Row],[Cosecha/Tarea]]/12,Tabla2[[#This Row],[Cosecha/Tarea]])</f>
        <v>8954</v>
      </c>
      <c r="F3148" s="3" t="n">
        <v>105055</v>
      </c>
      <c r="G3148" s="2" t="s">
        <v>18</v>
      </c>
      <c r="H3148" s="2" t="n">
        <f aca="false">F3148/Tabla2[[#This Row],[Cosecha Mensual]]</f>
        <v>11.7327451418361</v>
      </c>
      <c r="I3148" s="2" t="n">
        <f aca="false">H3148*_xlfn.XLOOKUP(Tabla2[[#This Row],[Unidad de producción]],Tabla3[Medida],Tabla3[Equivalencia en Kg],"ELVIS",0)</f>
        <v>532.197319633683</v>
      </c>
      <c r="J3148" s="2" t="n">
        <v>703.684895833333</v>
      </c>
      <c r="K3148" s="2" t="s">
        <v>18</v>
      </c>
      <c r="L3148" s="2" t="n">
        <f aca="false">J3148/_xlfn.XLOOKUP(Tabla2[[#This Row],[Unidad de precio]],Tabla3[Medida],Tabla3[Equivalencia en Kg],"ELVIS",0)</f>
        <v>15.5133354460611</v>
      </c>
      <c r="M3148" s="2" t="n">
        <v>6695.95013513731</v>
      </c>
      <c r="N3148" s="3" t="n">
        <f aca="false">(Tabla2[[#This Row],[Productividad (kg/TAS)]]*Tabla2[[#This Row],[Precio por kg]]-Tabla2[[#This Row],[Costos (En RD$/Tarea)]])</f>
        <v>1560.20540783464</v>
      </c>
      <c r="O3148" s="9" t="n">
        <f aca="false">IF(Tabla2[[#This Row],[Costos (En RD$/Tarea)]]=0,0,Tabla2[[#This Row],[Beneficio Neto  (En RD$/Tarea)]]/Tabla2[[#This Row],[Costos (En RD$/Tarea)]])</f>
        <v>0.233007321791031</v>
      </c>
      <c r="P3148" s="7" t="n">
        <f aca="false">Tabla2[[#This Row],[Rentabilidad (%)]]/12</f>
        <v>0.0194172768159192</v>
      </c>
    </row>
    <row r="3149" customFormat="false" ht="14.25" hidden="false" customHeight="false" outlineLevel="0" collapsed="false">
      <c r="A3149" s="1" t="n">
        <v>44501</v>
      </c>
      <c r="B3149" s="2" t="s">
        <v>22</v>
      </c>
      <c r="C3149" s="3" t="n">
        <v>4428</v>
      </c>
      <c r="D3149" s="8" t="s">
        <v>17</v>
      </c>
      <c r="E3149" s="3" t="n">
        <f aca="false">IF(Tabla2[[#This Row],[Frecuencia]]="Annual", Tabla2[[#This Row],[Cosecha/Tarea]]/12,Tabla2[[#This Row],[Cosecha/Tarea]])</f>
        <v>4428</v>
      </c>
      <c r="F3149" s="3" t="n">
        <v>64356</v>
      </c>
      <c r="G3149" s="2" t="s">
        <v>18</v>
      </c>
      <c r="H3149" s="2" t="n">
        <f aca="false">F3149/Tabla2[[#This Row],[Cosecha Mensual]]</f>
        <v>14.5338753387534</v>
      </c>
      <c r="I3149" s="2" t="n">
        <f aca="false">H3149*_xlfn.XLOOKUP(Tabla2[[#This Row],[Unidad de producción]],Tabla3[Medida],Tabla3[Equivalencia en Kg],"ELVIS",0)</f>
        <v>659.256585365854</v>
      </c>
      <c r="J3149" s="2" t="n">
        <v>1643.47222222222</v>
      </c>
      <c r="K3149" s="2" t="s">
        <v>18</v>
      </c>
      <c r="L3149" s="2" t="n">
        <f aca="false">J3149/_xlfn.XLOOKUP(Tabla2[[#This Row],[Unidad de precio]],Tabla3[Medida],Tabla3[Equivalencia en Kg],"ELVIS",0)</f>
        <v>36.231750930825</v>
      </c>
      <c r="M3149" s="2" t="n">
        <v>11609.3184891587</v>
      </c>
      <c r="N3149" s="3" t="n">
        <f aca="false">(Tabla2[[#This Row],[Productividad (kg/TAS)]]*Tabla2[[#This Row],[Precio por kg]]-Tabla2[[#This Row],[Costos (En RD$/Tarea)]])</f>
        <v>12276.701911323</v>
      </c>
      <c r="O3149" s="9" t="n">
        <f aca="false">IF(Tabla2[[#This Row],[Costos (En RD$/Tarea)]]=0,0,Tabla2[[#This Row],[Beneficio Neto  (En RD$/Tarea)]]/Tabla2[[#This Row],[Costos (En RD$/Tarea)]])</f>
        <v>1.05748687339292</v>
      </c>
      <c r="P3149" s="7" t="n">
        <f aca="false">Tabla2[[#This Row],[Rentabilidad (%)]]/12</f>
        <v>0.0881239061160766</v>
      </c>
    </row>
    <row r="3150" customFormat="false" ht="14.25" hidden="false" customHeight="false" outlineLevel="0" collapsed="false">
      <c r="A3150" s="1" t="n">
        <v>44501</v>
      </c>
      <c r="B3150" s="2" t="s">
        <v>23</v>
      </c>
      <c r="C3150" s="3" t="n">
        <v>4392</v>
      </c>
      <c r="D3150" s="8" t="s">
        <v>17</v>
      </c>
      <c r="E3150" s="3" t="n">
        <f aca="false">IF(Tabla2[[#This Row],[Frecuencia]]="Annual", Tabla2[[#This Row],[Cosecha/Tarea]]/12,Tabla2[[#This Row],[Cosecha/Tarea]])</f>
        <v>4392</v>
      </c>
      <c r="F3150" s="3" t="n">
        <v>135046</v>
      </c>
      <c r="G3150" s="2" t="s">
        <v>18</v>
      </c>
      <c r="H3150" s="2" t="n">
        <f aca="false">F3150/Tabla2[[#This Row],[Cosecha Mensual]]</f>
        <v>30.7481785063752</v>
      </c>
      <c r="I3150" s="2" t="n">
        <f aca="false">H3150*_xlfn.XLOOKUP(Tabla2[[#This Row],[Unidad de producción]],Tabla3[Medida],Tabla3[Equivalencia en Kg],"ELVIS",0)</f>
        <v>1394.73737704918</v>
      </c>
      <c r="J3150" s="2" t="n">
        <v>1062.5</v>
      </c>
      <c r="K3150" s="2" t="s">
        <v>18</v>
      </c>
      <c r="L3150" s="2" t="n">
        <f aca="false">J3150/_xlfn.XLOOKUP(Tabla2[[#This Row],[Unidad de precio]],Tabla3[Medida],Tabla3[Equivalencia en Kg],"ELVIS",0)</f>
        <v>23.423721340388</v>
      </c>
      <c r="M3150" s="2" t="n">
        <v>31774.6512666667</v>
      </c>
      <c r="N3150" s="3" t="n">
        <f aca="false">(Tabla2[[#This Row],[Productividad (kg/TAS)]]*Tabla2[[#This Row],[Precio por kg]]-Tabla2[[#This Row],[Costos (En RD$/Tarea)]])</f>
        <v>895.28839635698</v>
      </c>
      <c r="O3150" s="9" t="n">
        <f aca="false">IF(Tabla2[[#This Row],[Costos (En RD$/Tarea)]]=0,0,Tabla2[[#This Row],[Beneficio Neto  (En RD$/Tarea)]]/Tabla2[[#This Row],[Costos (En RD$/Tarea)]])</f>
        <v>0.0281761832362323</v>
      </c>
      <c r="P3150" s="7" t="n">
        <f aca="false">Tabla2[[#This Row],[Rentabilidad (%)]]/12</f>
        <v>0.00234801526968602</v>
      </c>
    </row>
    <row r="3151" customFormat="false" ht="14.25" hidden="false" customHeight="false" outlineLevel="0" collapsed="false">
      <c r="A3151" s="1" t="n">
        <v>44501</v>
      </c>
      <c r="B3151" s="2" t="s">
        <v>24</v>
      </c>
      <c r="C3151" s="3" t="n">
        <v>7830</v>
      </c>
      <c r="D3151" s="8" t="s">
        <v>17</v>
      </c>
      <c r="E3151" s="3" t="n">
        <f aca="false">IF(Tabla2[[#This Row],[Frecuencia]]="Annual", Tabla2[[#This Row],[Cosecha/Tarea]]/12,Tabla2[[#This Row],[Cosecha/Tarea]])</f>
        <v>7830</v>
      </c>
      <c r="F3151" s="3" t="n">
        <v>123840</v>
      </c>
      <c r="G3151" s="2" t="s">
        <v>18</v>
      </c>
      <c r="H3151" s="2" t="n">
        <f aca="false">F3151/Tabla2[[#This Row],[Cosecha Mensual]]</f>
        <v>15.816091954023</v>
      </c>
      <c r="I3151" s="2" t="n">
        <f aca="false">H3151*_xlfn.XLOOKUP(Tabla2[[#This Row],[Unidad de producción]],Tabla3[Medida],Tabla3[Equivalencia en Kg],"ELVIS",0)</f>
        <v>717.417931034483</v>
      </c>
      <c r="J3151" s="2" t="n">
        <v>2110.34</v>
      </c>
      <c r="K3151" s="2" t="s">
        <v>18</v>
      </c>
      <c r="L3151" s="2" t="n">
        <f aca="false">J3151/_xlfn.XLOOKUP(Tabla2[[#This Row],[Unidad de precio]],Tabla3[Medida],Tabla3[Equivalencia en Kg],"ELVIS",0)</f>
        <v>46.5242504409171</v>
      </c>
      <c r="M3151" s="2" t="n">
        <v>9606.85680953384</v>
      </c>
      <c r="N3151" s="3" t="n">
        <f aca="false">(Tabla2[[#This Row],[Productividad (kg/TAS)]]*Tabla2[[#This Row],[Precio por kg]]-Tabla2[[#This Row],[Costos (En RD$/Tarea)]])</f>
        <v>23770.474684719</v>
      </c>
      <c r="O3151" s="9" t="n">
        <f aca="false">IF(Tabla2[[#This Row],[Costos (En RD$/Tarea)]]=0,0,Tabla2[[#This Row],[Beneficio Neto  (En RD$/Tarea)]]/Tabla2[[#This Row],[Costos (En RD$/Tarea)]])</f>
        <v>2.47432382474247</v>
      </c>
      <c r="P3151" s="7" t="n">
        <f aca="false">Tabla2[[#This Row],[Rentabilidad (%)]]/12</f>
        <v>0.206193652061873</v>
      </c>
    </row>
    <row r="3152" customFormat="false" ht="14.25" hidden="false" customHeight="false" outlineLevel="0" collapsed="false">
      <c r="A3152" s="1" t="n">
        <v>44501</v>
      </c>
      <c r="B3152" s="2" t="s">
        <v>25</v>
      </c>
      <c r="C3152" s="3" t="n">
        <v>22227</v>
      </c>
      <c r="D3152" s="8" t="s">
        <v>17</v>
      </c>
      <c r="E3152" s="3" t="n">
        <f aca="false">IF(Tabla2[[#This Row],[Frecuencia]]="Annual", Tabla2[[#This Row],[Cosecha/Tarea]]/12,Tabla2[[#This Row],[Cosecha/Tarea]])</f>
        <v>22227</v>
      </c>
      <c r="F3152" s="3" t="n">
        <v>278615</v>
      </c>
      <c r="G3152" s="2" t="s">
        <v>18</v>
      </c>
      <c r="H3152" s="2" t="n">
        <f aca="false">F3152/Tabla2[[#This Row],[Cosecha Mensual]]</f>
        <v>12.5349799793044</v>
      </c>
      <c r="I3152" s="2" t="n">
        <f aca="false">H3152*_xlfn.XLOOKUP(Tabla2[[#This Row],[Unidad de producción]],Tabla3[Medida],Tabla3[Equivalencia en Kg],"ELVIS",0)</f>
        <v>568.58669186125</v>
      </c>
      <c r="J3152" s="2" t="n">
        <v>814.341805555556</v>
      </c>
      <c r="K3152" s="2" t="s">
        <v>18</v>
      </c>
      <c r="L3152" s="2" t="n">
        <f aca="false">J3152/_xlfn.XLOOKUP(Tabla2[[#This Row],[Unidad de precio]],Tabla3[Medida],Tabla3[Equivalencia en Kg],"ELVIS",0)</f>
        <v>17.9528616745052</v>
      </c>
      <c r="M3152" s="2" t="n">
        <v>5403.38741449239</v>
      </c>
      <c r="N3152" s="3" t="n">
        <f aca="false">(Tabla2[[#This Row],[Productividad (kg/TAS)]]*Tabla2[[#This Row],[Precio por kg]]-Tabla2[[#This Row],[Costos (En RD$/Tarea)]])</f>
        <v>4804.37081445714</v>
      </c>
      <c r="O3152" s="9" t="n">
        <f aca="false">IF(Tabla2[[#This Row],[Costos (En RD$/Tarea)]]=0,0,Tabla2[[#This Row],[Beneficio Neto  (En RD$/Tarea)]]/Tabla2[[#This Row],[Costos (En RD$/Tarea)]])</f>
        <v>0.889140542018396</v>
      </c>
      <c r="P3152" s="7" t="n">
        <f aca="false">Tabla2[[#This Row],[Rentabilidad (%)]]/12</f>
        <v>0.0740950451681997</v>
      </c>
    </row>
    <row r="3153" customFormat="false" ht="14.25" hidden="false" customHeight="false" outlineLevel="0" collapsed="false">
      <c r="A3153" s="1" t="n">
        <v>44501</v>
      </c>
      <c r="B3153" s="2" t="s">
        <v>26</v>
      </c>
      <c r="C3153" s="3" t="n">
        <v>9444</v>
      </c>
      <c r="D3153" s="8" t="s">
        <v>17</v>
      </c>
      <c r="E3153" s="3" t="n">
        <f aca="false">IF(Tabla2[[#This Row],[Frecuencia]]="Annual", Tabla2[[#This Row],[Cosecha/Tarea]]/12,Tabla2[[#This Row],[Cosecha/Tarea]])</f>
        <v>9444</v>
      </c>
      <c r="F3153" s="3" t="n">
        <v>94383</v>
      </c>
      <c r="G3153" s="2" t="s">
        <v>18</v>
      </c>
      <c r="H3153" s="2" t="n">
        <f aca="false">F3153/Tabla2[[#This Row],[Cosecha Mensual]]</f>
        <v>9.99396442185515</v>
      </c>
      <c r="I3153" s="2" t="n">
        <f aca="false">H3153*_xlfn.XLOOKUP(Tabla2[[#This Row],[Unidad de producción]],Tabla3[Medida],Tabla3[Equivalencia en Kg],"ELVIS",0)</f>
        <v>453.326226175349</v>
      </c>
      <c r="J3153" s="2" t="n">
        <v>1304.4765625</v>
      </c>
      <c r="K3153" s="2" t="s">
        <v>18</v>
      </c>
      <c r="L3153" s="2" t="n">
        <f aca="false">J3153/_xlfn.XLOOKUP(Tabla2[[#This Row],[Unidad de precio]],Tabla3[Medida],Tabla3[Equivalencia en Kg],"ELVIS",0)</f>
        <v>28.7583016424162</v>
      </c>
      <c r="M3153" s="2" t="n">
        <v>1910.99135924874</v>
      </c>
      <c r="N3153" s="3" t="n">
        <f aca="false">(Tabla2[[#This Row],[Productividad (kg/TAS)]]*Tabla2[[#This Row],[Precio por kg]]-Tabla2[[#This Row],[Costos (En RD$/Tarea)]])</f>
        <v>11125.9009955202</v>
      </c>
      <c r="O3153" s="9" t="n">
        <f aca="false">IF(Tabla2[[#This Row],[Costos (En RD$/Tarea)]]=0,0,Tabla2[[#This Row],[Beneficio Neto  (En RD$/Tarea)]]/Tabla2[[#This Row],[Costos (En RD$/Tarea)]])</f>
        <v>5.82205719647735</v>
      </c>
      <c r="P3153" s="7" t="n">
        <f aca="false">Tabla2[[#This Row],[Rentabilidad (%)]]/12</f>
        <v>0.485171433039779</v>
      </c>
    </row>
    <row r="3154" customFormat="false" ht="14.25" hidden="false" customHeight="false" outlineLevel="0" collapsed="false">
      <c r="A3154" s="1" t="n">
        <v>44501</v>
      </c>
      <c r="B3154" s="2" t="s">
        <v>27</v>
      </c>
      <c r="C3154" s="3" t="n">
        <v>1278</v>
      </c>
      <c r="D3154" s="8" t="s">
        <v>17</v>
      </c>
      <c r="E3154" s="3" t="n">
        <f aca="false">IF(Tabla2[[#This Row],[Frecuencia]]="Annual", Tabla2[[#This Row],[Cosecha/Tarea]]/12,Tabla2[[#This Row],[Cosecha/Tarea]])</f>
        <v>1278</v>
      </c>
      <c r="F3154" s="3" t="n">
        <v>13954</v>
      </c>
      <c r="G3154" s="2" t="s">
        <v>18</v>
      </c>
      <c r="H3154" s="2" t="n">
        <f aca="false">F3154/Tabla2[[#This Row],[Cosecha Mensual]]</f>
        <v>10.9186228482003</v>
      </c>
      <c r="I3154" s="2" t="n">
        <f aca="false">H3154*_xlfn.XLOOKUP(Tabla2[[#This Row],[Unidad de producción]],Tabla3[Medida],Tabla3[Equivalencia en Kg],"ELVIS",0)</f>
        <v>495.268732394366</v>
      </c>
      <c r="J3154" s="2" t="n">
        <v>993.975</v>
      </c>
      <c r="K3154" s="2" t="s">
        <v>18</v>
      </c>
      <c r="L3154" s="2" t="n">
        <f aca="false">J3154/_xlfn.XLOOKUP(Tabla2[[#This Row],[Unidad de precio]],Tabla3[Medida],Tabla3[Equivalencia en Kg],"ELVIS",0)</f>
        <v>21.9130291005291</v>
      </c>
      <c r="M3154" s="2" t="n">
        <v>10561.2569707933</v>
      </c>
      <c r="N3154" s="3" t="n">
        <f aca="false">(Tabla2[[#This Row],[Productividad (kg/TAS)]]*Tabla2[[#This Row],[Precio por kg]]-Tabla2[[#This Row],[Costos (En RD$/Tarea)]])</f>
        <v>291.581174746607</v>
      </c>
      <c r="O3154" s="9" t="n">
        <f aca="false">IF(Tabla2[[#This Row],[Costos (En RD$/Tarea)]]=0,0,Tabla2[[#This Row],[Beneficio Neto  (En RD$/Tarea)]]/Tabla2[[#This Row],[Costos (En RD$/Tarea)]])</f>
        <v>0.0276085673848257</v>
      </c>
      <c r="P3154" s="7" t="n">
        <f aca="false">Tabla2[[#This Row],[Rentabilidad (%)]]/12</f>
        <v>0.00230071394873547</v>
      </c>
    </row>
    <row r="3155" customFormat="false" ht="14.25" hidden="false" customHeight="false" outlineLevel="0" collapsed="false">
      <c r="A3155" s="1" t="n">
        <v>44501</v>
      </c>
      <c r="B3155" s="2" t="s">
        <v>28</v>
      </c>
      <c r="C3155" s="3" t="n">
        <v>48718</v>
      </c>
      <c r="D3155" s="8" t="s">
        <v>17</v>
      </c>
      <c r="E3155" s="3" t="n">
        <f aca="false">IF(Tabla2[[#This Row],[Frecuencia]]="Annual", Tabla2[[#This Row],[Cosecha/Tarea]]/12,Tabla2[[#This Row],[Cosecha/Tarea]])</f>
        <v>48718</v>
      </c>
      <c r="F3155" s="3" t="n">
        <v>1121022</v>
      </c>
      <c r="G3155" s="2" t="s">
        <v>18</v>
      </c>
      <c r="H3155" s="2" t="n">
        <f aca="false">F3155/Tabla2[[#This Row],[Cosecha Mensual]]</f>
        <v>23.0104273574449</v>
      </c>
      <c r="I3155" s="2" t="n">
        <f aca="false">H3155*_xlfn.XLOOKUP(Tabla2[[#This Row],[Unidad de producción]],Tabla3[Medida],Tabla3[Equivalencia en Kg],"ELVIS",0)</f>
        <v>1043.7529849337</v>
      </c>
      <c r="J3155" s="2" t="n">
        <v>8250.67708333333</v>
      </c>
      <c r="K3155" s="2" t="s">
        <v>29</v>
      </c>
      <c r="L3155" s="2" t="n">
        <f aca="false">J3155/_xlfn.XLOOKUP(Tabla2[[#This Row],[Unidad de precio]],Tabla3[Medida],Tabla3[Equivalencia en Kg],"ELVIS",0)</f>
        <v>14.6720437517042</v>
      </c>
      <c r="M3155" s="2" t="n">
        <v>20320.344</v>
      </c>
      <c r="N3155" s="3" t="n">
        <f aca="false">(Tabla2[[#This Row],[Productividad (kg/TAS)]]*Tabla2[[#This Row],[Precio por kg]]-Tabla2[[#This Row],[Costos (En RD$/Tarea)]])</f>
        <v>-5006.35453908092</v>
      </c>
      <c r="O3155" s="9" t="n">
        <f aca="false">IF(Tabla2[[#This Row],[Costos (En RD$/Tarea)]]=0,0,Tabla2[[#This Row],[Beneficio Neto  (En RD$/Tarea)]]/Tabla2[[#This Row],[Costos (En RD$/Tarea)]])</f>
        <v>-0.246371544649093</v>
      </c>
      <c r="P3155" s="7" t="n">
        <f aca="false">Tabla2[[#This Row],[Rentabilidad (%)]]/12</f>
        <v>-0.020530962054091</v>
      </c>
    </row>
    <row r="3156" customFormat="false" ht="14.25" hidden="false" customHeight="false" outlineLevel="0" collapsed="false">
      <c r="A3156" s="1" t="n">
        <v>44501</v>
      </c>
      <c r="B3156" s="2" t="s">
        <v>30</v>
      </c>
      <c r="C3156" s="3" t="n">
        <v>442154</v>
      </c>
      <c r="D3156" s="3" t="s">
        <v>31</v>
      </c>
      <c r="E3156" s="3" t="n">
        <f aca="false">IF(Tabla2[[#This Row],[Frecuencia]]="Annual", Tabla2[[#This Row],[Cosecha/Tarea]]/12,Tabla2[[#This Row],[Cosecha/Tarea]])</f>
        <v>36846.1666666667</v>
      </c>
      <c r="F3156" s="3" t="n">
        <v>1872069</v>
      </c>
      <c r="G3156" s="2" t="s">
        <v>18</v>
      </c>
      <c r="H3156" s="2" t="n">
        <f aca="false">F3156/Tabla2[[#This Row],[Cosecha Mensual]]</f>
        <v>50.8077004844466</v>
      </c>
      <c r="I3156" s="2" t="n">
        <f aca="false">H3156*_xlfn.XLOOKUP(Tabla2[[#This Row],[Unidad de producción]],Tabla3[Medida],Tabla3[Equivalencia en Kg],"ELVIS",0)</f>
        <v>2304.6372939745</v>
      </c>
      <c r="J3156" s="2" t="n">
        <v>220.3125</v>
      </c>
      <c r="K3156" s="2" t="s">
        <v>32</v>
      </c>
      <c r="L3156" s="2" t="n">
        <f aca="false">J3156/_xlfn.XLOOKUP(Tabla2[[#This Row],[Unidad de precio]],Tabla3[Medida],Tabla3[Equivalencia en Kg],"ELVIS",0)</f>
        <v>8.09674751929438</v>
      </c>
      <c r="M3156" s="3" t="n">
        <v>40592.4361945306</v>
      </c>
      <c r="N3156" s="3" t="n">
        <f aca="false">(Tabla2[[#This Row],[Productividad (kg/TAS)]]*Tabla2[[#This Row],[Precio por kg]]-Tabla2[[#This Row],[Costos (En RD$/Tarea)]])</f>
        <v>-21932.3699016693</v>
      </c>
      <c r="O3156" s="9" t="n">
        <f aca="false">IF(Tabla2[[#This Row],[Costos (En RD$/Tarea)]]=0,0,Tabla2[[#This Row],[Beneficio Neto  (En RD$/Tarea)]]/Tabla2[[#This Row],[Costos (En RD$/Tarea)]])</f>
        <v>-0.540306814712058</v>
      </c>
      <c r="P3156" s="7" t="n">
        <f aca="false">Tabla2[[#This Row],[Rentabilidad (%)]]/12</f>
        <v>-0.0450255678926715</v>
      </c>
    </row>
    <row r="3157" customFormat="false" ht="14.25" hidden="false" customHeight="false" outlineLevel="0" collapsed="false">
      <c r="A3157" s="1" t="n">
        <v>44501</v>
      </c>
      <c r="B3157" s="2" t="s">
        <v>33</v>
      </c>
      <c r="C3157" s="3" t="n">
        <v>741244</v>
      </c>
      <c r="D3157" s="3" t="s">
        <v>31</v>
      </c>
      <c r="E3157" s="3" t="n">
        <f aca="false">IF(Tabla2[[#This Row],[Frecuencia]]="Annual", Tabla2[[#This Row],[Cosecha/Tarea]]/12,Tabla2[[#This Row],[Cosecha/Tarea]])</f>
        <v>61770.3333333333</v>
      </c>
      <c r="F3157" s="3" t="n">
        <v>1193040</v>
      </c>
      <c r="G3157" s="2" t="s">
        <v>18</v>
      </c>
      <c r="H3157" s="2" t="n">
        <f aca="false">F3157/Tabla2[[#This Row],[Cosecha Mensual]]</f>
        <v>19.3141259828073</v>
      </c>
      <c r="I3157" s="2" t="n">
        <f aca="false">H3157*_xlfn.XLOOKUP(Tabla2[[#This Row],[Unidad de producción]],Tabla3[Medida],Tabla3[Equivalencia en Kg],"ELVIS",0)</f>
        <v>876.088754580138</v>
      </c>
      <c r="J3157" s="2" t="n">
        <v>5790.23177083333</v>
      </c>
      <c r="K3157" s="2" t="s">
        <v>34</v>
      </c>
      <c r="L3157" s="2" t="n">
        <f aca="false">J3157/_xlfn.XLOOKUP(Tabla2[[#This Row],[Unidad de precio]],Tabla3[Medida],Tabla3[Equivalencia en Kg],"ELVIS",0)</f>
        <v>14.1865289007309</v>
      </c>
      <c r="M3157" s="3" t="n">
        <v>43963.4440344</v>
      </c>
      <c r="N3157" s="3" t="n">
        <f aca="false">(Tabla2[[#This Row],[Productividad (kg/TAS)]]*Tabla2[[#This Row],[Precio por kg]]-Tabla2[[#This Row],[Costos (En RD$/Tarea)]])</f>
        <v>-31534.7855979435</v>
      </c>
      <c r="O3157" s="9" t="n">
        <f aca="false">IF(Tabla2[[#This Row],[Costos (En RD$/Tarea)]]=0,0,Tabla2[[#This Row],[Beneficio Neto  (En RD$/Tarea)]]/Tabla2[[#This Row],[Costos (En RD$/Tarea)]])</f>
        <v>-0.717295614357886</v>
      </c>
      <c r="P3157" s="7" t="n">
        <f aca="false">Tabla2[[#This Row],[Rentabilidad (%)]]/12</f>
        <v>-0.0597746345298239</v>
      </c>
    </row>
    <row r="3158" customFormat="false" ht="14.25" hidden="false" customHeight="false" outlineLevel="0" collapsed="false">
      <c r="A3158" s="1" t="n">
        <v>44531</v>
      </c>
      <c r="B3158" s="2" t="s">
        <v>16</v>
      </c>
      <c r="C3158" s="3" t="n">
        <v>143776</v>
      </c>
      <c r="D3158" s="8" t="s">
        <v>17</v>
      </c>
      <c r="E3158" s="3" t="n">
        <f aca="false">IF(Tabla2[[#This Row],[Frecuencia]]="Annual", Tabla2[[#This Row],[Cosecha/Tarea]]/12,Tabla2[[#This Row],[Cosecha/Tarea]])</f>
        <v>143776</v>
      </c>
      <c r="F3158" s="3" t="n">
        <v>538947</v>
      </c>
      <c r="G3158" s="2" t="s">
        <v>18</v>
      </c>
      <c r="H3158" s="2" t="n">
        <f aca="false">F3158/Tabla2[[#This Row],[Cosecha Mensual]]</f>
        <v>3.74851852882261</v>
      </c>
      <c r="I3158" s="2" t="n">
        <f aca="false">H3158*_xlfn.XLOOKUP(Tabla2[[#This Row],[Unidad de producción]],Tabla3[Medida],Tabla3[Equivalencia en Kg],"ELVIS",0)</f>
        <v>170.032800467394</v>
      </c>
      <c r="J3158" s="2" t="n">
        <v>2588.96310898947</v>
      </c>
      <c r="K3158" s="2" t="s">
        <v>19</v>
      </c>
      <c r="L3158" s="2" t="n">
        <f aca="false">J3158/_xlfn.XLOOKUP(Tabla2[[#This Row],[Unidad de precio]],Tabla3[Medida],Tabla3[Equivalencia en Kg],"ELVIS",0)</f>
        <v>23.5360282635406</v>
      </c>
      <c r="M3158" s="2" t="n">
        <v>7900.39794477161</v>
      </c>
      <c r="N3158" s="3" t="n">
        <f aca="false">(Tabla2[[#This Row],[Productividad (kg/TAS)]]*Tabla2[[#This Row],[Precio por kg]]-Tabla2[[#This Row],[Costos (En RD$/Tarea)]])</f>
        <v>-3898.50114724207</v>
      </c>
      <c r="O3158" s="9" t="n">
        <f aca="false">IF(Tabla2[[#This Row],[Costos (En RD$/Tarea)]]=0,0,Tabla2[[#This Row],[Beneficio Neto  (En RD$/Tarea)]]/Tabla2[[#This Row],[Costos (En RD$/Tarea)]])</f>
        <v>-0.493456301124939</v>
      </c>
      <c r="P3158" s="7" t="n">
        <f aca="false">Tabla2[[#This Row],[Rentabilidad (%)]]/12</f>
        <v>-0.0411213584270782</v>
      </c>
    </row>
    <row r="3159" customFormat="false" ht="14.25" hidden="false" customHeight="false" outlineLevel="0" collapsed="false">
      <c r="A3159" s="1" t="n">
        <v>44531</v>
      </c>
      <c r="B3159" s="2" t="s">
        <v>20</v>
      </c>
      <c r="C3159" s="3" t="n">
        <v>30746</v>
      </c>
      <c r="D3159" s="8" t="s">
        <v>17</v>
      </c>
      <c r="E3159" s="3" t="n">
        <f aca="false">IF(Tabla2[[#This Row],[Frecuencia]]="Annual", Tabla2[[#This Row],[Cosecha/Tarea]]/12,Tabla2[[#This Row],[Cosecha/Tarea]])</f>
        <v>30746</v>
      </c>
      <c r="F3159" s="3" t="n">
        <v>74876</v>
      </c>
      <c r="G3159" s="2" t="s">
        <v>18</v>
      </c>
      <c r="H3159" s="2" t="n">
        <f aca="false">F3159/Tabla2[[#This Row],[Cosecha Mensual]]</f>
        <v>2.43530865803682</v>
      </c>
      <c r="I3159" s="2" t="n">
        <f aca="false">H3159*_xlfn.XLOOKUP(Tabla2[[#This Row],[Unidad de producción]],Tabla3[Medida],Tabla3[Equivalencia en Kg],"ELVIS",0)</f>
        <v>110.46560072855</v>
      </c>
      <c r="J3159" s="2" t="n">
        <v>1040.7984375</v>
      </c>
      <c r="K3159" s="2" t="s">
        <v>18</v>
      </c>
      <c r="L3159" s="2" t="n">
        <f aca="false">J3159/_xlfn.XLOOKUP(Tabla2[[#This Row],[Unidad de precio]],Tabla3[Medida],Tabla3[Equivalencia en Kg],"ELVIS",0)</f>
        <v>22.9452918320106</v>
      </c>
      <c r="M3159" s="2" t="n">
        <v>2759.06577122957</v>
      </c>
      <c r="N3159" s="3" t="n">
        <f aca="false">(Tabla2[[#This Row],[Productividad (kg/TAS)]]*Tabla2[[#This Row],[Precio por kg]]-Tabla2[[#This Row],[Costos (En RD$/Tarea)]])</f>
        <v>-224.400325114628</v>
      </c>
      <c r="O3159" s="9" t="n">
        <f aca="false">IF(Tabla2[[#This Row],[Costos (En RD$/Tarea)]]=0,0,Tabla2[[#This Row],[Beneficio Neto  (En RD$/Tarea)]]/Tabla2[[#This Row],[Costos (En RD$/Tarea)]])</f>
        <v>-0.0813319955814697</v>
      </c>
      <c r="P3159" s="7" t="n">
        <f aca="false">Tabla2[[#This Row],[Rentabilidad (%)]]/12</f>
        <v>-0.00677766629845581</v>
      </c>
    </row>
    <row r="3160" customFormat="false" ht="14.25" hidden="false" customHeight="false" outlineLevel="0" collapsed="false">
      <c r="A3160" s="1" t="n">
        <v>44531</v>
      </c>
      <c r="B3160" s="2" t="s">
        <v>21</v>
      </c>
      <c r="C3160" s="3" t="n">
        <v>9733</v>
      </c>
      <c r="D3160" s="8" t="s">
        <v>17</v>
      </c>
      <c r="E3160" s="3" t="n">
        <f aca="false">IF(Tabla2[[#This Row],[Frecuencia]]="Annual", Tabla2[[#This Row],[Cosecha/Tarea]]/12,Tabla2[[#This Row],[Cosecha/Tarea]])</f>
        <v>9733</v>
      </c>
      <c r="F3160" s="3" t="n">
        <v>113884</v>
      </c>
      <c r="G3160" s="2" t="s">
        <v>18</v>
      </c>
      <c r="H3160" s="2" t="n">
        <f aca="false">F3160/Tabla2[[#This Row],[Cosecha Mensual]]</f>
        <v>11.7008116716326</v>
      </c>
      <c r="I3160" s="2" t="n">
        <f aca="false">H3160*_xlfn.XLOOKUP(Tabla2[[#This Row],[Unidad de producción]],Tabla3[Medida],Tabla3[Equivalencia en Kg],"ELVIS",0)</f>
        <v>530.748817425254</v>
      </c>
      <c r="J3160" s="2" t="n">
        <v>719.227552083333</v>
      </c>
      <c r="K3160" s="2" t="s">
        <v>18</v>
      </c>
      <c r="L3160" s="2" t="n">
        <f aca="false">J3160/_xlfn.XLOOKUP(Tabla2[[#This Row],[Unidad de precio]],Tabla3[Medida],Tabla3[Equivalencia en Kg],"ELVIS",0)</f>
        <v>15.8559865979571</v>
      </c>
      <c r="M3160" s="2" t="n">
        <v>6695.95013513731</v>
      </c>
      <c r="N3160" s="3" t="n">
        <f aca="false">(Tabla2[[#This Row],[Productividad (kg/TAS)]]*Tabla2[[#This Row],[Precio por kg]]-Tabla2[[#This Row],[Costos (En RD$/Tarea)]])</f>
        <v>1719.59600083909</v>
      </c>
      <c r="O3160" s="9" t="n">
        <f aca="false">IF(Tabla2[[#This Row],[Costos (En RD$/Tarea)]]=0,0,Tabla2[[#This Row],[Beneficio Neto  (En RD$/Tarea)]]/Tabla2[[#This Row],[Costos (En RD$/Tarea)]])</f>
        <v>0.25681135106061</v>
      </c>
      <c r="P3160" s="7" t="n">
        <f aca="false">Tabla2[[#This Row],[Rentabilidad (%)]]/12</f>
        <v>0.0214009459217175</v>
      </c>
    </row>
    <row r="3161" customFormat="false" ht="14.25" hidden="false" customHeight="false" outlineLevel="0" collapsed="false">
      <c r="A3161" s="1" t="n">
        <v>44531</v>
      </c>
      <c r="B3161" s="2" t="s">
        <v>22</v>
      </c>
      <c r="C3161" s="3" t="n">
        <v>2937</v>
      </c>
      <c r="D3161" s="8" t="s">
        <v>17</v>
      </c>
      <c r="E3161" s="3" t="n">
        <f aca="false">IF(Tabla2[[#This Row],[Frecuencia]]="Annual", Tabla2[[#This Row],[Cosecha/Tarea]]/12,Tabla2[[#This Row],[Cosecha/Tarea]])</f>
        <v>2937</v>
      </c>
      <c r="F3161" s="3" t="n">
        <v>34508</v>
      </c>
      <c r="G3161" s="2" t="s">
        <v>18</v>
      </c>
      <c r="H3161" s="2" t="n">
        <f aca="false">F3161/Tabla2[[#This Row],[Cosecha Mensual]]</f>
        <v>11.7494041538985</v>
      </c>
      <c r="I3161" s="2" t="n">
        <f aca="false">H3161*_xlfn.XLOOKUP(Tabla2[[#This Row],[Unidad de producción]],Tabla3[Medida],Tabla3[Equivalencia en Kg],"ELVIS",0)</f>
        <v>532.952972420838</v>
      </c>
      <c r="J3161" s="2" t="n">
        <v>1739.74583333333</v>
      </c>
      <c r="K3161" s="2" t="s">
        <v>18</v>
      </c>
      <c r="L3161" s="2" t="n">
        <f aca="false">J3161/_xlfn.XLOOKUP(Tabla2[[#This Row],[Unidad de precio]],Tabla3[Medida],Tabla3[Equivalencia en Kg],"ELVIS",0)</f>
        <v>38.3541850382127</v>
      </c>
      <c r="M3161" s="2" t="n">
        <v>11609.3184891587</v>
      </c>
      <c r="N3161" s="3" t="n">
        <f aca="false">(Tabla2[[#This Row],[Productividad (kg/TAS)]]*Tabla2[[#This Row],[Precio por kg]]-Tabla2[[#This Row],[Costos (En RD$/Tarea)]])</f>
        <v>8831.6584317356</v>
      </c>
      <c r="O3161" s="9" t="n">
        <f aca="false">IF(Tabla2[[#This Row],[Costos (En RD$/Tarea)]]=0,0,Tabla2[[#This Row],[Beneficio Neto  (En RD$/Tarea)]]/Tabla2[[#This Row],[Costos (En RD$/Tarea)]])</f>
        <v>0.760738749650377</v>
      </c>
      <c r="P3161" s="7" t="n">
        <f aca="false">Tabla2[[#This Row],[Rentabilidad (%)]]/12</f>
        <v>0.0633948958041981</v>
      </c>
    </row>
    <row r="3162" customFormat="false" ht="14.25" hidden="false" customHeight="false" outlineLevel="0" collapsed="false">
      <c r="A3162" s="1" t="n">
        <v>44531</v>
      </c>
      <c r="B3162" s="2" t="s">
        <v>23</v>
      </c>
      <c r="C3162" s="3" t="n">
        <v>3870</v>
      </c>
      <c r="D3162" s="8" t="s">
        <v>17</v>
      </c>
      <c r="E3162" s="3" t="n">
        <f aca="false">IF(Tabla2[[#This Row],[Frecuencia]]="Annual", Tabla2[[#This Row],[Cosecha/Tarea]]/12,Tabla2[[#This Row],[Cosecha/Tarea]])</f>
        <v>3870</v>
      </c>
      <c r="F3162" s="3" t="n">
        <v>150849</v>
      </c>
      <c r="G3162" s="2" t="s">
        <v>18</v>
      </c>
      <c r="H3162" s="2" t="n">
        <f aca="false">F3162/Tabla2[[#This Row],[Cosecha Mensual]]</f>
        <v>38.9790697674419</v>
      </c>
      <c r="I3162" s="2" t="n">
        <f aca="false">H3162*_xlfn.XLOOKUP(Tabla2[[#This Row],[Unidad de producción]],Tabla3[Medida],Tabla3[Equivalencia en Kg],"ELVIS",0)</f>
        <v>1768.09060465116</v>
      </c>
      <c r="J3162" s="2" t="n">
        <v>1100</v>
      </c>
      <c r="K3162" s="2" t="s">
        <v>18</v>
      </c>
      <c r="L3162" s="2" t="n">
        <f aca="false">J3162/_xlfn.XLOOKUP(Tabla2[[#This Row],[Unidad de precio]],Tabla3[Medida],Tabla3[Equivalencia en Kg],"ELVIS",0)</f>
        <v>24.2504409171076</v>
      </c>
      <c r="M3162" s="2" t="n">
        <v>31774.6512666667</v>
      </c>
      <c r="N3162" s="3" t="n">
        <f aca="false">(Tabla2[[#This Row],[Productividad (kg/TAS)]]*Tabla2[[#This Row],[Precio por kg]]-Tabla2[[#This Row],[Costos (En RD$/Tarea)]])</f>
        <v>11102.3254775194</v>
      </c>
      <c r="O3162" s="9" t="n">
        <f aca="false">IF(Tabla2[[#This Row],[Costos (En RD$/Tarea)]]=0,0,Tabla2[[#This Row],[Beneficio Neto  (En RD$/Tarea)]]/Tabla2[[#This Row],[Costos (En RD$/Tarea)]])</f>
        <v>0.349408255793079</v>
      </c>
      <c r="P3162" s="7" t="n">
        <f aca="false">Tabla2[[#This Row],[Rentabilidad (%)]]/12</f>
        <v>0.0291173546494232</v>
      </c>
    </row>
    <row r="3163" customFormat="false" ht="14.25" hidden="false" customHeight="false" outlineLevel="0" collapsed="false">
      <c r="A3163" s="1" t="n">
        <v>44531</v>
      </c>
      <c r="B3163" s="2" t="s">
        <v>24</v>
      </c>
      <c r="C3163" s="3" t="n">
        <v>8037</v>
      </c>
      <c r="D3163" s="8" t="s">
        <v>17</v>
      </c>
      <c r="E3163" s="3" t="n">
        <f aca="false">IF(Tabla2[[#This Row],[Frecuencia]]="Annual", Tabla2[[#This Row],[Cosecha/Tarea]]/12,Tabla2[[#This Row],[Cosecha/Tarea]])</f>
        <v>8037</v>
      </c>
      <c r="F3163" s="3" t="n">
        <v>102387</v>
      </c>
      <c r="G3163" s="2" t="s">
        <v>18</v>
      </c>
      <c r="H3163" s="2" t="n">
        <f aca="false">F3163/Tabla2[[#This Row],[Cosecha Mensual]]</f>
        <v>12.73945502053</v>
      </c>
      <c r="I3163" s="2" t="n">
        <f aca="false">H3163*_xlfn.XLOOKUP(Tabla2[[#This Row],[Unidad de producción]],Tabla3[Medida],Tabla3[Equivalencia en Kg],"ELVIS",0)</f>
        <v>577.861679731243</v>
      </c>
      <c r="J3163" s="2" t="n">
        <v>2355.99285714286</v>
      </c>
      <c r="K3163" s="2" t="s">
        <v>18</v>
      </c>
      <c r="L3163" s="2" t="n">
        <f aca="false">J3163/_xlfn.XLOOKUP(Tabla2[[#This Row],[Unidad de precio]],Tabla3[Medida],Tabla3[Equivalencia en Kg],"ELVIS",0)</f>
        <v>51.9398778029731</v>
      </c>
      <c r="M3163" s="2" t="n">
        <v>9606.85680953384</v>
      </c>
      <c r="N3163" s="3" t="n">
        <f aca="false">(Tabla2[[#This Row],[Productividad (kg/TAS)]]*Tabla2[[#This Row],[Precio por kg]]-Tabla2[[#This Row],[Costos (En RD$/Tarea)]])</f>
        <v>20407.2082227277</v>
      </c>
      <c r="O3163" s="9" t="n">
        <f aca="false">IF(Tabla2[[#This Row],[Costos (En RD$/Tarea)]]=0,0,Tabla2[[#This Row],[Beneficio Neto  (En RD$/Tarea)]]/Tabla2[[#This Row],[Costos (En RD$/Tarea)]])</f>
        <v>2.12423362056106</v>
      </c>
      <c r="P3163" s="7" t="n">
        <f aca="false">Tabla2[[#This Row],[Rentabilidad (%)]]/12</f>
        <v>0.177019468380088</v>
      </c>
    </row>
    <row r="3164" customFormat="false" ht="14.25" hidden="false" customHeight="false" outlineLevel="0" collapsed="false">
      <c r="A3164" s="1" t="n">
        <v>44531</v>
      </c>
      <c r="B3164" s="2" t="s">
        <v>25</v>
      </c>
      <c r="C3164" s="3" t="n">
        <v>20590</v>
      </c>
      <c r="D3164" s="8" t="s">
        <v>17</v>
      </c>
      <c r="E3164" s="3" t="n">
        <f aca="false">IF(Tabla2[[#This Row],[Frecuencia]]="Annual", Tabla2[[#This Row],[Cosecha/Tarea]]/12,Tabla2[[#This Row],[Cosecha/Tarea]])</f>
        <v>20590</v>
      </c>
      <c r="F3164" s="3" t="n">
        <v>232513</v>
      </c>
      <c r="G3164" s="2" t="s">
        <v>18</v>
      </c>
      <c r="H3164" s="2" t="n">
        <f aca="false">F3164/Tabla2[[#This Row],[Cosecha Mensual]]</f>
        <v>11.2925206410879</v>
      </c>
      <c r="I3164" s="2" t="n">
        <f aca="false">H3164*_xlfn.XLOOKUP(Tabla2[[#This Row],[Unidad de producción]],Tabla3[Medida],Tabla3[Equivalencia en Kg],"ELVIS",0)</f>
        <v>512.228736279747</v>
      </c>
      <c r="J3164" s="2" t="n">
        <v>822.063645833333</v>
      </c>
      <c r="K3164" s="2" t="s">
        <v>18</v>
      </c>
      <c r="L3164" s="2" t="n">
        <f aca="false">J3164/_xlfn.XLOOKUP(Tabla2[[#This Row],[Unidad de precio]],Tabla3[Medida],Tabla3[Equivalencia en Kg],"ELVIS",0)</f>
        <v>18.1230962485303</v>
      </c>
      <c r="M3164" s="2" t="n">
        <v>5403.38741449239</v>
      </c>
      <c r="N3164" s="3" t="n">
        <f aca="false">(Tabla2[[#This Row],[Productividad (kg/TAS)]]*Tabla2[[#This Row],[Precio por kg]]-Tabla2[[#This Row],[Costos (En RD$/Tarea)]])</f>
        <v>3879.7832743685</v>
      </c>
      <c r="O3164" s="9" t="n">
        <f aca="false">IF(Tabla2[[#This Row],[Costos (En RD$/Tarea)]]=0,0,Tabla2[[#This Row],[Beneficio Neto  (En RD$/Tarea)]]/Tabla2[[#This Row],[Costos (En RD$/Tarea)]])</f>
        <v>0.718027965931623</v>
      </c>
      <c r="P3164" s="7" t="n">
        <f aca="false">Tabla2[[#This Row],[Rentabilidad (%)]]/12</f>
        <v>0.0598356638276352</v>
      </c>
    </row>
    <row r="3165" customFormat="false" ht="14.25" hidden="false" customHeight="false" outlineLevel="0" collapsed="false">
      <c r="A3165" s="1" t="n">
        <v>44531</v>
      </c>
      <c r="B3165" s="2" t="s">
        <v>26</v>
      </c>
      <c r="C3165" s="3" t="n">
        <v>9362</v>
      </c>
      <c r="D3165" s="8" t="s">
        <v>17</v>
      </c>
      <c r="E3165" s="3" t="n">
        <f aca="false">IF(Tabla2[[#This Row],[Frecuencia]]="Annual", Tabla2[[#This Row],[Cosecha/Tarea]]/12,Tabla2[[#This Row],[Cosecha/Tarea]])</f>
        <v>9362</v>
      </c>
      <c r="F3165" s="3" t="n">
        <v>86699</v>
      </c>
      <c r="G3165" s="2" t="s">
        <v>18</v>
      </c>
      <c r="H3165" s="2" t="n">
        <f aca="false">F3165/Tabla2[[#This Row],[Cosecha Mensual]]</f>
        <v>9.26073488570818</v>
      </c>
      <c r="I3165" s="2" t="n">
        <f aca="false">H3165*_xlfn.XLOOKUP(Tabla2[[#This Row],[Unidad de producción]],Tabla3[Medida],Tabla3[Equivalencia en Kg],"ELVIS",0)</f>
        <v>420.066934415723</v>
      </c>
      <c r="J3165" s="2" t="n">
        <v>1415.89166666667</v>
      </c>
      <c r="K3165" s="2" t="s">
        <v>18</v>
      </c>
      <c r="L3165" s="2" t="n">
        <f aca="false">J3165/_xlfn.XLOOKUP(Tabla2[[#This Row],[Unidad de precio]],Tabla3[Medida],Tabla3[Equivalencia en Kg],"ELVIS",0)</f>
        <v>31.2145429159319</v>
      </c>
      <c r="M3165" s="2" t="n">
        <v>1910.99135924874</v>
      </c>
      <c r="N3165" s="3" t="n">
        <f aca="false">(Tabla2[[#This Row],[Productividad (kg/TAS)]]*Tabla2[[#This Row],[Precio por kg]]-Tabla2[[#This Row],[Costos (En RD$/Tarea)]])</f>
        <v>11201.2059926348</v>
      </c>
      <c r="O3165" s="9" t="n">
        <f aca="false">IF(Tabla2[[#This Row],[Costos (En RD$/Tarea)]]=0,0,Tabla2[[#This Row],[Beneficio Neto  (En RD$/Tarea)]]/Tabla2[[#This Row],[Costos (En RD$/Tarea)]])</f>
        <v>5.86146344326657</v>
      </c>
      <c r="P3165" s="7" t="n">
        <f aca="false">Tabla2[[#This Row],[Rentabilidad (%)]]/12</f>
        <v>0.488455286938881</v>
      </c>
    </row>
    <row r="3166" customFormat="false" ht="14.25" hidden="false" customHeight="false" outlineLevel="0" collapsed="false">
      <c r="A3166" s="1" t="n">
        <v>44531</v>
      </c>
      <c r="B3166" s="2" t="s">
        <v>27</v>
      </c>
      <c r="C3166" s="3" t="n">
        <v>2910</v>
      </c>
      <c r="D3166" s="8" t="s">
        <v>17</v>
      </c>
      <c r="E3166" s="3" t="n">
        <f aca="false">IF(Tabla2[[#This Row],[Frecuencia]]="Annual", Tabla2[[#This Row],[Cosecha/Tarea]]/12,Tabla2[[#This Row],[Cosecha/Tarea]])</f>
        <v>2910</v>
      </c>
      <c r="F3166" s="3" t="n">
        <v>38169</v>
      </c>
      <c r="G3166" s="2" t="s">
        <v>18</v>
      </c>
      <c r="H3166" s="2" t="n">
        <f aca="false">F3166/Tabla2[[#This Row],[Cosecha Mensual]]</f>
        <v>13.1164948453608</v>
      </c>
      <c r="I3166" s="2" t="n">
        <f aca="false">H3166*_xlfn.XLOOKUP(Tabla2[[#This Row],[Unidad de producción]],Tabla3[Medida],Tabla3[Equivalencia en Kg],"ELVIS",0)</f>
        <v>594.964206185567</v>
      </c>
      <c r="J3166" s="2" t="n">
        <v>1257.13095238095</v>
      </c>
      <c r="K3166" s="2" t="s">
        <v>18</v>
      </c>
      <c r="L3166" s="2" t="n">
        <f aca="false">J3166/_xlfn.XLOOKUP(Tabla2[[#This Row],[Unidad de precio]],Tabla3[Medida],Tabla3[Equivalencia en Kg],"ELVIS",0)</f>
        <v>27.7145271688922</v>
      </c>
      <c r="M3166" s="2" t="n">
        <v>10561.2569707933</v>
      </c>
      <c r="N3166" s="3" t="n">
        <f aca="false">(Tabla2[[#This Row],[Productividad (kg/TAS)]]*Tabla2[[#This Row],[Precio por kg]]-Tabla2[[#This Row],[Costos (En RD$/Tarea)]])</f>
        <v>5927.89468605498</v>
      </c>
      <c r="O3166" s="9" t="n">
        <f aca="false">IF(Tabla2[[#This Row],[Costos (En RD$/Tarea)]]=0,0,Tabla2[[#This Row],[Beneficio Neto  (En RD$/Tarea)]]/Tabla2[[#This Row],[Costos (En RD$/Tarea)]])</f>
        <v>0.561286852734321</v>
      </c>
      <c r="P3166" s="7" t="n">
        <f aca="false">Tabla2[[#This Row],[Rentabilidad (%)]]/12</f>
        <v>0.0467739043945267</v>
      </c>
    </row>
    <row r="3167" customFormat="false" ht="14.25" hidden="false" customHeight="false" outlineLevel="0" collapsed="false">
      <c r="A3167" s="1" t="n">
        <v>44531</v>
      </c>
      <c r="B3167" s="2" t="s">
        <v>28</v>
      </c>
      <c r="C3167" s="3" t="n">
        <v>52713</v>
      </c>
      <c r="D3167" s="8" t="s">
        <v>17</v>
      </c>
      <c r="E3167" s="3" t="n">
        <f aca="false">IF(Tabla2[[#This Row],[Frecuencia]]="Annual", Tabla2[[#This Row],[Cosecha/Tarea]]/12,Tabla2[[#This Row],[Cosecha/Tarea]])</f>
        <v>52713</v>
      </c>
      <c r="F3167" s="3" t="n">
        <v>1226310</v>
      </c>
      <c r="G3167" s="2" t="s">
        <v>18</v>
      </c>
      <c r="H3167" s="2" t="n">
        <f aca="false">F3167/Tabla2[[#This Row],[Cosecha Mensual]]</f>
        <v>23.2639007455466</v>
      </c>
      <c r="I3167" s="2" t="n">
        <f aca="false">H3167*_xlfn.XLOOKUP(Tabla2[[#This Row],[Unidad de producción]],Tabla3[Medida],Tabla3[Equivalencia en Kg],"ELVIS",0)</f>
        <v>1055.250537818</v>
      </c>
      <c r="J3167" s="2" t="n">
        <v>10502.0238095238</v>
      </c>
      <c r="K3167" s="2" t="s">
        <v>29</v>
      </c>
      <c r="L3167" s="2" t="n">
        <f aca="false">J3167/_xlfn.XLOOKUP(Tabla2[[#This Row],[Unidad de precio]],Tabla3[Medida],Tabla3[Equivalencia en Kg],"ELVIS",0)</f>
        <v>18.6755767143077</v>
      </c>
      <c r="M3167" s="2" t="n">
        <v>20320.344</v>
      </c>
      <c r="N3167" s="3" t="n">
        <f aca="false">(Tabla2[[#This Row],[Productividad (kg/TAS)]]*Tabla2[[#This Row],[Precio por kg]]-Tabla2[[#This Row],[Costos (En RD$/Tarea)]])</f>
        <v>-612.931628165552</v>
      </c>
      <c r="O3167" s="9" t="n">
        <f aca="false">IF(Tabla2[[#This Row],[Costos (En RD$/Tarea)]]=0,0,Tabla2[[#This Row],[Beneficio Neto  (En RD$/Tarea)]]/Tabla2[[#This Row],[Costos (En RD$/Tarea)]])</f>
        <v>-0.0301634474379741</v>
      </c>
      <c r="P3167" s="7" t="n">
        <f aca="false">Tabla2[[#This Row],[Rentabilidad (%)]]/12</f>
        <v>-0.00251362061983117</v>
      </c>
    </row>
    <row r="3168" customFormat="false" ht="14.25" hidden="false" customHeight="false" outlineLevel="0" collapsed="false">
      <c r="A3168" s="1" t="n">
        <v>44531</v>
      </c>
      <c r="B3168" s="2" t="s">
        <v>30</v>
      </c>
      <c r="C3168" s="3" t="n">
        <v>468579</v>
      </c>
      <c r="D3168" s="3" t="s">
        <v>31</v>
      </c>
      <c r="E3168" s="3" t="n">
        <f aca="false">IF(Tabla2[[#This Row],[Frecuencia]]="Annual", Tabla2[[#This Row],[Cosecha/Tarea]]/12,Tabla2[[#This Row],[Cosecha/Tarea]])</f>
        <v>39048.25</v>
      </c>
      <c r="F3168" s="3" t="n">
        <v>2389112</v>
      </c>
      <c r="G3168" s="2" t="s">
        <v>18</v>
      </c>
      <c r="H3168" s="2" t="n">
        <f aca="false">F3168/Tabla2[[#This Row],[Cosecha Mensual]]</f>
        <v>61.1835869725276</v>
      </c>
      <c r="I3168" s="2" t="n">
        <f aca="false">H3168*_xlfn.XLOOKUP(Tabla2[[#This Row],[Unidad de producción]],Tabla3[Medida],Tabla3[Equivalencia en Kg],"ELVIS",0)</f>
        <v>2775.28750507385</v>
      </c>
      <c r="J3168" s="2" t="n">
        <v>202.46328125</v>
      </c>
      <c r="K3168" s="2" t="s">
        <v>32</v>
      </c>
      <c r="L3168" s="2" t="n">
        <f aca="false">J3168/_xlfn.XLOOKUP(Tabla2[[#This Row],[Unidad de precio]],Tabla3[Medida],Tabla3[Equivalencia en Kg],"ELVIS",0)</f>
        <v>7.44076741087835</v>
      </c>
      <c r="M3168" s="3" t="n">
        <v>40592.4361945306</v>
      </c>
      <c r="N3168" s="3" t="n">
        <f aca="false">(Tabla2[[#This Row],[Productividad (kg/TAS)]]*Tabla2[[#This Row],[Precio por kg]]-Tabla2[[#This Row],[Costos (En RD$/Tarea)]])</f>
        <v>-19942.1673709592</v>
      </c>
      <c r="O3168" s="9" t="n">
        <f aca="false">IF(Tabla2[[#This Row],[Costos (En RD$/Tarea)]]=0,0,Tabla2[[#This Row],[Beneficio Neto  (En RD$/Tarea)]]/Tabla2[[#This Row],[Costos (En RD$/Tarea)]])</f>
        <v>-0.491277913830809</v>
      </c>
      <c r="P3168" s="7" t="n">
        <f aca="false">Tabla2[[#This Row],[Rentabilidad (%)]]/12</f>
        <v>-0.0409398261525674</v>
      </c>
    </row>
    <row r="3169" customFormat="false" ht="14.25" hidden="false" customHeight="false" outlineLevel="0" collapsed="false">
      <c r="A3169" s="1" t="n">
        <v>44531</v>
      </c>
      <c r="B3169" s="2" t="s">
        <v>33</v>
      </c>
      <c r="C3169" s="3" t="n">
        <v>753547</v>
      </c>
      <c r="D3169" s="3" t="s">
        <v>31</v>
      </c>
      <c r="E3169" s="3" t="n">
        <f aca="false">IF(Tabla2[[#This Row],[Frecuencia]]="Annual", Tabla2[[#This Row],[Cosecha/Tarea]]/12,Tabla2[[#This Row],[Cosecha/Tarea]])</f>
        <v>62795.5833333333</v>
      </c>
      <c r="F3169" s="3" t="n">
        <v>1636425</v>
      </c>
      <c r="G3169" s="2" t="s">
        <v>18</v>
      </c>
      <c r="H3169" s="2" t="n">
        <f aca="false">F3169/Tabla2[[#This Row],[Cosecha Mensual]]</f>
        <v>26.0595556746958</v>
      </c>
      <c r="I3169" s="2" t="n">
        <f aca="false">H3169*_xlfn.XLOOKUP(Tabla2[[#This Row],[Unidad de producción]],Tabla3[Medida],Tabla3[Equivalencia en Kg],"ELVIS",0)</f>
        <v>1182.0614454042</v>
      </c>
      <c r="J3169" s="2" t="n">
        <v>6237.81458333333</v>
      </c>
      <c r="K3169" s="2" t="s">
        <v>34</v>
      </c>
      <c r="L3169" s="2" t="n">
        <f aca="false">J3169/_xlfn.XLOOKUP(Tabla2[[#This Row],[Unidad de precio]],Tabla3[Medida],Tabla3[Equivalencia en Kg],"ELVIS",0)</f>
        <v>15.2831424312957</v>
      </c>
      <c r="M3169" s="3" t="n">
        <v>43963.4440344</v>
      </c>
      <c r="N3169" s="3" t="n">
        <f aca="false">(Tabla2[[#This Row],[Productividad (kg/TAS)]]*Tabla2[[#This Row],[Precio por kg]]-Tabla2[[#This Row],[Costos (En RD$/Tarea)]])</f>
        <v>-25897.8306017444</v>
      </c>
      <c r="O3169" s="9" t="n">
        <f aca="false">IF(Tabla2[[#This Row],[Costos (En RD$/Tarea)]]=0,0,Tabla2[[#This Row],[Beneficio Neto  (En RD$/Tarea)]]/Tabla2[[#This Row],[Costos (En RD$/Tarea)]])</f>
        <v>-0.589076474115179</v>
      </c>
      <c r="P3169" s="7" t="n">
        <f aca="false">Tabla2[[#This Row],[Rentabilidad (%)]]/12</f>
        <v>-0.0490897061762649</v>
      </c>
    </row>
    <row r="3170" customFormat="false" ht="14.25" hidden="false" customHeight="false" outlineLevel="0" collapsed="false">
      <c r="A3170" s="1" t="n">
        <v>44562</v>
      </c>
      <c r="B3170" s="2" t="s">
        <v>16</v>
      </c>
      <c r="C3170" s="3" t="n">
        <v>25388</v>
      </c>
      <c r="D3170" s="8" t="s">
        <v>17</v>
      </c>
      <c r="E3170" s="3" t="n">
        <f aca="false">IF(Tabla2[[#This Row],[Frecuencia]]="Annual", Tabla2[[#This Row],[Cosecha/Tarea]]/12,Tabla2[[#This Row],[Cosecha/Tarea]])</f>
        <v>25388</v>
      </c>
      <c r="F3170" s="3" t="n">
        <v>92145</v>
      </c>
      <c r="G3170" s="2" t="s">
        <v>18</v>
      </c>
      <c r="H3170" s="2" t="n">
        <f aca="false">F3170/Tabla2[[#This Row],[Cosecha Mensual]]</f>
        <v>3.62947061603907</v>
      </c>
      <c r="I3170" s="2" t="n">
        <f aca="false">H3170*_xlfn.XLOOKUP(Tabla2[[#This Row],[Unidad de producción]],Tabla3[Medida],Tabla3[Equivalencia en Kg],"ELVIS",0)</f>
        <v>164.632787143532</v>
      </c>
      <c r="J3170" s="2" t="n">
        <v>2732.07823271911</v>
      </c>
      <c r="K3170" s="2" t="s">
        <v>19</v>
      </c>
      <c r="L3170" s="2" t="n">
        <f aca="false">J3170/_xlfn.XLOOKUP(Tabla2[[#This Row],[Unidad de precio]],Tabla3[Medida],Tabla3[Equivalencia en Kg],"ELVIS",0)</f>
        <v>24.837074842901</v>
      </c>
      <c r="M3170" s="2" t="n">
        <v>10006.7786059906</v>
      </c>
      <c r="N3170" s="3" t="n">
        <f aca="false">(Tabla2[[#This Row],[Productividad (kg/TAS)]]*Tabla2[[#This Row],[Precio por kg]]-Tabla2[[#This Row],[Costos (En RD$/Tarea)]])</f>
        <v>-5917.7817501113</v>
      </c>
      <c r="O3170" s="9" t="n">
        <f aca="false">IF(Tabla2[[#This Row],[Costos (En RD$/Tarea)]]=0,0,Tabla2[[#This Row],[Beneficio Neto  (En RD$/Tarea)]]/Tabla2[[#This Row],[Costos (En RD$/Tarea)]])</f>
        <v>-0.591377303637815</v>
      </c>
      <c r="P3170" s="7" t="n">
        <f aca="false">Tabla2[[#This Row],[Rentabilidad (%)]]/12</f>
        <v>-0.0492814419698179</v>
      </c>
    </row>
    <row r="3171" customFormat="false" ht="14.25" hidden="false" customHeight="false" outlineLevel="0" collapsed="false">
      <c r="A3171" s="1" t="n">
        <v>44562</v>
      </c>
      <c r="B3171" s="2" t="s">
        <v>20</v>
      </c>
      <c r="C3171" s="3" t="n">
        <v>53245</v>
      </c>
      <c r="D3171" s="8" t="s">
        <v>17</v>
      </c>
      <c r="E3171" s="3" t="n">
        <f aca="false">IF(Tabla2[[#This Row],[Frecuencia]]="Annual", Tabla2[[#This Row],[Cosecha/Tarea]]/12,Tabla2[[#This Row],[Cosecha/Tarea]])</f>
        <v>53245</v>
      </c>
      <c r="F3171" s="3" t="n">
        <v>98785</v>
      </c>
      <c r="G3171" s="2" t="s">
        <v>18</v>
      </c>
      <c r="H3171" s="2" t="n">
        <f aca="false">F3171/Tabla2[[#This Row],[Cosecha Mensual]]</f>
        <v>1.85529157667387</v>
      </c>
      <c r="I3171" s="2" t="n">
        <f aca="false">H3171*_xlfn.XLOOKUP(Tabla2[[#This Row],[Unidad de producción]],Tabla3[Medida],Tabla3[Equivalencia en Kg],"ELVIS",0)</f>
        <v>84.1560259179266</v>
      </c>
      <c r="J3171" s="2" t="n">
        <v>1125.9453125</v>
      </c>
      <c r="K3171" s="2" t="s">
        <v>18</v>
      </c>
      <c r="L3171" s="2" t="n">
        <f aca="false">J3171/_xlfn.XLOOKUP(Tabla2[[#This Row],[Unidad de precio]],Tabla3[Medida],Tabla3[Equivalencia en Kg],"ELVIS",0)</f>
        <v>24.8224275242504</v>
      </c>
      <c r="M3171" s="2" t="n">
        <v>4130.097717915</v>
      </c>
      <c r="N3171" s="3" t="n">
        <f aca="false">(Tabla2[[#This Row],[Productividad (kg/TAS)]]*Tabla2[[#This Row],[Precio por kg]]-Tabla2[[#This Row],[Costos (En RD$/Tarea)]])</f>
        <v>-2041.14086383833</v>
      </c>
      <c r="O3171" s="9" t="n">
        <f aca="false">IF(Tabla2[[#This Row],[Costos (En RD$/Tarea)]]=0,0,Tabla2[[#This Row],[Beneficio Neto  (En RD$/Tarea)]]/Tabla2[[#This Row],[Costos (En RD$/Tarea)]])</f>
        <v>-0.494211276160497</v>
      </c>
      <c r="P3171" s="7" t="n">
        <f aca="false">Tabla2[[#This Row],[Rentabilidad (%)]]/12</f>
        <v>-0.0411842730133747</v>
      </c>
    </row>
    <row r="3172" customFormat="false" ht="14.25" hidden="false" customHeight="false" outlineLevel="0" collapsed="false">
      <c r="A3172" s="1" t="n">
        <v>44562</v>
      </c>
      <c r="B3172" s="2" t="s">
        <v>21</v>
      </c>
      <c r="C3172" s="3" t="n">
        <v>6288</v>
      </c>
      <c r="D3172" s="8" t="s">
        <v>17</v>
      </c>
      <c r="E3172" s="3" t="n">
        <f aca="false">IF(Tabla2[[#This Row],[Frecuencia]]="Annual", Tabla2[[#This Row],[Cosecha/Tarea]]/12,Tabla2[[#This Row],[Cosecha/Tarea]])</f>
        <v>6288</v>
      </c>
      <c r="F3172" s="3" t="n">
        <v>85417</v>
      </c>
      <c r="G3172" s="2" t="s">
        <v>18</v>
      </c>
      <c r="H3172" s="2" t="n">
        <f aca="false">F3172/Tabla2[[#This Row],[Cosecha Mensual]]</f>
        <v>13.5841284987277</v>
      </c>
      <c r="I3172" s="2" t="n">
        <f aca="false">H3172*_xlfn.XLOOKUP(Tabla2[[#This Row],[Unidad de producción]],Tabla3[Medida],Tabla3[Equivalencia en Kg],"ELVIS",0)</f>
        <v>616.17606870229</v>
      </c>
      <c r="J3172" s="2" t="n">
        <v>893.770833333333</v>
      </c>
      <c r="K3172" s="2" t="s">
        <v>18</v>
      </c>
      <c r="L3172" s="2" t="n">
        <f aca="false">J3172/_xlfn.XLOOKUP(Tabla2[[#This Row],[Unidad de precio]],Tabla3[Medida],Tabla3[Equivalencia en Kg],"ELVIS",0)</f>
        <v>19.7039425338036</v>
      </c>
      <c r="M3172" s="2" t="n">
        <v>5858.17</v>
      </c>
      <c r="N3172" s="3" t="n">
        <f aca="false">(Tabla2[[#This Row],[Productividad (kg/TAS)]]*Tabla2[[#This Row],[Precio por kg]]-Tabla2[[#This Row],[Costos (En RD$/Tarea)]])</f>
        <v>6282.92784841497</v>
      </c>
      <c r="O3172" s="9" t="n">
        <f aca="false">IF(Tabla2[[#This Row],[Costos (En RD$/Tarea)]]=0,0,Tabla2[[#This Row],[Beneficio Neto  (En RD$/Tarea)]]/Tabla2[[#This Row],[Costos (En RD$/Tarea)]])</f>
        <v>1.07250691741874</v>
      </c>
      <c r="P3172" s="7" t="n">
        <f aca="false">Tabla2[[#This Row],[Rentabilidad (%)]]/12</f>
        <v>0.089375576451562</v>
      </c>
    </row>
    <row r="3173" customFormat="false" ht="14.25" hidden="false" customHeight="false" outlineLevel="0" collapsed="false">
      <c r="A3173" s="1" t="n">
        <v>44562</v>
      </c>
      <c r="B3173" s="2" t="s">
        <v>22</v>
      </c>
      <c r="C3173" s="3" t="n">
        <v>8876</v>
      </c>
      <c r="D3173" s="8" t="s">
        <v>17</v>
      </c>
      <c r="E3173" s="3" t="n">
        <f aca="false">IF(Tabla2[[#This Row],[Frecuencia]]="Annual", Tabla2[[#This Row],[Cosecha/Tarea]]/12,Tabla2[[#This Row],[Cosecha/Tarea]])</f>
        <v>8876</v>
      </c>
      <c r="F3173" s="3" t="n">
        <v>74587</v>
      </c>
      <c r="G3173" s="2" t="s">
        <v>18</v>
      </c>
      <c r="H3173" s="2" t="n">
        <f aca="false">F3173/Tabla2[[#This Row],[Cosecha Mensual]]</f>
        <v>8.40322217214962</v>
      </c>
      <c r="I3173" s="2" t="n">
        <f aca="false">H3173*_xlfn.XLOOKUP(Tabla2[[#This Row],[Unidad de producción]],Tabla3[Medida],Tabla3[Equivalencia en Kg],"ELVIS",0)</f>
        <v>381.170157728707</v>
      </c>
      <c r="J3173" s="2" t="n">
        <v>1721.3125</v>
      </c>
      <c r="K3173" s="2" t="s">
        <v>18</v>
      </c>
      <c r="L3173" s="2" t="n">
        <f aca="false">J3173/_xlfn.XLOOKUP(Tabla2[[#This Row],[Unidad de precio]],Tabla3[Medida],Tabla3[Equivalencia en Kg],"ELVIS",0)</f>
        <v>37.9478064373898</v>
      </c>
      <c r="M3173" s="2" t="n">
        <v>12106.08</v>
      </c>
      <c r="N3173" s="3" t="n">
        <f aca="false">(Tabla2[[#This Row],[Productividad (kg/TAS)]]*Tabla2[[#This Row],[Precio por kg]]-Tabla2[[#This Row],[Costos (En RD$/Tarea)]])</f>
        <v>2358.49136519829</v>
      </c>
      <c r="O3173" s="9" t="n">
        <f aca="false">IF(Tabla2[[#This Row],[Costos (En RD$/Tarea)]]=0,0,Tabla2[[#This Row],[Beneficio Neto  (En RD$/Tarea)]]/Tabla2[[#This Row],[Costos (En RD$/Tarea)]])</f>
        <v>0.194818749355554</v>
      </c>
      <c r="P3173" s="7" t="n">
        <f aca="false">Tabla2[[#This Row],[Rentabilidad (%)]]/12</f>
        <v>0.0162348957796295</v>
      </c>
    </row>
    <row r="3174" customFormat="false" ht="14.25" hidden="false" customHeight="false" outlineLevel="0" collapsed="false">
      <c r="A3174" s="1" t="n">
        <v>44562</v>
      </c>
      <c r="B3174" s="2" t="s">
        <v>23</v>
      </c>
      <c r="C3174" s="3" t="n">
        <v>4899</v>
      </c>
      <c r="D3174" s="8" t="s">
        <v>17</v>
      </c>
      <c r="E3174" s="3" t="n">
        <f aca="false">IF(Tabla2[[#This Row],[Frecuencia]]="Annual", Tabla2[[#This Row],[Cosecha/Tarea]]/12,Tabla2[[#This Row],[Cosecha/Tarea]])</f>
        <v>4899</v>
      </c>
      <c r="F3174" s="3" t="n">
        <v>138747</v>
      </c>
      <c r="G3174" s="2" t="s">
        <v>18</v>
      </c>
      <c r="H3174" s="2" t="n">
        <f aca="false">F3174/Tabla2[[#This Row],[Cosecha Mensual]]</f>
        <v>28.3214941824862</v>
      </c>
      <c r="I3174" s="2" t="n">
        <f aca="false">H3174*_xlfn.XLOOKUP(Tabla2[[#This Row],[Unidad de producción]],Tabla3[Medida],Tabla3[Equivalencia en Kg],"ELVIS",0)</f>
        <v>1284.66297611758</v>
      </c>
      <c r="J3174" s="2" t="n">
        <v>1439.38888888889</v>
      </c>
      <c r="K3174" s="2" t="s">
        <v>18</v>
      </c>
      <c r="L3174" s="2" t="n">
        <f aca="false">J3174/_xlfn.XLOOKUP(Tabla2[[#This Row],[Unidad de precio]],Tabla3[Medida],Tabla3[Equivalencia en Kg],"ELVIS",0)</f>
        <v>31.7325592788556</v>
      </c>
      <c r="M3174" s="2" t="n">
        <v>30322</v>
      </c>
      <c r="N3174" s="3" t="n">
        <f aca="false">(Tabla2[[#This Row],[Productividad (kg/TAS)]]*Tabla2[[#This Row],[Precio por kg]]-Tabla2[[#This Row],[Costos (En RD$/Tarea)]])</f>
        <v>10443.644043002</v>
      </c>
      <c r="O3174" s="9" t="n">
        <f aca="false">IF(Tabla2[[#This Row],[Costos (En RD$/Tarea)]]=0,0,Tabla2[[#This Row],[Beneficio Neto  (En RD$/Tarea)]]/Tabla2[[#This Row],[Costos (En RD$/Tarea)]])</f>
        <v>0.344424643592177</v>
      </c>
      <c r="P3174" s="7" t="n">
        <f aca="false">Tabla2[[#This Row],[Rentabilidad (%)]]/12</f>
        <v>0.0287020536326814</v>
      </c>
    </row>
    <row r="3175" customFormat="false" ht="14.25" hidden="false" customHeight="false" outlineLevel="0" collapsed="false">
      <c r="A3175" s="1" t="n">
        <v>44562</v>
      </c>
      <c r="B3175" s="2" t="s">
        <v>24</v>
      </c>
      <c r="C3175" s="3" t="n">
        <v>6170</v>
      </c>
      <c r="D3175" s="8" t="s">
        <v>17</v>
      </c>
      <c r="E3175" s="3" t="n">
        <f aca="false">IF(Tabla2[[#This Row],[Frecuencia]]="Annual", Tabla2[[#This Row],[Cosecha/Tarea]]/12,Tabla2[[#This Row],[Cosecha/Tarea]])</f>
        <v>6170</v>
      </c>
      <c r="F3175" s="3" t="n">
        <v>74189</v>
      </c>
      <c r="G3175" s="2" t="s">
        <v>18</v>
      </c>
      <c r="H3175" s="2" t="n">
        <f aca="false">F3175/Tabla2[[#This Row],[Cosecha Mensual]]</f>
        <v>12.02414910859</v>
      </c>
      <c r="I3175" s="2" t="n">
        <f aca="false">H3175*_xlfn.XLOOKUP(Tabla2[[#This Row],[Unidad de producción]],Tabla3[Medida],Tabla3[Equivalencia en Kg],"ELVIS",0)</f>
        <v>545.41540356564</v>
      </c>
      <c r="J3175" s="2" t="n">
        <v>2426.88988095238</v>
      </c>
      <c r="K3175" s="2" t="s">
        <v>18</v>
      </c>
      <c r="L3175" s="2" t="n">
        <f aca="false">J3175/_xlfn.XLOOKUP(Tabla2[[#This Row],[Unidad de precio]],Tabla3[Medida],Tabla3[Equivalencia en Kg],"ELVIS",0)</f>
        <v>53.5028633366927</v>
      </c>
      <c r="M3175" s="2" t="n">
        <v>16342.43</v>
      </c>
      <c r="N3175" s="3" t="n">
        <f aca="false">(Tabla2[[#This Row],[Productividad (kg/TAS)]]*Tabla2[[#This Row],[Precio por kg]]-Tabla2[[#This Row],[Costos (En RD$/Tarea)]])</f>
        <v>12838.8557986995</v>
      </c>
      <c r="O3175" s="9" t="n">
        <f aca="false">IF(Tabla2[[#This Row],[Costos (En RD$/Tarea)]]=0,0,Tabla2[[#This Row],[Beneficio Neto  (En RD$/Tarea)]]/Tabla2[[#This Row],[Costos (En RD$/Tarea)]])</f>
        <v>0.785614856462566</v>
      </c>
      <c r="P3175" s="7" t="n">
        <f aca="false">Tabla2[[#This Row],[Rentabilidad (%)]]/12</f>
        <v>0.0654679047052138</v>
      </c>
    </row>
    <row r="3176" customFormat="false" ht="14.25" hidden="false" customHeight="false" outlineLevel="0" collapsed="false">
      <c r="A3176" s="1" t="n">
        <v>44562</v>
      </c>
      <c r="B3176" s="2" t="s">
        <v>25</v>
      </c>
      <c r="C3176" s="3" t="n">
        <v>27400</v>
      </c>
      <c r="D3176" s="8" t="s">
        <v>17</v>
      </c>
      <c r="E3176" s="3" t="n">
        <f aca="false">IF(Tabla2[[#This Row],[Frecuencia]]="Annual", Tabla2[[#This Row],[Cosecha/Tarea]]/12,Tabla2[[#This Row],[Cosecha/Tarea]])</f>
        <v>27400</v>
      </c>
      <c r="F3176" s="3" t="n">
        <v>288785</v>
      </c>
      <c r="G3176" s="2" t="s">
        <v>18</v>
      </c>
      <c r="H3176" s="2" t="n">
        <f aca="false">F3176/Tabla2[[#This Row],[Cosecha Mensual]]</f>
        <v>10.539598540146</v>
      </c>
      <c r="I3176" s="2" t="n">
        <f aca="false">H3176*_xlfn.XLOOKUP(Tabla2[[#This Row],[Unidad de producción]],Tabla3[Medida],Tabla3[Equivalencia en Kg],"ELVIS",0)</f>
        <v>478.076189781022</v>
      </c>
      <c r="J3176" s="2" t="n">
        <v>847.005208333333</v>
      </c>
      <c r="K3176" s="2" t="s">
        <v>18</v>
      </c>
      <c r="L3176" s="2" t="n">
        <f aca="false">J3176/_xlfn.XLOOKUP(Tabla2[[#This Row],[Unidad de precio]],Tabla3[Medida],Tabla3[Equivalencia en Kg],"ELVIS",0)</f>
        <v>18.6729543283363</v>
      </c>
      <c r="M3176" s="2" t="n">
        <v>6557.61</v>
      </c>
      <c r="N3176" s="3" t="n">
        <f aca="false">(Tabla2[[#This Row],[Productividad (kg/TAS)]]*Tabla2[[#This Row],[Precio por kg]]-Tabla2[[#This Row],[Costos (En RD$/Tarea)]])</f>
        <v>2369.48485724604</v>
      </c>
      <c r="O3176" s="9" t="n">
        <f aca="false">IF(Tabla2[[#This Row],[Costos (En RD$/Tarea)]]=0,0,Tabla2[[#This Row],[Beneficio Neto  (En RD$/Tarea)]]/Tabla2[[#This Row],[Costos (En RD$/Tarea)]])</f>
        <v>0.361333604353727</v>
      </c>
      <c r="P3176" s="7" t="n">
        <f aca="false">Tabla2[[#This Row],[Rentabilidad (%)]]/12</f>
        <v>0.0301111336961439</v>
      </c>
    </row>
    <row r="3177" customFormat="false" ht="14.25" hidden="false" customHeight="false" outlineLevel="0" collapsed="false">
      <c r="A3177" s="1" t="n">
        <v>44562</v>
      </c>
      <c r="B3177" s="2" t="s">
        <v>26</v>
      </c>
      <c r="C3177" s="3" t="n">
        <v>13733</v>
      </c>
      <c r="D3177" s="8" t="s">
        <v>17</v>
      </c>
      <c r="E3177" s="3" t="n">
        <f aca="false">IF(Tabla2[[#This Row],[Frecuencia]]="Annual", Tabla2[[#This Row],[Cosecha/Tarea]]/12,Tabla2[[#This Row],[Cosecha/Tarea]])</f>
        <v>13733</v>
      </c>
      <c r="F3177" s="3" t="n">
        <v>88541</v>
      </c>
      <c r="G3177" s="2" t="s">
        <v>18</v>
      </c>
      <c r="H3177" s="2" t="n">
        <f aca="false">F3177/Tabla2[[#This Row],[Cosecha Mensual]]</f>
        <v>6.44731668244375</v>
      </c>
      <c r="I3177" s="2" t="n">
        <f aca="false">H3177*_xlfn.XLOOKUP(Tabla2[[#This Row],[Unidad de producción]],Tabla3[Medida],Tabla3[Equivalencia en Kg],"ELVIS",0)</f>
        <v>292.450284715648</v>
      </c>
      <c r="J3177" s="2" t="n">
        <v>1494.35329861111</v>
      </c>
      <c r="K3177" s="2" t="s">
        <v>18</v>
      </c>
      <c r="L3177" s="2" t="n">
        <f aca="false">J3177/_xlfn.XLOOKUP(Tabla2[[#This Row],[Unidad de precio]],Tabla3[Medida],Tabla3[Equivalencia en Kg],"ELVIS",0)</f>
        <v>32.9442967065941</v>
      </c>
      <c r="M3177" s="2" t="n">
        <v>2133.92</v>
      </c>
      <c r="N3177" s="3" t="n">
        <f aca="false">(Tabla2[[#This Row],[Productividad (kg/TAS)]]*Tabla2[[#This Row],[Precio por kg]]-Tabla2[[#This Row],[Costos (En RD$/Tarea)]])</f>
        <v>7500.64895160026</v>
      </c>
      <c r="O3177" s="9" t="n">
        <f aca="false">IF(Tabla2[[#This Row],[Costos (En RD$/Tarea)]]=0,0,Tabla2[[#This Row],[Beneficio Neto  (En RD$/Tarea)]]/Tabla2[[#This Row],[Costos (En RD$/Tarea)]])</f>
        <v>3.51496258135275</v>
      </c>
      <c r="P3177" s="7" t="n">
        <f aca="false">Tabla2[[#This Row],[Rentabilidad (%)]]/12</f>
        <v>0.292913548446062</v>
      </c>
    </row>
    <row r="3178" customFormat="false" ht="14.25" hidden="false" customHeight="false" outlineLevel="0" collapsed="false">
      <c r="A3178" s="1" t="n">
        <v>44562</v>
      </c>
      <c r="B3178" s="2" t="s">
        <v>27</v>
      </c>
      <c r="C3178" s="3" t="n">
        <v>6978</v>
      </c>
      <c r="D3178" s="8" t="s">
        <v>17</v>
      </c>
      <c r="E3178" s="3" t="n">
        <f aca="false">IF(Tabla2[[#This Row],[Frecuencia]]="Annual", Tabla2[[#This Row],[Cosecha/Tarea]]/12,Tabla2[[#This Row],[Cosecha/Tarea]])</f>
        <v>6978</v>
      </c>
      <c r="F3178" s="3" t="n">
        <v>59208</v>
      </c>
      <c r="G3178" s="2" t="s">
        <v>18</v>
      </c>
      <c r="H3178" s="2" t="n">
        <f aca="false">F3178/Tabla2[[#This Row],[Cosecha Mensual]]</f>
        <v>8.48495270851247</v>
      </c>
      <c r="I3178" s="2" t="n">
        <f aca="false">H3178*_xlfn.XLOOKUP(Tabla2[[#This Row],[Unidad de producción]],Tabla3[Medida],Tabla3[Equivalencia en Kg],"ELVIS",0)</f>
        <v>384.877454858126</v>
      </c>
      <c r="J3178" s="2" t="n">
        <v>1148.88452380952</v>
      </c>
      <c r="K3178" s="2" t="s">
        <v>18</v>
      </c>
      <c r="L3178" s="2" t="n">
        <f aca="false">J3178/_xlfn.XLOOKUP(Tabla2[[#This Row],[Unidad de precio]],Tabla3[Medida],Tabla3[Equivalencia en Kg],"ELVIS",0)</f>
        <v>25.3281420592928</v>
      </c>
      <c r="M3178" s="2" t="n">
        <v>11717.05</v>
      </c>
      <c r="N3178" s="3" t="n">
        <f aca="false">(Tabla2[[#This Row],[Productividad (kg/TAS)]]*Tabla2[[#This Row],[Precio por kg]]-Tabla2[[#This Row],[Costos (En RD$/Tarea)]])</f>
        <v>-1968.81914793436</v>
      </c>
      <c r="O3178" s="9" t="n">
        <f aca="false">IF(Tabla2[[#This Row],[Costos (En RD$/Tarea)]]=0,0,Tabla2[[#This Row],[Beneficio Neto  (En RD$/Tarea)]]/Tabla2[[#This Row],[Costos (En RD$/Tarea)]])</f>
        <v>-0.168030276215801</v>
      </c>
      <c r="P3178" s="7" t="n">
        <f aca="false">Tabla2[[#This Row],[Rentabilidad (%)]]/12</f>
        <v>-0.0140025230179834</v>
      </c>
    </row>
    <row r="3179" customFormat="false" ht="14.25" hidden="false" customHeight="false" outlineLevel="0" collapsed="false">
      <c r="A3179" s="1" t="n">
        <v>44562</v>
      </c>
      <c r="B3179" s="2" t="s">
        <v>28</v>
      </c>
      <c r="C3179" s="3" t="n">
        <v>66874</v>
      </c>
      <c r="D3179" s="8" t="s">
        <v>17</v>
      </c>
      <c r="E3179" s="3" t="n">
        <f aca="false">IF(Tabla2[[#This Row],[Frecuencia]]="Annual", Tabla2[[#This Row],[Cosecha/Tarea]]/12,Tabla2[[#This Row],[Cosecha/Tarea]])</f>
        <v>66874</v>
      </c>
      <c r="F3179" s="3" t="n">
        <v>1198248</v>
      </c>
      <c r="G3179" s="2" t="s">
        <v>18</v>
      </c>
      <c r="H3179" s="2" t="n">
        <f aca="false">F3179/Tabla2[[#This Row],[Cosecha Mensual]]</f>
        <v>17.9179950354398</v>
      </c>
      <c r="I3179" s="2" t="n">
        <f aca="false">H3179*_xlfn.XLOOKUP(Tabla2[[#This Row],[Unidad de producción]],Tabla3[Medida],Tabla3[Equivalencia en Kg],"ELVIS",0)</f>
        <v>812.760254807549</v>
      </c>
      <c r="J3179" s="2" t="n">
        <v>9653.81944444445</v>
      </c>
      <c r="K3179" s="2" t="s">
        <v>29</v>
      </c>
      <c r="L3179" s="2" t="n">
        <f aca="false">J3179/_xlfn.XLOOKUP(Tabla2[[#This Row],[Unidad de precio]],Tabla3[Medida],Tabla3[Equivalencia en Kg],"ELVIS",0)</f>
        <v>17.1672288018716</v>
      </c>
      <c r="M3179" s="2" t="n">
        <v>8552.64</v>
      </c>
      <c r="N3179" s="3" t="n">
        <f aca="false">(Tabla2[[#This Row],[Productividad (kg/TAS)]]*Tabla2[[#This Row],[Precio por kg]]-Tabla2[[#This Row],[Costos (En RD$/Tarea)]])</f>
        <v>5400.20125534861</v>
      </c>
      <c r="O3179" s="9" t="n">
        <f aca="false">IF(Tabla2[[#This Row],[Costos (En RD$/Tarea)]]=0,0,Tabla2[[#This Row],[Beneficio Neto  (En RD$/Tarea)]]/Tabla2[[#This Row],[Costos (En RD$/Tarea)]])</f>
        <v>0.631407525085659</v>
      </c>
      <c r="P3179" s="7" t="n">
        <f aca="false">Tabla2[[#This Row],[Rentabilidad (%)]]/12</f>
        <v>0.0526172937571383</v>
      </c>
    </row>
    <row r="3180" customFormat="false" ht="14.25" hidden="false" customHeight="false" outlineLevel="0" collapsed="false">
      <c r="A3180" s="1" t="n">
        <v>44562</v>
      </c>
      <c r="B3180" s="2" t="s">
        <v>30</v>
      </c>
      <c r="C3180" s="3" t="n">
        <v>446878</v>
      </c>
      <c r="D3180" s="3" t="s">
        <v>31</v>
      </c>
      <c r="E3180" s="3" t="n">
        <f aca="false">IF(Tabla2[[#This Row],[Frecuencia]]="Annual", Tabla2[[#This Row],[Cosecha/Tarea]]/12,Tabla2[[#This Row],[Cosecha/Tarea]])</f>
        <v>37239.8333333333</v>
      </c>
      <c r="F3180" s="3" t="n">
        <v>2046007.2</v>
      </c>
      <c r="G3180" s="2" t="s">
        <v>18</v>
      </c>
      <c r="H3180" s="2" t="n">
        <f aca="false">F3180/Tabla2[[#This Row],[Cosecha Mensual]]</f>
        <v>54.9413629670738</v>
      </c>
      <c r="I3180" s="2" t="n">
        <f aca="false">H3180*_xlfn.XLOOKUP(Tabla2[[#This Row],[Unidad de producción]],Tabla3[Medida],Tabla3[Equivalencia en Kg],"ELVIS",0)</f>
        <v>2492.14022418647</v>
      </c>
      <c r="J3180" s="2" t="n">
        <v>240.020833333333</v>
      </c>
      <c r="K3180" s="2" t="s">
        <v>32</v>
      </c>
      <c r="L3180" s="2" t="n">
        <f aca="false">J3180/_xlfn.XLOOKUP(Tabla2[[#This Row],[Unidad de precio]],Tabla3[Medida],Tabla3[Equivalencia en Kg],"ELVIS",0)</f>
        <v>8.82105230920004</v>
      </c>
      <c r="M3180" s="3" t="n">
        <v>47396.15</v>
      </c>
      <c r="N3180" s="3" t="n">
        <f aca="false">(Tabla2[[#This Row],[Productividad (kg/TAS)]]*Tabla2[[#This Row],[Precio por kg]]-Tabla2[[#This Row],[Costos (En RD$/Tarea)]])</f>
        <v>-25412.8507205897</v>
      </c>
      <c r="O3180" s="9" t="n">
        <f aca="false">IF(Tabla2[[#This Row],[Costos (En RD$/Tarea)]]=0,0,Tabla2[[#This Row],[Beneficio Neto  (En RD$/Tarea)]]/Tabla2[[#This Row],[Costos (En RD$/Tarea)]])</f>
        <v>-0.536179641607803</v>
      </c>
      <c r="P3180" s="7" t="n">
        <f aca="false">Tabla2[[#This Row],[Rentabilidad (%)]]/12</f>
        <v>-0.0446816368006502</v>
      </c>
    </row>
    <row r="3181" customFormat="false" ht="14.25" hidden="false" customHeight="false" outlineLevel="0" collapsed="false">
      <c r="A3181" s="1" t="n">
        <v>44562</v>
      </c>
      <c r="B3181" s="2" t="s">
        <v>33</v>
      </c>
      <c r="C3181" s="3" t="n">
        <v>752142</v>
      </c>
      <c r="D3181" s="3" t="s">
        <v>31</v>
      </c>
      <c r="E3181" s="3" t="n">
        <f aca="false">IF(Tabla2[[#This Row],[Frecuencia]]="Annual", Tabla2[[#This Row],[Cosecha/Tarea]]/12,Tabla2[[#This Row],[Cosecha/Tarea]])</f>
        <v>62678.5</v>
      </c>
      <c r="F3181" s="3" t="n">
        <v>1397169</v>
      </c>
      <c r="G3181" s="2" t="s">
        <v>18</v>
      </c>
      <c r="H3181" s="2" t="n">
        <f aca="false">F3181/Tabla2[[#This Row],[Cosecha Mensual]]</f>
        <v>22.2910407875109</v>
      </c>
      <c r="I3181" s="2" t="n">
        <f aca="false">H3181*_xlfn.XLOOKUP(Tabla2[[#This Row],[Unidad de producción]],Tabla3[Medida],Tabla3[Equivalencia en Kg],"ELVIS",0)</f>
        <v>1011.12161012149</v>
      </c>
      <c r="J3181" s="2" t="n">
        <v>7275.1953125</v>
      </c>
      <c r="K3181" s="2" t="s">
        <v>34</v>
      </c>
      <c r="L3181" s="2" t="n">
        <f aca="false">J3181/_xlfn.XLOOKUP(Tabla2[[#This Row],[Unidad de precio]],Tabla3[Medida],Tabla3[Equivalencia en Kg],"ELVIS",0)</f>
        <v>17.8248078218792</v>
      </c>
      <c r="M3181" s="3" t="n">
        <v>25908.33</v>
      </c>
      <c r="N3181" s="3" t="n">
        <f aca="false">(Tabla2[[#This Row],[Productividad (kg/TAS)]]*Tabla2[[#This Row],[Precio por kg]]-Tabla2[[#This Row],[Costos (En RD$/Tarea)]])</f>
        <v>-7885.28161503531</v>
      </c>
      <c r="O3181" s="9" t="n">
        <f aca="false">IF(Tabla2[[#This Row],[Costos (En RD$/Tarea)]]=0,0,Tabla2[[#This Row],[Beneficio Neto  (En RD$/Tarea)]]/Tabla2[[#This Row],[Costos (En RD$/Tarea)]])</f>
        <v>-0.304353141056769</v>
      </c>
      <c r="P3181" s="7" t="n">
        <f aca="false">Tabla2[[#This Row],[Rentabilidad (%)]]/12</f>
        <v>-0.0253627617547307</v>
      </c>
    </row>
    <row r="3182" customFormat="false" ht="14.25" hidden="false" customHeight="false" outlineLevel="0" collapsed="false">
      <c r="A3182" s="1" t="n">
        <v>44593</v>
      </c>
      <c r="B3182" s="2" t="s">
        <v>16</v>
      </c>
      <c r="C3182" s="3" t="n">
        <v>5842</v>
      </c>
      <c r="D3182" s="8" t="s">
        <v>17</v>
      </c>
      <c r="E3182" s="3" t="n">
        <f aca="false">IF(Tabla2[[#This Row],[Frecuencia]]="Annual", Tabla2[[#This Row],[Cosecha/Tarea]]/12,Tabla2[[#This Row],[Cosecha/Tarea]])</f>
        <v>5842</v>
      </c>
      <c r="F3182" s="3" t="n">
        <v>20784</v>
      </c>
      <c r="G3182" s="2" t="s">
        <v>18</v>
      </c>
      <c r="H3182" s="2" t="n">
        <f aca="false">F3182/Tabla2[[#This Row],[Cosecha Mensual]]</f>
        <v>3.5576857240671</v>
      </c>
      <c r="I3182" s="2" t="n">
        <f aca="false">H3182*_xlfn.XLOOKUP(Tabla2[[#This Row],[Unidad de producción]],Tabla3[Medida],Tabla3[Equivalencia en Kg],"ELVIS",0)</f>
        <v>161.376624443684</v>
      </c>
      <c r="J3182" s="2" t="n">
        <v>2856.28942060873</v>
      </c>
      <c r="K3182" s="2" t="s">
        <v>19</v>
      </c>
      <c r="L3182" s="2" t="n">
        <f aca="false">J3182/_xlfn.XLOOKUP(Tabla2[[#This Row],[Unidad de precio]],Tabla3[Medida],Tabla3[Equivalencia en Kg],"ELVIS",0)</f>
        <v>25.9662674600794</v>
      </c>
      <c r="M3182" s="2" t="n">
        <v>10006.7786059906</v>
      </c>
      <c r="N3182" s="3" t="n">
        <f aca="false">(Tabla2[[#This Row],[Productividad (kg/TAS)]]*Tabla2[[#This Row],[Precio por kg]]-Tabla2[[#This Row],[Costos (En RD$/Tarea)]])</f>
        <v>-5816.43001388113</v>
      </c>
      <c r="O3182" s="9" t="n">
        <f aca="false">IF(Tabla2[[#This Row],[Costos (En RD$/Tarea)]]=0,0,Tabla2[[#This Row],[Beneficio Neto  (En RD$/Tarea)]]/Tabla2[[#This Row],[Costos (En RD$/Tarea)]])</f>
        <v>-0.581248995595755</v>
      </c>
      <c r="P3182" s="7" t="n">
        <f aca="false">Tabla2[[#This Row],[Rentabilidad (%)]]/12</f>
        <v>-0.0484374162996463</v>
      </c>
    </row>
    <row r="3183" customFormat="false" ht="14.25" hidden="false" customHeight="false" outlineLevel="0" collapsed="false">
      <c r="A3183" s="1" t="n">
        <v>44593</v>
      </c>
      <c r="B3183" s="2" t="s">
        <v>20</v>
      </c>
      <c r="C3183" s="3" t="n">
        <v>32454</v>
      </c>
      <c r="D3183" s="8" t="s">
        <v>17</v>
      </c>
      <c r="E3183" s="3" t="n">
        <f aca="false">IF(Tabla2[[#This Row],[Frecuencia]]="Annual", Tabla2[[#This Row],[Cosecha/Tarea]]/12,Tabla2[[#This Row],[Cosecha/Tarea]])</f>
        <v>32454</v>
      </c>
      <c r="F3183" s="3" t="n">
        <v>80577</v>
      </c>
      <c r="G3183" s="2" t="s">
        <v>18</v>
      </c>
      <c r="H3183" s="2" t="n">
        <f aca="false">F3183/Tabla2[[#This Row],[Cosecha Mensual]]</f>
        <v>2.48280643372158</v>
      </c>
      <c r="I3183" s="2" t="n">
        <f aca="false">H3183*_xlfn.XLOOKUP(Tabla2[[#This Row],[Unidad de producción]],Tabla3[Medida],Tabla3[Equivalencia en Kg],"ELVIS",0)</f>
        <v>112.620099833611</v>
      </c>
      <c r="J3183" s="2" t="n">
        <v>1240.96614583333</v>
      </c>
      <c r="K3183" s="2" t="s">
        <v>18</v>
      </c>
      <c r="L3183" s="2" t="n">
        <f aca="false">J3183/_xlfn.XLOOKUP(Tabla2[[#This Row],[Unidad de precio]],Tabla3[Medida],Tabla3[Equivalencia en Kg],"ELVIS",0)</f>
        <v>27.3581601815108</v>
      </c>
      <c r="M3183" s="2" t="n">
        <v>4130.097717915</v>
      </c>
      <c r="N3183" s="3" t="n">
        <f aca="false">(Tabla2[[#This Row],[Productividad (kg/TAS)]]*Tabla2[[#This Row],[Precio por kg]]-Tabla2[[#This Row],[Costos (En RD$/Tarea)]])</f>
        <v>-1049.01898700934</v>
      </c>
      <c r="O3183" s="9" t="n">
        <f aca="false">IF(Tabla2[[#This Row],[Costos (En RD$/Tarea)]]=0,0,Tabla2[[#This Row],[Beneficio Neto  (En RD$/Tarea)]]/Tabla2[[#This Row],[Costos (En RD$/Tarea)]])</f>
        <v>-0.253993745101731</v>
      </c>
      <c r="P3183" s="7" t="n">
        <f aca="false">Tabla2[[#This Row],[Rentabilidad (%)]]/12</f>
        <v>-0.0211661454251442</v>
      </c>
    </row>
    <row r="3184" customFormat="false" ht="14.25" hidden="false" customHeight="false" outlineLevel="0" collapsed="false">
      <c r="A3184" s="1" t="n">
        <v>44593</v>
      </c>
      <c r="B3184" s="2" t="s">
        <v>21</v>
      </c>
      <c r="C3184" s="3" t="n">
        <v>11524</v>
      </c>
      <c r="D3184" s="8" t="s">
        <v>17</v>
      </c>
      <c r="E3184" s="3" t="n">
        <f aca="false">IF(Tabla2[[#This Row],[Frecuencia]]="Annual", Tabla2[[#This Row],[Cosecha/Tarea]]/12,Tabla2[[#This Row],[Cosecha/Tarea]])</f>
        <v>11524</v>
      </c>
      <c r="F3184" s="3" t="n">
        <v>111201</v>
      </c>
      <c r="G3184" s="2" t="s">
        <v>18</v>
      </c>
      <c r="H3184" s="2" t="n">
        <f aca="false">F3184/Tabla2[[#This Row],[Cosecha Mensual]]</f>
        <v>9.64951405761888</v>
      </c>
      <c r="I3184" s="2" t="n">
        <f aca="false">H3184*_xlfn.XLOOKUP(Tabla2[[#This Row],[Unidad de producción]],Tabla3[Medida],Tabla3[Equivalencia en Kg],"ELVIS",0)</f>
        <v>437.701957653593</v>
      </c>
      <c r="J3184" s="2" t="n">
        <v>930.916666666667</v>
      </c>
      <c r="K3184" s="2" t="s">
        <v>18</v>
      </c>
      <c r="L3184" s="2" t="n">
        <f aca="false">J3184/_xlfn.XLOOKUP(Tabla2[[#This Row],[Unidad de precio]],Tabla3[Medida],Tabla3[Equivalencia en Kg],"ELVIS",0)</f>
        <v>20.5228542034098</v>
      </c>
      <c r="M3184" s="2" t="n">
        <v>5858.17</v>
      </c>
      <c r="N3184" s="3" t="n">
        <f aca="false">(Tabla2[[#This Row],[Productividad (kg/TAS)]]*Tabla2[[#This Row],[Precio por kg]]-Tabla2[[#This Row],[Costos (En RD$/Tarea)]])</f>
        <v>3124.72346147171</v>
      </c>
      <c r="O3184" s="9" t="n">
        <f aca="false">IF(Tabla2[[#This Row],[Costos (En RD$/Tarea)]]=0,0,Tabla2[[#This Row],[Beneficio Neto  (En RD$/Tarea)]]/Tabla2[[#This Row],[Costos (En RD$/Tarea)]])</f>
        <v>0.533395832055354</v>
      </c>
      <c r="P3184" s="7" t="n">
        <f aca="false">Tabla2[[#This Row],[Rentabilidad (%)]]/12</f>
        <v>0.0444496526712795</v>
      </c>
    </row>
    <row r="3185" customFormat="false" ht="14.25" hidden="false" customHeight="false" outlineLevel="0" collapsed="false">
      <c r="A3185" s="1" t="n">
        <v>44593</v>
      </c>
      <c r="B3185" s="2" t="s">
        <v>22</v>
      </c>
      <c r="C3185" s="3" t="n">
        <v>9822</v>
      </c>
      <c r="D3185" s="8" t="s">
        <v>17</v>
      </c>
      <c r="E3185" s="3" t="n">
        <f aca="false">IF(Tabla2[[#This Row],[Frecuencia]]="Annual", Tabla2[[#This Row],[Cosecha/Tarea]]/12,Tabla2[[#This Row],[Cosecha/Tarea]])</f>
        <v>9822</v>
      </c>
      <c r="F3185" s="3" t="n">
        <v>84524</v>
      </c>
      <c r="G3185" s="2" t="s">
        <v>18</v>
      </c>
      <c r="H3185" s="2" t="n">
        <f aca="false">F3185/Tabla2[[#This Row],[Cosecha Mensual]]</f>
        <v>8.60557931174913</v>
      </c>
      <c r="I3185" s="2" t="n">
        <f aca="false">H3185*_xlfn.XLOOKUP(Tabla2[[#This Row],[Unidad de producción]],Tabla3[Medida],Tabla3[Equivalencia en Kg],"ELVIS",0)</f>
        <v>390.349077580941</v>
      </c>
      <c r="J3185" s="2" t="n">
        <v>1829.08035714286</v>
      </c>
      <c r="K3185" s="2" t="s">
        <v>18</v>
      </c>
      <c r="L3185" s="2" t="n">
        <f aca="false">J3185/_xlfn.XLOOKUP(Tabla2[[#This Row],[Unidad de precio]],Tabla3[Medida],Tabla3[Equivalencia en Kg],"ELVIS",0)</f>
        <v>40.3236410304863</v>
      </c>
      <c r="M3185" s="2" t="n">
        <v>12106.08</v>
      </c>
      <c r="N3185" s="3" t="n">
        <f aca="false">(Tabla2[[#This Row],[Productividad (kg/TAS)]]*Tabla2[[#This Row],[Precio por kg]]-Tabla2[[#This Row],[Costos (En RD$/Tarea)]])</f>
        <v>3634.21608095531</v>
      </c>
      <c r="O3185" s="9" t="n">
        <f aca="false">IF(Tabla2[[#This Row],[Costos (En RD$/Tarea)]]=0,0,Tabla2[[#This Row],[Beneficio Neto  (En RD$/Tarea)]]/Tabla2[[#This Row],[Costos (En RD$/Tarea)]])</f>
        <v>0.300197593354357</v>
      </c>
      <c r="P3185" s="7" t="n">
        <f aca="false">Tabla2[[#This Row],[Rentabilidad (%)]]/12</f>
        <v>0.0250164661128631</v>
      </c>
    </row>
    <row r="3186" customFormat="false" ht="14.25" hidden="false" customHeight="false" outlineLevel="0" collapsed="false">
      <c r="A3186" s="1" t="n">
        <v>44593</v>
      </c>
      <c r="B3186" s="2" t="s">
        <v>23</v>
      </c>
      <c r="C3186" s="3" t="n">
        <v>5180</v>
      </c>
      <c r="D3186" s="8" t="s">
        <v>17</v>
      </c>
      <c r="E3186" s="3" t="n">
        <f aca="false">IF(Tabla2[[#This Row],[Frecuencia]]="Annual", Tabla2[[#This Row],[Cosecha/Tarea]]/12,Tabla2[[#This Row],[Cosecha/Tarea]])</f>
        <v>5180</v>
      </c>
      <c r="F3186" s="3" t="n">
        <v>176544</v>
      </c>
      <c r="G3186" s="2" t="s">
        <v>18</v>
      </c>
      <c r="H3186" s="2" t="n">
        <f aca="false">F3186/Tabla2[[#This Row],[Cosecha Mensual]]</f>
        <v>34.0818532818533</v>
      </c>
      <c r="I3186" s="2" t="n">
        <f aca="false">H3186*_xlfn.XLOOKUP(Tabla2[[#This Row],[Unidad de producción]],Tabla3[Medida],Tabla3[Equivalencia en Kg],"ELVIS",0)</f>
        <v>1545.95286486487</v>
      </c>
      <c r="J3186" s="2" t="n">
        <v>1633.33333333333</v>
      </c>
      <c r="K3186" s="2" t="s">
        <v>18</v>
      </c>
      <c r="L3186" s="2" t="n">
        <f aca="false">J3186/_xlfn.XLOOKUP(Tabla2[[#This Row],[Unidad de precio]],Tabla3[Medida],Tabla3[Equivalencia en Kg],"ELVIS",0)</f>
        <v>36.0082304526748</v>
      </c>
      <c r="M3186" s="2" t="n">
        <v>30322</v>
      </c>
      <c r="N3186" s="3" t="n">
        <f aca="false">(Tabla2[[#This Row],[Productividad (kg/TAS)]]*Tabla2[[#This Row],[Precio por kg]]-Tabla2[[#This Row],[Costos (En RD$/Tarea)]])</f>
        <v>25345.0270270269</v>
      </c>
      <c r="O3186" s="9" t="n">
        <f aca="false">IF(Tabla2[[#This Row],[Costos (En RD$/Tarea)]]=0,0,Tabla2[[#This Row],[Beneficio Neto  (En RD$/Tarea)]]/Tabla2[[#This Row],[Costos (En RD$/Tarea)]])</f>
        <v>0.835862641878073</v>
      </c>
      <c r="P3186" s="7" t="n">
        <f aca="false">Tabla2[[#This Row],[Rentabilidad (%)]]/12</f>
        <v>0.0696552201565061</v>
      </c>
    </row>
    <row r="3187" customFormat="false" ht="14.25" hidden="false" customHeight="false" outlineLevel="0" collapsed="false">
      <c r="A3187" s="1" t="n">
        <v>44593</v>
      </c>
      <c r="B3187" s="2" t="s">
        <v>24</v>
      </c>
      <c r="C3187" s="3" t="n">
        <v>7925</v>
      </c>
      <c r="D3187" s="8" t="s">
        <v>17</v>
      </c>
      <c r="E3187" s="3" t="n">
        <f aca="false">IF(Tabla2[[#This Row],[Frecuencia]]="Annual", Tabla2[[#This Row],[Cosecha/Tarea]]/12,Tabla2[[#This Row],[Cosecha/Tarea]])</f>
        <v>7925</v>
      </c>
      <c r="F3187" s="3" t="n">
        <v>70144</v>
      </c>
      <c r="G3187" s="2" t="s">
        <v>18</v>
      </c>
      <c r="H3187" s="2" t="n">
        <f aca="false">F3187/Tabla2[[#This Row],[Cosecha Mensual]]</f>
        <v>8.85097791798107</v>
      </c>
      <c r="I3187" s="2" t="n">
        <f aca="false">H3187*_xlfn.XLOOKUP(Tabla2[[#This Row],[Unidad de producción]],Tabla3[Medida],Tabla3[Equivalencia en Kg],"ELVIS",0)</f>
        <v>401.480358359621</v>
      </c>
      <c r="J3187" s="2" t="n">
        <v>2328.11607142857</v>
      </c>
      <c r="K3187" s="2" t="s">
        <v>18</v>
      </c>
      <c r="L3187" s="2" t="n">
        <f aca="false">J3187/_xlfn.XLOOKUP(Tabla2[[#This Row],[Unidad de precio]],Tabla3[Medida],Tabla3[Equivalencia en Kg],"ELVIS",0)</f>
        <v>51.3253102166792</v>
      </c>
      <c r="M3187" s="2" t="n">
        <v>16342.43</v>
      </c>
      <c r="N3187" s="3" t="n">
        <f aca="false">(Tabla2[[#This Row],[Productividad (kg/TAS)]]*Tabla2[[#This Row],[Precio por kg]]-Tabla2[[#This Row],[Costos (En RD$/Tarea)]])</f>
        <v>4263.67393871112</v>
      </c>
      <c r="O3187" s="9" t="n">
        <f aca="false">IF(Tabla2[[#This Row],[Costos (En RD$/Tarea)]]=0,0,Tabla2[[#This Row],[Beneficio Neto  (En RD$/Tarea)]]/Tabla2[[#This Row],[Costos (En RD$/Tarea)]])</f>
        <v>0.260895958478092</v>
      </c>
      <c r="P3187" s="7" t="n">
        <f aca="false">Tabla2[[#This Row],[Rentabilidad (%)]]/12</f>
        <v>0.0217413298731743</v>
      </c>
    </row>
    <row r="3188" customFormat="false" ht="14.25" hidden="false" customHeight="false" outlineLevel="0" collapsed="false">
      <c r="A3188" s="1" t="n">
        <v>44593</v>
      </c>
      <c r="B3188" s="2" t="s">
        <v>25</v>
      </c>
      <c r="C3188" s="3" t="n">
        <v>36677</v>
      </c>
      <c r="D3188" s="8" t="s">
        <v>17</v>
      </c>
      <c r="E3188" s="3" t="n">
        <f aca="false">IF(Tabla2[[#This Row],[Frecuencia]]="Annual", Tabla2[[#This Row],[Cosecha/Tarea]]/12,Tabla2[[#This Row],[Cosecha/Tarea]])</f>
        <v>36677</v>
      </c>
      <c r="F3188" s="3" t="n">
        <v>419582</v>
      </c>
      <c r="G3188" s="2" t="s">
        <v>18</v>
      </c>
      <c r="H3188" s="2" t="n">
        <f aca="false">F3188/Tabla2[[#This Row],[Cosecha Mensual]]</f>
        <v>11.4399214766748</v>
      </c>
      <c r="I3188" s="2" t="n">
        <f aca="false">H3188*_xlfn.XLOOKUP(Tabla2[[#This Row],[Unidad de producción]],Tabla3[Medida],Tabla3[Equivalencia en Kg],"ELVIS",0)</f>
        <v>518.914838181967</v>
      </c>
      <c r="J3188" s="2" t="n">
        <v>952.598958333333</v>
      </c>
      <c r="K3188" s="2" t="s">
        <v>18</v>
      </c>
      <c r="L3188" s="2" t="n">
        <f aca="false">J3188/_xlfn.XLOOKUP(Tabla2[[#This Row],[Unidad de precio]],Tabla3[Medida],Tabla3[Equivalencia en Kg],"ELVIS",0)</f>
        <v>21.0008588697825</v>
      </c>
      <c r="M3188" s="2" t="n">
        <v>6557.61</v>
      </c>
      <c r="N3188" s="3" t="n">
        <f aca="false">(Tabla2[[#This Row],[Productividad (kg/TAS)]]*Tabla2[[#This Row],[Precio por kg]]-Tabla2[[#This Row],[Costos (En RD$/Tarea)]])</f>
        <v>4340.0472820955</v>
      </c>
      <c r="O3188" s="9" t="n">
        <f aca="false">IF(Tabla2[[#This Row],[Costos (En RD$/Tarea)]]=0,0,Tabla2[[#This Row],[Beneficio Neto  (En RD$/Tarea)]]/Tabla2[[#This Row],[Costos (En RD$/Tarea)]])</f>
        <v>0.661833698877411</v>
      </c>
      <c r="P3188" s="7" t="n">
        <f aca="false">Tabla2[[#This Row],[Rentabilidad (%)]]/12</f>
        <v>0.0551528082397842</v>
      </c>
    </row>
    <row r="3189" customFormat="false" ht="14.25" hidden="false" customHeight="false" outlineLevel="0" collapsed="false">
      <c r="A3189" s="1" t="n">
        <v>44593</v>
      </c>
      <c r="B3189" s="2" t="s">
        <v>26</v>
      </c>
      <c r="C3189" s="3" t="n">
        <v>14444</v>
      </c>
      <c r="D3189" s="8" t="s">
        <v>17</v>
      </c>
      <c r="E3189" s="3" t="n">
        <f aca="false">IF(Tabla2[[#This Row],[Frecuencia]]="Annual", Tabla2[[#This Row],[Cosecha/Tarea]]/12,Tabla2[[#This Row],[Cosecha/Tarea]])</f>
        <v>14444</v>
      </c>
      <c r="F3189" s="3" t="n">
        <v>94889</v>
      </c>
      <c r="G3189" s="2" t="s">
        <v>18</v>
      </c>
      <c r="H3189" s="2" t="n">
        <f aca="false">F3189/Tabla2[[#This Row],[Cosecha Mensual]]</f>
        <v>6.56944059817225</v>
      </c>
      <c r="I3189" s="2" t="n">
        <f aca="false">H3189*_xlfn.XLOOKUP(Tabla2[[#This Row],[Unidad de producción]],Tabla3[Medida],Tabla3[Equivalencia en Kg],"ELVIS",0)</f>
        <v>297.989825533093</v>
      </c>
      <c r="J3189" s="2" t="n">
        <v>1664.47048611111</v>
      </c>
      <c r="K3189" s="2" t="s">
        <v>18</v>
      </c>
      <c r="L3189" s="2" t="n">
        <f aca="false">J3189/_xlfn.XLOOKUP(Tabla2[[#This Row],[Unidad de precio]],Tabla3[Medida],Tabla3[Equivalencia en Kg],"ELVIS",0)</f>
        <v>36.6946756197335</v>
      </c>
      <c r="M3189" s="2" t="n">
        <v>2133.92</v>
      </c>
      <c r="N3189" s="3" t="n">
        <f aca="false">(Tabla2[[#This Row],[Productividad (kg/TAS)]]*Tabla2[[#This Row],[Precio por kg]]-Tabla2[[#This Row],[Costos (En RD$/Tarea)]])</f>
        <v>8800.71998591783</v>
      </c>
      <c r="O3189" s="9" t="n">
        <f aca="false">IF(Tabla2[[#This Row],[Costos (En RD$/Tarea)]]=0,0,Tabla2[[#This Row],[Beneficio Neto  (En RD$/Tarea)]]/Tabla2[[#This Row],[Costos (En RD$/Tarea)]])</f>
        <v>4.12420333748118</v>
      </c>
      <c r="P3189" s="7" t="n">
        <f aca="false">Tabla2[[#This Row],[Rentabilidad (%)]]/12</f>
        <v>0.343683611456765</v>
      </c>
    </row>
    <row r="3190" customFormat="false" ht="14.25" hidden="false" customHeight="false" outlineLevel="0" collapsed="false">
      <c r="A3190" s="1" t="n">
        <v>44593</v>
      </c>
      <c r="B3190" s="2" t="s">
        <v>27</v>
      </c>
      <c r="C3190" s="3" t="n">
        <v>6532</v>
      </c>
      <c r="D3190" s="8" t="s">
        <v>17</v>
      </c>
      <c r="E3190" s="3" t="n">
        <f aca="false">IF(Tabla2[[#This Row],[Frecuencia]]="Annual", Tabla2[[#This Row],[Cosecha/Tarea]]/12,Tabla2[[#This Row],[Cosecha/Tarea]])</f>
        <v>6532</v>
      </c>
      <c r="F3190" s="3" t="n">
        <v>61254</v>
      </c>
      <c r="G3190" s="2" t="s">
        <v>18</v>
      </c>
      <c r="H3190" s="2" t="n">
        <f aca="false">F3190/Tabla2[[#This Row],[Cosecha Mensual]]</f>
        <v>9.37752602571954</v>
      </c>
      <c r="I3190" s="2" t="n">
        <f aca="false">H3190*_xlfn.XLOOKUP(Tabla2[[#This Row],[Unidad de producción]],Tabla3[Medida],Tabla3[Equivalencia en Kg],"ELVIS",0)</f>
        <v>425.364580526638</v>
      </c>
      <c r="J3190" s="2" t="n">
        <v>1093.91071428571</v>
      </c>
      <c r="K3190" s="2" t="s">
        <v>18</v>
      </c>
      <c r="L3190" s="2" t="n">
        <f aca="false">J3190/_xlfn.XLOOKUP(Tabla2[[#This Row],[Unidad de precio]],Tabla3[Medida],Tabla3[Equivalencia en Kg],"ELVIS",0)</f>
        <v>24.1161974048878</v>
      </c>
      <c r="M3190" s="2" t="n">
        <v>11717.05</v>
      </c>
      <c r="N3190" s="3" t="n">
        <f aca="false">(Tabla2[[#This Row],[Productividad (kg/TAS)]]*Tabla2[[#This Row],[Precio por kg]]-Tabla2[[#This Row],[Costos (En RD$/Tarea)]])</f>
        <v>-1458.87380697231</v>
      </c>
      <c r="O3190" s="9" t="n">
        <f aca="false">IF(Tabla2[[#This Row],[Costos (En RD$/Tarea)]]=0,0,Tabla2[[#This Row],[Beneficio Neto  (En RD$/Tarea)]]/Tabla2[[#This Row],[Costos (En RD$/Tarea)]])</f>
        <v>-0.124508626913115</v>
      </c>
      <c r="P3190" s="7" t="n">
        <f aca="false">Tabla2[[#This Row],[Rentabilidad (%)]]/12</f>
        <v>-0.0103757189094262</v>
      </c>
    </row>
    <row r="3191" customFormat="false" ht="14.25" hidden="false" customHeight="false" outlineLevel="0" collapsed="false">
      <c r="A3191" s="1" t="n">
        <v>44593</v>
      </c>
      <c r="B3191" s="2" t="s">
        <v>28</v>
      </c>
      <c r="C3191" s="3" t="n">
        <v>91254</v>
      </c>
      <c r="D3191" s="8" t="s">
        <v>17</v>
      </c>
      <c r="E3191" s="3" t="n">
        <f aca="false">IF(Tabla2[[#This Row],[Frecuencia]]="Annual", Tabla2[[#This Row],[Cosecha/Tarea]]/12,Tabla2[[#This Row],[Cosecha/Tarea]])</f>
        <v>91254</v>
      </c>
      <c r="F3191" s="3" t="n">
        <v>1871844</v>
      </c>
      <c r="G3191" s="2" t="s">
        <v>18</v>
      </c>
      <c r="H3191" s="2" t="n">
        <f aca="false">F3191/Tabla2[[#This Row],[Cosecha Mensual]]</f>
        <v>20.5124597277928</v>
      </c>
      <c r="I3191" s="2" t="n">
        <f aca="false">H3191*_xlfn.XLOOKUP(Tabla2[[#This Row],[Unidad de producción]],Tabla3[Medida],Tabla3[Equivalencia en Kg],"ELVIS",0)</f>
        <v>930.445173252679</v>
      </c>
      <c r="J3191" s="2" t="n">
        <v>9916.66666666667</v>
      </c>
      <c r="K3191" s="2" t="s">
        <v>29</v>
      </c>
      <c r="L3191" s="2" t="n">
        <f aca="false">J3191/_xlfn.XLOOKUP(Tabla2[[#This Row],[Unidad de precio]],Tabla3[Medida],Tabla3[Equivalencia en Kg],"ELVIS",0)</f>
        <v>17.6346457066306</v>
      </c>
      <c r="M3191" s="2" t="n">
        <v>8552.64</v>
      </c>
      <c r="N3191" s="3" t="n">
        <f aca="false">(Tabla2[[#This Row],[Productividad (kg/TAS)]]*Tabla2[[#This Row],[Precio por kg]]-Tabla2[[#This Row],[Costos (En RD$/Tarea)]])</f>
        <v>7855.43097975556</v>
      </c>
      <c r="O3191" s="9" t="n">
        <f aca="false">IF(Tabla2[[#This Row],[Costos (En RD$/Tarea)]]=0,0,Tabla2[[#This Row],[Beneficio Neto  (En RD$/Tarea)]]/Tabla2[[#This Row],[Costos (En RD$/Tarea)]])</f>
        <v>0.91848025636009</v>
      </c>
      <c r="P3191" s="7" t="n">
        <f aca="false">Tabla2[[#This Row],[Rentabilidad (%)]]/12</f>
        <v>0.0765400213633408</v>
      </c>
    </row>
    <row r="3192" customFormat="false" ht="14.25" hidden="false" customHeight="false" outlineLevel="0" collapsed="false">
      <c r="A3192" s="1" t="n">
        <v>44593</v>
      </c>
      <c r="B3192" s="2" t="s">
        <v>30</v>
      </c>
      <c r="C3192" s="3" t="n">
        <v>498678</v>
      </c>
      <c r="D3192" s="3" t="s">
        <v>31</v>
      </c>
      <c r="E3192" s="3" t="n">
        <f aca="false">IF(Tabla2[[#This Row],[Frecuencia]]="Annual", Tabla2[[#This Row],[Cosecha/Tarea]]/12,Tabla2[[#This Row],[Cosecha/Tarea]])</f>
        <v>41556.5</v>
      </c>
      <c r="F3192" s="3" t="n">
        <v>2251292.4</v>
      </c>
      <c r="G3192" s="2" t="s">
        <v>18</v>
      </c>
      <c r="H3192" s="2" t="n">
        <f aca="false">F3192/Tabla2[[#This Row],[Cosecha Mensual]]</f>
        <v>54.1742543284444</v>
      </c>
      <c r="I3192" s="2" t="n">
        <f aca="false">H3192*_xlfn.XLOOKUP(Tabla2[[#This Row],[Unidad de producción]],Tabla3[Medida],Tabla3[Equivalencia en Kg],"ELVIS",0)</f>
        <v>2457.34417633824</v>
      </c>
      <c r="J3192" s="2" t="n">
        <v>220.15234375</v>
      </c>
      <c r="K3192" s="2" t="s">
        <v>32</v>
      </c>
      <c r="L3192" s="2" t="n">
        <f aca="false">J3192/_xlfn.XLOOKUP(Tabla2[[#This Row],[Unidad de precio]],Tabla3[Medida],Tabla3[Equivalencia en Kg],"ELVIS",0)</f>
        <v>8.09086158581404</v>
      </c>
      <c r="M3192" s="3" t="n">
        <v>47396.15</v>
      </c>
      <c r="N3192" s="3" t="n">
        <f aca="false">(Tabla2[[#This Row],[Productividad (kg/TAS)]]*Tabla2[[#This Row],[Precio por kg]]-Tabla2[[#This Row],[Costos (En RD$/Tarea)]])</f>
        <v>-27514.1184005411</v>
      </c>
      <c r="O3192" s="9" t="n">
        <f aca="false">IF(Tabla2[[#This Row],[Costos (En RD$/Tarea)]]=0,0,Tabla2[[#This Row],[Beneficio Neto  (En RD$/Tarea)]]/Tabla2[[#This Row],[Costos (En RD$/Tarea)]])</f>
        <v>-0.58051378435888</v>
      </c>
      <c r="P3192" s="7" t="n">
        <f aca="false">Tabla2[[#This Row],[Rentabilidad (%)]]/12</f>
        <v>-0.0483761486965733</v>
      </c>
    </row>
    <row r="3193" customFormat="false" ht="14.25" hidden="false" customHeight="false" outlineLevel="0" collapsed="false">
      <c r="A3193" s="1" t="n">
        <v>44593</v>
      </c>
      <c r="B3193" s="2" t="s">
        <v>33</v>
      </c>
      <c r="C3193" s="3" t="n">
        <v>795332</v>
      </c>
      <c r="D3193" s="3" t="s">
        <v>31</v>
      </c>
      <c r="E3193" s="3" t="n">
        <f aca="false">IF(Tabla2[[#This Row],[Frecuencia]]="Annual", Tabla2[[#This Row],[Cosecha/Tarea]]/12,Tabla2[[#This Row],[Cosecha/Tarea]])</f>
        <v>66277.6666666667</v>
      </c>
      <c r="F3193" s="3" t="n">
        <v>1484982</v>
      </c>
      <c r="G3193" s="2" t="s">
        <v>18</v>
      </c>
      <c r="H3193" s="2" t="n">
        <f aca="false">F3193/Tabla2[[#This Row],[Cosecha Mensual]]</f>
        <v>22.4054658934885</v>
      </c>
      <c r="I3193" s="2" t="n">
        <f aca="false">H3193*_xlfn.XLOOKUP(Tabla2[[#This Row],[Unidad de producción]],Tabla3[Medida],Tabla3[Equivalencia en Kg],"ELVIS",0)</f>
        <v>1016.31193292864</v>
      </c>
      <c r="J3193" s="2" t="n">
        <v>7859.15104166667</v>
      </c>
      <c r="K3193" s="2" t="s">
        <v>34</v>
      </c>
      <c r="L3193" s="2" t="n">
        <f aca="false">J3193/_xlfn.XLOOKUP(Tabla2[[#This Row],[Unidad de precio]],Tabla3[Medida],Tabla3[Equivalencia en Kg],"ELVIS",0)</f>
        <v>19.2555458573237</v>
      </c>
      <c r="M3193" s="3" t="n">
        <v>25908.33</v>
      </c>
      <c r="N3193" s="3" t="n">
        <f aca="false">(Tabla2[[#This Row],[Productividad (kg/TAS)]]*Tabla2[[#This Row],[Precio por kg]]-Tabla2[[#This Row],[Costos (En RD$/Tarea)]])</f>
        <v>-6338.68897014731</v>
      </c>
      <c r="O3193" s="9" t="n">
        <f aca="false">IF(Tabla2[[#This Row],[Costos (En RD$/Tarea)]]=0,0,Tabla2[[#This Row],[Beneficio Neto  (En RD$/Tarea)]]/Tabla2[[#This Row],[Costos (En RD$/Tarea)]])</f>
        <v>-0.244658338462854</v>
      </c>
      <c r="P3193" s="7" t="n">
        <f aca="false">Tabla2[[#This Row],[Rentabilidad (%)]]/12</f>
        <v>-0.0203881948719045</v>
      </c>
    </row>
    <row r="3194" customFormat="false" ht="14.25" hidden="false" customHeight="false" outlineLevel="0" collapsed="false">
      <c r="A3194" s="1" t="n">
        <v>44621</v>
      </c>
      <c r="B3194" s="2" t="s">
        <v>16</v>
      </c>
      <c r="C3194" s="3" t="n">
        <v>154875</v>
      </c>
      <c r="D3194" s="8" t="s">
        <v>17</v>
      </c>
      <c r="E3194" s="3" t="n">
        <f aca="false">IF(Tabla2[[#This Row],[Frecuencia]]="Annual", Tabla2[[#This Row],[Cosecha/Tarea]]/12,Tabla2[[#This Row],[Cosecha/Tarea]])</f>
        <v>154875</v>
      </c>
      <c r="F3194" s="3" t="n">
        <v>820565</v>
      </c>
      <c r="G3194" s="2" t="s">
        <v>18</v>
      </c>
      <c r="H3194" s="2" t="n">
        <f aca="false">F3194/Tabla2[[#This Row],[Cosecha Mensual]]</f>
        <v>5.2982405165456</v>
      </c>
      <c r="I3194" s="2" t="n">
        <f aca="false">H3194*_xlfn.XLOOKUP(Tabla2[[#This Row],[Unidad de producción]],Tabla3[Medida],Tabla3[Equivalencia en Kg],"ELVIS",0)</f>
        <v>240.328189830508</v>
      </c>
      <c r="J3194" s="2" t="n">
        <v>2743.43293339751</v>
      </c>
      <c r="K3194" s="2" t="s">
        <v>19</v>
      </c>
      <c r="L3194" s="2" t="n">
        <f aca="false">J3194/_xlfn.XLOOKUP(Tabla2[[#This Row],[Unidad de precio]],Tabla3[Medida],Tabla3[Equivalencia en Kg],"ELVIS",0)</f>
        <v>24.9402993945228</v>
      </c>
      <c r="M3194" s="2" t="n">
        <v>10006.7786059906</v>
      </c>
      <c r="N3194" s="3" t="n">
        <f aca="false">(Tabla2[[#This Row],[Productividad (kg/TAS)]]*Tabla2[[#This Row],[Precio por kg]]-Tabla2[[#This Row],[Costos (En RD$/Tarea)]])</f>
        <v>-4012.921598674</v>
      </c>
      <c r="O3194" s="9" t="n">
        <f aca="false">IF(Tabla2[[#This Row],[Costos (En RD$/Tarea)]]=0,0,Tabla2[[#This Row],[Beneficio Neto  (En RD$/Tarea)]]/Tabla2[[#This Row],[Costos (En RD$/Tarea)]])</f>
        <v>-0.401020323990345</v>
      </c>
      <c r="P3194" s="7" t="n">
        <f aca="false">Tabla2[[#This Row],[Rentabilidad (%)]]/12</f>
        <v>-0.0334183603325288</v>
      </c>
    </row>
    <row r="3195" customFormat="false" ht="14.25" hidden="false" customHeight="false" outlineLevel="0" collapsed="false">
      <c r="A3195" s="1" t="n">
        <v>44621</v>
      </c>
      <c r="B3195" s="2" t="s">
        <v>20</v>
      </c>
      <c r="C3195" s="3" t="n">
        <v>34455</v>
      </c>
      <c r="D3195" s="8" t="s">
        <v>17</v>
      </c>
      <c r="E3195" s="3" t="n">
        <f aca="false">IF(Tabla2[[#This Row],[Frecuencia]]="Annual", Tabla2[[#This Row],[Cosecha/Tarea]]/12,Tabla2[[#This Row],[Cosecha/Tarea]])</f>
        <v>34455</v>
      </c>
      <c r="F3195" s="3" t="n">
        <v>84677</v>
      </c>
      <c r="G3195" s="2" t="s">
        <v>18</v>
      </c>
      <c r="H3195" s="2" t="n">
        <f aca="false">F3195/Tabla2[[#This Row],[Cosecha Mensual]]</f>
        <v>2.45761137715861</v>
      </c>
      <c r="I3195" s="2" t="n">
        <f aca="false">H3195*_xlfn.XLOOKUP(Tabla2[[#This Row],[Unidad de producción]],Tabla3[Medida],Tabla3[Equivalencia en Kg],"ELVIS",0)</f>
        <v>111.477252067915</v>
      </c>
      <c r="J3195" s="2" t="n">
        <v>1413.05416666667</v>
      </c>
      <c r="K3195" s="2" t="s">
        <v>18</v>
      </c>
      <c r="L3195" s="2" t="n">
        <f aca="false">J3195/_xlfn.XLOOKUP(Tabla2[[#This Row],[Unidad de precio]],Tabla3[Medida],Tabla3[Equivalencia en Kg],"ELVIS",0)</f>
        <v>31.1519878012934</v>
      </c>
      <c r="M3195" s="2" t="n">
        <v>4130.097717915</v>
      </c>
      <c r="N3195" s="3" t="n">
        <f aca="false">(Tabla2[[#This Row],[Productividad (kg/TAS)]]*Tabla2[[#This Row],[Precio por kg]]-Tabla2[[#This Row],[Costos (En RD$/Tarea)]])</f>
        <v>-657.35972137361</v>
      </c>
      <c r="O3195" s="9" t="n">
        <f aca="false">IF(Tabla2[[#This Row],[Costos (En RD$/Tarea)]]=0,0,Tabla2[[#This Row],[Beneficio Neto  (En RD$/Tarea)]]/Tabla2[[#This Row],[Costos (En RD$/Tarea)]])</f>
        <v>-0.159163236870208</v>
      </c>
      <c r="P3195" s="7" t="n">
        <f aca="false">Tabla2[[#This Row],[Rentabilidad (%)]]/12</f>
        <v>-0.0132636030725173</v>
      </c>
    </row>
    <row r="3196" customFormat="false" ht="14.25" hidden="false" customHeight="false" outlineLevel="0" collapsed="false">
      <c r="A3196" s="1" t="n">
        <v>44621</v>
      </c>
      <c r="B3196" s="2" t="s">
        <v>21</v>
      </c>
      <c r="C3196" s="3" t="n">
        <v>10780</v>
      </c>
      <c r="D3196" s="8" t="s">
        <v>17</v>
      </c>
      <c r="E3196" s="3" t="n">
        <f aca="false">IF(Tabla2[[#This Row],[Frecuencia]]="Annual", Tabla2[[#This Row],[Cosecha/Tarea]]/12,Tabla2[[#This Row],[Cosecha/Tarea]])</f>
        <v>10780</v>
      </c>
      <c r="F3196" s="3" t="n">
        <v>128995</v>
      </c>
      <c r="G3196" s="2" t="s">
        <v>18</v>
      </c>
      <c r="H3196" s="2" t="n">
        <f aca="false">F3196/Tabla2[[#This Row],[Cosecha Mensual]]</f>
        <v>11.9661410018553</v>
      </c>
      <c r="I3196" s="2" t="n">
        <f aca="false">H3196*_xlfn.XLOOKUP(Tabla2[[#This Row],[Unidad de producción]],Tabla3[Medida],Tabla3[Equivalencia en Kg],"ELVIS",0)</f>
        <v>542.784155844156</v>
      </c>
      <c r="J3196" s="2" t="n">
        <v>984.695833333333</v>
      </c>
      <c r="K3196" s="2" t="s">
        <v>18</v>
      </c>
      <c r="L3196" s="2" t="n">
        <f aca="false">J3196/_xlfn.XLOOKUP(Tabla2[[#This Row],[Unidad de precio]],Tabla3[Medida],Tabla3[Equivalencia en Kg],"ELVIS",0)</f>
        <v>21.7084619341564</v>
      </c>
      <c r="M3196" s="2" t="n">
        <v>5858.17</v>
      </c>
      <c r="N3196" s="3" t="n">
        <f aca="false">(Tabla2[[#This Row],[Productividad (kg/TAS)]]*Tabla2[[#This Row],[Precio por kg]]-Tabla2[[#This Row],[Costos (En RD$/Tarea)]])</f>
        <v>5924.83918560606</v>
      </c>
      <c r="O3196" s="9" t="n">
        <f aca="false">IF(Tabla2[[#This Row],[Costos (En RD$/Tarea)]]=0,0,Tabla2[[#This Row],[Beneficio Neto  (En RD$/Tarea)]]/Tabla2[[#This Row],[Costos (En RD$/Tarea)]])</f>
        <v>1.01138054812442</v>
      </c>
      <c r="P3196" s="7" t="n">
        <f aca="false">Tabla2[[#This Row],[Rentabilidad (%)]]/12</f>
        <v>0.084281712343702</v>
      </c>
    </row>
    <row r="3197" customFormat="false" ht="14.25" hidden="false" customHeight="false" outlineLevel="0" collapsed="false">
      <c r="A3197" s="1" t="n">
        <v>44621</v>
      </c>
      <c r="B3197" s="2" t="s">
        <v>22</v>
      </c>
      <c r="C3197" s="3" t="n">
        <v>7123</v>
      </c>
      <c r="D3197" s="8" t="s">
        <v>17</v>
      </c>
      <c r="E3197" s="3" t="n">
        <f aca="false">IF(Tabla2[[#This Row],[Frecuencia]]="Annual", Tabla2[[#This Row],[Cosecha/Tarea]]/12,Tabla2[[#This Row],[Cosecha/Tarea]])</f>
        <v>7123</v>
      </c>
      <c r="F3197" s="3" t="n">
        <v>73214</v>
      </c>
      <c r="G3197" s="2" t="s">
        <v>18</v>
      </c>
      <c r="H3197" s="2" t="n">
        <f aca="false">F3197/Tabla2[[#This Row],[Cosecha Mensual]]</f>
        <v>10.2785343254247</v>
      </c>
      <c r="I3197" s="2" t="n">
        <f aca="false">H3197*_xlfn.XLOOKUP(Tabla2[[#This Row],[Unidad de producción]],Tabla3[Medida],Tabla3[Equivalencia en Kg],"ELVIS",0)</f>
        <v>466.234317001264</v>
      </c>
      <c r="J3197" s="2" t="n">
        <v>1852.64523809524</v>
      </c>
      <c r="K3197" s="2" t="s">
        <v>18</v>
      </c>
      <c r="L3197" s="2" t="n">
        <f aca="false">J3197/_xlfn.XLOOKUP(Tabla2[[#This Row],[Unidad de precio]],Tabla3[Medida],Tabla3[Equivalencia en Kg],"ELVIS",0)</f>
        <v>40.8431489879903</v>
      </c>
      <c r="M3197" s="2" t="n">
        <v>12106.08</v>
      </c>
      <c r="N3197" s="3" t="n">
        <f aca="false">(Tabla2[[#This Row],[Productividad (kg/TAS)]]*Tabla2[[#This Row],[Precio por kg]]-Tabla2[[#This Row],[Costos (En RD$/Tarea)]])</f>
        <v>6936.39767259651</v>
      </c>
      <c r="O3197" s="9" t="n">
        <f aca="false">IF(Tabla2[[#This Row],[Costos (En RD$/Tarea)]]=0,0,Tabla2[[#This Row],[Beneficio Neto  (En RD$/Tarea)]]/Tabla2[[#This Row],[Costos (En RD$/Tarea)]])</f>
        <v>0.572968101366959</v>
      </c>
      <c r="P3197" s="7" t="n">
        <f aca="false">Tabla2[[#This Row],[Rentabilidad (%)]]/12</f>
        <v>0.0477473417805799</v>
      </c>
    </row>
    <row r="3198" customFormat="false" ht="14.25" hidden="false" customHeight="false" outlineLevel="0" collapsed="false">
      <c r="A3198" s="1" t="n">
        <v>44621</v>
      </c>
      <c r="B3198" s="2" t="s">
        <v>23</v>
      </c>
      <c r="C3198" s="3" t="n">
        <v>4722</v>
      </c>
      <c r="D3198" s="8" t="s">
        <v>17</v>
      </c>
      <c r="E3198" s="3" t="n">
        <f aca="false">IF(Tabla2[[#This Row],[Frecuencia]]="Annual", Tabla2[[#This Row],[Cosecha/Tarea]]/12,Tabla2[[#This Row],[Cosecha/Tarea]])</f>
        <v>4722</v>
      </c>
      <c r="F3198" s="3" t="n">
        <v>212122</v>
      </c>
      <c r="G3198" s="2" t="s">
        <v>18</v>
      </c>
      <c r="H3198" s="2" t="n">
        <f aca="false">F3198/Tabla2[[#This Row],[Cosecha Mensual]]</f>
        <v>44.9220669207963</v>
      </c>
      <c r="I3198" s="2" t="n">
        <f aca="false">H3198*_xlfn.XLOOKUP(Tabla2[[#This Row],[Unidad de producción]],Tabla3[Medida],Tabla3[Equivalencia en Kg],"ELVIS",0)</f>
        <v>2037.66495552732</v>
      </c>
      <c r="J3198" s="2" t="n">
        <v>1452.625</v>
      </c>
      <c r="K3198" s="2" t="s">
        <v>18</v>
      </c>
      <c r="L3198" s="2" t="n">
        <f aca="false">J3198/_xlfn.XLOOKUP(Tabla2[[#This Row],[Unidad de precio]],Tabla3[Medida],Tabla3[Equivalencia en Kg],"ELVIS",0)</f>
        <v>32.024360670194</v>
      </c>
      <c r="M3198" s="2" t="n">
        <v>30322</v>
      </c>
      <c r="N3198" s="3" t="n">
        <f aca="false">(Tabla2[[#This Row],[Productividad (kg/TAS)]]*Tabla2[[#This Row],[Precio por kg]]-Tabla2[[#This Row],[Costos (En RD$/Tarea)]])</f>
        <v>34932.9174608217</v>
      </c>
      <c r="O3198" s="9" t="n">
        <f aca="false">IF(Tabla2[[#This Row],[Costos (En RD$/Tarea)]]=0,0,Tabla2[[#This Row],[Beneficio Neto  (En RD$/Tarea)]]/Tabla2[[#This Row],[Costos (En RD$/Tarea)]])</f>
        <v>1.15206508346487</v>
      </c>
      <c r="P3198" s="7" t="n">
        <f aca="false">Tabla2[[#This Row],[Rentabilidad (%)]]/12</f>
        <v>0.0960054236220723</v>
      </c>
    </row>
    <row r="3199" customFormat="false" ht="14.25" hidden="false" customHeight="false" outlineLevel="0" collapsed="false">
      <c r="A3199" s="1" t="n">
        <v>44621</v>
      </c>
      <c r="B3199" s="2" t="s">
        <v>24</v>
      </c>
      <c r="C3199" s="3" t="n">
        <v>6456</v>
      </c>
      <c r="D3199" s="8" t="s">
        <v>17</v>
      </c>
      <c r="E3199" s="3" t="n">
        <f aca="false">IF(Tabla2[[#This Row],[Frecuencia]]="Annual", Tabla2[[#This Row],[Cosecha/Tarea]]/12,Tabla2[[#This Row],[Cosecha/Tarea]])</f>
        <v>6456</v>
      </c>
      <c r="F3199" s="3" t="n">
        <v>54677</v>
      </c>
      <c r="G3199" s="2" t="s">
        <v>18</v>
      </c>
      <c r="H3199" s="2" t="n">
        <f aca="false">F3199/Tabla2[[#This Row],[Cosecha Mensual]]</f>
        <v>8.46917596034697</v>
      </c>
      <c r="I3199" s="2" t="n">
        <f aca="false">H3199*_xlfn.XLOOKUP(Tabla2[[#This Row],[Unidad de producción]],Tabla3[Medida],Tabla3[Equivalencia en Kg],"ELVIS",0)</f>
        <v>384.161821561338</v>
      </c>
      <c r="J3199" s="2" t="n">
        <v>2462.47738095238</v>
      </c>
      <c r="K3199" s="2" t="s">
        <v>18</v>
      </c>
      <c r="L3199" s="2" t="n">
        <f aca="false">J3199/_xlfn.XLOOKUP(Tabla2[[#This Row],[Unidad de precio]],Tabla3[Medida],Tabla3[Equivalencia en Kg],"ELVIS",0)</f>
        <v>54.2874202149996</v>
      </c>
      <c r="M3199" s="2" t="n">
        <v>16342.43</v>
      </c>
      <c r="N3199" s="3" t="n">
        <f aca="false">(Tabla2[[#This Row],[Productividad (kg/TAS)]]*Tabla2[[#This Row],[Precio por kg]]-Tabla2[[#This Row],[Costos (En RD$/Tarea)]])</f>
        <v>4512.72423766005</v>
      </c>
      <c r="O3199" s="9" t="n">
        <f aca="false">IF(Tabla2[[#This Row],[Costos (En RD$/Tarea)]]=0,0,Tabla2[[#This Row],[Beneficio Neto  (En RD$/Tarea)]]/Tabla2[[#This Row],[Costos (En RD$/Tarea)]])</f>
        <v>0.276135448501848</v>
      </c>
      <c r="P3199" s="7" t="n">
        <f aca="false">Tabla2[[#This Row],[Rentabilidad (%)]]/12</f>
        <v>0.023011287375154</v>
      </c>
    </row>
    <row r="3200" customFormat="false" ht="14.25" hidden="false" customHeight="false" outlineLevel="0" collapsed="false">
      <c r="A3200" s="1" t="n">
        <v>44621</v>
      </c>
      <c r="B3200" s="2" t="s">
        <v>25</v>
      </c>
      <c r="C3200" s="3" t="n">
        <v>28695</v>
      </c>
      <c r="D3200" s="8" t="s">
        <v>17</v>
      </c>
      <c r="E3200" s="3" t="n">
        <f aca="false">IF(Tabla2[[#This Row],[Frecuencia]]="Annual", Tabla2[[#This Row],[Cosecha/Tarea]]/12,Tabla2[[#This Row],[Cosecha/Tarea]])</f>
        <v>28695</v>
      </c>
      <c r="F3200" s="3" t="n">
        <v>286547</v>
      </c>
      <c r="G3200" s="2" t="s">
        <v>18</v>
      </c>
      <c r="H3200" s="2" t="n">
        <f aca="false">F3200/Tabla2[[#This Row],[Cosecha Mensual]]</f>
        <v>9.98595574141837</v>
      </c>
      <c r="I3200" s="2" t="n">
        <f aca="false">H3200*_xlfn.XLOOKUP(Tabla2[[#This Row],[Unidad de producción]],Tabla3[Medida],Tabla3[Equivalencia en Kg],"ELVIS",0)</f>
        <v>452.962952430737</v>
      </c>
      <c r="J3200" s="2" t="n">
        <v>986.910416666667</v>
      </c>
      <c r="K3200" s="2" t="s">
        <v>18</v>
      </c>
      <c r="L3200" s="2" t="n">
        <f aca="false">J3200/_xlfn.XLOOKUP(Tabla2[[#This Row],[Unidad de precio]],Tabla3[Medida],Tabla3[Equivalencia en Kg],"ELVIS",0)</f>
        <v>21.7572843180482</v>
      </c>
      <c r="M3200" s="2" t="n">
        <v>6557.61</v>
      </c>
      <c r="N3200" s="3" t="n">
        <f aca="false">(Tabla2[[#This Row],[Productividad (kg/TAS)]]*Tabla2[[#This Row],[Precio por kg]]-Tabla2[[#This Row],[Costos (En RD$/Tarea)]])</f>
        <v>3297.6337415781</v>
      </c>
      <c r="O3200" s="9" t="n">
        <f aca="false">IF(Tabla2[[#This Row],[Costos (En RD$/Tarea)]]=0,0,Tabla2[[#This Row],[Beneficio Neto  (En RD$/Tarea)]]/Tabla2[[#This Row],[Costos (En RD$/Tarea)]])</f>
        <v>0.502871281088399</v>
      </c>
      <c r="P3200" s="7" t="n">
        <f aca="false">Tabla2[[#This Row],[Rentabilidad (%)]]/12</f>
        <v>0.0419059400906999</v>
      </c>
    </row>
    <row r="3201" customFormat="false" ht="14.25" hidden="false" customHeight="false" outlineLevel="0" collapsed="false">
      <c r="A3201" s="1" t="n">
        <v>44621</v>
      </c>
      <c r="B3201" s="2" t="s">
        <v>26</v>
      </c>
      <c r="C3201" s="3" t="n">
        <v>13985</v>
      </c>
      <c r="D3201" s="8" t="s">
        <v>17</v>
      </c>
      <c r="E3201" s="3" t="n">
        <f aca="false">IF(Tabla2[[#This Row],[Frecuencia]]="Annual", Tabla2[[#This Row],[Cosecha/Tarea]]/12,Tabla2[[#This Row],[Cosecha/Tarea]])</f>
        <v>13985</v>
      </c>
      <c r="F3201" s="3" t="n">
        <v>79533</v>
      </c>
      <c r="G3201" s="2" t="s">
        <v>18</v>
      </c>
      <c r="H3201" s="2" t="n">
        <f aca="false">F3201/Tabla2[[#This Row],[Cosecha Mensual]]</f>
        <v>5.68702180908116</v>
      </c>
      <c r="I3201" s="2" t="n">
        <f aca="false">H3201*_xlfn.XLOOKUP(Tabla2[[#This Row],[Unidad de producción]],Tabla3[Medida],Tabla3[Equivalencia en Kg],"ELVIS",0)</f>
        <v>257.963309259921</v>
      </c>
      <c r="J3201" s="2" t="n">
        <v>1300.87975</v>
      </c>
      <c r="K3201" s="2" t="s">
        <v>18</v>
      </c>
      <c r="L3201" s="2" t="n">
        <f aca="false">J3201/_xlfn.XLOOKUP(Tabla2[[#This Row],[Unidad de precio]],Tabla3[Medida],Tabla3[Equivalencia en Kg],"ELVIS",0)</f>
        <v>28.6790068342152</v>
      </c>
      <c r="M3201" s="2" t="n">
        <v>2133.92</v>
      </c>
      <c r="N3201" s="3" t="n">
        <f aca="false">(Tabla2[[#This Row],[Productividad (kg/TAS)]]*Tabla2[[#This Row],[Precio por kg]]-Tabla2[[#This Row],[Costos (En RD$/Tarea)]])</f>
        <v>5264.21150924205</v>
      </c>
      <c r="O3201" s="9" t="n">
        <f aca="false">IF(Tabla2[[#This Row],[Costos (En RD$/Tarea)]]=0,0,Tabla2[[#This Row],[Beneficio Neto  (En RD$/Tarea)]]/Tabla2[[#This Row],[Costos (En RD$/Tarea)]])</f>
        <v>2.46692074175323</v>
      </c>
      <c r="P3201" s="7" t="n">
        <f aca="false">Tabla2[[#This Row],[Rentabilidad (%)]]/12</f>
        <v>0.205576728479436</v>
      </c>
    </row>
    <row r="3202" customFormat="false" ht="14.25" hidden="false" customHeight="false" outlineLevel="0" collapsed="false">
      <c r="A3202" s="1" t="n">
        <v>44621</v>
      </c>
      <c r="B3202" s="2" t="s">
        <v>27</v>
      </c>
      <c r="C3202" s="3" t="n">
        <v>6254</v>
      </c>
      <c r="D3202" s="8" t="s">
        <v>17</v>
      </c>
      <c r="E3202" s="3" t="n">
        <f aca="false">IF(Tabla2[[#This Row],[Frecuencia]]="Annual", Tabla2[[#This Row],[Cosecha/Tarea]]/12,Tabla2[[#This Row],[Cosecha/Tarea]])</f>
        <v>6254</v>
      </c>
      <c r="F3202" s="3" t="n">
        <v>58788</v>
      </c>
      <c r="G3202" s="2" t="s">
        <v>18</v>
      </c>
      <c r="H3202" s="2" t="n">
        <f aca="false">F3202/Tabla2[[#This Row],[Cosecha Mensual]]</f>
        <v>9.4000639590662</v>
      </c>
      <c r="I3202" s="2" t="n">
        <f aca="false">H3202*_xlfn.XLOOKUP(Tabla2[[#This Row],[Unidad de producción]],Tabla3[Medida],Tabla3[Equivalencia en Kg],"ELVIS",0)</f>
        <v>426.386901183243</v>
      </c>
      <c r="J3202" s="2" t="n">
        <v>1064.02</v>
      </c>
      <c r="K3202" s="2" t="s">
        <v>18</v>
      </c>
      <c r="L3202" s="2" t="n">
        <f aca="false">J3202/_xlfn.XLOOKUP(Tabla2[[#This Row],[Unidad de precio]],Tabla3[Medida],Tabla3[Equivalencia en Kg],"ELVIS",0)</f>
        <v>23.4572310405644</v>
      </c>
      <c r="M3202" s="2" t="n">
        <v>11717.05</v>
      </c>
      <c r="N3202" s="3" t="n">
        <f aca="false">(Tabla2[[#This Row],[Productividad (kg/TAS)]]*Tabla2[[#This Row],[Precio por kg]]-Tabla2[[#This Row],[Costos (En RD$/Tarea)]])</f>
        <v>-1715.19394627438</v>
      </c>
      <c r="O3202" s="9" t="n">
        <f aca="false">IF(Tabla2[[#This Row],[Costos (En RD$/Tarea)]]=0,0,Tabla2[[#This Row],[Beneficio Neto  (En RD$/Tarea)]]/Tabla2[[#This Row],[Costos (En RD$/Tarea)]])</f>
        <v>-0.146384452253288</v>
      </c>
      <c r="P3202" s="7" t="n">
        <f aca="false">Tabla2[[#This Row],[Rentabilidad (%)]]/12</f>
        <v>-0.0121987043544406</v>
      </c>
    </row>
    <row r="3203" customFormat="false" ht="14.25" hidden="false" customHeight="false" outlineLevel="0" collapsed="false">
      <c r="A3203" s="1" t="n">
        <v>44621</v>
      </c>
      <c r="B3203" s="2" t="s">
        <v>28</v>
      </c>
      <c r="C3203" s="3" t="n">
        <v>74564</v>
      </c>
      <c r="D3203" s="8" t="s">
        <v>17</v>
      </c>
      <c r="E3203" s="3" t="n">
        <f aca="false">IF(Tabla2[[#This Row],[Frecuencia]]="Annual", Tabla2[[#This Row],[Cosecha/Tarea]]/12,Tabla2[[#This Row],[Cosecha/Tarea]])</f>
        <v>74564</v>
      </c>
      <c r="F3203" s="3" t="n">
        <v>1195980</v>
      </c>
      <c r="G3203" s="2" t="s">
        <v>18</v>
      </c>
      <c r="H3203" s="2" t="n">
        <f aca="false">F3203/Tabla2[[#This Row],[Cosecha Mensual]]</f>
        <v>16.0396437959337</v>
      </c>
      <c r="I3203" s="2" t="n">
        <f aca="false">H3203*_xlfn.XLOOKUP(Tabla2[[#This Row],[Unidad de producción]],Tabla3[Medida],Tabla3[Equivalencia en Kg],"ELVIS",0)</f>
        <v>727.558242583552</v>
      </c>
      <c r="J3203" s="2" t="n">
        <v>9350</v>
      </c>
      <c r="K3203" s="2" t="s">
        <v>29</v>
      </c>
      <c r="L3203" s="2" t="n">
        <f aca="false">J3203/_xlfn.XLOOKUP(Tabla2[[#This Row],[Unidad de precio]],Tabla3[Medida],Tabla3[Equivalencia en Kg],"ELVIS",0)</f>
        <v>16.6269516662517</v>
      </c>
      <c r="M3203" s="2" t="n">
        <v>8552.64</v>
      </c>
      <c r="N3203" s="3" t="n">
        <f aca="false">(Tabla2[[#This Row],[Productividad (kg/TAS)]]*Tabla2[[#This Row],[Precio por kg]]-Tabla2[[#This Row],[Costos (En RD$/Tarea)]])</f>
        <v>3544.43573381978</v>
      </c>
      <c r="O3203" s="9" t="n">
        <f aca="false">IF(Tabla2[[#This Row],[Costos (En RD$/Tarea)]]=0,0,Tabla2[[#This Row],[Beneficio Neto  (En RD$/Tarea)]]/Tabla2[[#This Row],[Costos (En RD$/Tarea)]])</f>
        <v>0.414425923904172</v>
      </c>
      <c r="P3203" s="7" t="n">
        <f aca="false">Tabla2[[#This Row],[Rentabilidad (%)]]/12</f>
        <v>0.034535493658681</v>
      </c>
    </row>
    <row r="3204" customFormat="false" ht="14.25" hidden="false" customHeight="false" outlineLevel="0" collapsed="false">
      <c r="A3204" s="1" t="n">
        <v>44621</v>
      </c>
      <c r="B3204" s="2" t="s">
        <v>30</v>
      </c>
      <c r="C3204" s="3" t="n">
        <v>484254</v>
      </c>
      <c r="D3204" s="3" t="s">
        <v>31</v>
      </c>
      <c r="E3204" s="3" t="n">
        <f aca="false">IF(Tabla2[[#This Row],[Frecuencia]]="Annual", Tabla2[[#This Row],[Cosecha/Tarea]]/12,Tabla2[[#This Row],[Cosecha/Tarea]])</f>
        <v>40354.5</v>
      </c>
      <c r="F3204" s="3" t="n">
        <v>2252813.4</v>
      </c>
      <c r="G3204" s="2" t="s">
        <v>18</v>
      </c>
      <c r="H3204" s="2" t="n">
        <f aca="false">F3204/Tabla2[[#This Row],[Cosecha Mensual]]</f>
        <v>55.8255807902464</v>
      </c>
      <c r="I3204" s="2" t="n">
        <f aca="false">H3204*_xlfn.XLOOKUP(Tabla2[[#This Row],[Unidad de producción]],Tabla3[Medida],Tabla3[Equivalencia en Kg],"ELVIS",0)</f>
        <v>2532.24834464558</v>
      </c>
      <c r="J3204" s="2" t="n">
        <v>236.565885416667</v>
      </c>
      <c r="K3204" s="2" t="s">
        <v>32</v>
      </c>
      <c r="L3204" s="2" t="n">
        <f aca="false">J3204/_xlfn.XLOOKUP(Tabla2[[#This Row],[Unidad de precio]],Tabla3[Medida],Tabla3[Equivalencia en Kg],"ELVIS",0)</f>
        <v>8.69407884662503</v>
      </c>
      <c r="M3204" s="3" t="n">
        <v>47396.15</v>
      </c>
      <c r="N3204" s="3" t="n">
        <f aca="false">(Tabla2[[#This Row],[Productividad (kg/TAS)]]*Tabla2[[#This Row],[Precio por kg]]-Tabla2[[#This Row],[Costos (En RD$/Tarea)]])</f>
        <v>-25380.5832324156</v>
      </c>
      <c r="O3204" s="9" t="n">
        <f aca="false">IF(Tabla2[[#This Row],[Costos (En RD$/Tarea)]]=0,0,Tabla2[[#This Row],[Beneficio Neto  (En RD$/Tarea)]]/Tabla2[[#This Row],[Costos (En RD$/Tarea)]])</f>
        <v>-0.535498837614778</v>
      </c>
      <c r="P3204" s="7" t="n">
        <f aca="false">Tabla2[[#This Row],[Rentabilidad (%)]]/12</f>
        <v>-0.0446249031345648</v>
      </c>
    </row>
    <row r="3205" customFormat="false" ht="14.25" hidden="false" customHeight="false" outlineLevel="0" collapsed="false">
      <c r="A3205" s="1" t="n">
        <v>44621</v>
      </c>
      <c r="B3205" s="2" t="s">
        <v>33</v>
      </c>
      <c r="C3205" s="3" t="n">
        <v>764899</v>
      </c>
      <c r="D3205" s="3" t="s">
        <v>31</v>
      </c>
      <c r="E3205" s="3" t="n">
        <f aca="false">IF(Tabla2[[#This Row],[Frecuencia]]="Annual", Tabla2[[#This Row],[Cosecha/Tarea]]/12,Tabla2[[#This Row],[Cosecha/Tarea]])</f>
        <v>63741.5833333333</v>
      </c>
      <c r="F3205" s="3" t="n">
        <v>1784286</v>
      </c>
      <c r="G3205" s="2" t="s">
        <v>18</v>
      </c>
      <c r="H3205" s="2" t="n">
        <f aca="false">F3205/Tabla2[[#This Row],[Cosecha Mensual]]</f>
        <v>27.9924957412678</v>
      </c>
      <c r="I3205" s="2" t="n">
        <f aca="false">H3205*_xlfn.XLOOKUP(Tabla2[[#This Row],[Unidad de producción]],Tabla3[Medida],Tabla3[Equivalencia en Kg],"ELVIS",0)</f>
        <v>1269.73960682391</v>
      </c>
      <c r="J3205" s="2" t="n">
        <v>8149.39791666667</v>
      </c>
      <c r="K3205" s="2" t="s">
        <v>34</v>
      </c>
      <c r="L3205" s="2" t="n">
        <f aca="false">J3205/_xlfn.XLOOKUP(Tabla2[[#This Row],[Unidad de precio]],Tabla3[Medida],Tabla3[Equivalencia en Kg],"ELVIS",0)</f>
        <v>19.9666738127323</v>
      </c>
      <c r="M3205" s="3" t="n">
        <v>25908.33</v>
      </c>
      <c r="N3205" s="3" t="n">
        <f aca="false">(Tabla2[[#This Row],[Productividad (kg/TAS)]]*Tabla2[[#This Row],[Precio por kg]]-Tabla2[[#This Row],[Costos (En RD$/Tarea)]])</f>
        <v>-555.853443440141</v>
      </c>
      <c r="O3205" s="9" t="n">
        <f aca="false">IF(Tabla2[[#This Row],[Costos (En RD$/Tarea)]]=0,0,Tabla2[[#This Row],[Beneficio Neto  (En RD$/Tarea)]]/Tabla2[[#This Row],[Costos (En RD$/Tarea)]])</f>
        <v>-0.0214546226422213</v>
      </c>
      <c r="P3205" s="7" t="n">
        <f aca="false">Tabla2[[#This Row],[Rentabilidad (%)]]/12</f>
        <v>-0.00178788522018511</v>
      </c>
    </row>
    <row r="3206" customFormat="false" ht="14.25" hidden="false" customHeight="false" outlineLevel="0" collapsed="false">
      <c r="A3206" s="1" t="n">
        <v>44652</v>
      </c>
      <c r="B3206" s="2" t="s">
        <v>16</v>
      </c>
      <c r="C3206" s="3" t="n">
        <v>567989</v>
      </c>
      <c r="D3206" s="8" t="s">
        <v>17</v>
      </c>
      <c r="E3206" s="3" t="n">
        <f aca="false">IF(Tabla2[[#This Row],[Frecuencia]]="Annual", Tabla2[[#This Row],[Cosecha/Tarea]]/12,Tabla2[[#This Row],[Cosecha/Tarea]])</f>
        <v>567989</v>
      </c>
      <c r="F3206" s="3" t="n">
        <v>2952000</v>
      </c>
      <c r="G3206" s="2" t="s">
        <v>18</v>
      </c>
      <c r="H3206" s="2" t="n">
        <f aca="false">F3206/Tabla2[[#This Row],[Cosecha Mensual]]</f>
        <v>5.19728375021347</v>
      </c>
      <c r="I3206" s="2" t="n">
        <f aca="false">H3206*_xlfn.XLOOKUP(Tabla2[[#This Row],[Unidad de producción]],Tabla3[Medida],Tabla3[Equivalencia en Kg],"ELVIS",0)</f>
        <v>235.748790909683</v>
      </c>
      <c r="J3206" s="2" t="n">
        <v>2691.25928790796</v>
      </c>
      <c r="K3206" s="2" t="s">
        <v>19</v>
      </c>
      <c r="L3206" s="2" t="n">
        <f aca="false">J3206/_xlfn.XLOOKUP(Tabla2[[#This Row],[Unidad de precio]],Tabla3[Medida],Tabla3[Equivalencia en Kg],"ELVIS",0)</f>
        <v>24.465993526436</v>
      </c>
      <c r="M3206" s="2" t="n">
        <v>10006.7786059906</v>
      </c>
      <c r="N3206" s="3" t="n">
        <f aca="false">(Tabla2[[#This Row],[Productividad (kg/TAS)]]*Tabla2[[#This Row],[Precio por kg]]-Tabla2[[#This Row],[Costos (En RD$/Tarea)]])</f>
        <v>-4238.95021372918</v>
      </c>
      <c r="O3206" s="9" t="n">
        <f aca="false">IF(Tabla2[[#This Row],[Costos (En RD$/Tarea)]]=0,0,Tabla2[[#This Row],[Beneficio Neto  (En RD$/Tarea)]]/Tabla2[[#This Row],[Costos (En RD$/Tarea)]])</f>
        <v>-0.423607874285488</v>
      </c>
      <c r="P3206" s="7" t="n">
        <f aca="false">Tabla2[[#This Row],[Rentabilidad (%)]]/12</f>
        <v>-0.0353006561904574</v>
      </c>
    </row>
    <row r="3207" customFormat="false" ht="14.25" hidden="false" customHeight="false" outlineLevel="0" collapsed="false">
      <c r="A3207" s="1" t="n">
        <v>44652</v>
      </c>
      <c r="B3207" s="2" t="s">
        <v>20</v>
      </c>
      <c r="C3207" s="3" t="n">
        <v>28577</v>
      </c>
      <c r="D3207" s="8" t="s">
        <v>17</v>
      </c>
      <c r="E3207" s="3" t="n">
        <f aca="false">IF(Tabla2[[#This Row],[Frecuencia]]="Annual", Tabla2[[#This Row],[Cosecha/Tarea]]/12,Tabla2[[#This Row],[Cosecha/Tarea]])</f>
        <v>28577</v>
      </c>
      <c r="F3207" s="3" t="n">
        <v>71542</v>
      </c>
      <c r="G3207" s="2" t="s">
        <v>18</v>
      </c>
      <c r="H3207" s="2" t="n">
        <f aca="false">F3207/Tabla2[[#This Row],[Cosecha Mensual]]</f>
        <v>2.5034818210449</v>
      </c>
      <c r="I3207" s="2" t="n">
        <f aca="false">H3207*_xlfn.XLOOKUP(Tabla2[[#This Row],[Unidad de producción]],Tabla3[Medida],Tabla3[Equivalencia en Kg],"ELVIS",0)</f>
        <v>113.557935402597</v>
      </c>
      <c r="J3207" s="2" t="n">
        <v>1505.36050347222</v>
      </c>
      <c r="K3207" s="2" t="s">
        <v>18</v>
      </c>
      <c r="L3207" s="2" t="n">
        <f aca="false">J3207/_xlfn.XLOOKUP(Tabla2[[#This Row],[Unidad de precio]],Tabla3[Medida],Tabla3[Equivalencia en Kg],"ELVIS",0)</f>
        <v>33.1869599530913</v>
      </c>
      <c r="M3207" s="2" t="n">
        <v>4130.097717915</v>
      </c>
      <c r="N3207" s="3" t="n">
        <f aca="false">(Tabla2[[#This Row],[Productividad (kg/TAS)]]*Tabla2[[#This Row],[Precio por kg]]-Tabla2[[#This Row],[Costos (En RD$/Tarea)]])</f>
        <v>-361.455063353305</v>
      </c>
      <c r="O3207" s="9" t="n">
        <f aca="false">IF(Tabla2[[#This Row],[Costos (En RD$/Tarea)]]=0,0,Tabla2[[#This Row],[Beneficio Neto  (En RD$/Tarea)]]/Tabla2[[#This Row],[Costos (En RD$/Tarea)]])</f>
        <v>-0.0875173150953385</v>
      </c>
      <c r="P3207" s="7" t="n">
        <f aca="false">Tabla2[[#This Row],[Rentabilidad (%)]]/12</f>
        <v>-0.00729310959127821</v>
      </c>
    </row>
    <row r="3208" customFormat="false" ht="14.25" hidden="false" customHeight="false" outlineLevel="0" collapsed="false">
      <c r="A3208" s="1" t="n">
        <v>44652</v>
      </c>
      <c r="B3208" s="2" t="s">
        <v>21</v>
      </c>
      <c r="C3208" s="3" t="n">
        <v>11887</v>
      </c>
      <c r="D3208" s="8" t="s">
        <v>17</v>
      </c>
      <c r="E3208" s="3" t="n">
        <f aca="false">IF(Tabla2[[#This Row],[Frecuencia]]="Annual", Tabla2[[#This Row],[Cosecha/Tarea]]/12,Tabla2[[#This Row],[Cosecha/Tarea]])</f>
        <v>11887</v>
      </c>
      <c r="F3208" s="3" t="n">
        <v>138878</v>
      </c>
      <c r="G3208" s="2" t="s">
        <v>18</v>
      </c>
      <c r="H3208" s="2" t="n">
        <f aca="false">F3208/Tabla2[[#This Row],[Cosecha Mensual]]</f>
        <v>11.6831833094978</v>
      </c>
      <c r="I3208" s="2" t="n">
        <f aca="false">H3208*_xlfn.XLOOKUP(Tabla2[[#This Row],[Unidad de producción]],Tabla3[Medida],Tabla3[Equivalencia en Kg],"ELVIS",0)</f>
        <v>529.949194918819</v>
      </c>
      <c r="J3208" s="2" t="n">
        <v>1035.58680555556</v>
      </c>
      <c r="K3208" s="2" t="s">
        <v>18</v>
      </c>
      <c r="L3208" s="2" t="n">
        <f aca="false">J3208/_xlfn.XLOOKUP(Tabla2[[#This Row],[Unidad de precio]],Tabla3[Medida],Tabla3[Equivalencia en Kg],"ELVIS",0)</f>
        <v>22.8303969478739</v>
      </c>
      <c r="M3208" s="2" t="n">
        <v>5858.17</v>
      </c>
      <c r="N3208" s="3" t="n">
        <f aca="false">(Tabla2[[#This Row],[Productividad (kg/TAS)]]*Tabla2[[#This Row],[Precio por kg]]-Tabla2[[#This Row],[Costos (En RD$/Tarea)]])</f>
        <v>6240.78048220283</v>
      </c>
      <c r="O3208" s="9" t="n">
        <f aca="false">IF(Tabla2[[#This Row],[Costos (En RD$/Tarea)]]=0,0,Tabla2[[#This Row],[Beneficio Neto  (En RD$/Tarea)]]/Tabla2[[#This Row],[Costos (En RD$/Tarea)]])</f>
        <v>1.06531228731888</v>
      </c>
      <c r="P3208" s="7" t="n">
        <f aca="false">Tabla2[[#This Row],[Rentabilidad (%)]]/12</f>
        <v>0.0887760239432398</v>
      </c>
    </row>
    <row r="3209" customFormat="false" ht="14.25" hidden="false" customHeight="false" outlineLevel="0" collapsed="false">
      <c r="A3209" s="1" t="n">
        <v>44652</v>
      </c>
      <c r="B3209" s="2" t="s">
        <v>22</v>
      </c>
      <c r="C3209" s="3" t="n">
        <v>8937</v>
      </c>
      <c r="D3209" s="8" t="s">
        <v>17</v>
      </c>
      <c r="E3209" s="3" t="n">
        <f aca="false">IF(Tabla2[[#This Row],[Frecuencia]]="Annual", Tabla2[[#This Row],[Cosecha/Tarea]]/12,Tabla2[[#This Row],[Cosecha/Tarea]])</f>
        <v>8937</v>
      </c>
      <c r="F3209" s="3" t="n">
        <v>86547</v>
      </c>
      <c r="G3209" s="2" t="s">
        <v>18</v>
      </c>
      <c r="H3209" s="2" t="n">
        <f aca="false">F3209/Tabla2[[#This Row],[Cosecha Mensual]]</f>
        <v>9.68412218865391</v>
      </c>
      <c r="I3209" s="2" t="n">
        <f aca="false">H3209*_xlfn.XLOOKUP(Tabla2[[#This Row],[Unidad de producción]],Tabla3[Medida],Tabla3[Equivalencia en Kg],"ELVIS",0)</f>
        <v>439.271782477341</v>
      </c>
      <c r="J3209" s="2" t="n">
        <v>1721.70833333333</v>
      </c>
      <c r="K3209" s="2" t="s">
        <v>18</v>
      </c>
      <c r="L3209" s="2" t="n">
        <f aca="false">J3209/_xlfn.XLOOKUP(Tabla2[[#This Row],[Unidad de precio]],Tabla3[Medida],Tabla3[Equivalencia en Kg],"ELVIS",0)</f>
        <v>37.9565329218106</v>
      </c>
      <c r="M3209" s="2" t="n">
        <v>12106.08</v>
      </c>
      <c r="N3209" s="3" t="n">
        <f aca="false">(Tabla2[[#This Row],[Productividad (kg/TAS)]]*Tabla2[[#This Row],[Precio por kg]]-Tabla2[[#This Row],[Costos (En RD$/Tarea)]])</f>
        <v>4567.15387322365</v>
      </c>
      <c r="O3209" s="9" t="n">
        <f aca="false">IF(Tabla2[[#This Row],[Costos (En RD$/Tarea)]]=0,0,Tabla2[[#This Row],[Beneficio Neto  (En RD$/Tarea)]]/Tabla2[[#This Row],[Costos (En RD$/Tarea)]])</f>
        <v>0.377261167382311</v>
      </c>
      <c r="P3209" s="7" t="n">
        <f aca="false">Tabla2[[#This Row],[Rentabilidad (%)]]/12</f>
        <v>0.0314384306151926</v>
      </c>
    </row>
    <row r="3210" customFormat="false" ht="14.25" hidden="false" customHeight="false" outlineLevel="0" collapsed="false">
      <c r="A3210" s="1" t="n">
        <v>44652</v>
      </c>
      <c r="B3210" s="2" t="s">
        <v>23</v>
      </c>
      <c r="C3210" s="3" t="n">
        <v>4422</v>
      </c>
      <c r="D3210" s="8" t="s">
        <v>17</v>
      </c>
      <c r="E3210" s="3" t="n">
        <f aca="false">IF(Tabla2[[#This Row],[Frecuencia]]="Annual", Tabla2[[#This Row],[Cosecha/Tarea]]/12,Tabla2[[#This Row],[Cosecha/Tarea]])</f>
        <v>4422</v>
      </c>
      <c r="F3210" s="3" t="n">
        <v>169899</v>
      </c>
      <c r="G3210" s="2" t="s">
        <v>18</v>
      </c>
      <c r="H3210" s="2" t="n">
        <f aca="false">F3210/Tabla2[[#This Row],[Cosecha Mensual]]</f>
        <v>38.421302578019</v>
      </c>
      <c r="I3210" s="2" t="n">
        <f aca="false">H3210*_xlfn.XLOOKUP(Tabla2[[#This Row],[Unidad de producción]],Tabla3[Medida],Tabla3[Equivalencia en Kg],"ELVIS",0)</f>
        <v>1742.79028493894</v>
      </c>
      <c r="J3210" s="2" t="n">
        <v>1443</v>
      </c>
      <c r="K3210" s="2" t="s">
        <v>18</v>
      </c>
      <c r="L3210" s="2" t="n">
        <f aca="false">J3210/_xlfn.XLOOKUP(Tabla2[[#This Row],[Unidad de precio]],Tabla3[Medida],Tabla3[Equivalencia en Kg],"ELVIS",0)</f>
        <v>31.8121693121693</v>
      </c>
      <c r="M3210" s="2" t="n">
        <v>30322</v>
      </c>
      <c r="N3210" s="3" t="n">
        <f aca="false">(Tabla2[[#This Row],[Productividad (kg/TAS)]]*Tabla2[[#This Row],[Precio por kg]]-Tabla2[[#This Row],[Costos (En RD$/Tarea)]])</f>
        <v>25119.9396200814</v>
      </c>
      <c r="O3210" s="9" t="n">
        <f aca="false">IF(Tabla2[[#This Row],[Costos (En RD$/Tarea)]]=0,0,Tabla2[[#This Row],[Beneficio Neto  (En RD$/Tarea)]]/Tabla2[[#This Row],[Costos (En RD$/Tarea)]])</f>
        <v>0.828439404395535</v>
      </c>
      <c r="P3210" s="7" t="n">
        <f aca="false">Tabla2[[#This Row],[Rentabilidad (%)]]/12</f>
        <v>0.0690366170329612</v>
      </c>
    </row>
    <row r="3211" customFormat="false" ht="14.25" hidden="false" customHeight="false" outlineLevel="0" collapsed="false">
      <c r="A3211" s="1" t="n">
        <v>44652</v>
      </c>
      <c r="B3211" s="2" t="s">
        <v>24</v>
      </c>
      <c r="C3211" s="3" t="n">
        <v>6699</v>
      </c>
      <c r="D3211" s="8" t="s">
        <v>17</v>
      </c>
      <c r="E3211" s="3" t="n">
        <f aca="false">IF(Tabla2[[#This Row],[Frecuencia]]="Annual", Tabla2[[#This Row],[Cosecha/Tarea]]/12,Tabla2[[#This Row],[Cosecha/Tarea]])</f>
        <v>6699</v>
      </c>
      <c r="F3211" s="3" t="n">
        <v>64585</v>
      </c>
      <c r="G3211" s="2" t="s">
        <v>18</v>
      </c>
      <c r="H3211" s="2" t="n">
        <f aca="false">F3211/Tabla2[[#This Row],[Cosecha Mensual]]</f>
        <v>9.64099119271533</v>
      </c>
      <c r="I3211" s="2" t="n">
        <f aca="false">H3211*_xlfn.XLOOKUP(Tabla2[[#This Row],[Unidad de producción]],Tabla3[Medida],Tabla3[Equivalencia en Kg],"ELVIS",0)</f>
        <v>437.315360501567</v>
      </c>
      <c r="J3211" s="2" t="n">
        <v>2453.52976190476</v>
      </c>
      <c r="K3211" s="2" t="s">
        <v>18</v>
      </c>
      <c r="L3211" s="2" t="n">
        <f aca="false">J3211/_xlfn.XLOOKUP(Tabla2[[#This Row],[Unidad de precio]],Tabla3[Medida],Tabla3[Equivalencia en Kg],"ELVIS",0)</f>
        <v>54.0901622994877</v>
      </c>
      <c r="M3211" s="2" t="n">
        <v>16342.43</v>
      </c>
      <c r="N3211" s="3" t="n">
        <f aca="false">(Tabla2[[#This Row],[Productividad (kg/TAS)]]*Tabla2[[#This Row],[Precio por kg]]-Tabla2[[#This Row],[Costos (En RD$/Tarea)]])</f>
        <v>7312.02882558874</v>
      </c>
      <c r="O3211" s="9" t="n">
        <f aca="false">IF(Tabla2[[#This Row],[Costos (En RD$/Tarea)]]=0,0,Tabla2[[#This Row],[Beneficio Neto  (En RD$/Tarea)]]/Tabla2[[#This Row],[Costos (En RD$/Tarea)]])</f>
        <v>0.447426045305914</v>
      </c>
      <c r="P3211" s="7" t="n">
        <f aca="false">Tabla2[[#This Row],[Rentabilidad (%)]]/12</f>
        <v>0.0372855037754929</v>
      </c>
    </row>
    <row r="3212" customFormat="false" ht="14.25" hidden="false" customHeight="false" outlineLevel="0" collapsed="false">
      <c r="A3212" s="1" t="n">
        <v>44652</v>
      </c>
      <c r="B3212" s="2" t="s">
        <v>25</v>
      </c>
      <c r="C3212" s="3" t="n">
        <v>29898</v>
      </c>
      <c r="D3212" s="8" t="s">
        <v>17</v>
      </c>
      <c r="E3212" s="3" t="n">
        <f aca="false">IF(Tabla2[[#This Row],[Frecuencia]]="Annual", Tabla2[[#This Row],[Cosecha/Tarea]]/12,Tabla2[[#This Row],[Cosecha/Tarea]])</f>
        <v>29898</v>
      </c>
      <c r="F3212" s="3" t="n">
        <v>289985</v>
      </c>
      <c r="G3212" s="2" t="s">
        <v>18</v>
      </c>
      <c r="H3212" s="2" t="n">
        <f aca="false">F3212/Tabla2[[#This Row],[Cosecha Mensual]]</f>
        <v>9.69914375543515</v>
      </c>
      <c r="I3212" s="2" t="n">
        <f aca="false">H3212*_xlfn.XLOOKUP(Tabla2[[#This Row],[Unidad de producción]],Tabla3[Medida],Tabla3[Equivalencia en Kg],"ELVIS",0)</f>
        <v>439.953160746538</v>
      </c>
      <c r="J3212" s="2" t="n">
        <v>1021.83854166667</v>
      </c>
      <c r="K3212" s="2" t="s">
        <v>18</v>
      </c>
      <c r="L3212" s="2" t="n">
        <f aca="false">J3212/_xlfn.XLOOKUP(Tabla2[[#This Row],[Unidad de precio]],Tabla3[Medida],Tabla3[Equivalencia en Kg],"ELVIS",0)</f>
        <v>22.5273047104645</v>
      </c>
      <c r="M3212" s="2" t="n">
        <v>6557.61</v>
      </c>
      <c r="N3212" s="3" t="n">
        <f aca="false">(Tabla2[[#This Row],[Productividad (kg/TAS)]]*Tabla2[[#This Row],[Precio por kg]]-Tabla2[[#This Row],[Costos (En RD$/Tarea)]])</f>
        <v>3353.34891046924</v>
      </c>
      <c r="O3212" s="9" t="n">
        <f aca="false">IF(Tabla2[[#This Row],[Costos (En RD$/Tarea)]]=0,0,Tabla2[[#This Row],[Beneficio Neto  (En RD$/Tarea)]]/Tabla2[[#This Row],[Costos (En RD$/Tarea)]])</f>
        <v>0.511367542514611</v>
      </c>
      <c r="P3212" s="7" t="n">
        <f aca="false">Tabla2[[#This Row],[Rentabilidad (%)]]/12</f>
        <v>0.0426139618762176</v>
      </c>
    </row>
    <row r="3213" customFormat="false" ht="14.25" hidden="false" customHeight="false" outlineLevel="0" collapsed="false">
      <c r="A3213" s="1" t="n">
        <v>44652</v>
      </c>
      <c r="B3213" s="2" t="s">
        <v>26</v>
      </c>
      <c r="C3213" s="3" t="n">
        <v>8912</v>
      </c>
      <c r="D3213" s="8" t="s">
        <v>17</v>
      </c>
      <c r="E3213" s="3" t="n">
        <f aca="false">IF(Tabla2[[#This Row],[Frecuencia]]="Annual", Tabla2[[#This Row],[Cosecha/Tarea]]/12,Tabla2[[#This Row],[Cosecha/Tarea]])</f>
        <v>8912</v>
      </c>
      <c r="F3213" s="3" t="n">
        <v>72145</v>
      </c>
      <c r="G3213" s="2" t="s">
        <v>18</v>
      </c>
      <c r="H3213" s="2" t="n">
        <f aca="false">F3213/Tabla2[[#This Row],[Cosecha Mensual]]</f>
        <v>8.09526481149013</v>
      </c>
      <c r="I3213" s="2" t="n">
        <f aca="false">H3213*_xlfn.XLOOKUP(Tabla2[[#This Row],[Unidad de producción]],Tabla3[Medida],Tabla3[Equivalencia en Kg],"ELVIS",0)</f>
        <v>367.201211849192</v>
      </c>
      <c r="J3213" s="2" t="n">
        <v>1122.069375</v>
      </c>
      <c r="K3213" s="2" t="s">
        <v>18</v>
      </c>
      <c r="L3213" s="2" t="n">
        <f aca="false">J3213/_xlfn.XLOOKUP(Tabla2[[#This Row],[Unidad de precio]],Tabla3[Medida],Tabla3[Equivalencia en Kg],"ELVIS",0)</f>
        <v>24.7369791666667</v>
      </c>
      <c r="M3213" s="2" t="n">
        <v>2133.92</v>
      </c>
      <c r="N3213" s="3" t="n">
        <f aca="false">(Tabla2[[#This Row],[Productividad (kg/TAS)]]*Tabla2[[#This Row],[Precio por kg]]-Tabla2[[#This Row],[Costos (En RD$/Tarea)]])</f>
        <v>6949.52872748822</v>
      </c>
      <c r="O3213" s="9" t="n">
        <f aca="false">IF(Tabla2[[#This Row],[Costos (En RD$/Tarea)]]=0,0,Tabla2[[#This Row],[Beneficio Neto  (En RD$/Tarea)]]/Tabla2[[#This Row],[Costos (En RD$/Tarea)]])</f>
        <v>3.25669599961021</v>
      </c>
      <c r="P3213" s="7" t="n">
        <f aca="false">Tabla2[[#This Row],[Rentabilidad (%)]]/12</f>
        <v>0.271391333300851</v>
      </c>
    </row>
    <row r="3214" customFormat="false" ht="14.25" hidden="false" customHeight="false" outlineLevel="0" collapsed="false">
      <c r="A3214" s="1" t="n">
        <v>44652</v>
      </c>
      <c r="B3214" s="2" t="s">
        <v>27</v>
      </c>
      <c r="C3214" s="3" t="n">
        <v>1990</v>
      </c>
      <c r="D3214" s="8" t="s">
        <v>17</v>
      </c>
      <c r="E3214" s="3" t="n">
        <f aca="false">IF(Tabla2[[#This Row],[Frecuencia]]="Annual", Tabla2[[#This Row],[Cosecha/Tarea]]/12,Tabla2[[#This Row],[Cosecha/Tarea]])</f>
        <v>1990</v>
      </c>
      <c r="F3214" s="3" t="n">
        <v>49215</v>
      </c>
      <c r="G3214" s="2" t="s">
        <v>18</v>
      </c>
      <c r="H3214" s="2" t="n">
        <f aca="false">F3214/Tabla2[[#This Row],[Cosecha Mensual]]</f>
        <v>24.7311557788945</v>
      </c>
      <c r="I3214" s="2" t="n">
        <f aca="false">H3214*_xlfn.XLOOKUP(Tabla2[[#This Row],[Unidad de producción]],Tabla3[Medida],Tabla3[Equivalencia en Kg],"ELVIS",0)</f>
        <v>1121.80522613065</v>
      </c>
      <c r="J3214" s="2" t="n">
        <v>1118.52638888889</v>
      </c>
      <c r="K3214" s="2" t="s">
        <v>18</v>
      </c>
      <c r="L3214" s="2" t="n">
        <f aca="false">J3214/_xlfn.XLOOKUP(Tabla2[[#This Row],[Unidad de precio]],Tabla3[Medida],Tabla3[Equivalencia en Kg],"ELVIS",0)</f>
        <v>24.6588710072507</v>
      </c>
      <c r="M3214" s="2" t="n">
        <v>11717.05</v>
      </c>
      <c r="N3214" s="3" t="n">
        <f aca="false">(Tabla2[[#This Row],[Productividad (kg/TAS)]]*Tabla2[[#This Row],[Precio por kg]]-Tabla2[[#This Row],[Costos (En RD$/Tarea)]])</f>
        <v>15945.4003664154</v>
      </c>
      <c r="O3214" s="9" t="n">
        <f aca="false">IF(Tabla2[[#This Row],[Costos (En RD$/Tarea)]]=0,0,Tabla2[[#This Row],[Beneficio Neto  (En RD$/Tarea)]]/Tabla2[[#This Row],[Costos (En RD$/Tarea)]])</f>
        <v>1.3608715817049</v>
      </c>
      <c r="P3214" s="7" t="n">
        <f aca="false">Tabla2[[#This Row],[Rentabilidad (%)]]/12</f>
        <v>0.113405965142075</v>
      </c>
    </row>
    <row r="3215" customFormat="false" ht="14.25" hidden="false" customHeight="false" outlineLevel="0" collapsed="false">
      <c r="A3215" s="1" t="n">
        <v>44652</v>
      </c>
      <c r="B3215" s="2" t="s">
        <v>28</v>
      </c>
      <c r="C3215" s="3" t="n">
        <v>11433</v>
      </c>
      <c r="D3215" s="8" t="s">
        <v>17</v>
      </c>
      <c r="E3215" s="3" t="n">
        <f aca="false">IF(Tabla2[[#This Row],[Frecuencia]]="Annual", Tabla2[[#This Row],[Cosecha/Tarea]]/12,Tabla2[[#This Row],[Cosecha/Tarea]])</f>
        <v>11433</v>
      </c>
      <c r="F3215" s="3" t="n">
        <v>156252</v>
      </c>
      <c r="G3215" s="2" t="s">
        <v>18</v>
      </c>
      <c r="H3215" s="2" t="n">
        <f aca="false">F3215/Tabla2[[#This Row],[Cosecha Mensual]]</f>
        <v>13.6667541327736</v>
      </c>
      <c r="I3215" s="2" t="n">
        <f aca="false">H3215*_xlfn.XLOOKUP(Tabla2[[#This Row],[Unidad de producción]],Tabla3[Medida],Tabla3[Equivalencia en Kg],"ELVIS",0)</f>
        <v>619.923967462608</v>
      </c>
      <c r="J3215" s="2" t="n">
        <v>6750</v>
      </c>
      <c r="K3215" s="2" t="s">
        <v>29</v>
      </c>
      <c r="L3215" s="2" t="n">
        <f aca="false">J3215/_xlfn.XLOOKUP(Tabla2[[#This Row],[Unidad de precio]],Tabla3[Medida],Tabla3[Equivalencia en Kg],"ELVIS",0)</f>
        <v>12.0034143045133</v>
      </c>
      <c r="M3215" s="2" t="n">
        <v>8552.64</v>
      </c>
      <c r="N3215" s="3" t="n">
        <f aca="false">(Tabla2[[#This Row],[Productividad (kg/TAS)]]*Tabla2[[#This Row],[Precio por kg]]-Tabla2[[#This Row],[Costos (En RD$/Tarea)]])</f>
        <v>-1111.4357812487</v>
      </c>
      <c r="O3215" s="9" t="n">
        <f aca="false">IF(Tabla2[[#This Row],[Costos (En RD$/Tarea)]]=0,0,Tabla2[[#This Row],[Beneficio Neto  (En RD$/Tarea)]]/Tabla2[[#This Row],[Costos (En RD$/Tarea)]])</f>
        <v>-0.129952363392906</v>
      </c>
      <c r="P3215" s="7" t="n">
        <f aca="false">Tabla2[[#This Row],[Rentabilidad (%)]]/12</f>
        <v>-0.0108293636160755</v>
      </c>
    </row>
    <row r="3216" customFormat="false" ht="14.25" hidden="false" customHeight="false" outlineLevel="0" collapsed="false">
      <c r="A3216" s="1" t="n">
        <v>44652</v>
      </c>
      <c r="B3216" s="2" t="s">
        <v>30</v>
      </c>
      <c r="C3216" s="3" t="n">
        <v>495452</v>
      </c>
      <c r="D3216" s="3" t="s">
        <v>31</v>
      </c>
      <c r="E3216" s="3" t="n">
        <f aca="false">IF(Tabla2[[#This Row],[Frecuencia]]="Annual", Tabla2[[#This Row],[Cosecha/Tarea]]/12,Tabla2[[#This Row],[Cosecha/Tarea]])</f>
        <v>41287.6666666667</v>
      </c>
      <c r="F3216" s="3" t="n">
        <v>2511593.4</v>
      </c>
      <c r="G3216" s="2" t="s">
        <v>18</v>
      </c>
      <c r="H3216" s="2" t="n">
        <f aca="false">F3216/Tabla2[[#This Row],[Cosecha Mensual]]</f>
        <v>60.8315655199696</v>
      </c>
      <c r="I3216" s="2" t="n">
        <f aca="false">H3216*_xlfn.XLOOKUP(Tabla2[[#This Row],[Unidad de producción]],Tabla3[Medida],Tabla3[Equivalencia en Kg],"ELVIS",0)</f>
        <v>2759.31981198582</v>
      </c>
      <c r="J3216" s="2" t="n">
        <v>230.4296875</v>
      </c>
      <c r="K3216" s="2" t="s">
        <v>32</v>
      </c>
      <c r="L3216" s="2" t="n">
        <f aca="false">J3216/_xlfn.XLOOKUP(Tabla2[[#This Row],[Unidad de precio]],Tabla3[Medida],Tabla3[Equivalencia en Kg],"ELVIS",0)</f>
        <v>8.46856624402793</v>
      </c>
      <c r="M3216" s="3" t="n">
        <v>47396.15</v>
      </c>
      <c r="N3216" s="3" t="n">
        <f aca="false">(Tabla2[[#This Row],[Productividad (kg/TAS)]]*Tabla2[[#This Row],[Precio por kg]]-Tabla2[[#This Row],[Costos (En RD$/Tarea)]])</f>
        <v>-24028.6673837394</v>
      </c>
      <c r="O3216" s="9" t="n">
        <f aca="false">IF(Tabla2[[#This Row],[Costos (En RD$/Tarea)]]=0,0,Tabla2[[#This Row],[Beneficio Neto  (En RD$/Tarea)]]/Tabla2[[#This Row],[Costos (En RD$/Tarea)]])</f>
        <v>-0.506975089405772</v>
      </c>
      <c r="P3216" s="7" t="n">
        <f aca="false">Tabla2[[#This Row],[Rentabilidad (%)]]/12</f>
        <v>-0.0422479241171476</v>
      </c>
    </row>
    <row r="3217" customFormat="false" ht="14.25" hidden="false" customHeight="false" outlineLevel="0" collapsed="false">
      <c r="A3217" s="1" t="n">
        <v>44652</v>
      </c>
      <c r="B3217" s="2" t="s">
        <v>33</v>
      </c>
      <c r="C3217" s="3" t="n">
        <v>809521</v>
      </c>
      <c r="D3217" s="3" t="s">
        <v>31</v>
      </c>
      <c r="E3217" s="11" t="n">
        <f aca="false">IF(Tabla2[[#This Row],[Frecuencia]]="Annual", Tabla2[[#This Row],[Cosecha/Tarea]]/12,Tabla2[[#This Row],[Cosecha/Tarea]])</f>
        <v>67460.0833333333</v>
      </c>
      <c r="F3217" s="3" t="n">
        <v>3368286</v>
      </c>
      <c r="G3217" s="2" t="s">
        <v>18</v>
      </c>
      <c r="H3217" s="2" t="n">
        <f aca="false">F3217/Tabla2[[#This Row],[Cosecha Mensual]]</f>
        <v>49.9300598749137</v>
      </c>
      <c r="I3217" s="2" t="n">
        <f aca="false">H3217*_xlfn.XLOOKUP(Tabla2[[#This Row],[Unidad de producción]],Tabla3[Medida],Tabla3[Equivalencia en Kg],"ELVIS",0)</f>
        <v>2264.82751592608</v>
      </c>
      <c r="J3217" s="2" t="n">
        <v>8098.90104166667</v>
      </c>
      <c r="K3217" s="2" t="s">
        <v>34</v>
      </c>
      <c r="L3217" s="2" t="n">
        <f aca="false">J3217/_xlfn.XLOOKUP(Tabla2[[#This Row],[Unidad de precio]],Tabla3[Medida],Tabla3[Equivalencia en Kg],"ELVIS",0)</f>
        <v>19.8429524480379</v>
      </c>
      <c r="M3217" s="3" t="n">
        <v>25908.33</v>
      </c>
      <c r="N3217" s="3" t="n">
        <f aca="false">(Tabla2[[#This Row],[Productividad (kg/TAS)]]*Tabla2[[#This Row],[Precio por kg]]-Tabla2[[#This Row],[Costos (En RD$/Tarea)]])</f>
        <v>19032.5347015291</v>
      </c>
      <c r="O3217" s="9" t="n">
        <f aca="false">IF(Tabla2[[#This Row],[Costos (En RD$/Tarea)]]=0,0,Tabla2[[#This Row],[Beneficio Neto  (En RD$/Tarea)]]/Tabla2[[#This Row],[Costos (En RD$/Tarea)]])</f>
        <v>0.734610633009889</v>
      </c>
      <c r="P3217" s="7" t="n">
        <f aca="false">Tabla2[[#This Row],[Rentabilidad (%)]]/12</f>
        <v>0.0612175527508241</v>
      </c>
    </row>
    <row r="3218" customFormat="false" ht="14.25" hidden="false" customHeight="false" outlineLevel="0" collapsed="false">
      <c r="A3218" s="1" t="n">
        <v>44682</v>
      </c>
      <c r="B3218" s="2" t="s">
        <v>16</v>
      </c>
      <c r="C3218" s="3" t="n">
        <v>472495.37</v>
      </c>
      <c r="D3218" s="8" t="s">
        <v>17</v>
      </c>
      <c r="E3218" s="3" t="n">
        <f aca="false">IF(Tabla2[[#This Row],[Frecuencia]]="Annual", Tabla2[[#This Row],[Cosecha/Tarea]]/12,Tabla2[[#This Row],[Cosecha/Tarea]])</f>
        <v>472495.37</v>
      </c>
      <c r="F3218" s="3" t="n">
        <v>2708765.1087</v>
      </c>
      <c r="G3218" s="2" t="s">
        <v>18</v>
      </c>
      <c r="H3218" s="2" t="n">
        <f aca="false">F3218/Tabla2[[#This Row],[Cosecha Mensual]]</f>
        <v>5.73289238516771</v>
      </c>
      <c r="I3218" s="2" t="n">
        <f aca="false">H3218*_xlfn.XLOOKUP(Tabla2[[#This Row],[Unidad de producción]],Tabla3[Medida],Tabla3[Equivalencia en Kg],"ELVIS",0)</f>
        <v>260.043998591207</v>
      </c>
      <c r="J3218" s="2" t="n">
        <v>2775.30008741946</v>
      </c>
      <c r="K3218" s="2" t="s">
        <v>19</v>
      </c>
      <c r="L3218" s="2" t="n">
        <f aca="false">J3218/_xlfn.XLOOKUP(Tabla2[[#This Row],[Unidad de precio]],Tabla3[Medida],Tabla3[Equivalencia en Kg],"ELVIS",0)</f>
        <v>25.2300007947224</v>
      </c>
      <c r="M3218" s="2" t="n">
        <v>10006.7786059906</v>
      </c>
      <c r="N3218" s="3" t="n">
        <f aca="false">(Tabla2[[#This Row],[Productividad (kg/TAS)]]*Tabla2[[#This Row],[Precio por kg]]-Tabla2[[#This Row],[Costos (En RD$/Tarea)]])</f>
        <v>-3445.86831487165</v>
      </c>
      <c r="O3218" s="9" t="n">
        <f aca="false">IF(Tabla2[[#This Row],[Costos (En RD$/Tarea)]]=0,0,Tabla2[[#This Row],[Beneficio Neto  (En RD$/Tarea)]]/Tabla2[[#This Row],[Costos (En RD$/Tarea)]])</f>
        <v>-0.344353407879812</v>
      </c>
      <c r="P3218" s="7" t="n">
        <f aca="false">Tabla2[[#This Row],[Rentabilidad (%)]]/12</f>
        <v>-0.0286961173233176</v>
      </c>
    </row>
    <row r="3219" customFormat="false" ht="14.25" hidden="false" customHeight="false" outlineLevel="0" collapsed="false">
      <c r="A3219" s="1" t="n">
        <v>44682</v>
      </c>
      <c r="B3219" s="2" t="s">
        <v>20</v>
      </c>
      <c r="C3219" s="3" t="n">
        <v>34468</v>
      </c>
      <c r="D3219" s="8" t="s">
        <v>17</v>
      </c>
      <c r="E3219" s="3" t="n">
        <f aca="false">IF(Tabla2[[#This Row],[Frecuencia]]="Annual", Tabla2[[#This Row],[Cosecha/Tarea]]/12,Tabla2[[#This Row],[Cosecha/Tarea]])</f>
        <v>34468</v>
      </c>
      <c r="F3219" s="3" t="n">
        <v>84025</v>
      </c>
      <c r="G3219" s="2" t="s">
        <v>18</v>
      </c>
      <c r="H3219" s="2" t="n">
        <f aca="false">F3219/Tabla2[[#This Row],[Cosecha Mensual]]</f>
        <v>2.43776836486016</v>
      </c>
      <c r="I3219" s="2" t="n">
        <f aca="false">H3219*_xlfn.XLOOKUP(Tabla2[[#This Row],[Unidad de producción]],Tabla3[Medida],Tabla3[Equivalencia en Kg],"ELVIS",0)</f>
        <v>110.577173030057</v>
      </c>
      <c r="J3219" s="2" t="n">
        <v>1453.88802083333</v>
      </c>
      <c r="K3219" s="2" t="s">
        <v>18</v>
      </c>
      <c r="L3219" s="2" t="n">
        <f aca="false">J3219/_xlfn.XLOOKUP(Tabla2[[#This Row],[Unidad de precio]],Tabla3[Medida],Tabla3[Equivalencia en Kg],"ELVIS",0)</f>
        <v>32.0522050448265</v>
      </c>
      <c r="M3219" s="2" t="n">
        <v>4130.097717915</v>
      </c>
      <c r="N3219" s="3" t="n">
        <f aca="false">(Tabla2[[#This Row],[Productividad (kg/TAS)]]*Tabla2[[#This Row],[Precio por kg]]-Tabla2[[#This Row],[Costos (En RD$/Tarea)]])</f>
        <v>-585.855494678359</v>
      </c>
      <c r="O3219" s="9" t="n">
        <f aca="false">IF(Tabla2[[#This Row],[Costos (En RD$/Tarea)]]=0,0,Tabla2[[#This Row],[Beneficio Neto  (En RD$/Tarea)]]/Tabla2[[#This Row],[Costos (En RD$/Tarea)]])</f>
        <v>-0.141850274422591</v>
      </c>
      <c r="P3219" s="7" t="n">
        <f aca="false">Tabla2[[#This Row],[Rentabilidad (%)]]/12</f>
        <v>-0.0118208562018826</v>
      </c>
    </row>
    <row r="3220" customFormat="false" ht="14.25" hidden="false" customHeight="false" outlineLevel="0" collapsed="false">
      <c r="A3220" s="1" t="n">
        <v>44682</v>
      </c>
      <c r="B3220" s="2" t="s">
        <v>21</v>
      </c>
      <c r="C3220" s="3" t="n">
        <v>9512.55</v>
      </c>
      <c r="D3220" s="8" t="s">
        <v>17</v>
      </c>
      <c r="E3220" s="3" t="n">
        <f aca="false">IF(Tabla2[[#This Row],[Frecuencia]]="Annual", Tabla2[[#This Row],[Cosecha/Tarea]]/12,Tabla2[[#This Row],[Cosecha/Tarea]])</f>
        <v>9512.55</v>
      </c>
      <c r="F3220" s="3" t="n">
        <v>116729.953484034</v>
      </c>
      <c r="G3220" s="2" t="s">
        <v>18</v>
      </c>
      <c r="H3220" s="2" t="n">
        <f aca="false">F3220/Tabla2[[#This Row],[Cosecha Mensual]]</f>
        <v>12.2711526860867</v>
      </c>
      <c r="I3220" s="2" t="n">
        <f aca="false">H3220*_xlfn.XLOOKUP(Tabla2[[#This Row],[Unidad de producción]],Tabla3[Medida],Tabla3[Equivalencia en Kg],"ELVIS",0)</f>
        <v>556.619485840893</v>
      </c>
      <c r="J3220" s="2" t="n">
        <v>961.614114583333</v>
      </c>
      <c r="K3220" s="2" t="s">
        <v>18</v>
      </c>
      <c r="L3220" s="2" t="n">
        <f aca="false">J3220/_xlfn.XLOOKUP(Tabla2[[#This Row],[Unidad de precio]],Tabla3[Medida],Tabla3[Equivalencia en Kg],"ELVIS",0)</f>
        <v>21.1996057006908</v>
      </c>
      <c r="M3220" s="2" t="n">
        <v>5858.17</v>
      </c>
      <c r="N3220" s="3" t="n">
        <f aca="false">(Tabla2[[#This Row],[Productividad (kg/TAS)]]*Tabla2[[#This Row],[Precio por kg]]-Tabla2[[#This Row],[Costos (En RD$/Tarea)]])</f>
        <v>5941.94362514815</v>
      </c>
      <c r="O3220" s="9" t="n">
        <f aca="false">IF(Tabla2[[#This Row],[Costos (En RD$/Tarea)]]=0,0,Tabla2[[#This Row],[Beneficio Neto  (En RD$/Tarea)]]/Tabla2[[#This Row],[Costos (En RD$/Tarea)]])</f>
        <v>1.01430030626427</v>
      </c>
      <c r="P3220" s="7" t="n">
        <f aca="false">Tabla2[[#This Row],[Rentabilidad (%)]]/12</f>
        <v>0.0845250255220224</v>
      </c>
    </row>
    <row r="3221" customFormat="false" ht="14.25" hidden="false" customHeight="false" outlineLevel="0" collapsed="false">
      <c r="A3221" s="1" t="n">
        <v>44682</v>
      </c>
      <c r="B3221" s="2" t="s">
        <v>22</v>
      </c>
      <c r="C3221" s="3" t="n">
        <v>5036</v>
      </c>
      <c r="D3221" s="8" t="s">
        <v>17</v>
      </c>
      <c r="E3221" s="3" t="n">
        <f aca="false">IF(Tabla2[[#This Row],[Frecuencia]]="Annual", Tabla2[[#This Row],[Cosecha/Tarea]]/12,Tabla2[[#This Row],[Cosecha/Tarea]])</f>
        <v>5036</v>
      </c>
      <c r="F3221" s="3" t="n">
        <v>66246</v>
      </c>
      <c r="G3221" s="2" t="s">
        <v>18</v>
      </c>
      <c r="H3221" s="2" t="n">
        <f aca="false">F3221/Tabla2[[#This Row],[Cosecha Mensual]]</f>
        <v>13.1544876886418</v>
      </c>
      <c r="I3221" s="2" t="n">
        <f aca="false">H3221*_xlfn.XLOOKUP(Tabla2[[#This Row],[Unidad de producción]],Tabla3[Medida],Tabla3[Equivalencia en Kg],"ELVIS",0)</f>
        <v>596.687561556791</v>
      </c>
      <c r="J3221" s="2" t="n">
        <v>1763.11197916667</v>
      </c>
      <c r="K3221" s="2" t="s">
        <v>18</v>
      </c>
      <c r="L3221" s="2" t="n">
        <f aca="false">J3221/_xlfn.XLOOKUP(Tabla2[[#This Row],[Unidad de precio]],Tabla3[Medida],Tabla3[Equivalencia en Kg],"ELVIS",0)</f>
        <v>38.8693117100236</v>
      </c>
      <c r="M3221" s="2" t="n">
        <v>12106.08</v>
      </c>
      <c r="N3221" s="3" t="n">
        <f aca="false">(Tabla2[[#This Row],[Productividad (kg/TAS)]]*Tabla2[[#This Row],[Precio por kg]]-Tabla2[[#This Row],[Costos (En RD$/Tarea)]])</f>
        <v>11086.7548236448</v>
      </c>
      <c r="O3221" s="9" t="n">
        <f aca="false">IF(Tabla2[[#This Row],[Costos (En RD$/Tarea)]]=0,0,Tabla2[[#This Row],[Beneficio Neto  (En RD$/Tarea)]]/Tabla2[[#This Row],[Costos (En RD$/Tarea)]])</f>
        <v>0.915800558367763</v>
      </c>
      <c r="P3221" s="7" t="n">
        <f aca="false">Tabla2[[#This Row],[Rentabilidad (%)]]/12</f>
        <v>0.0763167131973136</v>
      </c>
    </row>
    <row r="3222" customFormat="false" ht="14.25" hidden="false" customHeight="false" outlineLevel="0" collapsed="false">
      <c r="A3222" s="1" t="n">
        <v>44682</v>
      </c>
      <c r="B3222" s="2" t="s">
        <v>23</v>
      </c>
      <c r="C3222" s="3" t="n">
        <v>4265</v>
      </c>
      <c r="D3222" s="8" t="s">
        <v>17</v>
      </c>
      <c r="E3222" s="3" t="n">
        <f aca="false">IF(Tabla2[[#This Row],[Frecuencia]]="Annual", Tabla2[[#This Row],[Cosecha/Tarea]]/12,Tabla2[[#This Row],[Cosecha/Tarea]])</f>
        <v>4265</v>
      </c>
      <c r="F3222" s="3" t="n">
        <v>170000</v>
      </c>
      <c r="G3222" s="2" t="s">
        <v>18</v>
      </c>
      <c r="H3222" s="2" t="n">
        <f aca="false">F3222/Tabla2[[#This Row],[Cosecha Mensual]]</f>
        <v>39.8593200468933</v>
      </c>
      <c r="I3222" s="2" t="n">
        <f aca="false">H3222*_xlfn.XLOOKUP(Tabla2[[#This Row],[Unidad de producción]],Tabla3[Medida],Tabla3[Equivalencia en Kg],"ELVIS",0)</f>
        <v>1808.01875732708</v>
      </c>
      <c r="J3222" s="2" t="n">
        <v>1128.9375</v>
      </c>
      <c r="K3222" s="2" t="s">
        <v>18</v>
      </c>
      <c r="L3222" s="2" t="n">
        <f aca="false">J3222/_xlfn.XLOOKUP(Tabla2[[#This Row],[Unidad de precio]],Tabla3[Medida],Tabla3[Equivalencia en Kg],"ELVIS",0)</f>
        <v>24.8883928571429</v>
      </c>
      <c r="M3222" s="2" t="n">
        <v>30322</v>
      </c>
      <c r="N3222" s="3" t="n">
        <f aca="false">(Tabla2[[#This Row],[Productividad (kg/TAS)]]*Tabla2[[#This Row],[Precio por kg]]-Tabla2[[#This Row],[Costos (En RD$/Tarea)]])</f>
        <v>14676.6811254396</v>
      </c>
      <c r="O3222" s="9" t="n">
        <f aca="false">IF(Tabla2[[#This Row],[Costos (En RD$/Tarea)]]=0,0,Tabla2[[#This Row],[Beneficio Neto  (En RD$/Tarea)]]/Tabla2[[#This Row],[Costos (En RD$/Tarea)]])</f>
        <v>0.484027475939569</v>
      </c>
      <c r="P3222" s="7" t="n">
        <f aca="false">Tabla2[[#This Row],[Rentabilidad (%)]]/12</f>
        <v>0.0403356229949641</v>
      </c>
    </row>
    <row r="3223" customFormat="false" ht="14.25" hidden="false" customHeight="false" outlineLevel="0" collapsed="false">
      <c r="A3223" s="1" t="n">
        <v>44682</v>
      </c>
      <c r="B3223" s="2" t="s">
        <v>24</v>
      </c>
      <c r="C3223" s="3" t="n">
        <v>9059</v>
      </c>
      <c r="D3223" s="8" t="s">
        <v>17</v>
      </c>
      <c r="E3223" s="3" t="n">
        <f aca="false">IF(Tabla2[[#This Row],[Frecuencia]]="Annual", Tabla2[[#This Row],[Cosecha/Tarea]]/12,Tabla2[[#This Row],[Cosecha/Tarea]])</f>
        <v>9059</v>
      </c>
      <c r="F3223" s="3" t="n">
        <v>130822</v>
      </c>
      <c r="G3223" s="2" t="s">
        <v>18</v>
      </c>
      <c r="H3223" s="2" t="n">
        <f aca="false">F3223/Tabla2[[#This Row],[Cosecha Mensual]]</f>
        <v>14.4411082900982</v>
      </c>
      <c r="I3223" s="2" t="n">
        <f aca="false">H3223*_xlfn.XLOOKUP(Tabla2[[#This Row],[Unidad de producción]],Tabla3[Medida],Tabla3[Equivalencia en Kg],"ELVIS",0)</f>
        <v>655.048672038857</v>
      </c>
      <c r="J3223" s="2" t="n">
        <v>2565.14583333333</v>
      </c>
      <c r="K3223" s="2" t="s">
        <v>18</v>
      </c>
      <c r="L3223" s="2" t="n">
        <f aca="false">J3223/_xlfn.XLOOKUP(Tabla2[[#This Row],[Unidad de precio]],Tabla3[Medida],Tabla3[Equivalencia en Kg],"ELVIS",0)</f>
        <v>56.5508340681951</v>
      </c>
      <c r="M3223" s="2" t="n">
        <v>16342.43</v>
      </c>
      <c r="N3223" s="3" t="n">
        <f aca="false">(Tabla2[[#This Row],[Productividad (kg/TAS)]]*Tabla2[[#This Row],[Precio por kg]]-Tabla2[[#This Row],[Costos (En RD$/Tarea)]])</f>
        <v>20701.1187590609</v>
      </c>
      <c r="O3223" s="9" t="n">
        <f aca="false">IF(Tabla2[[#This Row],[Costos (En RD$/Tarea)]]=0,0,Tabla2[[#This Row],[Beneficio Neto  (En RD$/Tarea)]]/Tabla2[[#This Row],[Costos (En RD$/Tarea)]])</f>
        <v>1.26670995433732</v>
      </c>
      <c r="P3223" s="7" t="n">
        <f aca="false">Tabla2[[#This Row],[Rentabilidad (%)]]/12</f>
        <v>0.105559162861444</v>
      </c>
    </row>
    <row r="3224" customFormat="false" ht="14.25" hidden="false" customHeight="false" outlineLevel="0" collapsed="false">
      <c r="A3224" s="1" t="n">
        <v>44682</v>
      </c>
      <c r="B3224" s="2" t="s">
        <v>25</v>
      </c>
      <c r="C3224" s="3" t="n">
        <v>17911</v>
      </c>
      <c r="D3224" s="8" t="s">
        <v>17</v>
      </c>
      <c r="E3224" s="3" t="n">
        <f aca="false">IF(Tabla2[[#This Row],[Frecuencia]]="Annual", Tabla2[[#This Row],[Cosecha/Tarea]]/12,Tabla2[[#This Row],[Cosecha/Tarea]])</f>
        <v>17911</v>
      </c>
      <c r="F3224" s="3" t="n">
        <v>238992</v>
      </c>
      <c r="G3224" s="2" t="s">
        <v>18</v>
      </c>
      <c r="H3224" s="2" t="n">
        <f aca="false">F3224/Tabla2[[#This Row],[Cosecha Mensual]]</f>
        <v>13.3433085813187</v>
      </c>
      <c r="I3224" s="2" t="n">
        <f aca="false">H3224*_xlfn.XLOOKUP(Tabla2[[#This Row],[Unidad de producción]],Tabla3[Medida],Tabla3[Equivalencia en Kg],"ELVIS",0)</f>
        <v>605.252477248618</v>
      </c>
      <c r="J3224" s="2" t="n">
        <v>1152.3984375</v>
      </c>
      <c r="K3224" s="2" t="s">
        <v>18</v>
      </c>
      <c r="L3224" s="2" t="n">
        <f aca="false">J3224/_xlfn.XLOOKUP(Tabla2[[#This Row],[Unidad de precio]],Tabla3[Medida],Tabla3[Equivalencia en Kg],"ELVIS",0)</f>
        <v>25.405609292328</v>
      </c>
      <c r="M3224" s="2" t="n">
        <v>6557.61</v>
      </c>
      <c r="N3224" s="3" t="n">
        <f aca="false">(Tabla2[[#This Row],[Productividad (kg/TAS)]]*Tabla2[[#This Row],[Precio por kg]]-Tabla2[[#This Row],[Costos (En RD$/Tarea)]])</f>
        <v>8819.19796019206</v>
      </c>
      <c r="O3224" s="9" t="n">
        <f aca="false">IF(Tabla2[[#This Row],[Costos (En RD$/Tarea)]]=0,0,Tabla2[[#This Row],[Beneficio Neto  (En RD$/Tarea)]]/Tabla2[[#This Row],[Costos (En RD$/Tarea)]])</f>
        <v>1.34487991207041</v>
      </c>
      <c r="P3224" s="7" t="n">
        <f aca="false">Tabla2[[#This Row],[Rentabilidad (%)]]/12</f>
        <v>0.112073326005868</v>
      </c>
    </row>
    <row r="3225" customFormat="false" ht="14.25" hidden="false" customHeight="false" outlineLevel="0" collapsed="false">
      <c r="A3225" s="1" t="n">
        <v>44682</v>
      </c>
      <c r="B3225" s="2" t="s">
        <v>26</v>
      </c>
      <c r="C3225" s="3" t="n">
        <v>10751.77</v>
      </c>
      <c r="D3225" s="8" t="s">
        <v>17</v>
      </c>
      <c r="E3225" s="3" t="n">
        <f aca="false">IF(Tabla2[[#This Row],[Frecuencia]]="Annual", Tabla2[[#This Row],[Cosecha/Tarea]]/12,Tabla2[[#This Row],[Cosecha/Tarea]])</f>
        <v>10751.77</v>
      </c>
      <c r="F3225" s="3" t="n">
        <v>92379</v>
      </c>
      <c r="G3225" s="2" t="s">
        <v>18</v>
      </c>
      <c r="H3225" s="2" t="n">
        <f aca="false">F3225/Tabla2[[#This Row],[Cosecha Mensual]]</f>
        <v>8.59198066922935</v>
      </c>
      <c r="I3225" s="2" t="n">
        <f aca="false">H3225*_xlfn.XLOOKUP(Tabla2[[#This Row],[Unidad de producción]],Tabla3[Medida],Tabla3[Equivalencia en Kg],"ELVIS",0)</f>
        <v>389.732243156243</v>
      </c>
      <c r="J3225" s="2" t="n">
        <v>1120.03732638889</v>
      </c>
      <c r="K3225" s="2" t="s">
        <v>18</v>
      </c>
      <c r="L3225" s="2" t="n">
        <f aca="false">J3225/_xlfn.XLOOKUP(Tabla2[[#This Row],[Unidad de precio]],Tabla3[Medida],Tabla3[Equivalencia en Kg],"ELVIS",0)</f>
        <v>24.6921809168627</v>
      </c>
      <c r="M3225" s="2" t="n">
        <v>2133.92</v>
      </c>
      <c r="N3225" s="3" t="n">
        <f aca="false">(Tabla2[[#This Row],[Productividad (kg/TAS)]]*Tabla2[[#This Row],[Precio por kg]]-Tabla2[[#This Row],[Costos (En RD$/Tarea)]])</f>
        <v>7489.41905714866</v>
      </c>
      <c r="O3225" s="9" t="n">
        <f aca="false">IF(Tabla2[[#This Row],[Costos (En RD$/Tarea)]]=0,0,Tabla2[[#This Row],[Beneficio Neto  (En RD$/Tarea)]]/Tabla2[[#This Row],[Costos (En RD$/Tarea)]])</f>
        <v>3.50970001553416</v>
      </c>
      <c r="P3225" s="7" t="n">
        <f aca="false">Tabla2[[#This Row],[Rentabilidad (%)]]/12</f>
        <v>0.292475001294514</v>
      </c>
    </row>
    <row r="3226" customFormat="false" ht="14.25" hidden="false" customHeight="false" outlineLevel="0" collapsed="false">
      <c r="A3226" s="1" t="n">
        <v>44682</v>
      </c>
      <c r="B3226" s="2" t="s">
        <v>27</v>
      </c>
      <c r="C3226" s="3" t="n">
        <v>2530.86</v>
      </c>
      <c r="D3226" s="8" t="s">
        <v>17</v>
      </c>
      <c r="E3226" s="3" t="n">
        <f aca="false">IF(Tabla2[[#This Row],[Frecuencia]]="Annual", Tabla2[[#This Row],[Cosecha/Tarea]]/12,Tabla2[[#This Row],[Cosecha/Tarea]])</f>
        <v>2530.86</v>
      </c>
      <c r="F3226" s="3" t="n">
        <v>41623.63</v>
      </c>
      <c r="G3226" s="2" t="s">
        <v>18</v>
      </c>
      <c r="H3226" s="2" t="n">
        <f aca="false">F3226/Tabla2[[#This Row],[Cosecha Mensual]]</f>
        <v>16.4464371794568</v>
      </c>
      <c r="I3226" s="2" t="n">
        <f aca="false">H3226*_xlfn.XLOOKUP(Tabla2[[#This Row],[Unidad de producción]],Tabla3[Medida],Tabla3[Equivalencia en Kg],"ELVIS",0)</f>
        <v>746.01039046016</v>
      </c>
      <c r="J3226" s="2" t="n">
        <v>1041.89583333333</v>
      </c>
      <c r="K3226" s="2" t="s">
        <v>18</v>
      </c>
      <c r="L3226" s="2" t="n">
        <f aca="false">J3226/_xlfn.XLOOKUP(Tabla2[[#This Row],[Unidad de precio]],Tabla3[Medida],Tabla3[Equivalencia en Kg],"ELVIS",0)</f>
        <v>22.9694848618459</v>
      </c>
      <c r="M3226" s="2" t="n">
        <v>11717.05</v>
      </c>
      <c r="N3226" s="3" t="n">
        <f aca="false">(Tabla2[[#This Row],[Productividad (kg/TAS)]]*Tabla2[[#This Row],[Precio por kg]]-Tabla2[[#This Row],[Costos (En RD$/Tarea)]])</f>
        <v>5418.42437045439</v>
      </c>
      <c r="O3226" s="9" t="n">
        <f aca="false">IF(Tabla2[[#This Row],[Costos (En RD$/Tarea)]]=0,0,Tabla2[[#This Row],[Beneficio Neto  (En RD$/Tarea)]]/Tabla2[[#This Row],[Costos (En RD$/Tarea)]])</f>
        <v>0.462439297472861</v>
      </c>
      <c r="P3226" s="7" t="n">
        <f aca="false">Tabla2[[#This Row],[Rentabilidad (%)]]/12</f>
        <v>0.0385366081227384</v>
      </c>
    </row>
    <row r="3227" customFormat="false" ht="14.25" hidden="false" customHeight="false" outlineLevel="0" collapsed="false">
      <c r="A3227" s="1" t="n">
        <v>44682</v>
      </c>
      <c r="B3227" s="2" t="s">
        <v>28</v>
      </c>
      <c r="C3227" s="3" t="n">
        <v>13738.66</v>
      </c>
      <c r="D3227" s="8" t="s">
        <v>17</v>
      </c>
      <c r="E3227" s="3" t="n">
        <f aca="false">IF(Tabla2[[#This Row],[Frecuencia]]="Annual", Tabla2[[#This Row],[Cosecha/Tarea]]/12,Tabla2[[#This Row],[Cosecha/Tarea]])</f>
        <v>13738.66</v>
      </c>
      <c r="F3227" s="3" t="n">
        <v>482975.609806452</v>
      </c>
      <c r="G3227" s="2" t="s">
        <v>18</v>
      </c>
      <c r="H3227" s="2" t="n">
        <f aca="false">F3227/Tabla2[[#This Row],[Cosecha Mensual]]</f>
        <v>35.1544917631306</v>
      </c>
      <c r="I3227" s="2" t="n">
        <f aca="false">H3227*_xlfn.XLOOKUP(Tabla2[[#This Row],[Unidad de producción]],Tabla3[Medida],Tabla3[Equivalencia en Kg],"ELVIS",0)</f>
        <v>1594.6077463756</v>
      </c>
      <c r="J3227" s="2" t="n">
        <v>7278.47666666667</v>
      </c>
      <c r="K3227" s="2" t="s">
        <v>29</v>
      </c>
      <c r="L3227" s="2" t="n">
        <f aca="false">J3227/_xlfn.XLOOKUP(Tabla2[[#This Row],[Unidad de precio]],Tabla3[Medida],Tabla3[Equivalencia en Kg],"ELVIS",0)</f>
        <v>12.9431956941826</v>
      </c>
      <c r="M3227" s="2" t="n">
        <v>8552.64</v>
      </c>
      <c r="N3227" s="3" t="n">
        <f aca="false">(Tabla2[[#This Row],[Productividad (kg/TAS)]]*Tabla2[[#This Row],[Precio por kg]]-Tabla2[[#This Row],[Costos (En RD$/Tarea)]])</f>
        <v>12086.680116799</v>
      </c>
      <c r="O3227" s="9" t="n">
        <f aca="false">IF(Tabla2[[#This Row],[Costos (En RD$/Tarea)]]=0,0,Tabla2[[#This Row],[Beneficio Neto  (En RD$/Tarea)]]/Tabla2[[#This Row],[Costos (En RD$/Tarea)]])</f>
        <v>1.41321043757238</v>
      </c>
      <c r="P3227" s="7" t="n">
        <f aca="false">Tabla2[[#This Row],[Rentabilidad (%)]]/12</f>
        <v>0.117767536464365</v>
      </c>
    </row>
    <row r="3228" customFormat="false" ht="14.25" hidden="false" customHeight="false" outlineLevel="0" collapsed="false">
      <c r="A3228" s="1" t="n">
        <v>44682</v>
      </c>
      <c r="B3228" s="2" t="s">
        <v>30</v>
      </c>
      <c r="C3228" s="3" t="n">
        <v>531245</v>
      </c>
      <c r="D3228" s="3" t="s">
        <v>31</v>
      </c>
      <c r="E3228" s="3" t="n">
        <f aca="false">IF(Tabla2[[#This Row],[Frecuencia]]="Annual", Tabla2[[#This Row],[Cosecha/Tarea]]/12,Tabla2[[#This Row],[Cosecha/Tarea]])</f>
        <v>44270.4166666667</v>
      </c>
      <c r="F3228" s="3" t="n">
        <v>2071855.5</v>
      </c>
      <c r="G3228" s="2" t="s">
        <v>18</v>
      </c>
      <c r="H3228" s="2" t="n">
        <f aca="false">F3228/Tabla2[[#This Row],[Cosecha Mensual]]</f>
        <v>46.8</v>
      </c>
      <c r="I3228" s="2" t="n">
        <f aca="false">H3228*_xlfn.XLOOKUP(Tabla2[[#This Row],[Unidad de producción]],Tabla3[Medida],Tabla3[Equivalencia en Kg],"ELVIS",0)</f>
        <v>2122.848</v>
      </c>
      <c r="J3228" s="2" t="n">
        <v>234.197916666667</v>
      </c>
      <c r="K3228" s="2" t="s">
        <v>32</v>
      </c>
      <c r="L3228" s="2" t="n">
        <f aca="false">J3228/_xlfn.XLOOKUP(Tabla2[[#This Row],[Unidad de precio]],Tabla3[Medida],Tabla3[Equivalencia en Kg],"ELVIS",0)</f>
        <v>8.60705316672793</v>
      </c>
      <c r="M3228" s="3" t="n">
        <v>47396.15</v>
      </c>
      <c r="N3228" s="3" t="n">
        <f aca="false">(Tabla2[[#This Row],[Productividad (kg/TAS)]]*Tabla2[[#This Row],[Precio por kg]]-Tabla2[[#This Row],[Costos (En RD$/Tarea)]])</f>
        <v>-29124.684399118</v>
      </c>
      <c r="O3228" s="9" t="n">
        <f aca="false">IF(Tabla2[[#This Row],[Costos (En RD$/Tarea)]]=0,0,Tabla2[[#This Row],[Beneficio Neto  (En RD$/Tarea)]]/Tabla2[[#This Row],[Costos (En RD$/Tarea)]])</f>
        <v>-0.614494730038578</v>
      </c>
      <c r="P3228" s="7" t="n">
        <f aca="false">Tabla2[[#This Row],[Rentabilidad (%)]]/12</f>
        <v>-0.0512078941698815</v>
      </c>
    </row>
    <row r="3229" customFormat="false" ht="14.25" hidden="false" customHeight="false" outlineLevel="0" collapsed="false">
      <c r="A3229" s="1" t="n">
        <v>44682</v>
      </c>
      <c r="B3229" s="2" t="s">
        <v>33</v>
      </c>
      <c r="C3229" s="3" t="n">
        <v>866784</v>
      </c>
      <c r="D3229" s="3" t="s">
        <v>31</v>
      </c>
      <c r="E3229" s="3" t="n">
        <f aca="false">IF(Tabla2[[#This Row],[Frecuencia]]="Annual", Tabla2[[#This Row],[Cosecha/Tarea]]/12,Tabla2[[#This Row],[Cosecha/Tarea]])</f>
        <v>72232</v>
      </c>
      <c r="F3229" s="3" t="n">
        <v>1343515.2</v>
      </c>
      <c r="G3229" s="2" t="s">
        <v>18</v>
      </c>
      <c r="H3229" s="2" t="n">
        <f aca="false">F3229/Tabla2[[#This Row],[Cosecha Mensual]]</f>
        <v>18.6</v>
      </c>
      <c r="I3229" s="2" t="n">
        <f aca="false">H3229*_xlfn.XLOOKUP(Tabla2[[#This Row],[Unidad de producción]],Tabla3[Medida],Tabla3[Equivalencia en Kg],"ELVIS",0)</f>
        <v>843.696</v>
      </c>
      <c r="J3229" s="2" t="n">
        <v>8357.625</v>
      </c>
      <c r="K3229" s="2" t="s">
        <v>34</v>
      </c>
      <c r="L3229" s="2" t="n">
        <f aca="false">J3229/_xlfn.XLOOKUP(Tabla2[[#This Row],[Unidad de precio]],Tabla3[Medida],Tabla3[Equivalencia en Kg],"ELVIS",0)</f>
        <v>20.4768467475193</v>
      </c>
      <c r="M3229" s="3" t="n">
        <v>25908.33</v>
      </c>
      <c r="N3229" s="3" t="n">
        <f aca="false">(Tabla2[[#This Row],[Productividad (kg/TAS)]]*Tabla2[[#This Row],[Precio por kg]]-Tabla2[[#This Row],[Costos (En RD$/Tarea)]])</f>
        <v>-8632.09630650496</v>
      </c>
      <c r="O3229" s="9" t="n">
        <f aca="false">IF(Tabla2[[#This Row],[Costos (En RD$/Tarea)]]=0,0,Tabla2[[#This Row],[Beneficio Neto  (En RD$/Tarea)]]/Tabla2[[#This Row],[Costos (En RD$/Tarea)]])</f>
        <v>-0.333178414297832</v>
      </c>
      <c r="P3229" s="7" t="n">
        <f aca="false">Tabla2[[#This Row],[Rentabilidad (%)]]/12</f>
        <v>-0.0277648678581527</v>
      </c>
    </row>
    <row r="3230" customFormat="false" ht="14.25" hidden="false" customHeight="false" outlineLevel="0" collapsed="false">
      <c r="A3230" s="1" t="n">
        <v>44713</v>
      </c>
      <c r="B3230" s="2" t="s">
        <v>16</v>
      </c>
      <c r="C3230" s="3" t="n">
        <v>183504</v>
      </c>
      <c r="D3230" s="8" t="s">
        <v>17</v>
      </c>
      <c r="E3230" s="3" t="n">
        <f aca="false">IF(Tabla2[[#This Row],[Frecuencia]]="Annual", Tabla2[[#This Row],[Cosecha/Tarea]]/12,Tabla2[[#This Row],[Cosecha/Tarea]])</f>
        <v>183504</v>
      </c>
      <c r="F3230" s="3" t="n">
        <v>998865</v>
      </c>
      <c r="G3230" s="2" t="s">
        <v>18</v>
      </c>
      <c r="H3230" s="2" t="n">
        <f aca="false">F3230/Tabla2[[#This Row],[Cosecha Mensual]]</f>
        <v>5.44328733978551</v>
      </c>
      <c r="I3230" s="2" t="n">
        <f aca="false">H3230*_xlfn.XLOOKUP(Tabla2[[#This Row],[Unidad de producción]],Tabla3[Medida],Tabla3[Equivalencia en Kg],"ELVIS",0)</f>
        <v>246.907513732671</v>
      </c>
      <c r="J3230" s="2" t="n">
        <v>2718.56659607627</v>
      </c>
      <c r="K3230" s="2" t="s">
        <v>19</v>
      </c>
      <c r="L3230" s="2" t="n">
        <f aca="false">J3230/_xlfn.XLOOKUP(Tabla2[[#This Row],[Unidad de precio]],Tabla3[Medida],Tabla3[Equivalencia en Kg],"ELVIS",0)</f>
        <v>24.7142417825115</v>
      </c>
      <c r="M3230" s="2" t="n">
        <v>10006.7786059906</v>
      </c>
      <c r="N3230" s="3" t="n">
        <f aca="false">(Tabla2[[#This Row],[Productividad (kg/TAS)]]*Tabla2[[#This Row],[Precio por kg]]-Tabla2[[#This Row],[Costos (En RD$/Tarea)]])</f>
        <v>-3904.64661368259</v>
      </c>
      <c r="O3230" s="9" t="n">
        <f aca="false">IF(Tabla2[[#This Row],[Costos (En RD$/Tarea)]]=0,0,Tabla2[[#This Row],[Beneficio Neto  (En RD$/Tarea)]]/Tabla2[[#This Row],[Costos (En RD$/Tarea)]])</f>
        <v>-0.390200160054011</v>
      </c>
      <c r="P3230" s="7" t="n">
        <f aca="false">Tabla2[[#This Row],[Rentabilidad (%)]]/12</f>
        <v>-0.0325166800045009</v>
      </c>
    </row>
    <row r="3231" customFormat="false" ht="14.25" hidden="false" customHeight="false" outlineLevel="0" collapsed="false">
      <c r="A3231" s="1" t="n">
        <v>44713</v>
      </c>
      <c r="B3231" s="2" t="s">
        <v>20</v>
      </c>
      <c r="C3231" s="3" t="n">
        <v>40080</v>
      </c>
      <c r="D3231" s="8" t="s">
        <v>17</v>
      </c>
      <c r="E3231" s="3" t="n">
        <f aca="false">IF(Tabla2[[#This Row],[Frecuencia]]="Annual", Tabla2[[#This Row],[Cosecha/Tarea]]/12,Tabla2[[#This Row],[Cosecha/Tarea]])</f>
        <v>40080</v>
      </c>
      <c r="F3231" s="3" t="n">
        <v>129319.45</v>
      </c>
      <c r="G3231" s="2" t="s">
        <v>18</v>
      </c>
      <c r="H3231" s="2" t="n">
        <f aca="false">F3231/Tabla2[[#This Row],[Cosecha Mensual]]</f>
        <v>3.22653318363273</v>
      </c>
      <c r="I3231" s="2" t="n">
        <f aca="false">H3231*_xlfn.XLOOKUP(Tabla2[[#This Row],[Unidad de producción]],Tabla3[Medida],Tabla3[Equivalencia en Kg],"ELVIS",0)</f>
        <v>146.355545209581</v>
      </c>
      <c r="J3231" s="2" t="n">
        <v>1522.09583333333</v>
      </c>
      <c r="K3231" s="2" t="s">
        <v>18</v>
      </c>
      <c r="L3231" s="2" t="n">
        <f aca="false">J3231/_xlfn.XLOOKUP(Tabla2[[#This Row],[Unidad de precio]],Tabla3[Medida],Tabla3[Equivalencia en Kg],"ELVIS",0)</f>
        <v>33.5559046149323</v>
      </c>
      <c r="M3231" s="2" t="n">
        <v>4130.097717915</v>
      </c>
      <c r="N3231" s="3" t="n">
        <f aca="false">(Tabla2[[#This Row],[Productividad (kg/TAS)]]*Tabla2[[#This Row],[Precio por kg]]-Tabla2[[#This Row],[Costos (En RD$/Tarea)]])</f>
        <v>780.994997004109</v>
      </c>
      <c r="O3231" s="9" t="n">
        <f aca="false">IF(Tabla2[[#This Row],[Costos (En RD$/Tarea)]]=0,0,Tabla2[[#This Row],[Beneficio Neto  (En RD$/Tarea)]]/Tabla2[[#This Row],[Costos (En RD$/Tarea)]])</f>
        <v>0.189098430677902</v>
      </c>
      <c r="P3231" s="7" t="n">
        <f aca="false">Tabla2[[#This Row],[Rentabilidad (%)]]/12</f>
        <v>0.0157582025564918</v>
      </c>
    </row>
    <row r="3232" customFormat="false" ht="14.25" hidden="false" customHeight="false" outlineLevel="0" collapsed="false">
      <c r="A3232" s="1" t="n">
        <v>44713</v>
      </c>
      <c r="B3232" s="2" t="s">
        <v>21</v>
      </c>
      <c r="C3232" s="3" t="n">
        <v>11377</v>
      </c>
      <c r="D3232" s="8" t="s">
        <v>17</v>
      </c>
      <c r="E3232" s="3" t="n">
        <f aca="false">IF(Tabla2[[#This Row],[Frecuencia]]="Annual", Tabla2[[#This Row],[Cosecha/Tarea]]/12,Tabla2[[#This Row],[Cosecha/Tarea]])</f>
        <v>11377</v>
      </c>
      <c r="F3232" s="3" t="n">
        <v>150961</v>
      </c>
      <c r="G3232" s="2" t="s">
        <v>18</v>
      </c>
      <c r="H3232" s="2" t="n">
        <f aca="false">F3232/Tabla2[[#This Row],[Cosecha Mensual]]</f>
        <v>13.2689636986903</v>
      </c>
      <c r="I3232" s="2" t="n">
        <f aca="false">H3232*_xlfn.XLOOKUP(Tabla2[[#This Row],[Unidad de producción]],Tabla3[Medida],Tabla3[Equivalencia en Kg],"ELVIS",0)</f>
        <v>601.880193372594</v>
      </c>
      <c r="J3232" s="2" t="n">
        <v>1090.87375</v>
      </c>
      <c r="K3232" s="2" t="s">
        <v>18</v>
      </c>
      <c r="L3232" s="2" t="n">
        <f aca="false">J3232/_xlfn.XLOOKUP(Tabla2[[#This Row],[Unidad de precio]],Tabla3[Medida],Tabla3[Equivalencia en Kg],"ELVIS",0)</f>
        <v>24.0492449294533</v>
      </c>
      <c r="M3232" s="2" t="n">
        <v>5858.17</v>
      </c>
      <c r="N3232" s="3" t="n">
        <f aca="false">(Tabla2[[#This Row],[Productividad (kg/TAS)]]*Tabla2[[#This Row],[Precio por kg]]-Tabla2[[#This Row],[Costos (En RD$/Tarea)]])</f>
        <v>8616.5941886042</v>
      </c>
      <c r="O3232" s="9" t="n">
        <f aca="false">IF(Tabla2[[#This Row],[Costos (En RD$/Tarea)]]=0,0,Tabla2[[#This Row],[Beneficio Neto  (En RD$/Tarea)]]/Tabla2[[#This Row],[Costos (En RD$/Tarea)]])</f>
        <v>1.47086789707438</v>
      </c>
      <c r="P3232" s="7" t="n">
        <f aca="false">Tabla2[[#This Row],[Rentabilidad (%)]]/12</f>
        <v>0.122572324756198</v>
      </c>
    </row>
    <row r="3233" customFormat="false" ht="14.25" hidden="false" customHeight="false" outlineLevel="0" collapsed="false">
      <c r="A3233" s="1" t="n">
        <v>44713</v>
      </c>
      <c r="B3233" s="2" t="s">
        <v>22</v>
      </c>
      <c r="C3233" s="3" t="n">
        <v>6801.33333333333</v>
      </c>
      <c r="D3233" s="8" t="s">
        <v>17</v>
      </c>
      <c r="E3233" s="3" t="n">
        <f aca="false">IF(Tabla2[[#This Row],[Frecuencia]]="Annual", Tabla2[[#This Row],[Cosecha/Tarea]]/12,Tabla2[[#This Row],[Cosecha/Tarea]])</f>
        <v>6801.33333333333</v>
      </c>
      <c r="F3233" s="3" t="n">
        <v>49532</v>
      </c>
      <c r="G3233" s="2" t="s">
        <v>18</v>
      </c>
      <c r="H3233" s="2" t="n">
        <f aca="false">F3233/Tabla2[[#This Row],[Cosecha Mensual]]</f>
        <v>7.28268966869242</v>
      </c>
      <c r="I3233" s="2" t="n">
        <f aca="false">H3233*_xlfn.XLOOKUP(Tabla2[[#This Row],[Unidad de producción]],Tabla3[Medida],Tabla3[Equivalencia en Kg],"ELVIS",0)</f>
        <v>330.342803371888</v>
      </c>
      <c r="J3233" s="2" t="n">
        <v>1991.94444444444</v>
      </c>
      <c r="K3233" s="2" t="s">
        <v>18</v>
      </c>
      <c r="L3233" s="2" t="n">
        <f aca="false">J3233/_xlfn.XLOOKUP(Tabla2[[#This Row],[Unidad de precio]],Tabla3[Medida],Tabla3[Equivalencia en Kg],"ELVIS",0)</f>
        <v>43.9141191456005</v>
      </c>
      <c r="M3233" s="2" t="n">
        <v>12106.08</v>
      </c>
      <c r="N3233" s="3" t="n">
        <f aca="false">(Tabla2[[#This Row],[Productividad (kg/TAS)]]*Tabla2[[#This Row],[Precio por kg]]-Tabla2[[#This Row],[Costos (En RD$/Tarea)]])</f>
        <v>2400.63322616478</v>
      </c>
      <c r="O3233" s="9" t="n">
        <f aca="false">IF(Tabla2[[#This Row],[Costos (En RD$/Tarea)]]=0,0,Tabla2[[#This Row],[Beneficio Neto  (En RD$/Tarea)]]/Tabla2[[#This Row],[Costos (En RD$/Tarea)]])</f>
        <v>0.1982997986272</v>
      </c>
      <c r="P3233" s="7" t="n">
        <f aca="false">Tabla2[[#This Row],[Rentabilidad (%)]]/12</f>
        <v>0.0165249832189334</v>
      </c>
    </row>
    <row r="3234" customFormat="false" ht="14.25" hidden="false" customHeight="false" outlineLevel="0" collapsed="false">
      <c r="A3234" s="1" t="n">
        <v>44713</v>
      </c>
      <c r="B3234" s="2" t="s">
        <v>23</v>
      </c>
      <c r="C3234" s="3" t="n">
        <v>3490</v>
      </c>
      <c r="D3234" s="8" t="s">
        <v>17</v>
      </c>
      <c r="E3234" s="3" t="n">
        <f aca="false">IF(Tabla2[[#This Row],[Frecuencia]]="Annual", Tabla2[[#This Row],[Cosecha/Tarea]]/12,Tabla2[[#This Row],[Cosecha/Tarea]])</f>
        <v>3490</v>
      </c>
      <c r="F3234" s="3" t="n">
        <v>136080</v>
      </c>
      <c r="G3234" s="2" t="s">
        <v>18</v>
      </c>
      <c r="H3234" s="2" t="n">
        <f aca="false">F3234/Tabla2[[#This Row],[Cosecha Mensual]]</f>
        <v>38.9914040114613</v>
      </c>
      <c r="I3234" s="2" t="n">
        <f aca="false">H3234*_xlfn.XLOOKUP(Tabla2[[#This Row],[Unidad de producción]],Tabla3[Medida],Tabla3[Equivalencia en Kg],"ELVIS",0)</f>
        <v>1768.65008595989</v>
      </c>
      <c r="J3234" s="2" t="n">
        <v>1050</v>
      </c>
      <c r="K3234" s="2" t="s">
        <v>18</v>
      </c>
      <c r="L3234" s="2" t="n">
        <f aca="false">J3234/_xlfn.XLOOKUP(Tabla2[[#This Row],[Unidad de precio]],Tabla3[Medida],Tabla3[Equivalencia en Kg],"ELVIS",0)</f>
        <v>23.1481481481482</v>
      </c>
      <c r="M3234" s="2" t="n">
        <v>30322</v>
      </c>
      <c r="N3234" s="3" t="n">
        <f aca="false">(Tabla2[[#This Row],[Productividad (kg/TAS)]]*Tabla2[[#This Row],[Precio por kg]]-Tabla2[[#This Row],[Costos (En RD$/Tarea)]])</f>
        <v>10618.9742120344</v>
      </c>
      <c r="O3234" s="9" t="n">
        <f aca="false">IF(Tabla2[[#This Row],[Costos (En RD$/Tarea)]]=0,0,Tabla2[[#This Row],[Beneficio Neto  (En RD$/Tarea)]]/Tabla2[[#This Row],[Costos (En RD$/Tarea)]])</f>
        <v>0.350206919465549</v>
      </c>
      <c r="P3234" s="7" t="n">
        <f aca="false">Tabla2[[#This Row],[Rentabilidad (%)]]/12</f>
        <v>0.0291839099554624</v>
      </c>
    </row>
    <row r="3235" customFormat="false" ht="14.25" hidden="false" customHeight="false" outlineLevel="0" collapsed="false">
      <c r="A3235" s="1" t="n">
        <v>44713</v>
      </c>
      <c r="B3235" s="2" t="s">
        <v>24</v>
      </c>
      <c r="C3235" s="3" t="n">
        <v>7953</v>
      </c>
      <c r="D3235" s="8" t="s">
        <v>17</v>
      </c>
      <c r="E3235" s="3" t="n">
        <f aca="false">IF(Tabla2[[#This Row],[Frecuencia]]="Annual", Tabla2[[#This Row],[Cosecha/Tarea]]/12,Tabla2[[#This Row],[Cosecha/Tarea]])</f>
        <v>7953</v>
      </c>
      <c r="F3235" s="3" t="n">
        <v>110591</v>
      </c>
      <c r="G3235" s="2" t="s">
        <v>18</v>
      </c>
      <c r="H3235" s="2" t="n">
        <f aca="false">F3235/Tabla2[[#This Row],[Cosecha Mensual]]</f>
        <v>13.9055702250723</v>
      </c>
      <c r="I3235" s="2" t="n">
        <f aca="false">H3235*_xlfn.XLOOKUP(Tabla2[[#This Row],[Unidad de producción]],Tabla3[Medida],Tabla3[Equivalencia en Kg],"ELVIS",0)</f>
        <v>630.75666540928</v>
      </c>
      <c r="J3235" s="2" t="n">
        <v>2676.58095238095</v>
      </c>
      <c r="K3235" s="2" t="s">
        <v>18</v>
      </c>
      <c r="L3235" s="2" t="n">
        <f aca="false">J3235/_xlfn.XLOOKUP(Tabla2[[#This Row],[Unidad de precio]],Tabla3[Medida],Tabla3[Equivalencia en Kg],"ELVIS",0)</f>
        <v>59.0075165868816</v>
      </c>
      <c r="M3235" s="2" t="n">
        <v>16342.43</v>
      </c>
      <c r="N3235" s="3" t="n">
        <f aca="false">(Tabla2[[#This Row],[Productividad (kg/TAS)]]*Tabla2[[#This Row],[Precio por kg]]-Tabla2[[#This Row],[Costos (En RD$/Tarea)]])</f>
        <v>20876.9543964242</v>
      </c>
      <c r="O3235" s="9" t="n">
        <f aca="false">IF(Tabla2[[#This Row],[Costos (En RD$/Tarea)]]=0,0,Tabla2[[#This Row],[Beneficio Neto  (En RD$/Tarea)]]/Tabla2[[#This Row],[Costos (En RD$/Tarea)]])</f>
        <v>1.27746940916523</v>
      </c>
      <c r="P3235" s="7" t="n">
        <f aca="false">Tabla2[[#This Row],[Rentabilidad (%)]]/12</f>
        <v>0.106455784097103</v>
      </c>
    </row>
    <row r="3236" customFormat="false" ht="14.25" hidden="false" customHeight="false" outlineLevel="0" collapsed="false">
      <c r="A3236" s="1" t="n">
        <v>44713</v>
      </c>
      <c r="B3236" s="2" t="s">
        <v>25</v>
      </c>
      <c r="C3236" s="3" t="n">
        <v>266392.5</v>
      </c>
      <c r="D3236" s="8" t="s">
        <v>17</v>
      </c>
      <c r="E3236" s="3" t="n">
        <f aca="false">IF(Tabla2[[#This Row],[Frecuencia]]="Annual", Tabla2[[#This Row],[Cosecha/Tarea]]/12,Tabla2[[#This Row],[Cosecha/Tarea]])</f>
        <v>266392.5</v>
      </c>
      <c r="F3236" s="3" t="n">
        <v>310385</v>
      </c>
      <c r="G3236" s="2" t="s">
        <v>18</v>
      </c>
      <c r="H3236" s="2" t="n">
        <f aca="false">F3236/Tabla2[[#This Row],[Cosecha Mensual]]</f>
        <v>1.16514166127049</v>
      </c>
      <c r="I3236" s="2" t="n">
        <f aca="false">H3236*_xlfn.XLOOKUP(Tabla2[[#This Row],[Unidad de producción]],Tabla3[Medida],Tabla3[Equivalencia en Kg],"ELVIS",0)</f>
        <v>52.8508257552296</v>
      </c>
      <c r="J3236" s="2" t="n">
        <v>1291.5</v>
      </c>
      <c r="K3236" s="2" t="s">
        <v>18</v>
      </c>
      <c r="L3236" s="2" t="n">
        <f aca="false">J3236/_xlfn.XLOOKUP(Tabla2[[#This Row],[Unidad de precio]],Tabla3[Medida],Tabla3[Equivalencia en Kg],"ELVIS",0)</f>
        <v>28.4722222222222</v>
      </c>
      <c r="M3236" s="2" t="n">
        <v>6557.61</v>
      </c>
      <c r="N3236" s="3" t="n">
        <f aca="false">(Tabla2[[#This Row],[Productividad (kg/TAS)]]*Tabla2[[#This Row],[Precio por kg]]-Tabla2[[#This Row],[Costos (En RD$/Tarea)]])</f>
        <v>-5052.82954446916</v>
      </c>
      <c r="O3236" s="9" t="n">
        <f aca="false">IF(Tabla2[[#This Row],[Costos (En RD$/Tarea)]]=0,0,Tabla2[[#This Row],[Beneficio Neto  (En RD$/Tarea)]]/Tabla2[[#This Row],[Costos (En RD$/Tarea)]])</f>
        <v>-0.770529132484115</v>
      </c>
      <c r="P3236" s="7" t="n">
        <f aca="false">Tabla2[[#This Row],[Rentabilidad (%)]]/12</f>
        <v>-0.0642107610403429</v>
      </c>
    </row>
    <row r="3237" customFormat="false" ht="14.25" hidden="false" customHeight="false" outlineLevel="0" collapsed="false">
      <c r="A3237" s="1" t="n">
        <v>44713</v>
      </c>
      <c r="B3237" s="2" t="s">
        <v>26</v>
      </c>
      <c r="C3237" s="3" t="n">
        <v>12628</v>
      </c>
      <c r="D3237" s="8" t="s">
        <v>17</v>
      </c>
      <c r="E3237" s="3" t="n">
        <f aca="false">IF(Tabla2[[#This Row],[Frecuencia]]="Annual", Tabla2[[#This Row],[Cosecha/Tarea]]/12,Tabla2[[#This Row],[Cosecha/Tarea]])</f>
        <v>12628</v>
      </c>
      <c r="F3237" s="3" t="n">
        <v>91488.1</v>
      </c>
      <c r="G3237" s="2" t="s">
        <v>18</v>
      </c>
      <c r="H3237" s="2" t="n">
        <f aca="false">F3237/Tabla2[[#This Row],[Cosecha Mensual]]</f>
        <v>7.2448606271777</v>
      </c>
      <c r="I3237" s="2" t="n">
        <f aca="false">H3237*_xlfn.XLOOKUP(Tabla2[[#This Row],[Unidad de producción]],Tabla3[Medida],Tabla3[Equivalencia en Kg],"ELVIS",0)</f>
        <v>328.626878048781</v>
      </c>
      <c r="J3237" s="2" t="n">
        <v>917.224222222222</v>
      </c>
      <c r="K3237" s="2" t="s">
        <v>18</v>
      </c>
      <c r="L3237" s="2" t="n">
        <f aca="false">J3237/_xlfn.XLOOKUP(Tabla2[[#This Row],[Unidad de precio]],Tabla3[Medida],Tabla3[Equivalencia en Kg],"ELVIS",0)</f>
        <v>20.2209925534</v>
      </c>
      <c r="M3237" s="2" t="n">
        <v>2133.92</v>
      </c>
      <c r="N3237" s="3" t="n">
        <f aca="false">(Tabla2[[#This Row],[Productividad (kg/TAS)]]*Tabla2[[#This Row],[Precio por kg]]-Tabla2[[#This Row],[Costos (En RD$/Tarea)]])</f>
        <v>4511.24165387147</v>
      </c>
      <c r="O3237" s="9" t="n">
        <f aca="false">IF(Tabla2[[#This Row],[Costos (En RD$/Tarea)]]=0,0,Tabla2[[#This Row],[Beneficio Neto  (En RD$/Tarea)]]/Tabla2[[#This Row],[Costos (En RD$/Tarea)]])</f>
        <v>2.11406315788383</v>
      </c>
      <c r="P3237" s="7" t="n">
        <f aca="false">Tabla2[[#This Row],[Rentabilidad (%)]]/12</f>
        <v>0.176171929823653</v>
      </c>
    </row>
    <row r="3238" customFormat="false" ht="14.25" hidden="false" customHeight="false" outlineLevel="0" collapsed="false">
      <c r="A3238" s="1" t="n">
        <v>44713</v>
      </c>
      <c r="B3238" s="2" t="s">
        <v>27</v>
      </c>
      <c r="C3238" s="3" t="n">
        <v>6810</v>
      </c>
      <c r="D3238" s="8" t="s">
        <v>17</v>
      </c>
      <c r="E3238" s="3" t="n">
        <f aca="false">IF(Tabla2[[#This Row],[Frecuencia]]="Annual", Tabla2[[#This Row],[Cosecha/Tarea]]/12,Tabla2[[#This Row],[Cosecha/Tarea]])</f>
        <v>6810</v>
      </c>
      <c r="F3238" s="3" t="n">
        <v>36757.35</v>
      </c>
      <c r="G3238" s="2" t="s">
        <v>18</v>
      </c>
      <c r="H3238" s="2" t="n">
        <f aca="false">F3238/Tabla2[[#This Row],[Cosecha Mensual]]</f>
        <v>5.3975550660793</v>
      </c>
      <c r="I3238" s="2" t="n">
        <f aca="false">H3238*_xlfn.XLOOKUP(Tabla2[[#This Row],[Unidad de producción]],Tabla3[Medida],Tabla3[Equivalencia en Kg],"ELVIS",0)</f>
        <v>244.833097797357</v>
      </c>
      <c r="J3238" s="2" t="n">
        <v>1097.75214285714</v>
      </c>
      <c r="K3238" s="2" t="s">
        <v>18</v>
      </c>
      <c r="L3238" s="2" t="n">
        <f aca="false">J3238/_xlfn.XLOOKUP(Tabla2[[#This Row],[Unidad de precio]],Tabla3[Medida],Tabla3[Equivalencia en Kg],"ELVIS",0)</f>
        <v>24.200884983623</v>
      </c>
      <c r="M3238" s="2" t="n">
        <v>11717.05</v>
      </c>
      <c r="N3238" s="3" t="n">
        <f aca="false">(Tabla2[[#This Row],[Productividad (kg/TAS)]]*Tabla2[[#This Row],[Precio por kg]]-Tabla2[[#This Row],[Costos (En RD$/Tarea)]])</f>
        <v>-5791.87236002204</v>
      </c>
      <c r="O3238" s="9" t="n">
        <f aca="false">IF(Tabla2[[#This Row],[Costos (En RD$/Tarea)]]=0,0,Tabla2[[#This Row],[Beneficio Neto  (En RD$/Tarea)]]/Tabla2[[#This Row],[Costos (En RD$/Tarea)]])</f>
        <v>-0.494311482840992</v>
      </c>
      <c r="P3238" s="7" t="n">
        <f aca="false">Tabla2[[#This Row],[Rentabilidad (%)]]/12</f>
        <v>-0.0411926235700827</v>
      </c>
    </row>
    <row r="3239" customFormat="false" ht="14.25" hidden="false" customHeight="false" outlineLevel="0" collapsed="false">
      <c r="A3239" s="1" t="n">
        <v>44713</v>
      </c>
      <c r="B3239" s="2" t="s">
        <v>28</v>
      </c>
      <c r="C3239" s="3" t="n">
        <v>46218.3333333333</v>
      </c>
      <c r="D3239" s="8" t="s">
        <v>17</v>
      </c>
      <c r="E3239" s="3" t="n">
        <f aca="false">IF(Tabla2[[#This Row],[Frecuencia]]="Annual", Tabla2[[#This Row],[Cosecha/Tarea]]/12,Tabla2[[#This Row],[Cosecha/Tarea]])</f>
        <v>46218.3333333333</v>
      </c>
      <c r="F3239" s="3" t="n">
        <v>1306968</v>
      </c>
      <c r="G3239" s="2" t="s">
        <v>18</v>
      </c>
      <c r="H3239" s="2" t="n">
        <f aca="false">F3239/Tabla2[[#This Row],[Cosecha Mensual]]</f>
        <v>28.2781291695215</v>
      </c>
      <c r="I3239" s="2" t="n">
        <f aca="false">H3239*_xlfn.XLOOKUP(Tabla2[[#This Row],[Unidad de producción]],Tabla3[Medida],Tabla3[Equivalencia en Kg],"ELVIS",0)</f>
        <v>1282.6959391295</v>
      </c>
      <c r="J3239" s="2" t="n">
        <v>7625</v>
      </c>
      <c r="K3239" s="2" t="s">
        <v>29</v>
      </c>
      <c r="L3239" s="2" t="n">
        <f aca="false">J3239/_xlfn.XLOOKUP(Tabla2[[#This Row],[Unidad de precio]],Tabla3[Medida],Tabla3[Equivalencia en Kg],"ELVIS",0)</f>
        <v>13.5594124550983</v>
      </c>
      <c r="M3239" s="2" t="n">
        <v>8552.64</v>
      </c>
      <c r="N3239" s="3" t="n">
        <f aca="false">(Tabla2[[#This Row],[Productividad (kg/TAS)]]*Tabla2[[#This Row],[Precio por kg]]-Tabla2[[#This Row],[Costos (En RD$/Tarea)]])</f>
        <v>8839.96329313653</v>
      </c>
      <c r="O3239" s="9" t="n">
        <f aca="false">IF(Tabla2[[#This Row],[Costos (En RD$/Tarea)]]=0,0,Tabla2[[#This Row],[Beneficio Neto  (En RD$/Tarea)]]/Tabla2[[#This Row],[Costos (En RD$/Tarea)]])</f>
        <v>1.03359469042735</v>
      </c>
      <c r="P3239" s="7" t="n">
        <f aca="false">Tabla2[[#This Row],[Rentabilidad (%)]]/12</f>
        <v>0.0861328908689455</v>
      </c>
    </row>
    <row r="3240" customFormat="false" ht="14.25" hidden="false" customHeight="false" outlineLevel="0" collapsed="false">
      <c r="A3240" s="1" t="n">
        <v>44713</v>
      </c>
      <c r="B3240" s="2" t="s">
        <v>30</v>
      </c>
      <c r="C3240" s="3" t="n">
        <v>512463.575003124</v>
      </c>
      <c r="D3240" s="3" t="s">
        <v>31</v>
      </c>
      <c r="E3240" s="3" t="n">
        <f aca="false">IF(Tabla2[[#This Row],[Frecuencia]]="Annual", Tabla2[[#This Row],[Cosecha/Tarea]]/12,Tabla2[[#This Row],[Cosecha/Tarea]])</f>
        <v>42705.297916927</v>
      </c>
      <c r="F3240" s="3" t="n">
        <v>2456627.04783606</v>
      </c>
      <c r="G3240" s="2" t="s">
        <v>18</v>
      </c>
      <c r="H3240" s="2" t="n">
        <f aca="false">F3240/Tabla2[[#This Row],[Cosecha Mensual]]</f>
        <v>57.5251120508477</v>
      </c>
      <c r="I3240" s="2" t="n">
        <f aca="false">H3240*_xlfn.XLOOKUP(Tabla2[[#This Row],[Unidad de producción]],Tabla3[Medida],Tabla3[Equivalencia en Kg],"ELVIS",0)</f>
        <v>2609.33908262645</v>
      </c>
      <c r="J3240" s="2" t="n">
        <v>242.994791666667</v>
      </c>
      <c r="K3240" s="2" t="s">
        <v>32</v>
      </c>
      <c r="L3240" s="2" t="n">
        <f aca="false">J3240/_xlfn.XLOOKUP(Tabla2[[#This Row],[Unidad de precio]],Tabla3[Medida],Tabla3[Equivalencia en Kg],"ELVIS",0)</f>
        <v>8.93034883008699</v>
      </c>
      <c r="M3240" s="3" t="n">
        <v>47396.15</v>
      </c>
      <c r="N3240" s="3" t="n">
        <f aca="false">(Tabla2[[#This Row],[Productividad (kg/TAS)]]*Tabla2[[#This Row],[Precio por kg]]-Tabla2[[#This Row],[Costos (En RD$/Tarea)]])</f>
        <v>-24093.8417761666</v>
      </c>
      <c r="O3240" s="9" t="n">
        <f aca="false">IF(Tabla2[[#This Row],[Costos (En RD$/Tarea)]]=0,0,Tabla2[[#This Row],[Beneficio Neto  (En RD$/Tarea)]]/Tabla2[[#This Row],[Costos (En RD$/Tarea)]])</f>
        <v>-0.508350188278301</v>
      </c>
      <c r="P3240" s="7" t="n">
        <f aca="false">Tabla2[[#This Row],[Rentabilidad (%)]]/12</f>
        <v>-0.0423625156898584</v>
      </c>
    </row>
    <row r="3241" customFormat="false" ht="14.25" hidden="false" customHeight="false" outlineLevel="0" collapsed="false">
      <c r="A3241" s="1" t="n">
        <v>44713</v>
      </c>
      <c r="B3241" s="2" t="s">
        <v>33</v>
      </c>
      <c r="C3241" s="3" t="n">
        <v>803065.166666667</v>
      </c>
      <c r="D3241" s="3" t="s">
        <v>31</v>
      </c>
      <c r="E3241" s="3" t="n">
        <f aca="false">IF(Tabla2[[#This Row],[Frecuencia]]="Annual", Tabla2[[#This Row],[Cosecha/Tarea]]/12,Tabla2[[#This Row],[Cosecha/Tarea]])</f>
        <v>66922.0972222223</v>
      </c>
      <c r="F3241" s="3" t="n">
        <v>1630122.66</v>
      </c>
      <c r="G3241" s="2" t="s">
        <v>18</v>
      </c>
      <c r="H3241" s="2" t="n">
        <f aca="false">F3241/Tabla2[[#This Row],[Cosecha Mensual]]</f>
        <v>24.3585112789726</v>
      </c>
      <c r="I3241" s="2" t="n">
        <f aca="false">H3241*_xlfn.XLOOKUP(Tabla2[[#This Row],[Unidad de producción]],Tabla3[Medida],Tabla3[Equivalencia en Kg],"ELVIS",0)</f>
        <v>1104.9020716142</v>
      </c>
      <c r="J3241" s="2" t="n">
        <v>9009.75625</v>
      </c>
      <c r="K3241" s="2" t="s">
        <v>34</v>
      </c>
      <c r="L3241" s="2" t="n">
        <f aca="false">J3241/_xlfn.XLOOKUP(Tabla2[[#This Row],[Unidad de precio]],Tabla3[Medida],Tabla3[Equivalencia en Kg],"ELVIS",0)</f>
        <v>22.0746202376577</v>
      </c>
      <c r="M3241" s="3" t="n">
        <v>25908.33</v>
      </c>
      <c r="N3241" s="3" t="n">
        <f aca="false">(Tabla2[[#This Row],[Productividad (kg/TAS)]]*Tabla2[[#This Row],[Precio por kg]]-Tabla2[[#This Row],[Costos (En RD$/Tarea)]])</f>
        <v>-1518.03636931532</v>
      </c>
      <c r="O3241" s="9" t="n">
        <f aca="false">IF(Tabla2[[#This Row],[Costos (En RD$/Tarea)]]=0,0,Tabla2[[#This Row],[Beneficio Neto  (En RD$/Tarea)]]/Tabla2[[#This Row],[Costos (En RD$/Tarea)]])</f>
        <v>-0.0585925981842644</v>
      </c>
      <c r="P3241" s="7" t="n">
        <f aca="false">Tabla2[[#This Row],[Rentabilidad (%)]]/12</f>
        <v>-0.00488271651535537</v>
      </c>
    </row>
    <row r="3242" customFormat="false" ht="14.25" hidden="false" customHeight="false" outlineLevel="0" collapsed="false">
      <c r="A3242" s="1" t="n">
        <v>44743</v>
      </c>
      <c r="B3242" s="2" t="s">
        <v>16</v>
      </c>
      <c r="C3242" s="3" t="n">
        <v>156175</v>
      </c>
      <c r="D3242" s="8" t="s">
        <v>17</v>
      </c>
      <c r="E3242" s="3" t="n">
        <f aca="false">IF(Tabla2[[#This Row],[Frecuencia]]="Annual", Tabla2[[#This Row],[Cosecha/Tarea]]/12,Tabla2[[#This Row],[Cosecha/Tarea]])</f>
        <v>156175</v>
      </c>
      <c r="F3242" s="3" t="n">
        <v>752763.5</v>
      </c>
      <c r="G3242" s="2" t="s">
        <v>18</v>
      </c>
      <c r="H3242" s="2" t="n">
        <f aca="false">F3242/Tabla2[[#This Row],[Cosecha Mensual]]</f>
        <v>4.82</v>
      </c>
      <c r="I3242" s="2" t="n">
        <f aca="false">H3242*_xlfn.XLOOKUP(Tabla2[[#This Row],[Unidad de producción]],Tabla3[Medida],Tabla3[Equivalencia en Kg],"ELVIS",0)</f>
        <v>218.6352</v>
      </c>
      <c r="J3242" s="2" t="n">
        <v>2658.91898682924</v>
      </c>
      <c r="K3242" s="2" t="s">
        <v>19</v>
      </c>
      <c r="L3242" s="2" t="n">
        <f aca="false">J3242/_xlfn.XLOOKUP(Tabla2[[#This Row],[Unidad de precio]],Tabla3[Medida],Tabla3[Equivalencia en Kg],"ELVIS",0)</f>
        <v>24.1719907893567</v>
      </c>
      <c r="M3242" s="2" t="n">
        <v>10006.7786059906</v>
      </c>
      <c r="N3242" s="3" t="n">
        <f aca="false">(Tabla2[[#This Row],[Productividad (kg/TAS)]]*Tabla2[[#This Row],[Precio por kg]]-Tabla2[[#This Row],[Costos (En RD$/Tarea)]])</f>
        <v>-4721.93056536143</v>
      </c>
      <c r="O3242" s="9" t="n">
        <f aca="false">IF(Tabla2[[#This Row],[Costos (En RD$/Tarea)]]=0,0,Tabla2[[#This Row],[Beneficio Neto  (En RD$/Tarea)]]/Tabla2[[#This Row],[Costos (En RD$/Tarea)]])</f>
        <v>-0.471873192291336</v>
      </c>
      <c r="P3242" s="7" t="n">
        <f aca="false">Tabla2[[#This Row],[Rentabilidad (%)]]/12</f>
        <v>-0.039322766024278</v>
      </c>
    </row>
    <row r="3243" customFormat="false" ht="14.25" hidden="false" customHeight="false" outlineLevel="0" collapsed="false">
      <c r="A3243" s="1" t="n">
        <v>44743</v>
      </c>
      <c r="B3243" s="2" t="s">
        <v>20</v>
      </c>
      <c r="C3243" s="3" t="n">
        <v>50725</v>
      </c>
      <c r="D3243" s="8" t="s">
        <v>17</v>
      </c>
      <c r="E3243" s="3" t="n">
        <f aca="false">IF(Tabla2[[#This Row],[Frecuencia]]="Annual", Tabla2[[#This Row],[Cosecha/Tarea]]/12,Tabla2[[#This Row],[Cosecha/Tarea]])</f>
        <v>50725</v>
      </c>
      <c r="F3243" s="3" t="n">
        <v>123699.51</v>
      </c>
      <c r="G3243" s="2" t="s">
        <v>18</v>
      </c>
      <c r="H3243" s="2" t="n">
        <f aca="false">F3243/Tabla2[[#This Row],[Cosecha Mensual]]</f>
        <v>2.43863006407097</v>
      </c>
      <c r="I3243" s="2" t="n">
        <f aca="false">H3243*_xlfn.XLOOKUP(Tabla2[[#This Row],[Unidad de producción]],Tabla3[Medida],Tabla3[Equivalencia en Kg],"ELVIS",0)</f>
        <v>110.616259706259</v>
      </c>
      <c r="J3243" s="2" t="n">
        <v>1296.18489583333</v>
      </c>
      <c r="K3243" s="2" t="s">
        <v>18</v>
      </c>
      <c r="L3243" s="2" t="n">
        <f aca="false">J3243/_xlfn.XLOOKUP(Tabla2[[#This Row],[Unidad de precio]],Tabla3[Medida],Tabla3[Equivalencia en Kg],"ELVIS",0)</f>
        <v>28.5755047582304</v>
      </c>
      <c r="M3243" s="2" t="n">
        <v>4130.097717915</v>
      </c>
      <c r="N3243" s="3" t="n">
        <f aca="false">(Tabla2[[#This Row],[Productividad (kg/TAS)]]*Tabla2[[#This Row],[Precio por kg]]-Tabla2[[#This Row],[Costos (En RD$/Tarea)]])</f>
        <v>-969.182262341142</v>
      </c>
      <c r="O3243" s="9" t="n">
        <f aca="false">IF(Tabla2[[#This Row],[Costos (En RD$/Tarea)]]=0,0,Tabla2[[#This Row],[Beneficio Neto  (En RD$/Tarea)]]/Tabla2[[#This Row],[Costos (En RD$/Tarea)]])</f>
        <v>-0.234663276400737</v>
      </c>
      <c r="P3243" s="7" t="n">
        <f aca="false">Tabla2[[#This Row],[Rentabilidad (%)]]/12</f>
        <v>-0.0195552730333948</v>
      </c>
    </row>
    <row r="3244" customFormat="false" ht="14.25" hidden="false" customHeight="false" outlineLevel="0" collapsed="false">
      <c r="A3244" s="1" t="n">
        <v>44743</v>
      </c>
      <c r="B3244" s="2" t="s">
        <v>21</v>
      </c>
      <c r="C3244" s="3" t="n">
        <v>10602</v>
      </c>
      <c r="D3244" s="8" t="s">
        <v>17</v>
      </c>
      <c r="E3244" s="3" t="n">
        <f aca="false">IF(Tabla2[[#This Row],[Frecuencia]]="Annual", Tabla2[[#This Row],[Cosecha/Tarea]]/12,Tabla2[[#This Row],[Cosecha/Tarea]])</f>
        <v>10602</v>
      </c>
      <c r="F3244" s="3" t="n">
        <v>112209</v>
      </c>
      <c r="G3244" s="2" t="s">
        <v>18</v>
      </c>
      <c r="H3244" s="2" t="n">
        <f aca="false">F3244/Tabla2[[#This Row],[Cosecha Mensual]]</f>
        <v>10.5837577815507</v>
      </c>
      <c r="I3244" s="2" t="n">
        <f aca="false">H3244*_xlfn.XLOOKUP(Tabla2[[#This Row],[Unidad de producción]],Tabla3[Medida],Tabla3[Equivalencia en Kg],"ELVIS",0)</f>
        <v>480.079252971137</v>
      </c>
      <c r="J3244" s="2" t="n">
        <v>1007.27734375</v>
      </c>
      <c r="K3244" s="2" t="s">
        <v>18</v>
      </c>
      <c r="L3244" s="2" t="n">
        <f aca="false">J3244/_xlfn.XLOOKUP(Tabla2[[#This Row],[Unidad de precio]],Tabla3[Medida],Tabla3[Equivalencia en Kg],"ELVIS",0)</f>
        <v>22.2062906470459</v>
      </c>
      <c r="M3244" s="2" t="n">
        <v>5858.17</v>
      </c>
      <c r="N3244" s="3" t="n">
        <f aca="false">(Tabla2[[#This Row],[Productividad (kg/TAS)]]*Tabla2[[#This Row],[Precio por kg]]-Tabla2[[#This Row],[Costos (En RD$/Tarea)]])</f>
        <v>4802.60942509373</v>
      </c>
      <c r="O3244" s="9" t="n">
        <f aca="false">IF(Tabla2[[#This Row],[Costos (En RD$/Tarea)]]=0,0,Tabla2[[#This Row],[Beneficio Neto  (En RD$/Tarea)]]/Tabla2[[#This Row],[Costos (En RD$/Tarea)]])</f>
        <v>0.819813939352004</v>
      </c>
      <c r="P3244" s="7" t="n">
        <f aca="false">Tabla2[[#This Row],[Rentabilidad (%)]]/12</f>
        <v>0.0683178282793337</v>
      </c>
    </row>
    <row r="3245" customFormat="false" ht="14.25" hidden="false" customHeight="false" outlineLevel="0" collapsed="false">
      <c r="A3245" s="1" t="n">
        <v>44743</v>
      </c>
      <c r="B3245" s="2" t="s">
        <v>22</v>
      </c>
      <c r="C3245" s="3" t="n">
        <v>5045</v>
      </c>
      <c r="D3245" s="8" t="s">
        <v>17</v>
      </c>
      <c r="E3245" s="3" t="n">
        <f aca="false">IF(Tabla2[[#This Row],[Frecuencia]]="Annual", Tabla2[[#This Row],[Cosecha/Tarea]]/12,Tabla2[[#This Row],[Cosecha/Tarea]])</f>
        <v>5045</v>
      </c>
      <c r="F3245" s="3" t="n">
        <v>57554</v>
      </c>
      <c r="G3245" s="2" t="s">
        <v>18</v>
      </c>
      <c r="H3245" s="2" t="n">
        <f aca="false">F3245/Tabla2[[#This Row],[Cosecha Mensual]]</f>
        <v>11.4081268582755</v>
      </c>
      <c r="I3245" s="2" t="n">
        <f aca="false">H3245*_xlfn.XLOOKUP(Tabla2[[#This Row],[Unidad de producción]],Tabla3[Medida],Tabla3[Equivalencia en Kg],"ELVIS",0)</f>
        <v>517.472634291378</v>
      </c>
      <c r="J3245" s="2" t="n">
        <v>2020.625</v>
      </c>
      <c r="K3245" s="2" t="s">
        <v>18</v>
      </c>
      <c r="L3245" s="2" t="n">
        <f aca="false">J3245/_xlfn.XLOOKUP(Tabla2[[#This Row],[Unidad de precio]],Tabla3[Medida],Tabla3[Equivalencia en Kg],"ELVIS",0)</f>
        <v>44.5464065255732</v>
      </c>
      <c r="M3245" s="2" t="n">
        <v>12106.08</v>
      </c>
      <c r="N3245" s="3" t="n">
        <f aca="false">(Tabla2[[#This Row],[Productividad (kg/TAS)]]*Tabla2[[#This Row],[Precio por kg]]-Tabla2[[#This Row],[Costos (En RD$/Tarea)]])</f>
        <v>10945.466333003</v>
      </c>
      <c r="O3245" s="9" t="n">
        <f aca="false">IF(Tabla2[[#This Row],[Costos (En RD$/Tarea)]]=0,0,Tabla2[[#This Row],[Beneficio Neto  (En RD$/Tarea)]]/Tabla2[[#This Row],[Costos (En RD$/Tarea)]])</f>
        <v>0.904129687975214</v>
      </c>
      <c r="P3245" s="7" t="n">
        <f aca="false">Tabla2[[#This Row],[Rentabilidad (%)]]/12</f>
        <v>0.0753441406646011</v>
      </c>
    </row>
    <row r="3246" customFormat="false" ht="14.25" hidden="false" customHeight="false" outlineLevel="0" collapsed="false">
      <c r="A3246" s="1" t="n">
        <v>44743</v>
      </c>
      <c r="B3246" s="2" t="s">
        <v>23</v>
      </c>
      <c r="C3246" s="3" t="n">
        <v>4046</v>
      </c>
      <c r="D3246" s="8" t="s">
        <v>17</v>
      </c>
      <c r="E3246" s="3" t="n">
        <f aca="false">IF(Tabla2[[#This Row],[Frecuencia]]="Annual", Tabla2[[#This Row],[Cosecha/Tarea]]/12,Tabla2[[#This Row],[Cosecha/Tarea]])</f>
        <v>4046</v>
      </c>
      <c r="F3246" s="3" t="n">
        <v>159380</v>
      </c>
      <c r="G3246" s="2" t="s">
        <v>18</v>
      </c>
      <c r="H3246" s="2" t="n">
        <f aca="false">F3246/Tabla2[[#This Row],[Cosecha Mensual]]</f>
        <v>39.391992090954</v>
      </c>
      <c r="I3246" s="2" t="n">
        <f aca="false">H3246*_xlfn.XLOOKUP(Tabla2[[#This Row],[Unidad de producción]],Tabla3[Medida],Tabla3[Equivalencia en Kg],"ELVIS",0)</f>
        <v>1786.82076124567</v>
      </c>
      <c r="J3246" s="2" t="n">
        <v>1194</v>
      </c>
      <c r="K3246" s="2" t="s">
        <v>18</v>
      </c>
      <c r="L3246" s="2" t="n">
        <f aca="false">J3246/_xlfn.XLOOKUP(Tabla2[[#This Row],[Unidad de precio]],Tabla3[Medida],Tabla3[Equivalencia en Kg],"ELVIS",0)</f>
        <v>26.3227513227513</v>
      </c>
      <c r="M3246" s="2" t="n">
        <v>30322</v>
      </c>
      <c r="N3246" s="3" t="n">
        <f aca="false">(Tabla2[[#This Row],[Productividad (kg/TAS)]]*Tabla2[[#This Row],[Precio por kg]]-Tabla2[[#This Row],[Costos (En RD$/Tarea)]])</f>
        <v>16712.0385565991</v>
      </c>
      <c r="O3246" s="9" t="n">
        <f aca="false">IF(Tabla2[[#This Row],[Costos (En RD$/Tarea)]]=0,0,Tabla2[[#This Row],[Beneficio Neto  (En RD$/Tarea)]]/Tabla2[[#This Row],[Costos (En RD$/Tarea)]])</f>
        <v>0.551152251058608</v>
      </c>
      <c r="P3246" s="7" t="n">
        <f aca="false">Tabla2[[#This Row],[Rentabilidad (%)]]/12</f>
        <v>0.045929354254884</v>
      </c>
    </row>
    <row r="3247" customFormat="false" ht="14.25" hidden="false" customHeight="false" outlineLevel="0" collapsed="false">
      <c r="A3247" s="1" t="n">
        <v>44743</v>
      </c>
      <c r="B3247" s="2" t="s">
        <v>24</v>
      </c>
      <c r="C3247" s="3" t="n">
        <v>7783</v>
      </c>
      <c r="D3247" s="8" t="s">
        <v>17</v>
      </c>
      <c r="E3247" s="3" t="n">
        <f aca="false">IF(Tabla2[[#This Row],[Frecuencia]]="Annual", Tabla2[[#This Row],[Cosecha/Tarea]]/12,Tabla2[[#This Row],[Cosecha/Tarea]])</f>
        <v>7783</v>
      </c>
      <c r="F3247" s="3" t="n">
        <v>102943</v>
      </c>
      <c r="G3247" s="2" t="s">
        <v>18</v>
      </c>
      <c r="H3247" s="2" t="n">
        <f aca="false">F3247/Tabla2[[#This Row],[Cosecha Mensual]]</f>
        <v>13.2266478221765</v>
      </c>
      <c r="I3247" s="2" t="n">
        <f aca="false">H3247*_xlfn.XLOOKUP(Tabla2[[#This Row],[Unidad de producción]],Tabla3[Medida],Tabla3[Equivalencia en Kg],"ELVIS",0)</f>
        <v>599.960745213928</v>
      </c>
      <c r="J3247" s="2" t="n">
        <v>2886.19047619048</v>
      </c>
      <c r="K3247" s="2" t="s">
        <v>18</v>
      </c>
      <c r="L3247" s="2" t="n">
        <f aca="false">J3247/_xlfn.XLOOKUP(Tabla2[[#This Row],[Unidad de precio]],Tabla3[Medida],Tabla3[Equivalencia en Kg],"ELVIS",0)</f>
        <v>63.6285378348871</v>
      </c>
      <c r="M3247" s="2" t="n">
        <v>16342.43</v>
      </c>
      <c r="N3247" s="3" t="n">
        <f aca="false">(Tabla2[[#This Row],[Productividad (kg/TAS)]]*Tabla2[[#This Row],[Precio por kg]]-Tabla2[[#This Row],[Costos (En RD$/Tarea)]])</f>
        <v>21832.1949762915</v>
      </c>
      <c r="O3247" s="9" t="n">
        <f aca="false">IF(Tabla2[[#This Row],[Costos (En RD$/Tarea)]]=0,0,Tabla2[[#This Row],[Beneficio Neto  (En RD$/Tarea)]]/Tabla2[[#This Row],[Costos (En RD$/Tarea)]])</f>
        <v>1.33592097235793</v>
      </c>
      <c r="P3247" s="7" t="n">
        <f aca="false">Tabla2[[#This Row],[Rentabilidad (%)]]/12</f>
        <v>0.111326747696495</v>
      </c>
    </row>
    <row r="3248" customFormat="false" ht="14.25" hidden="false" customHeight="false" outlineLevel="0" collapsed="false">
      <c r="A3248" s="1" t="n">
        <v>44743</v>
      </c>
      <c r="B3248" s="2" t="s">
        <v>25</v>
      </c>
      <c r="C3248" s="3" t="n">
        <v>34324</v>
      </c>
      <c r="D3248" s="8" t="s">
        <v>17</v>
      </c>
      <c r="E3248" s="3" t="n">
        <f aca="false">IF(Tabla2[[#This Row],[Frecuencia]]="Annual", Tabla2[[#This Row],[Cosecha/Tarea]]/12,Tabla2[[#This Row],[Cosecha/Tarea]])</f>
        <v>34324</v>
      </c>
      <c r="F3248" s="3" t="n">
        <v>411888</v>
      </c>
      <c r="G3248" s="2" t="s">
        <v>18</v>
      </c>
      <c r="H3248" s="2" t="n">
        <f aca="false">F3248/Tabla2[[#This Row],[Cosecha Mensual]]</f>
        <v>12</v>
      </c>
      <c r="I3248" s="2" t="n">
        <f aca="false">H3248*_xlfn.XLOOKUP(Tabla2[[#This Row],[Unidad de producción]],Tabla3[Medida],Tabla3[Equivalencia en Kg],"ELVIS",0)</f>
        <v>544.32</v>
      </c>
      <c r="J3248" s="2" t="n">
        <v>1403.1640625</v>
      </c>
      <c r="K3248" s="2" t="s">
        <v>18</v>
      </c>
      <c r="L3248" s="2" t="n">
        <f aca="false">J3248/_xlfn.XLOOKUP(Tabla2[[#This Row],[Unidad de precio]],Tabla3[Medida],Tabla3[Equivalencia en Kg],"ELVIS",0)</f>
        <v>30.9339519951499</v>
      </c>
      <c r="M3248" s="2" t="n">
        <v>6557.61</v>
      </c>
      <c r="N3248" s="3" t="n">
        <f aca="false">(Tabla2[[#This Row],[Productividad (kg/TAS)]]*Tabla2[[#This Row],[Precio por kg]]-Tabla2[[#This Row],[Costos (En RD$/Tarea)]])</f>
        <v>10280.35875</v>
      </c>
      <c r="O3248" s="9" t="n">
        <f aca="false">IF(Tabla2[[#This Row],[Costos (En RD$/Tarea)]]=0,0,Tabla2[[#This Row],[Beneficio Neto  (En RD$/Tarea)]]/Tabla2[[#This Row],[Costos (En RD$/Tarea)]])</f>
        <v>1.56769901686743</v>
      </c>
      <c r="P3248" s="7" t="n">
        <f aca="false">Tabla2[[#This Row],[Rentabilidad (%)]]/12</f>
        <v>0.130641584738952</v>
      </c>
    </row>
    <row r="3249" customFormat="false" ht="14.25" hidden="false" customHeight="false" outlineLevel="0" collapsed="false">
      <c r="A3249" s="1" t="n">
        <v>44743</v>
      </c>
      <c r="B3249" s="2" t="s">
        <v>26</v>
      </c>
      <c r="C3249" s="3" t="n">
        <v>10413</v>
      </c>
      <c r="D3249" s="8" t="s">
        <v>17</v>
      </c>
      <c r="E3249" s="3" t="n">
        <f aca="false">IF(Tabla2[[#This Row],[Frecuencia]]="Annual", Tabla2[[#This Row],[Cosecha/Tarea]]/12,Tabla2[[#This Row],[Cosecha/Tarea]])</f>
        <v>10413</v>
      </c>
      <c r="F3249" s="3" t="n">
        <v>109853</v>
      </c>
      <c r="G3249" s="2" t="s">
        <v>18</v>
      </c>
      <c r="H3249" s="2" t="n">
        <f aca="false">F3249/Tabla2[[#This Row],[Cosecha Mensual]]</f>
        <v>10.5496014597138</v>
      </c>
      <c r="I3249" s="2" t="n">
        <f aca="false">H3249*_xlfn.XLOOKUP(Tabla2[[#This Row],[Unidad de producción]],Tabla3[Medida],Tabla3[Equivalencia en Kg],"ELVIS",0)</f>
        <v>478.529922212619</v>
      </c>
      <c r="J3249" s="2" t="n">
        <v>1155.63107638889</v>
      </c>
      <c r="K3249" s="2" t="s">
        <v>18</v>
      </c>
      <c r="L3249" s="2" t="n">
        <f aca="false">J3249/_xlfn.XLOOKUP(Tabla2[[#This Row],[Unidad de precio]],Tabla3[Medida],Tabla3[Equivalencia en Kg],"ELVIS",0)</f>
        <v>25.4768755817657</v>
      </c>
      <c r="M3249" s="2" t="n">
        <v>2133.92</v>
      </c>
      <c r="N3249" s="3" t="n">
        <f aca="false">(Tabla2[[#This Row],[Productividad (kg/TAS)]]*Tabla2[[#This Row],[Precio por kg]]-Tabla2[[#This Row],[Costos (En RD$/Tarea)]])</f>
        <v>10057.5272903629</v>
      </c>
      <c r="O3249" s="9" t="n">
        <f aca="false">IF(Tabla2[[#This Row],[Costos (En RD$/Tarea)]]=0,0,Tabla2[[#This Row],[Beneficio Neto  (En RD$/Tarea)]]/Tabla2[[#This Row],[Costos (En RD$/Tarea)]])</f>
        <v>4.7131697956638</v>
      </c>
      <c r="P3249" s="7" t="n">
        <f aca="false">Tabla2[[#This Row],[Rentabilidad (%)]]/12</f>
        <v>0.39276414963865</v>
      </c>
    </row>
    <row r="3250" customFormat="false" ht="14.25" hidden="false" customHeight="false" outlineLevel="0" collapsed="false">
      <c r="A3250" s="1" t="n">
        <v>44743</v>
      </c>
      <c r="B3250" s="2" t="s">
        <v>27</v>
      </c>
      <c r="C3250" s="3" t="n">
        <v>6189</v>
      </c>
      <c r="D3250" s="8" t="s">
        <v>17</v>
      </c>
      <c r="E3250" s="3" t="n">
        <f aca="false">IF(Tabla2[[#This Row],[Frecuencia]]="Annual", Tabla2[[#This Row],[Cosecha/Tarea]]/12,Tabla2[[#This Row],[Cosecha/Tarea]])</f>
        <v>6189</v>
      </c>
      <c r="F3250" s="3" t="n">
        <v>62224.0133937365</v>
      </c>
      <c r="G3250" s="2" t="s">
        <v>18</v>
      </c>
      <c r="H3250" s="2" t="n">
        <f aca="false">F3250/Tabla2[[#This Row],[Cosecha Mensual]]</f>
        <v>10.0539688792594</v>
      </c>
      <c r="I3250" s="2" t="n">
        <f aca="false">H3250*_xlfn.XLOOKUP(Tabla2[[#This Row],[Unidad de producción]],Tabla3[Medida],Tabla3[Equivalencia en Kg],"ELVIS",0)</f>
        <v>456.048028363207</v>
      </c>
      <c r="J3250" s="2" t="n">
        <v>1075.85416666667</v>
      </c>
      <c r="K3250" s="2" t="s">
        <v>18</v>
      </c>
      <c r="L3250" s="2" t="n">
        <f aca="false">J3250/_xlfn.XLOOKUP(Tabla2[[#This Row],[Unidad de precio]],Tabla3[Medida],Tabla3[Equivalencia en Kg],"ELVIS",0)</f>
        <v>23.718125367431</v>
      </c>
      <c r="M3250" s="2" t="n">
        <v>11717.05</v>
      </c>
      <c r="N3250" s="3" t="n">
        <f aca="false">(Tabla2[[#This Row],[Productividad (kg/TAS)]]*Tabla2[[#This Row],[Precio por kg]]-Tabla2[[#This Row],[Costos (En RD$/Tarea)]])</f>
        <v>-900.445689711729</v>
      </c>
      <c r="O3250" s="9" t="n">
        <f aca="false">IF(Tabla2[[#This Row],[Costos (En RD$/Tarea)]]=0,0,Tabla2[[#This Row],[Beneficio Neto  (En RD$/Tarea)]]/Tabla2[[#This Row],[Costos (En RD$/Tarea)]])</f>
        <v>-0.0768491804431772</v>
      </c>
      <c r="P3250" s="7" t="n">
        <f aca="false">Tabla2[[#This Row],[Rentabilidad (%)]]/12</f>
        <v>-0.00640409837026476</v>
      </c>
    </row>
    <row r="3251" customFormat="false" ht="14.25" hidden="false" customHeight="false" outlineLevel="0" collapsed="false">
      <c r="A3251" s="1" t="n">
        <v>44743</v>
      </c>
      <c r="B3251" s="2" t="s">
        <v>28</v>
      </c>
      <c r="C3251" s="3" t="n">
        <v>40500</v>
      </c>
      <c r="D3251" s="8" t="s">
        <v>17</v>
      </c>
      <c r="E3251" s="3" t="n">
        <f aca="false">IF(Tabla2[[#This Row],[Frecuencia]]="Annual", Tabla2[[#This Row],[Cosecha/Tarea]]/12,Tabla2[[#This Row],[Cosecha/Tarea]])</f>
        <v>40500</v>
      </c>
      <c r="F3251" s="3" t="n">
        <v>1458000</v>
      </c>
      <c r="G3251" s="2" t="s">
        <v>18</v>
      </c>
      <c r="H3251" s="2" t="n">
        <f aca="false">F3251/Tabla2[[#This Row],[Cosecha Mensual]]</f>
        <v>36</v>
      </c>
      <c r="I3251" s="2" t="n">
        <f aca="false">H3251*_xlfn.XLOOKUP(Tabla2[[#This Row],[Unidad de producción]],Tabla3[Medida],Tabla3[Equivalencia en Kg],"ELVIS",0)</f>
        <v>1632.96</v>
      </c>
      <c r="J3251" s="2" t="n">
        <v>7515</v>
      </c>
      <c r="K3251" s="2" t="s">
        <v>29</v>
      </c>
      <c r="L3251" s="2" t="n">
        <f aca="false">J3251/_xlfn.XLOOKUP(Tabla2[[#This Row],[Unidad de precio]],Tabla3[Medida],Tabla3[Equivalencia en Kg],"ELVIS",0)</f>
        <v>13.3638012590248</v>
      </c>
      <c r="M3251" s="2" t="n">
        <v>8552.64</v>
      </c>
      <c r="N3251" s="3" t="n">
        <f aca="false">(Tabla2[[#This Row],[Productividad (kg/TAS)]]*Tabla2[[#This Row],[Precio por kg]]-Tabla2[[#This Row],[Costos (En RD$/Tarea)]])</f>
        <v>13269.9129039371</v>
      </c>
      <c r="O3251" s="9" t="n">
        <f aca="false">IF(Tabla2[[#This Row],[Costos (En RD$/Tarea)]]=0,0,Tabla2[[#This Row],[Beneficio Neto  (En RD$/Tarea)]]/Tabla2[[#This Row],[Costos (En RD$/Tarea)]])</f>
        <v>1.55155751954217</v>
      </c>
      <c r="P3251" s="7" t="n">
        <f aca="false">Tabla2[[#This Row],[Rentabilidad (%)]]/12</f>
        <v>0.129296459961847</v>
      </c>
    </row>
    <row r="3252" customFormat="false" ht="14.25" hidden="false" customHeight="false" outlineLevel="0" collapsed="false">
      <c r="A3252" s="1" t="n">
        <v>44743</v>
      </c>
      <c r="B3252" s="2" t="s">
        <v>30</v>
      </c>
      <c r="C3252" s="3" t="n">
        <v>599764</v>
      </c>
      <c r="D3252" s="3" t="s">
        <v>31</v>
      </c>
      <c r="E3252" s="3" t="n">
        <f aca="false">IF(Tabla2[[#This Row],[Frecuencia]]="Annual", Tabla2[[#This Row],[Cosecha/Tarea]]/12,Tabla2[[#This Row],[Cosecha/Tarea]])</f>
        <v>49980.3333333333</v>
      </c>
      <c r="F3252" s="3" t="n">
        <v>3598584</v>
      </c>
      <c r="G3252" s="2" t="s">
        <v>18</v>
      </c>
      <c r="H3252" s="2" t="n">
        <f aca="false">F3252/Tabla2[[#This Row],[Cosecha Mensual]]</f>
        <v>72</v>
      </c>
      <c r="I3252" s="2" t="n">
        <f aca="false">H3252*_xlfn.XLOOKUP(Tabla2[[#This Row],[Unidad de producción]],Tabla3[Medida],Tabla3[Equivalencia en Kg],"ELVIS",0)</f>
        <v>3265.92</v>
      </c>
      <c r="J3252" s="2" t="n">
        <v>211.104166666667</v>
      </c>
      <c r="K3252" s="2" t="s">
        <v>32</v>
      </c>
      <c r="L3252" s="2" t="n">
        <f aca="false">J3252/_xlfn.XLOOKUP(Tabla2[[#This Row],[Unidad de precio]],Tabla3[Medida],Tabla3[Equivalencia en Kg],"ELVIS",0)</f>
        <v>7.75833027073381</v>
      </c>
      <c r="M3252" s="3" t="n">
        <v>47396.15</v>
      </c>
      <c r="N3252" s="3" t="n">
        <f aca="false">(Tabla2[[#This Row],[Productividad (kg/TAS)]]*Tabla2[[#This Row],[Precio por kg]]-Tabla2[[#This Row],[Costos (En RD$/Tarea)]])</f>
        <v>-22058.064002205</v>
      </c>
      <c r="O3252" s="9" t="n">
        <f aca="false">IF(Tabla2[[#This Row],[Costos (En RD$/Tarea)]]=0,0,Tabla2[[#This Row],[Beneficio Neto  (En RD$/Tarea)]]/Tabla2[[#This Row],[Costos (En RD$/Tarea)]])</f>
        <v>-0.46539780134473</v>
      </c>
      <c r="P3252" s="7" t="n">
        <f aca="false">Tabla2[[#This Row],[Rentabilidad (%)]]/12</f>
        <v>-0.0387831501120609</v>
      </c>
    </row>
    <row r="3253" customFormat="false" ht="14.25" hidden="false" customHeight="false" outlineLevel="0" collapsed="false">
      <c r="A3253" s="1" t="n">
        <v>44743</v>
      </c>
      <c r="B3253" s="2" t="s">
        <v>33</v>
      </c>
      <c r="C3253" s="3" t="n">
        <v>1170098</v>
      </c>
      <c r="D3253" s="3" t="s">
        <v>31</v>
      </c>
      <c r="E3253" s="11" t="n">
        <f aca="false">IF(Tabla2[[#This Row],[Frecuencia]]="Annual", Tabla2[[#This Row],[Cosecha/Tarea]]/12,Tabla2[[#This Row],[Cosecha/Tarea]])</f>
        <v>97508.1666666667</v>
      </c>
      <c r="F3253" s="3" t="n">
        <v>3369882.24</v>
      </c>
      <c r="G3253" s="2" t="s">
        <v>18</v>
      </c>
      <c r="H3253" s="2" t="n">
        <f aca="false">F3253/Tabla2[[#This Row],[Cosecha Mensual]]</f>
        <v>34.56</v>
      </c>
      <c r="I3253" s="2" t="n">
        <f aca="false">H3253*_xlfn.XLOOKUP(Tabla2[[#This Row],[Unidad de producción]],Tabla3[Medida],Tabla3[Equivalencia en Kg],"ELVIS",0)</f>
        <v>1567.6416</v>
      </c>
      <c r="J3253" s="2" t="n">
        <v>9284.36979166667</v>
      </c>
      <c r="K3253" s="2" t="s">
        <v>34</v>
      </c>
      <c r="L3253" s="2" t="n">
        <f aca="false">J3253/_xlfn.XLOOKUP(Tabla2[[#This Row],[Unidad de precio]],Tabla3[Medida],Tabla3[Equivalencia en Kg],"ELVIS",0)</f>
        <v>22.747445281555</v>
      </c>
      <c r="M3253" s="3" t="n">
        <v>25908.33</v>
      </c>
      <c r="N3253" s="3" t="n">
        <f aca="false">(Tabla2[[#This Row],[Productividad (kg/TAS)]]*Tabla2[[#This Row],[Precio por kg]]-Tabla2[[#This Row],[Costos (En RD$/Tarea)]])</f>
        <v>9751.51151708932</v>
      </c>
      <c r="O3253" s="9" t="n">
        <f aca="false">IF(Tabla2[[#This Row],[Costos (En RD$/Tarea)]]=0,0,Tabla2[[#This Row],[Beneficio Neto  (En RD$/Tarea)]]/Tabla2[[#This Row],[Costos (En RD$/Tarea)]])</f>
        <v>0.376385182568283</v>
      </c>
      <c r="P3253" s="7" t="n">
        <f aca="false">Tabla2[[#This Row],[Rentabilidad (%)]]/12</f>
        <v>0.0313654318806902</v>
      </c>
    </row>
    <row r="3254" customFormat="false" ht="14.25" hidden="false" customHeight="false" outlineLevel="0" collapsed="false">
      <c r="A3254" s="1" t="n">
        <v>44774</v>
      </c>
      <c r="B3254" s="2" t="s">
        <v>16</v>
      </c>
      <c r="C3254" s="3" t="n">
        <v>362113</v>
      </c>
      <c r="D3254" s="8" t="s">
        <v>17</v>
      </c>
      <c r="E3254" s="3" t="n">
        <f aca="false">IF(Tabla2[[#This Row],[Frecuencia]]="Annual", Tabla2[[#This Row],[Cosecha/Tarea]]/12,Tabla2[[#This Row],[Cosecha/Tarea]])</f>
        <v>362113</v>
      </c>
      <c r="F3254" s="3" t="n">
        <v>1745960</v>
      </c>
      <c r="G3254" s="2" t="s">
        <v>18</v>
      </c>
      <c r="H3254" s="2" t="n">
        <f aca="false">F3254/Tabla2[[#This Row],[Cosecha Mensual]]</f>
        <v>4.82158884105238</v>
      </c>
      <c r="I3254" s="2" t="n">
        <f aca="false">H3254*_xlfn.XLOOKUP(Tabla2[[#This Row],[Unidad de producción]],Tabla3[Medida],Tabla3[Equivalencia en Kg],"ELVIS",0)</f>
        <v>218.707269830136</v>
      </c>
      <c r="J3254" s="2" t="n">
        <v>2704.33078914558</v>
      </c>
      <c r="K3254" s="2" t="s">
        <v>19</v>
      </c>
      <c r="L3254" s="2" t="n">
        <f aca="false">J3254/_xlfn.XLOOKUP(Tabla2[[#This Row],[Unidad de precio]],Tabla3[Medida],Tabla3[Equivalencia en Kg],"ELVIS",0)</f>
        <v>24.5848253558689</v>
      </c>
      <c r="M3254" s="2" t="n">
        <v>10006.7786059906</v>
      </c>
      <c r="N3254" s="3" t="n">
        <f aca="false">(Tabla2[[#This Row],[Productividad (kg/TAS)]]*Tabla2[[#This Row],[Precio por kg]]-Tabla2[[#This Row],[Costos (En RD$/Tarea)]])</f>
        <v>-4629.89857315781</v>
      </c>
      <c r="O3254" s="9" t="n">
        <f aca="false">IF(Tabla2[[#This Row],[Costos (En RD$/Tarea)]]=0,0,Tabla2[[#This Row],[Beneficio Neto  (En RD$/Tarea)]]/Tabla2[[#This Row],[Costos (En RD$/Tarea)]])</f>
        <v>-0.462676227331152</v>
      </c>
      <c r="P3254" s="7" t="n">
        <f aca="false">Tabla2[[#This Row],[Rentabilidad (%)]]/12</f>
        <v>-0.038556352277596</v>
      </c>
    </row>
    <row r="3255" customFormat="false" ht="14.25" hidden="false" customHeight="false" outlineLevel="0" collapsed="false">
      <c r="A3255" s="1" t="n">
        <v>44774</v>
      </c>
      <c r="B3255" s="2" t="s">
        <v>20</v>
      </c>
      <c r="C3255" s="3" t="n">
        <v>53960</v>
      </c>
      <c r="D3255" s="8" t="s">
        <v>17</v>
      </c>
      <c r="E3255" s="3" t="n">
        <f aca="false">IF(Tabla2[[#This Row],[Frecuencia]]="Annual", Tabla2[[#This Row],[Cosecha/Tarea]]/12,Tabla2[[#This Row],[Cosecha/Tarea]])</f>
        <v>53960</v>
      </c>
      <c r="F3255" s="3" t="n">
        <v>135236</v>
      </c>
      <c r="G3255" s="2" t="s">
        <v>18</v>
      </c>
      <c r="H3255" s="2" t="n">
        <f aca="false">F3255/Tabla2[[#This Row],[Cosecha Mensual]]</f>
        <v>2.50622683469237</v>
      </c>
      <c r="I3255" s="2" t="n">
        <f aca="false">H3255*_xlfn.XLOOKUP(Tabla2[[#This Row],[Unidad de producción]],Tabla3[Medida],Tabla3[Equivalencia en Kg],"ELVIS",0)</f>
        <v>113.682449221646</v>
      </c>
      <c r="J3255" s="2" t="n">
        <v>1231.04761904762</v>
      </c>
      <c r="K3255" s="2" t="s">
        <v>18</v>
      </c>
      <c r="L3255" s="2" t="n">
        <f aca="false">J3255/_xlfn.XLOOKUP(Tabla2[[#This Row],[Unidad de precio]],Tabla3[Medida],Tabla3[Equivalencia en Kg],"ELVIS",0)</f>
        <v>27.1394977744184</v>
      </c>
      <c r="M3255" s="2" t="n">
        <v>4130.097717915</v>
      </c>
      <c r="N3255" s="3" t="n">
        <f aca="false">(Tabla2[[#This Row],[Productividad (kg/TAS)]]*Tabla2[[#This Row],[Precio por kg]]-Tabla2[[#This Row],[Costos (En RD$/Tarea)]])</f>
        <v>-1044.81314027371</v>
      </c>
      <c r="O3255" s="9" t="n">
        <f aca="false">IF(Tabla2[[#This Row],[Costos (En RD$/Tarea)]]=0,0,Tabla2[[#This Row],[Beneficio Neto  (En RD$/Tarea)]]/Tabla2[[#This Row],[Costos (En RD$/Tarea)]])</f>
        <v>-0.252975404369165</v>
      </c>
      <c r="P3255" s="7" t="n">
        <f aca="false">Tabla2[[#This Row],[Rentabilidad (%)]]/12</f>
        <v>-0.0210812836974304</v>
      </c>
    </row>
    <row r="3256" customFormat="false" ht="14.25" hidden="false" customHeight="false" outlineLevel="0" collapsed="false">
      <c r="A3256" s="1" t="n">
        <v>44774</v>
      </c>
      <c r="B3256" s="2" t="s">
        <v>21</v>
      </c>
      <c r="C3256" s="3" t="n">
        <v>8002</v>
      </c>
      <c r="D3256" s="8" t="s">
        <v>17</v>
      </c>
      <c r="E3256" s="3" t="n">
        <f aca="false">IF(Tabla2[[#This Row],[Frecuencia]]="Annual", Tabla2[[#This Row],[Cosecha/Tarea]]/12,Tabla2[[#This Row],[Cosecha/Tarea]])</f>
        <v>8002</v>
      </c>
      <c r="F3256" s="3" t="n">
        <v>97990</v>
      </c>
      <c r="G3256" s="2" t="s">
        <v>18</v>
      </c>
      <c r="H3256" s="2" t="n">
        <f aca="false">F3256/Tabla2[[#This Row],[Cosecha Mensual]]</f>
        <v>12.2456885778555</v>
      </c>
      <c r="I3256" s="2" t="n">
        <f aca="false">H3256*_xlfn.XLOOKUP(Tabla2[[#This Row],[Unidad de producción]],Tabla3[Medida],Tabla3[Equivalencia en Kg],"ELVIS",0)</f>
        <v>555.464433891527</v>
      </c>
      <c r="J3256" s="2" t="n">
        <v>1245.47916666667</v>
      </c>
      <c r="K3256" s="2" t="s">
        <v>18</v>
      </c>
      <c r="L3256" s="2" t="n">
        <f aca="false">J3256/_xlfn.XLOOKUP(Tabla2[[#This Row],[Unidad de precio]],Tabla3[Medida],Tabla3[Equivalencia en Kg],"ELVIS",0)</f>
        <v>27.4576535861259</v>
      </c>
      <c r="M3256" s="2" t="n">
        <v>5858.17</v>
      </c>
      <c r="N3256" s="3" t="n">
        <f aca="false">(Tabla2[[#This Row],[Productividad (kg/TAS)]]*Tabla2[[#This Row],[Precio por kg]]-Tabla2[[#This Row],[Costos (En RD$/Tarea)]])</f>
        <v>9393.58000520707</v>
      </c>
      <c r="O3256" s="9" t="n">
        <f aca="false">IF(Tabla2[[#This Row],[Costos (En RD$/Tarea)]]=0,0,Tabla2[[#This Row],[Beneficio Neto  (En RD$/Tarea)]]/Tabla2[[#This Row],[Costos (En RD$/Tarea)]])</f>
        <v>1.60350075283016</v>
      </c>
      <c r="P3256" s="7" t="n">
        <f aca="false">Tabla2[[#This Row],[Rentabilidad (%)]]/12</f>
        <v>0.133625062735847</v>
      </c>
    </row>
    <row r="3257" customFormat="false" ht="14.25" hidden="false" customHeight="false" outlineLevel="0" collapsed="false">
      <c r="A3257" s="1" t="n">
        <v>44774</v>
      </c>
      <c r="B3257" s="2" t="s">
        <v>22</v>
      </c>
      <c r="C3257" s="3" t="n">
        <v>5801</v>
      </c>
      <c r="D3257" s="8" t="s">
        <v>17</v>
      </c>
      <c r="E3257" s="3" t="n">
        <f aca="false">IF(Tabla2[[#This Row],[Frecuencia]]="Annual", Tabla2[[#This Row],[Cosecha/Tarea]]/12,Tabla2[[#This Row],[Cosecha/Tarea]])</f>
        <v>5801</v>
      </c>
      <c r="F3257" s="3" t="n">
        <v>77618</v>
      </c>
      <c r="G3257" s="2" t="s">
        <v>18</v>
      </c>
      <c r="H3257" s="2" t="n">
        <f aca="false">F3257/Tabla2[[#This Row],[Cosecha Mensual]]</f>
        <v>13.3801068781245</v>
      </c>
      <c r="I3257" s="2" t="n">
        <f aca="false">H3257*_xlfn.XLOOKUP(Tabla2[[#This Row],[Unidad de producción]],Tabla3[Medida],Tabla3[Equivalencia en Kg],"ELVIS",0)</f>
        <v>606.921647991726</v>
      </c>
      <c r="J3257" s="2" t="n">
        <v>2080.78</v>
      </c>
      <c r="K3257" s="2" t="s">
        <v>18</v>
      </c>
      <c r="L3257" s="2" t="n">
        <f aca="false">J3257/_xlfn.XLOOKUP(Tabla2[[#This Row],[Unidad de precio]],Tabla3[Medida],Tabla3[Equivalencia en Kg],"ELVIS",0)</f>
        <v>45.8725749559083</v>
      </c>
      <c r="M3257" s="2" t="n">
        <v>12106.08</v>
      </c>
      <c r="N3257" s="3" t="n">
        <f aca="false">(Tabla2[[#This Row],[Productividad (kg/TAS)]]*Tabla2[[#This Row],[Precio por kg]]-Tabla2[[#This Row],[Costos (En RD$/Tarea)]])</f>
        <v>15734.9787898638</v>
      </c>
      <c r="O3257" s="9" t="n">
        <f aca="false">IF(Tabla2[[#This Row],[Costos (En RD$/Tarea)]]=0,0,Tabla2[[#This Row],[Beneficio Neto  (En RD$/Tarea)]]/Tabla2[[#This Row],[Costos (En RD$/Tarea)]])</f>
        <v>1.29975836851101</v>
      </c>
      <c r="P3257" s="7" t="n">
        <f aca="false">Tabla2[[#This Row],[Rentabilidad (%)]]/12</f>
        <v>0.108313197375918</v>
      </c>
    </row>
    <row r="3258" customFormat="false" ht="14.25" hidden="false" customHeight="false" outlineLevel="0" collapsed="false">
      <c r="A3258" s="1" t="n">
        <v>44774</v>
      </c>
      <c r="B3258" s="2" t="s">
        <v>23</v>
      </c>
      <c r="C3258" s="3" t="n">
        <v>4414</v>
      </c>
      <c r="D3258" s="8" t="s">
        <v>17</v>
      </c>
      <c r="E3258" s="3" t="n">
        <f aca="false">IF(Tabla2[[#This Row],[Frecuencia]]="Annual", Tabla2[[#This Row],[Cosecha/Tarea]]/12,Tabla2[[#This Row],[Cosecha/Tarea]])</f>
        <v>4414</v>
      </c>
      <c r="F3258" s="3" t="n">
        <v>176280</v>
      </c>
      <c r="G3258" s="2" t="s">
        <v>18</v>
      </c>
      <c r="H3258" s="2" t="n">
        <f aca="false">F3258/Tabla2[[#This Row],[Cosecha Mensual]]</f>
        <v>39.9365654734934</v>
      </c>
      <c r="I3258" s="2" t="n">
        <f aca="false">H3258*_xlfn.XLOOKUP(Tabla2[[#This Row],[Unidad de producción]],Tabla3[Medida],Tabla3[Equivalencia en Kg],"ELVIS",0)</f>
        <v>1811.52260987766</v>
      </c>
      <c r="J3258" s="2" t="n">
        <v>1137</v>
      </c>
      <c r="K3258" s="2" t="s">
        <v>18</v>
      </c>
      <c r="L3258" s="2" t="n">
        <f aca="false">J3258/_xlfn.XLOOKUP(Tabla2[[#This Row],[Unidad de precio]],Tabla3[Medida],Tabla3[Equivalencia en Kg],"ELVIS",0)</f>
        <v>25.0661375661376</v>
      </c>
      <c r="M3258" s="2" t="n">
        <v>30322</v>
      </c>
      <c r="N3258" s="3" t="n">
        <f aca="false">(Tabla2[[#This Row],[Productividad (kg/TAS)]]*Tabla2[[#This Row],[Precio por kg]]-Tabla2[[#This Row],[Costos (En RD$/Tarea)]])</f>
        <v>15085.874943362</v>
      </c>
      <c r="O3258" s="9" t="n">
        <f aca="false">IF(Tabla2[[#This Row],[Costos (En RD$/Tarea)]]=0,0,Tabla2[[#This Row],[Beneficio Neto  (En RD$/Tarea)]]/Tabla2[[#This Row],[Costos (En RD$/Tarea)]])</f>
        <v>0.497522424093465</v>
      </c>
      <c r="P3258" s="7" t="n">
        <f aca="false">Tabla2[[#This Row],[Rentabilidad (%)]]/12</f>
        <v>0.0414602020077887</v>
      </c>
    </row>
    <row r="3259" customFormat="false" ht="14.25" hidden="false" customHeight="false" outlineLevel="0" collapsed="false">
      <c r="A3259" s="1" t="n">
        <v>44774</v>
      </c>
      <c r="B3259" s="2" t="s">
        <v>24</v>
      </c>
      <c r="C3259" s="3" t="n">
        <v>7542</v>
      </c>
      <c r="D3259" s="8" t="s">
        <v>17</v>
      </c>
      <c r="E3259" s="3" t="n">
        <f aca="false">IF(Tabla2[[#This Row],[Frecuencia]]="Annual", Tabla2[[#This Row],[Cosecha/Tarea]]/12,Tabla2[[#This Row],[Cosecha/Tarea]])</f>
        <v>7542</v>
      </c>
      <c r="F3259" s="3" t="n">
        <v>101817</v>
      </c>
      <c r="G3259" s="2" t="s">
        <v>18</v>
      </c>
      <c r="H3259" s="2" t="n">
        <f aca="false">F3259/Tabla2[[#This Row],[Cosecha Mensual]]</f>
        <v>13.5</v>
      </c>
      <c r="I3259" s="2" t="n">
        <f aca="false">H3259*_xlfn.XLOOKUP(Tabla2[[#This Row],[Unidad de producción]],Tabla3[Medida],Tabla3[Equivalencia en Kg],"ELVIS",0)</f>
        <v>612.36</v>
      </c>
      <c r="J3259" s="2" t="n">
        <v>3143.62857142857</v>
      </c>
      <c r="K3259" s="2" t="s">
        <v>18</v>
      </c>
      <c r="L3259" s="2" t="n">
        <f aca="false">J3259/_xlfn.XLOOKUP(Tabla2[[#This Row],[Unidad de precio]],Tabla3[Medida],Tabla3[Equivalencia en Kg],"ELVIS",0)</f>
        <v>69.3039808515999</v>
      </c>
      <c r="M3259" s="2" t="n">
        <v>16342.43</v>
      </c>
      <c r="N3259" s="3" t="n">
        <f aca="false">(Tabla2[[#This Row],[Productividad (kg/TAS)]]*Tabla2[[#This Row],[Precio por kg]]-Tabla2[[#This Row],[Costos (En RD$/Tarea)]])</f>
        <v>26096.5557142857</v>
      </c>
      <c r="O3259" s="9" t="n">
        <f aca="false">IF(Tabla2[[#This Row],[Costos (En RD$/Tarea)]]=0,0,Tabla2[[#This Row],[Beneficio Neto  (En RD$/Tarea)]]/Tabla2[[#This Row],[Costos (En RD$/Tarea)]])</f>
        <v>1.59685895636608</v>
      </c>
      <c r="P3259" s="7" t="n">
        <f aca="false">Tabla2[[#This Row],[Rentabilidad (%)]]/12</f>
        <v>0.133071579697173</v>
      </c>
    </row>
    <row r="3260" customFormat="false" ht="14.25" hidden="false" customHeight="false" outlineLevel="0" collapsed="false">
      <c r="A3260" s="1" t="n">
        <v>44774</v>
      </c>
      <c r="B3260" s="2" t="s">
        <v>25</v>
      </c>
      <c r="C3260" s="3" t="n">
        <v>33711</v>
      </c>
      <c r="D3260" s="8" t="s">
        <v>17</v>
      </c>
      <c r="E3260" s="3" t="n">
        <f aca="false">IF(Tabla2[[#This Row],[Frecuencia]]="Annual", Tabla2[[#This Row],[Cosecha/Tarea]]/12,Tabla2[[#This Row],[Cosecha/Tarea]])</f>
        <v>33711</v>
      </c>
      <c r="F3260" s="3" t="n">
        <v>404532</v>
      </c>
      <c r="G3260" s="2" t="s">
        <v>18</v>
      </c>
      <c r="H3260" s="2" t="n">
        <f aca="false">F3260/Tabla2[[#This Row],[Cosecha Mensual]]</f>
        <v>12</v>
      </c>
      <c r="I3260" s="2" t="n">
        <f aca="false">H3260*_xlfn.XLOOKUP(Tabla2[[#This Row],[Unidad de producción]],Tabla3[Medida],Tabla3[Equivalencia en Kg],"ELVIS",0)</f>
        <v>544.32</v>
      </c>
      <c r="J3260" s="2" t="n">
        <v>1410.13575</v>
      </c>
      <c r="K3260" s="2" t="s">
        <v>18</v>
      </c>
      <c r="L3260" s="2" t="n">
        <f aca="false">J3260/_xlfn.XLOOKUP(Tabla2[[#This Row],[Unidad de precio]],Tabla3[Medida],Tabla3[Equivalencia en Kg],"ELVIS",0)</f>
        <v>31.0876488095238</v>
      </c>
      <c r="M3260" s="2" t="n">
        <v>6557.61</v>
      </c>
      <c r="N3260" s="3" t="n">
        <f aca="false">(Tabla2[[#This Row],[Productividad (kg/TAS)]]*Tabla2[[#This Row],[Precio por kg]]-Tabla2[[#This Row],[Costos (En RD$/Tarea)]])</f>
        <v>10364.019</v>
      </c>
      <c r="O3260" s="9" t="n">
        <f aca="false">IF(Tabla2[[#This Row],[Costos (En RD$/Tarea)]]=0,0,Tabla2[[#This Row],[Beneficio Neto  (En RD$/Tarea)]]/Tabla2[[#This Row],[Costos (En RD$/Tarea)]])</f>
        <v>1.58045675177389</v>
      </c>
      <c r="P3260" s="7" t="n">
        <f aca="false">Tabla2[[#This Row],[Rentabilidad (%)]]/12</f>
        <v>0.131704729314491</v>
      </c>
    </row>
    <row r="3261" customFormat="false" ht="14.25" hidden="false" customHeight="false" outlineLevel="0" collapsed="false">
      <c r="A3261" s="1" t="n">
        <v>44774</v>
      </c>
      <c r="B3261" s="2" t="s">
        <v>26</v>
      </c>
      <c r="C3261" s="3" t="n">
        <v>12006</v>
      </c>
      <c r="D3261" s="8" t="s">
        <v>17</v>
      </c>
      <c r="E3261" s="3" t="n">
        <f aca="false">IF(Tabla2[[#This Row],[Frecuencia]]="Annual", Tabla2[[#This Row],[Cosecha/Tarea]]/12,Tabla2[[#This Row],[Cosecha/Tarea]])</f>
        <v>12006</v>
      </c>
      <c r="F3261" s="3" t="n">
        <v>126663.3</v>
      </c>
      <c r="G3261" s="2" t="s">
        <v>18</v>
      </c>
      <c r="H3261" s="2" t="n">
        <f aca="false">F3261/Tabla2[[#This Row],[Cosecha Mensual]]</f>
        <v>10.55</v>
      </c>
      <c r="I3261" s="2" t="n">
        <f aca="false">H3261*_xlfn.XLOOKUP(Tabla2[[#This Row],[Unidad de producción]],Tabla3[Medida],Tabla3[Equivalencia en Kg],"ELVIS",0)</f>
        <v>478.548</v>
      </c>
      <c r="J3261" s="2" t="n">
        <v>1341.05625</v>
      </c>
      <c r="K3261" s="2" t="s">
        <v>18</v>
      </c>
      <c r="L3261" s="2" t="n">
        <f aca="false">J3261/_xlfn.XLOOKUP(Tabla2[[#This Row],[Unidad de precio]],Tabla3[Medida],Tabla3[Equivalencia en Kg],"ELVIS",0)</f>
        <v>29.5647321428571</v>
      </c>
      <c r="M3261" s="2" t="n">
        <v>2133.92</v>
      </c>
      <c r="N3261" s="3" t="n">
        <f aca="false">(Tabla2[[#This Row],[Productividad (kg/TAS)]]*Tabla2[[#This Row],[Precio por kg]]-Tabla2[[#This Row],[Costos (En RD$/Tarea)]])</f>
        <v>12014.2234375</v>
      </c>
      <c r="O3261" s="9" t="n">
        <f aca="false">IF(Tabla2[[#This Row],[Costos (En RD$/Tarea)]]=0,0,Tabla2[[#This Row],[Beneficio Neto  (En RD$/Tarea)]]/Tabla2[[#This Row],[Costos (En RD$/Tarea)]])</f>
        <v>5.63011895361588</v>
      </c>
      <c r="P3261" s="7" t="n">
        <f aca="false">Tabla2[[#This Row],[Rentabilidad (%)]]/12</f>
        <v>0.46917657946799</v>
      </c>
    </row>
    <row r="3262" customFormat="false" ht="14.25" hidden="false" customHeight="false" outlineLevel="0" collapsed="false">
      <c r="A3262" s="1" t="n">
        <v>44774</v>
      </c>
      <c r="B3262" s="2" t="s">
        <v>27</v>
      </c>
      <c r="C3262" s="3" t="n">
        <v>4988</v>
      </c>
      <c r="D3262" s="8" t="s">
        <v>17</v>
      </c>
      <c r="E3262" s="3" t="n">
        <f aca="false">IF(Tabla2[[#This Row],[Frecuencia]]="Annual", Tabla2[[#This Row],[Cosecha/Tarea]]/12,Tabla2[[#This Row],[Cosecha/Tarea]])</f>
        <v>4988</v>
      </c>
      <c r="F3262" s="3" t="n">
        <v>52773.04</v>
      </c>
      <c r="G3262" s="2" t="s">
        <v>18</v>
      </c>
      <c r="H3262" s="2" t="n">
        <f aca="false">F3262/Tabla2[[#This Row],[Cosecha Mensual]]</f>
        <v>10.58</v>
      </c>
      <c r="I3262" s="2" t="n">
        <f aca="false">H3262*_xlfn.XLOOKUP(Tabla2[[#This Row],[Unidad de producción]],Tabla3[Medida],Tabla3[Equivalencia en Kg],"ELVIS",0)</f>
        <v>479.9088</v>
      </c>
      <c r="J3262" s="2" t="n">
        <v>1271.19444444444</v>
      </c>
      <c r="K3262" s="2" t="s">
        <v>18</v>
      </c>
      <c r="L3262" s="2" t="n">
        <f aca="false">J3262/_xlfn.XLOOKUP(Tabla2[[#This Row],[Unidad de precio]],Tabla3[Medida],Tabla3[Equivalencia en Kg],"ELVIS",0)</f>
        <v>28.0245688810503</v>
      </c>
      <c r="M3262" s="2" t="n">
        <v>11717.05</v>
      </c>
      <c r="N3262" s="3" t="n">
        <f aca="false">(Tabla2[[#This Row],[Productividad (kg/TAS)]]*Tabla2[[#This Row],[Precio por kg]]-Tabla2[[#This Row],[Costos (En RD$/Tarea)]])</f>
        <v>1732.18722222218</v>
      </c>
      <c r="O3262" s="9" t="n">
        <f aca="false">IF(Tabla2[[#This Row],[Costos (En RD$/Tarea)]]=0,0,Tabla2[[#This Row],[Beneficio Neto  (En RD$/Tarea)]]/Tabla2[[#This Row],[Costos (En RD$/Tarea)]])</f>
        <v>0.147834755524827</v>
      </c>
      <c r="P3262" s="7" t="n">
        <f aca="false">Tabla2[[#This Row],[Rentabilidad (%)]]/12</f>
        <v>0.0123195629604023</v>
      </c>
    </row>
    <row r="3263" customFormat="false" ht="14.25" hidden="false" customHeight="false" outlineLevel="0" collapsed="false">
      <c r="A3263" s="1" t="n">
        <v>44774</v>
      </c>
      <c r="B3263" s="2" t="s">
        <v>28</v>
      </c>
      <c r="C3263" s="3" t="n">
        <v>54728</v>
      </c>
      <c r="D3263" s="8" t="s">
        <v>17</v>
      </c>
      <c r="E3263" s="3" t="n">
        <f aca="false">IF(Tabla2[[#This Row],[Frecuencia]]="Annual", Tabla2[[#This Row],[Cosecha/Tarea]]/12,Tabla2[[#This Row],[Cosecha/Tarea]])</f>
        <v>54728</v>
      </c>
      <c r="F3263" s="3" t="n">
        <v>2340576</v>
      </c>
      <c r="G3263" s="2" t="s">
        <v>18</v>
      </c>
      <c r="H3263" s="2" t="n">
        <f aca="false">F3263/Tabla2[[#This Row],[Cosecha Mensual]]</f>
        <v>42.7674316620377</v>
      </c>
      <c r="I3263" s="2" t="n">
        <f aca="false">H3263*_xlfn.XLOOKUP(Tabla2[[#This Row],[Unidad de producción]],Tabla3[Medida],Tabla3[Equivalencia en Kg],"ELVIS",0)</f>
        <v>1939.93070019003</v>
      </c>
      <c r="J3263" s="2" t="n">
        <v>6243.41666666667</v>
      </c>
      <c r="K3263" s="2" t="s">
        <v>29</v>
      </c>
      <c r="L3263" s="2" t="n">
        <f aca="false">J3263/_xlfn.XLOOKUP(Tabla2[[#This Row],[Unidad de precio]],Tabla3[Medida],Tabla3[Equivalencia en Kg],"ELVIS",0)</f>
        <v>11.1025654704746</v>
      </c>
      <c r="M3263" s="2" t="n">
        <v>8552.64</v>
      </c>
      <c r="N3263" s="3" t="n">
        <f aca="false">(Tabla2[[#This Row],[Productividad (kg/TAS)]]*Tabla2[[#This Row],[Precio por kg]]-Tabla2[[#This Row],[Costos (En RD$/Tarea)]])</f>
        <v>12985.5676070434</v>
      </c>
      <c r="O3263" s="9" t="n">
        <f aca="false">IF(Tabla2[[#This Row],[Costos (En RD$/Tarea)]]=0,0,Tabla2[[#This Row],[Beneficio Neto  (En RD$/Tarea)]]/Tabla2[[#This Row],[Costos (En RD$/Tarea)]])</f>
        <v>1.51831102525576</v>
      </c>
      <c r="P3263" s="7" t="n">
        <f aca="false">Tabla2[[#This Row],[Rentabilidad (%)]]/12</f>
        <v>0.126525918771313</v>
      </c>
    </row>
    <row r="3264" customFormat="false" ht="14.25" hidden="false" customHeight="false" outlineLevel="0" collapsed="false">
      <c r="A3264" s="1" t="n">
        <v>44774</v>
      </c>
      <c r="B3264" s="2" t="s">
        <v>30</v>
      </c>
      <c r="C3264" s="3" t="n">
        <v>600501</v>
      </c>
      <c r="D3264" s="3" t="s">
        <v>31</v>
      </c>
      <c r="E3264" s="3" t="n">
        <f aca="false">IF(Tabla2[[#This Row],[Frecuencia]]="Annual", Tabla2[[#This Row],[Cosecha/Tarea]]/12,Tabla2[[#This Row],[Cosecha/Tarea]])</f>
        <v>50041.75</v>
      </c>
      <c r="F3264" s="3" t="n">
        <v>3603486</v>
      </c>
      <c r="G3264" s="2" t="s">
        <v>18</v>
      </c>
      <c r="H3264" s="2" t="n">
        <f aca="false">F3264/Tabla2[[#This Row],[Cosecha Mensual]]</f>
        <v>72.0095919906878</v>
      </c>
      <c r="I3264" s="2" t="n">
        <f aca="false">H3264*_xlfn.XLOOKUP(Tabla2[[#This Row],[Unidad de producción]],Tabla3[Medida],Tabla3[Equivalencia en Kg],"ELVIS",0)</f>
        <v>3266.3550926976</v>
      </c>
      <c r="J3264" s="2" t="n">
        <v>235.583983333333</v>
      </c>
      <c r="K3264" s="2" t="s">
        <v>32</v>
      </c>
      <c r="L3264" s="2" t="n">
        <f aca="false">J3264/_xlfn.XLOOKUP(Tabla2[[#This Row],[Unidad de precio]],Tabla3[Medida],Tabla3[Equivalencia en Kg],"ELVIS",0)</f>
        <v>8.65799277226509</v>
      </c>
      <c r="M3264" s="3" t="n">
        <v>47396.15</v>
      </c>
      <c r="N3264" s="3" t="n">
        <f aca="false">(Tabla2[[#This Row],[Productividad (kg/TAS)]]*Tabla2[[#This Row],[Precio por kg]]-Tabla2[[#This Row],[Costos (En RD$/Tarea)]])</f>
        <v>-19116.0712157729</v>
      </c>
      <c r="O3264" s="9" t="n">
        <f aca="false">IF(Tabla2[[#This Row],[Costos (En RD$/Tarea)]]=0,0,Tabla2[[#This Row],[Beneficio Neto  (En RD$/Tarea)]]/Tabla2[[#This Row],[Costos (En RD$/Tarea)]])</f>
        <v>-0.403325401235606</v>
      </c>
      <c r="P3264" s="7" t="n">
        <f aca="false">Tabla2[[#This Row],[Rentabilidad (%)]]/12</f>
        <v>-0.0336104501029671</v>
      </c>
    </row>
    <row r="3265" customFormat="false" ht="14.25" hidden="false" customHeight="false" outlineLevel="0" collapsed="false">
      <c r="A3265" s="1" t="n">
        <v>44774</v>
      </c>
      <c r="B3265" s="2" t="s">
        <v>33</v>
      </c>
      <c r="C3265" s="3" t="n">
        <v>1172098</v>
      </c>
      <c r="D3265" s="3" t="s">
        <v>31</v>
      </c>
      <c r="E3265" s="11" t="n">
        <f aca="false">IF(Tabla2[[#This Row],[Frecuencia]]="Annual", Tabla2[[#This Row],[Cosecha/Tarea]]/12,Tabla2[[#This Row],[Cosecha/Tarea]])</f>
        <v>97674.8333333333</v>
      </c>
      <c r="F3265" s="3" t="n">
        <v>3481131.06</v>
      </c>
      <c r="G3265" s="2" t="s">
        <v>18</v>
      </c>
      <c r="H3265" s="2" t="n">
        <f aca="false">F3265/Tabla2[[#This Row],[Cosecha Mensual]]</f>
        <v>35.64</v>
      </c>
      <c r="I3265" s="2" t="n">
        <f aca="false">H3265*_xlfn.XLOOKUP(Tabla2[[#This Row],[Unidad de producción]],Tabla3[Medida],Tabla3[Equivalencia en Kg],"ELVIS",0)</f>
        <v>1616.6304</v>
      </c>
      <c r="J3265" s="2" t="n">
        <v>9744.95833333333</v>
      </c>
      <c r="K3265" s="2" t="s">
        <v>34</v>
      </c>
      <c r="L3265" s="2" t="n">
        <f aca="false">J3265/_xlfn.XLOOKUP(Tabla2[[#This Row],[Unidad de precio]],Tabla3[Medida],Tabla3[Equivalencia en Kg],"ELVIS",0)</f>
        <v>23.8759238841929</v>
      </c>
      <c r="M3265" s="3" t="n">
        <v>25908.33</v>
      </c>
      <c r="N3265" s="3" t="n">
        <f aca="false">(Tabla2[[#This Row],[Productividad (kg/TAS)]]*Tabla2[[#This Row],[Precio por kg]]-Tabla2[[#This Row],[Costos (En RD$/Tarea)]])</f>
        <v>12690.2143792723</v>
      </c>
      <c r="O3265" s="9" t="n">
        <f aca="false">IF(Tabla2[[#This Row],[Costos (En RD$/Tarea)]]=0,0,Tabla2[[#This Row],[Beneficio Neto  (En RD$/Tarea)]]/Tabla2[[#This Row],[Costos (En RD$/Tarea)]])</f>
        <v>0.489812132980872</v>
      </c>
      <c r="P3265" s="7" t="n">
        <f aca="false">Tabla2[[#This Row],[Rentabilidad (%)]]/12</f>
        <v>0.040817677748406</v>
      </c>
    </row>
    <row r="3266" customFormat="false" ht="14.25" hidden="false" customHeight="false" outlineLevel="0" collapsed="false">
      <c r="A3266" s="1" t="n">
        <v>44805</v>
      </c>
      <c r="B3266" s="2" t="s">
        <v>16</v>
      </c>
      <c r="C3266" s="3" t="n">
        <v>417577</v>
      </c>
      <c r="D3266" s="8" t="s">
        <v>17</v>
      </c>
      <c r="E3266" s="3" t="n">
        <f aca="false">IF(Tabla2[[#This Row],[Frecuencia]]="Annual", Tabla2[[#This Row],[Cosecha/Tarea]]/12,Tabla2[[#This Row],[Cosecha/Tarea]])</f>
        <v>417577</v>
      </c>
      <c r="F3266" s="3" t="n">
        <v>1732944.55</v>
      </c>
      <c r="G3266" s="2" t="s">
        <v>18</v>
      </c>
      <c r="H3266" s="2" t="n">
        <f aca="false">F3266/Tabla2[[#This Row],[Cosecha Mensual]]</f>
        <v>4.15</v>
      </c>
      <c r="I3266" s="2" t="n">
        <f aca="false">H3266*_xlfn.XLOOKUP(Tabla2[[#This Row],[Unidad de producción]],Tabla3[Medida],Tabla3[Equivalencia en Kg],"ELVIS",0)</f>
        <v>188.244</v>
      </c>
      <c r="J3266" s="2" t="n">
        <v>2693.76799228089</v>
      </c>
      <c r="K3266" s="2" t="s">
        <v>19</v>
      </c>
      <c r="L3266" s="2" t="n">
        <f aca="false">J3266/_xlfn.XLOOKUP(Tabla2[[#This Row],[Unidad de precio]],Tabla3[Medida],Tabla3[Equivalencia en Kg],"ELVIS",0)</f>
        <v>24.4887999298263</v>
      </c>
      <c r="M3266" s="2" t="n">
        <v>10006.7786059906</v>
      </c>
      <c r="N3266" s="3" t="n">
        <f aca="false">(Tabla2[[#This Row],[Productividad (kg/TAS)]]*Tabla2[[#This Row],[Precio por kg]]-Tabla2[[#This Row],[Costos (En RD$/Tarea)]])</f>
        <v>-5396.90895200038</v>
      </c>
      <c r="O3266" s="9" t="n">
        <f aca="false">IF(Tabla2[[#This Row],[Costos (En RD$/Tarea)]]=0,0,Tabla2[[#This Row],[Beneficio Neto  (En RD$/Tarea)]]/Tabla2[[#This Row],[Costos (En RD$/Tarea)]])</f>
        <v>-0.539325307823789</v>
      </c>
      <c r="P3266" s="7" t="n">
        <f aca="false">Tabla2[[#This Row],[Rentabilidad (%)]]/12</f>
        <v>-0.0449437756519824</v>
      </c>
    </row>
    <row r="3267" customFormat="false" ht="14.25" hidden="false" customHeight="false" outlineLevel="0" collapsed="false">
      <c r="A3267" s="1" t="n">
        <v>44805</v>
      </c>
      <c r="B3267" s="2" t="s">
        <v>20</v>
      </c>
      <c r="C3267" s="3" t="n">
        <v>52864</v>
      </c>
      <c r="D3267" s="8" t="s">
        <v>17</v>
      </c>
      <c r="E3267" s="3" t="n">
        <f aca="false">IF(Tabla2[[#This Row],[Frecuencia]]="Annual", Tabla2[[#This Row],[Cosecha/Tarea]]/12,Tabla2[[#This Row],[Cosecha/Tarea]])</f>
        <v>52864</v>
      </c>
      <c r="F3267" s="3" t="n">
        <v>150133.76</v>
      </c>
      <c r="G3267" s="2" t="s">
        <v>18</v>
      </c>
      <c r="H3267" s="2" t="n">
        <f aca="false">F3267/Tabla2[[#This Row],[Cosecha Mensual]]</f>
        <v>2.84</v>
      </c>
      <c r="I3267" s="2" t="n">
        <f aca="false">H3267*_xlfn.XLOOKUP(Tabla2[[#This Row],[Unidad de producción]],Tabla3[Medida],Tabla3[Equivalencia en Kg],"ELVIS",0)</f>
        <v>128.8224</v>
      </c>
      <c r="J3267" s="2" t="n">
        <v>1260.77963541667</v>
      </c>
      <c r="K3267" s="2" t="s">
        <v>18</v>
      </c>
      <c r="L3267" s="2" t="n">
        <f aca="false">J3267/_xlfn.XLOOKUP(Tabla2[[#This Row],[Unidad de precio]],Tabla3[Medida],Tabla3[Equivalencia en Kg],"ELVIS",0)</f>
        <v>27.7949655074222</v>
      </c>
      <c r="M3267" s="2" t="n">
        <v>4130.097717915</v>
      </c>
      <c r="N3267" s="3" t="n">
        <f aca="false">(Tabla2[[#This Row],[Productividad (kg/TAS)]]*Tabla2[[#This Row],[Precio por kg]]-Tabla2[[#This Row],[Costos (En RD$/Tarea)]])</f>
        <v>-549.483553331657</v>
      </c>
      <c r="O3267" s="9" t="n">
        <f aca="false">IF(Tabla2[[#This Row],[Costos (En RD$/Tarea)]]=0,0,Tabla2[[#This Row],[Beneficio Neto  (En RD$/Tarea)]]/Tabla2[[#This Row],[Costos (En RD$/Tarea)]])</f>
        <v>-0.133043717330992</v>
      </c>
      <c r="P3267" s="7" t="n">
        <f aca="false">Tabla2[[#This Row],[Rentabilidad (%)]]/12</f>
        <v>-0.0110869764442493</v>
      </c>
    </row>
    <row r="3268" customFormat="false" ht="14.25" hidden="false" customHeight="false" outlineLevel="0" collapsed="false">
      <c r="A3268" s="1" t="n">
        <v>44805</v>
      </c>
      <c r="B3268" s="2" t="s">
        <v>21</v>
      </c>
      <c r="C3268" s="3" t="n">
        <v>7919</v>
      </c>
      <c r="D3268" s="8" t="s">
        <v>17</v>
      </c>
      <c r="E3268" s="3" t="n">
        <f aca="false">IF(Tabla2[[#This Row],[Frecuencia]]="Annual", Tabla2[[#This Row],[Cosecha/Tarea]]/12,Tabla2[[#This Row],[Cosecha/Tarea]])</f>
        <v>7919</v>
      </c>
      <c r="F3268" s="3" t="n">
        <v>87900.9</v>
      </c>
      <c r="G3268" s="2" t="s">
        <v>18</v>
      </c>
      <c r="H3268" s="2" t="n">
        <f aca="false">F3268/Tabla2[[#This Row],[Cosecha Mensual]]</f>
        <v>11.1</v>
      </c>
      <c r="I3268" s="2" t="n">
        <f aca="false">H3268*_xlfn.XLOOKUP(Tabla2[[#This Row],[Unidad de producción]],Tabla3[Medida],Tabla3[Equivalencia en Kg],"ELVIS",0)</f>
        <v>503.496</v>
      </c>
      <c r="J3268" s="2" t="n">
        <v>1381.25297619048</v>
      </c>
      <c r="K3268" s="2" t="s">
        <v>18</v>
      </c>
      <c r="L3268" s="2" t="n">
        <f aca="false">J3268/_xlfn.XLOOKUP(Tabla2[[#This Row],[Unidad de precio]],Tabla3[Medida],Tabla3[Equivalencia en Kg],"ELVIS",0)</f>
        <v>30.4509033551693</v>
      </c>
      <c r="M3268" s="2" t="n">
        <v>5858.17</v>
      </c>
      <c r="N3268" s="3" t="n">
        <f aca="false">(Tabla2[[#This Row],[Productividad (kg/TAS)]]*Tabla2[[#This Row],[Precio por kg]]-Tabla2[[#This Row],[Costos (En RD$/Tarea)]])</f>
        <v>9473.73803571433</v>
      </c>
      <c r="O3268" s="9" t="n">
        <f aca="false">IF(Tabla2[[#This Row],[Costos (En RD$/Tarea)]]=0,0,Tabla2[[#This Row],[Beneficio Neto  (En RD$/Tarea)]]/Tabla2[[#This Row],[Costos (En RD$/Tarea)]])</f>
        <v>1.6171838706822</v>
      </c>
      <c r="P3268" s="7" t="n">
        <f aca="false">Tabla2[[#This Row],[Rentabilidad (%)]]/12</f>
        <v>0.13476532255685</v>
      </c>
    </row>
    <row r="3269" customFormat="false" ht="14.25" hidden="false" customHeight="false" outlineLevel="0" collapsed="false">
      <c r="A3269" s="1" t="n">
        <v>44805</v>
      </c>
      <c r="B3269" s="2" t="s">
        <v>22</v>
      </c>
      <c r="C3269" s="3" t="n">
        <v>4739</v>
      </c>
      <c r="D3269" s="8" t="s">
        <v>17</v>
      </c>
      <c r="E3269" s="3" t="n">
        <f aca="false">IF(Tabla2[[#This Row],[Frecuencia]]="Annual", Tabla2[[#This Row],[Cosecha/Tarea]]/12,Tabla2[[#This Row],[Cosecha/Tarea]])</f>
        <v>4739</v>
      </c>
      <c r="F3269" s="3" t="n">
        <v>43512</v>
      </c>
      <c r="G3269" s="2" t="s">
        <v>18</v>
      </c>
      <c r="H3269" s="2" t="n">
        <f aca="false">F3269/Tabla2[[#This Row],[Cosecha Mensual]]</f>
        <v>9.18168389955687</v>
      </c>
      <c r="I3269" s="2" t="n">
        <f aca="false">H3269*_xlfn.XLOOKUP(Tabla2[[#This Row],[Unidad de producción]],Tabla3[Medida],Tabla3[Equivalencia en Kg],"ELVIS",0)</f>
        <v>416.4811816839</v>
      </c>
      <c r="J3269" s="2" t="n">
        <v>1862.36979166667</v>
      </c>
      <c r="K3269" s="2" t="s">
        <v>18</v>
      </c>
      <c r="L3269" s="2" t="n">
        <f aca="false">J3269/_xlfn.XLOOKUP(Tabla2[[#This Row],[Unidad de precio]],Tabla3[Medida],Tabla3[Equivalencia en Kg],"ELVIS",0)</f>
        <v>41.0575350896532</v>
      </c>
      <c r="M3269" s="2" t="n">
        <v>12106.08</v>
      </c>
      <c r="N3269" s="3" t="n">
        <f aca="false">(Tabla2[[#This Row],[Productividad (kg/TAS)]]*Tabla2[[#This Row],[Precio por kg]]-Tabla2[[#This Row],[Costos (En RD$/Tarea)]])</f>
        <v>4993.61073116694</v>
      </c>
      <c r="O3269" s="9" t="n">
        <f aca="false">IF(Tabla2[[#This Row],[Costos (En RD$/Tarea)]]=0,0,Tabla2[[#This Row],[Beneficio Neto  (En RD$/Tarea)]]/Tabla2[[#This Row],[Costos (En RD$/Tarea)]])</f>
        <v>0.412487835134655</v>
      </c>
      <c r="P3269" s="7" t="n">
        <f aca="false">Tabla2[[#This Row],[Rentabilidad (%)]]/12</f>
        <v>0.0343739862612212</v>
      </c>
    </row>
    <row r="3270" customFormat="false" ht="14.25" hidden="false" customHeight="false" outlineLevel="0" collapsed="false">
      <c r="A3270" s="1" t="n">
        <v>44805</v>
      </c>
      <c r="B3270" s="2" t="s">
        <v>23</v>
      </c>
      <c r="C3270" s="3" t="n">
        <v>4720</v>
      </c>
      <c r="D3270" s="8" t="s">
        <v>17</v>
      </c>
      <c r="E3270" s="3" t="n">
        <f aca="false">IF(Tabla2[[#This Row],[Frecuencia]]="Annual", Tabla2[[#This Row],[Cosecha/Tarea]]/12,Tabla2[[#This Row],[Cosecha/Tarea]])</f>
        <v>4720</v>
      </c>
      <c r="F3270" s="3" t="n">
        <v>198240</v>
      </c>
      <c r="G3270" s="2" t="s">
        <v>18</v>
      </c>
      <c r="H3270" s="2" t="n">
        <f aca="false">F3270/Tabla2[[#This Row],[Cosecha Mensual]]</f>
        <v>42</v>
      </c>
      <c r="I3270" s="2" t="n">
        <f aca="false">H3270*_xlfn.XLOOKUP(Tabla2[[#This Row],[Unidad de producción]],Tabla3[Medida],Tabla3[Equivalencia en Kg],"ELVIS",0)</f>
        <v>1905.12</v>
      </c>
      <c r="J3270" s="2" t="n">
        <v>1206.25</v>
      </c>
      <c r="K3270" s="2" t="s">
        <v>18</v>
      </c>
      <c r="L3270" s="2" t="n">
        <f aca="false">J3270/_xlfn.XLOOKUP(Tabla2[[#This Row],[Unidad de precio]],Tabla3[Medida],Tabla3[Equivalencia en Kg],"ELVIS",0)</f>
        <v>26.5928130511464</v>
      </c>
      <c r="M3270" s="2" t="n">
        <v>30322</v>
      </c>
      <c r="N3270" s="3" t="n">
        <f aca="false">(Tabla2[[#This Row],[Productividad (kg/TAS)]]*Tabla2[[#This Row],[Precio por kg]]-Tabla2[[#This Row],[Costos (En RD$/Tarea)]])</f>
        <v>20340.5</v>
      </c>
      <c r="O3270" s="9" t="n">
        <f aca="false">IF(Tabla2[[#This Row],[Costos (En RD$/Tarea)]]=0,0,Tabla2[[#This Row],[Beneficio Neto  (En RD$/Tarea)]]/Tabla2[[#This Row],[Costos (En RD$/Tarea)]])</f>
        <v>0.670816568827914</v>
      </c>
      <c r="P3270" s="7" t="n">
        <f aca="false">Tabla2[[#This Row],[Rentabilidad (%)]]/12</f>
        <v>0.0559013807356595</v>
      </c>
    </row>
    <row r="3271" customFormat="false" ht="14.25" hidden="false" customHeight="false" outlineLevel="0" collapsed="false">
      <c r="A3271" s="1" t="n">
        <v>44805</v>
      </c>
      <c r="B3271" s="2" t="s">
        <v>24</v>
      </c>
      <c r="C3271" s="3" t="n">
        <v>5931</v>
      </c>
      <c r="D3271" s="8" t="s">
        <v>17</v>
      </c>
      <c r="E3271" s="3" t="n">
        <f aca="false">IF(Tabla2[[#This Row],[Frecuencia]]="Annual", Tabla2[[#This Row],[Cosecha/Tarea]]/12,Tabla2[[#This Row],[Cosecha/Tarea]])</f>
        <v>5931</v>
      </c>
      <c r="F3271" s="3" t="n">
        <v>86715</v>
      </c>
      <c r="G3271" s="2" t="s">
        <v>18</v>
      </c>
      <c r="H3271" s="2" t="n">
        <f aca="false">F3271/Tabla2[[#This Row],[Cosecha Mensual]]</f>
        <v>14.6206373292868</v>
      </c>
      <c r="I3271" s="2" t="n">
        <f aca="false">H3271*_xlfn.XLOOKUP(Tabla2[[#This Row],[Unidad de producción]],Tabla3[Medida],Tabla3[Equivalencia en Kg],"ELVIS",0)</f>
        <v>663.192109256449</v>
      </c>
      <c r="J3271" s="2" t="n">
        <v>3347.39880952381</v>
      </c>
      <c r="K3271" s="2" t="s">
        <v>18</v>
      </c>
      <c r="L3271" s="2" t="n">
        <f aca="false">J3271/_xlfn.XLOOKUP(Tabla2[[#This Row],[Unidad de precio]],Tabla3[Medida],Tabla3[Equivalencia en Kg],"ELVIS",0)</f>
        <v>73.7962700512304</v>
      </c>
      <c r="M3271" s="2" t="n">
        <v>16342.43</v>
      </c>
      <c r="N3271" s="3" t="n">
        <f aca="false">(Tabla2[[#This Row],[Productividad (kg/TAS)]]*Tabla2[[#This Row],[Precio por kg]]-Tabla2[[#This Row],[Costos (En RD$/Tarea)]])</f>
        <v>32598.673990534</v>
      </c>
      <c r="O3271" s="9" t="n">
        <f aca="false">IF(Tabla2[[#This Row],[Costos (En RD$/Tarea)]]=0,0,Tabla2[[#This Row],[Beneficio Neto  (En RD$/Tarea)]]/Tabla2[[#This Row],[Costos (En RD$/Tarea)]])</f>
        <v>1.99472624270283</v>
      </c>
      <c r="P3271" s="7" t="n">
        <f aca="false">Tabla2[[#This Row],[Rentabilidad (%)]]/12</f>
        <v>0.166227186891903</v>
      </c>
    </row>
    <row r="3272" customFormat="false" ht="14.25" hidden="false" customHeight="false" outlineLevel="0" collapsed="false">
      <c r="A3272" s="1" t="n">
        <v>44805</v>
      </c>
      <c r="B3272" s="2" t="s">
        <v>25</v>
      </c>
      <c r="C3272" s="3" t="n">
        <v>28745</v>
      </c>
      <c r="D3272" s="8" t="s">
        <v>17</v>
      </c>
      <c r="E3272" s="3" t="n">
        <f aca="false">IF(Tabla2[[#This Row],[Frecuencia]]="Annual", Tabla2[[#This Row],[Cosecha/Tarea]]/12,Tabla2[[#This Row],[Cosecha/Tarea]])</f>
        <v>28745</v>
      </c>
      <c r="F3272" s="3" t="n">
        <v>346664.7</v>
      </c>
      <c r="G3272" s="2" t="s">
        <v>18</v>
      </c>
      <c r="H3272" s="2" t="n">
        <f aca="false">F3272/Tabla2[[#This Row],[Cosecha Mensual]]</f>
        <v>12.06</v>
      </c>
      <c r="I3272" s="2" t="n">
        <f aca="false">H3272*_xlfn.XLOOKUP(Tabla2[[#This Row],[Unidad de producción]],Tabla3[Medida],Tabla3[Equivalencia en Kg],"ELVIS",0)</f>
        <v>547.0416</v>
      </c>
      <c r="J3272" s="2" t="n">
        <v>1500.91927083333</v>
      </c>
      <c r="K3272" s="2" t="s">
        <v>18</v>
      </c>
      <c r="L3272" s="2" t="n">
        <f aca="false">J3272/_xlfn.XLOOKUP(Tabla2[[#This Row],[Unidad de precio]],Tabla3[Medida],Tabla3[Equivalencia en Kg],"ELVIS",0)</f>
        <v>33.089049180629</v>
      </c>
      <c r="M3272" s="2" t="n">
        <v>6557.61</v>
      </c>
      <c r="N3272" s="3" t="n">
        <f aca="false">(Tabla2[[#This Row],[Productividad (kg/TAS)]]*Tabla2[[#This Row],[Precio por kg]]-Tabla2[[#This Row],[Costos (En RD$/Tarea)]])</f>
        <v>11543.47640625</v>
      </c>
      <c r="O3272" s="9" t="n">
        <f aca="false">IF(Tabla2[[#This Row],[Costos (En RD$/Tarea)]]=0,0,Tabla2[[#This Row],[Beneficio Neto  (En RD$/Tarea)]]/Tabla2[[#This Row],[Costos (En RD$/Tarea)]])</f>
        <v>1.76031761666979</v>
      </c>
      <c r="P3272" s="7" t="n">
        <f aca="false">Tabla2[[#This Row],[Rentabilidad (%)]]/12</f>
        <v>0.146693134722482</v>
      </c>
    </row>
    <row r="3273" customFormat="false" ht="14.25" hidden="false" customHeight="false" outlineLevel="0" collapsed="false">
      <c r="A3273" s="1" t="n">
        <v>44805</v>
      </c>
      <c r="B3273" s="2" t="s">
        <v>26</v>
      </c>
      <c r="C3273" s="3" t="n">
        <v>11220</v>
      </c>
      <c r="D3273" s="8" t="s">
        <v>17</v>
      </c>
      <c r="E3273" s="3" t="n">
        <f aca="false">IF(Tabla2[[#This Row],[Frecuencia]]="Annual", Tabla2[[#This Row],[Cosecha/Tarea]]/12,Tabla2[[#This Row],[Cosecha/Tarea]])</f>
        <v>11220</v>
      </c>
      <c r="F3273" s="3" t="n">
        <v>89433</v>
      </c>
      <c r="G3273" s="2" t="s">
        <v>18</v>
      </c>
      <c r="H3273" s="2" t="n">
        <f aca="false">F3273/Tabla2[[#This Row],[Cosecha Mensual]]</f>
        <v>7.97085561497326</v>
      </c>
      <c r="I3273" s="2" t="n">
        <f aca="false">H3273*_xlfn.XLOOKUP(Tabla2[[#This Row],[Unidad de producción]],Tabla3[Medida],Tabla3[Equivalencia en Kg],"ELVIS",0)</f>
        <v>361.558010695187</v>
      </c>
      <c r="J3273" s="2" t="n">
        <v>1297.71614583333</v>
      </c>
      <c r="K3273" s="2" t="s">
        <v>18</v>
      </c>
      <c r="L3273" s="2" t="n">
        <f aca="false">J3273/_xlfn.XLOOKUP(Tabla2[[#This Row],[Unidad de precio]],Tabla3[Medida],Tabla3[Equivalencia en Kg],"ELVIS",0)</f>
        <v>28.6092624742798</v>
      </c>
      <c r="M3273" s="2" t="n">
        <v>2133.92</v>
      </c>
      <c r="N3273" s="3" t="n">
        <f aca="false">(Tabla2[[#This Row],[Productividad (kg/TAS)]]*Tabla2[[#This Row],[Precio por kg]]-Tabla2[[#This Row],[Costos (En RD$/Tarea)]])</f>
        <v>8209.98802765706</v>
      </c>
      <c r="O3273" s="9" t="n">
        <f aca="false">IF(Tabla2[[#This Row],[Costos (En RD$/Tarea)]]=0,0,Tabla2[[#This Row],[Beneficio Neto  (En RD$/Tarea)]]/Tabla2[[#This Row],[Costos (En RD$/Tarea)]])</f>
        <v>3.8473738601527</v>
      </c>
      <c r="P3273" s="7" t="n">
        <f aca="false">Tabla2[[#This Row],[Rentabilidad (%)]]/12</f>
        <v>0.320614488346059</v>
      </c>
    </row>
    <row r="3274" customFormat="false" ht="14.25" hidden="false" customHeight="false" outlineLevel="0" collapsed="false">
      <c r="A3274" s="1" t="n">
        <v>44805</v>
      </c>
      <c r="B3274" s="2" t="s">
        <v>27</v>
      </c>
      <c r="C3274" s="3" t="n">
        <v>4084</v>
      </c>
      <c r="D3274" s="8" t="s">
        <v>17</v>
      </c>
      <c r="E3274" s="3" t="n">
        <f aca="false">IF(Tabla2[[#This Row],[Frecuencia]]="Annual", Tabla2[[#This Row],[Cosecha/Tarea]]/12,Tabla2[[#This Row],[Cosecha/Tarea]])</f>
        <v>4084</v>
      </c>
      <c r="F3274" s="3" t="n">
        <v>37260.0221039705</v>
      </c>
      <c r="G3274" s="2" t="s">
        <v>18</v>
      </c>
      <c r="H3274" s="2" t="n">
        <f aca="false">F3274/Tabla2[[#This Row],[Cosecha Mensual]]</f>
        <v>9.12341383544821</v>
      </c>
      <c r="I3274" s="2" t="n">
        <f aca="false">H3274*_xlfn.XLOOKUP(Tabla2[[#This Row],[Unidad de producción]],Tabla3[Medida],Tabla3[Equivalencia en Kg],"ELVIS",0)</f>
        <v>413.838051575931</v>
      </c>
      <c r="J3274" s="2" t="n">
        <v>1152.54166666667</v>
      </c>
      <c r="K3274" s="2" t="s">
        <v>18</v>
      </c>
      <c r="L3274" s="2" t="n">
        <f aca="false">J3274/_xlfn.XLOOKUP(Tabla2[[#This Row],[Unidad de precio]],Tabla3[Medida],Tabla3[Equivalencia en Kg],"ELVIS",0)</f>
        <v>25.4087669018225</v>
      </c>
      <c r="M3274" s="2" t="n">
        <v>11717.05</v>
      </c>
      <c r="N3274" s="3" t="n">
        <f aca="false">(Tabla2[[#This Row],[Productividad (kg/TAS)]]*Tabla2[[#This Row],[Precio por kg]]-Tabla2[[#This Row],[Costos (En RD$/Tarea)]])</f>
        <v>-1201.93541240276</v>
      </c>
      <c r="O3274" s="9" t="n">
        <f aca="false">IF(Tabla2[[#This Row],[Costos (En RD$/Tarea)]]=0,0,Tabla2[[#This Row],[Beneficio Neto  (En RD$/Tarea)]]/Tabla2[[#This Row],[Costos (En RD$/Tarea)]])</f>
        <v>-0.102580036135611</v>
      </c>
      <c r="P3274" s="7" t="n">
        <f aca="false">Tabla2[[#This Row],[Rentabilidad (%)]]/12</f>
        <v>-0.00854833634463424</v>
      </c>
    </row>
    <row r="3275" customFormat="false" ht="14.25" hidden="false" customHeight="false" outlineLevel="0" collapsed="false">
      <c r="A3275" s="1" t="n">
        <v>44805</v>
      </c>
      <c r="B3275" s="2" t="s">
        <v>28</v>
      </c>
      <c r="C3275" s="3" t="n">
        <v>89918</v>
      </c>
      <c r="D3275" s="8" t="s">
        <v>17</v>
      </c>
      <c r="E3275" s="3" t="n">
        <f aca="false">IF(Tabla2[[#This Row],[Frecuencia]]="Annual", Tabla2[[#This Row],[Cosecha/Tarea]]/12,Tabla2[[#This Row],[Cosecha/Tarea]])</f>
        <v>89918</v>
      </c>
      <c r="F3275" s="3" t="n">
        <v>2108662.8</v>
      </c>
      <c r="G3275" s="2" t="s">
        <v>18</v>
      </c>
      <c r="H3275" s="2" t="n">
        <f aca="false">F3275/Tabla2[[#This Row],[Cosecha Mensual]]</f>
        <v>23.4509530905937</v>
      </c>
      <c r="I3275" s="2" t="n">
        <f aca="false">H3275*_xlfn.XLOOKUP(Tabla2[[#This Row],[Unidad de producción]],Tabla3[Medida],Tabla3[Equivalencia en Kg],"ELVIS",0)</f>
        <v>1063.73523218933</v>
      </c>
      <c r="J3275" s="2" t="n">
        <v>4972.91666666667</v>
      </c>
      <c r="K3275" s="2" t="s">
        <v>29</v>
      </c>
      <c r="L3275" s="2" t="n">
        <f aca="false">J3275/_xlfn.XLOOKUP(Tabla2[[#This Row],[Unidad de precio]],Tabla3[Medida],Tabla3[Equivalencia en Kg],"ELVIS",0)</f>
        <v>8.84325615582507</v>
      </c>
      <c r="M3275" s="2" t="n">
        <v>8552.64</v>
      </c>
      <c r="N3275" s="3" t="n">
        <f aca="false">(Tabla2[[#This Row],[Productividad (kg/TAS)]]*Tabla2[[#This Row],[Precio por kg]]-Tabla2[[#This Row],[Costos (En RD$/Tarea)]])</f>
        <v>854.243140226283</v>
      </c>
      <c r="O3275" s="9" t="n">
        <f aca="false">IF(Tabla2[[#This Row],[Costos (En RD$/Tarea)]]=0,0,Tabla2[[#This Row],[Beneficio Neto  (En RD$/Tarea)]]/Tabla2[[#This Row],[Costos (En RD$/Tarea)]])</f>
        <v>0.0998806380516756</v>
      </c>
      <c r="P3275" s="7" t="n">
        <f aca="false">Tabla2[[#This Row],[Rentabilidad (%)]]/12</f>
        <v>0.0083233865043063</v>
      </c>
    </row>
    <row r="3276" customFormat="false" ht="14.25" hidden="false" customHeight="false" outlineLevel="0" collapsed="false">
      <c r="A3276" s="1" t="n">
        <v>44805</v>
      </c>
      <c r="B3276" s="2" t="s">
        <v>30</v>
      </c>
      <c r="C3276" s="3" t="n">
        <v>536697</v>
      </c>
      <c r="D3276" s="3" t="s">
        <v>31</v>
      </c>
      <c r="E3276" s="3" t="n">
        <f aca="false">IF(Tabla2[[#This Row],[Frecuencia]]="Annual", Tabla2[[#This Row],[Cosecha/Tarea]]/12,Tabla2[[#This Row],[Cosecha/Tarea]])</f>
        <v>44724.75</v>
      </c>
      <c r="F3276" s="3" t="n">
        <v>2898163.8</v>
      </c>
      <c r="G3276" s="2" t="s">
        <v>18</v>
      </c>
      <c r="H3276" s="2" t="n">
        <f aca="false">F3276/Tabla2[[#This Row],[Cosecha Mensual]]</f>
        <v>64.8</v>
      </c>
      <c r="I3276" s="2" t="n">
        <f aca="false">H3276*_xlfn.XLOOKUP(Tabla2[[#This Row],[Unidad de producción]],Tabla3[Medida],Tabla3[Equivalencia en Kg],"ELVIS",0)</f>
        <v>2939.328</v>
      </c>
      <c r="J3276" s="2" t="n">
        <v>243.76453125</v>
      </c>
      <c r="K3276" s="2" t="s">
        <v>32</v>
      </c>
      <c r="L3276" s="2" t="n">
        <f aca="false">J3276/_xlfn.XLOOKUP(Tabla2[[#This Row],[Unidad de precio]],Tabla3[Medida],Tabla3[Equivalencia en Kg],"ELVIS",0)</f>
        <v>8.95863767916207</v>
      </c>
      <c r="M3276" s="3" t="n">
        <v>47396.15</v>
      </c>
      <c r="N3276" s="3" t="n">
        <f aca="false">(Tabla2[[#This Row],[Productividad (kg/TAS)]]*Tabla2[[#This Row],[Precio por kg]]-Tabla2[[#This Row],[Costos (En RD$/Tarea)]])</f>
        <v>-21063.7754277839</v>
      </c>
      <c r="O3276" s="9" t="n">
        <f aca="false">IF(Tabla2[[#This Row],[Costos (En RD$/Tarea)]]=0,0,Tabla2[[#This Row],[Beneficio Neto  (En RD$/Tarea)]]/Tabla2[[#This Row],[Costos (En RD$/Tarea)]])</f>
        <v>-0.444419545211666</v>
      </c>
      <c r="P3276" s="7" t="n">
        <f aca="false">Tabla2[[#This Row],[Rentabilidad (%)]]/12</f>
        <v>-0.0370349621009722</v>
      </c>
    </row>
    <row r="3277" customFormat="false" ht="14.25" hidden="false" customHeight="false" outlineLevel="0" collapsed="false">
      <c r="A3277" s="1" t="n">
        <v>44805</v>
      </c>
      <c r="B3277" s="2" t="s">
        <v>33</v>
      </c>
      <c r="C3277" s="3" t="n">
        <v>1150301</v>
      </c>
      <c r="D3277" s="3" t="s">
        <v>31</v>
      </c>
      <c r="E3277" s="11" t="n">
        <f aca="false">IF(Tabla2[[#This Row],[Frecuencia]]="Annual", Tabla2[[#This Row],[Cosecha/Tarea]]/12,Tabla2[[#This Row],[Cosecha/Tarea]])</f>
        <v>95858.4166666667</v>
      </c>
      <c r="F3277" s="3" t="n">
        <v>2795231.43</v>
      </c>
      <c r="G3277" s="2" t="s">
        <v>18</v>
      </c>
      <c r="H3277" s="2" t="n">
        <f aca="false">F3277/Tabla2[[#This Row],[Cosecha Mensual]]</f>
        <v>29.16</v>
      </c>
      <c r="I3277" s="2" t="n">
        <f aca="false">H3277*_xlfn.XLOOKUP(Tabla2[[#This Row],[Unidad de producción]],Tabla3[Medida],Tabla3[Equivalencia en Kg],"ELVIS",0)</f>
        <v>1322.6976</v>
      </c>
      <c r="J3277" s="2" t="n">
        <v>9812.52591145833</v>
      </c>
      <c r="K3277" s="2" t="s">
        <v>34</v>
      </c>
      <c r="L3277" s="2" t="n">
        <f aca="false">J3277/_xlfn.XLOOKUP(Tabla2[[#This Row],[Unidad de precio]],Tabla3[Medida],Tabla3[Equivalencia en Kg],"ELVIS",0)</f>
        <v>24.0414698308424</v>
      </c>
      <c r="M3277" s="3" t="n">
        <v>25908.33</v>
      </c>
      <c r="N3277" s="3" t="n">
        <f aca="false">(Tabla2[[#This Row],[Productividad (kg/TAS)]]*Tabla2[[#This Row],[Precio por kg]]-Tabla2[[#This Row],[Costos (En RD$/Tarea)]])</f>
        <v>5891.26444572766</v>
      </c>
      <c r="O3277" s="9" t="n">
        <f aca="false">IF(Tabla2[[#This Row],[Costos (En RD$/Tarea)]]=0,0,Tabla2[[#This Row],[Beneficio Neto  (En RD$/Tarea)]]/Tabla2[[#This Row],[Costos (En RD$/Tarea)]])</f>
        <v>0.227388814552218</v>
      </c>
      <c r="P3277" s="7" t="n">
        <f aca="false">Tabla2[[#This Row],[Rentabilidad (%)]]/12</f>
        <v>0.0189490678793515</v>
      </c>
    </row>
    <row r="3278" customFormat="false" ht="14.25" hidden="false" customHeight="false" outlineLevel="0" collapsed="false">
      <c r="A3278" s="1" t="n">
        <v>44835</v>
      </c>
      <c r="B3278" s="2" t="s">
        <v>16</v>
      </c>
      <c r="C3278" s="3" t="n">
        <v>329382</v>
      </c>
      <c r="D3278" s="8" t="s">
        <v>17</v>
      </c>
      <c r="E3278" s="3" t="n">
        <f aca="false">IF(Tabla2[[#This Row],[Frecuencia]]="Annual", Tabla2[[#This Row],[Cosecha/Tarea]]/12,Tabla2[[#This Row],[Cosecha/Tarea]])</f>
        <v>329382</v>
      </c>
      <c r="F3278" s="3" t="n">
        <v>1357053.84</v>
      </c>
      <c r="G3278" s="2" t="s">
        <v>18</v>
      </c>
      <c r="H3278" s="2" t="n">
        <f aca="false">F3278/Tabla2[[#This Row],[Cosecha Mensual]]</f>
        <v>4.12</v>
      </c>
      <c r="I3278" s="2" t="n">
        <f aca="false">H3278*_xlfn.XLOOKUP(Tabla2[[#This Row],[Unidad de producción]],Tabla3[Medida],Tabla3[Equivalencia en Kg],"ELVIS",0)</f>
        <v>186.8832</v>
      </c>
      <c r="J3278" s="2" t="n">
        <v>2689.06937568757</v>
      </c>
      <c r="K3278" s="2" t="s">
        <v>19</v>
      </c>
      <c r="L3278" s="2" t="n">
        <f aca="false">J3278/_xlfn.XLOOKUP(Tabla2[[#This Row],[Unidad de precio]],Tabla3[Medida],Tabla3[Equivalencia en Kg],"ELVIS",0)</f>
        <v>24.4460852335234</v>
      </c>
      <c r="M3278" s="2" t="n">
        <v>10006.7786059906</v>
      </c>
      <c r="N3278" s="3" t="n">
        <f aca="false">(Tabla2[[#This Row],[Productividad (kg/TAS)]]*Tabla2[[#This Row],[Precio por kg]]-Tabla2[[#This Row],[Costos (En RD$/Tarea)]])</f>
        <v>-5438.21597007701</v>
      </c>
      <c r="O3278" s="9" t="n">
        <f aca="false">IF(Tabla2[[#This Row],[Costos (En RD$/Tarea)]]=0,0,Tabla2[[#This Row],[Beneficio Neto  (En RD$/Tarea)]]/Tabla2[[#This Row],[Costos (En RD$/Tarea)]])</f>
        <v>-0.5434532114882</v>
      </c>
      <c r="P3278" s="7" t="n">
        <f aca="false">Tabla2[[#This Row],[Rentabilidad (%)]]/12</f>
        <v>-0.0452877676240167</v>
      </c>
    </row>
    <row r="3279" customFormat="false" ht="14.25" hidden="false" customHeight="false" outlineLevel="0" collapsed="false">
      <c r="A3279" s="1" t="n">
        <v>44835</v>
      </c>
      <c r="B3279" s="2" t="s">
        <v>20</v>
      </c>
      <c r="C3279" s="3" t="n">
        <v>71508</v>
      </c>
      <c r="D3279" s="8" t="s">
        <v>17</v>
      </c>
      <c r="E3279" s="3" t="n">
        <f aca="false">IF(Tabla2[[#This Row],[Frecuencia]]="Annual", Tabla2[[#This Row],[Cosecha/Tarea]]/12,Tabla2[[#This Row],[Cosecha/Tarea]])</f>
        <v>71508</v>
      </c>
      <c r="F3279" s="3" t="n">
        <v>190211.28</v>
      </c>
      <c r="G3279" s="2" t="s">
        <v>18</v>
      </c>
      <c r="H3279" s="2" t="n">
        <f aca="false">F3279/Tabla2[[#This Row],[Cosecha Mensual]]</f>
        <v>2.66</v>
      </c>
      <c r="I3279" s="2" t="n">
        <f aca="false">H3279*_xlfn.XLOOKUP(Tabla2[[#This Row],[Unidad de producción]],Tabla3[Medida],Tabla3[Equivalencia en Kg],"ELVIS",0)</f>
        <v>120.6576</v>
      </c>
      <c r="J3279" s="2" t="n">
        <v>1256.6890625</v>
      </c>
      <c r="K3279" s="2" t="s">
        <v>18</v>
      </c>
      <c r="L3279" s="2" t="n">
        <f aca="false">J3279/_xlfn.XLOOKUP(Tabla2[[#This Row],[Unidad de precio]],Tabla3[Medida],Tabla3[Equivalencia en Kg],"ELVIS",0)</f>
        <v>27.7047853284832</v>
      </c>
      <c r="M3279" s="2" t="n">
        <v>4130.097717915</v>
      </c>
      <c r="N3279" s="3" t="n">
        <f aca="false">(Tabla2[[#This Row],[Productividad (kg/TAS)]]*Tabla2[[#This Row],[Precio por kg]]-Tabla2[[#This Row],[Costos (En RD$/Tarea)]])</f>
        <v>-787.304811665</v>
      </c>
      <c r="O3279" s="9" t="n">
        <f aca="false">IF(Tabla2[[#This Row],[Costos (En RD$/Tarea)]]=0,0,Tabla2[[#This Row],[Beneficio Neto  (En RD$/Tarea)]]/Tabla2[[#This Row],[Costos (En RD$/Tarea)]])</f>
        <v>-0.190626194690245</v>
      </c>
      <c r="P3279" s="7" t="n">
        <f aca="false">Tabla2[[#This Row],[Rentabilidad (%)]]/12</f>
        <v>-0.0158855162241871</v>
      </c>
    </row>
    <row r="3280" customFormat="false" ht="14.25" hidden="false" customHeight="false" outlineLevel="0" collapsed="false">
      <c r="A3280" s="1" t="n">
        <v>44835</v>
      </c>
      <c r="B3280" s="2" t="s">
        <v>21</v>
      </c>
      <c r="C3280" s="3" t="n">
        <v>8483.4</v>
      </c>
      <c r="D3280" s="8" t="s">
        <v>17</v>
      </c>
      <c r="E3280" s="3" t="n">
        <f aca="false">IF(Tabla2[[#This Row],[Frecuencia]]="Annual", Tabla2[[#This Row],[Cosecha/Tarea]]/12,Tabla2[[#This Row],[Cosecha/Tarea]])</f>
        <v>8483.4</v>
      </c>
      <c r="F3280" s="3" t="n">
        <v>110284.2</v>
      </c>
      <c r="G3280" s="2" t="s">
        <v>18</v>
      </c>
      <c r="H3280" s="2" t="n">
        <f aca="false">F3280/Tabla2[[#This Row],[Cosecha Mensual]]</f>
        <v>13</v>
      </c>
      <c r="I3280" s="2" t="n">
        <f aca="false">H3280*_xlfn.XLOOKUP(Tabla2[[#This Row],[Unidad de producción]],Tabla3[Medida],Tabla3[Equivalencia en Kg],"ELVIS",0)</f>
        <v>589.68</v>
      </c>
      <c r="J3280" s="2" t="n">
        <v>1359.70892857143</v>
      </c>
      <c r="K3280" s="2" t="s">
        <v>18</v>
      </c>
      <c r="L3280" s="2" t="n">
        <f aca="false">J3280/_xlfn.XLOOKUP(Tabla2[[#This Row],[Unidad de precio]],Tabla3[Medida],Tabla3[Equivalencia en Kg],"ELVIS",0)</f>
        <v>29.9759463970774</v>
      </c>
      <c r="M3280" s="2" t="n">
        <v>5858.17</v>
      </c>
      <c r="N3280" s="3" t="n">
        <f aca="false">(Tabla2[[#This Row],[Productividad (kg/TAS)]]*Tabla2[[#This Row],[Precio por kg]]-Tabla2[[#This Row],[Costos (En RD$/Tarea)]])</f>
        <v>11818.0460714286</v>
      </c>
      <c r="O3280" s="9" t="n">
        <f aca="false">IF(Tabla2[[#This Row],[Costos (En RD$/Tarea)]]=0,0,Tabla2[[#This Row],[Beneficio Neto  (En RD$/Tarea)]]/Tabla2[[#This Row],[Costos (En RD$/Tarea)]])</f>
        <v>2.01736140662162</v>
      </c>
      <c r="P3280" s="7" t="n">
        <f aca="false">Tabla2[[#This Row],[Rentabilidad (%)]]/12</f>
        <v>0.168113450551802</v>
      </c>
    </row>
    <row r="3281" customFormat="false" ht="14.25" hidden="false" customHeight="false" outlineLevel="0" collapsed="false">
      <c r="A3281" s="1" t="n">
        <v>44835</v>
      </c>
      <c r="B3281" s="2" t="s">
        <v>22</v>
      </c>
      <c r="C3281" s="3" t="n">
        <v>5906</v>
      </c>
      <c r="D3281" s="8" t="s">
        <v>17</v>
      </c>
      <c r="E3281" s="3" t="n">
        <f aca="false">IF(Tabla2[[#This Row],[Frecuencia]]="Annual", Tabla2[[#This Row],[Cosecha/Tarea]]/12,Tabla2[[#This Row],[Cosecha/Tarea]])</f>
        <v>5906</v>
      </c>
      <c r="F3281" s="3" t="n">
        <v>77939</v>
      </c>
      <c r="G3281" s="2" t="s">
        <v>18</v>
      </c>
      <c r="H3281" s="2" t="n">
        <f aca="false">F3281/Tabla2[[#This Row],[Cosecha Mensual]]</f>
        <v>13.1965797494074</v>
      </c>
      <c r="I3281" s="2" t="n">
        <f aca="false">H3281*_xlfn.XLOOKUP(Tabla2[[#This Row],[Unidad de producción]],Tabla3[Medida],Tabla3[Equivalencia en Kg],"ELVIS",0)</f>
        <v>598.596857433119</v>
      </c>
      <c r="J3281" s="2" t="n">
        <v>2263.59722222222</v>
      </c>
      <c r="K3281" s="2" t="s">
        <v>18</v>
      </c>
      <c r="L3281" s="2" t="n">
        <f aca="false">J3281/_xlfn.XLOOKUP(Tabla2[[#This Row],[Unidad de precio]],Tabla3[Medida],Tabla3[Equivalencia en Kg],"ELVIS",0)</f>
        <v>49.9029369978444</v>
      </c>
      <c r="M3281" s="2" t="n">
        <v>12106.08</v>
      </c>
      <c r="N3281" s="3" t="n">
        <f aca="false">(Tabla2[[#This Row],[Productividad (kg/TAS)]]*Tabla2[[#This Row],[Precio por kg]]-Tabla2[[#This Row],[Costos (En RD$/Tarea)]])</f>
        <v>17765.6612635926</v>
      </c>
      <c r="O3281" s="9" t="n">
        <f aca="false">IF(Tabla2[[#This Row],[Costos (En RD$/Tarea)]]=0,0,Tabla2[[#This Row],[Beneficio Neto  (En RD$/Tarea)]]/Tabla2[[#This Row],[Costos (En RD$/Tarea)]])</f>
        <v>1.46749908009798</v>
      </c>
      <c r="P3281" s="7" t="n">
        <f aca="false">Tabla2[[#This Row],[Rentabilidad (%)]]/12</f>
        <v>0.122291590008165</v>
      </c>
    </row>
    <row r="3282" customFormat="false" ht="14.25" hidden="false" customHeight="false" outlineLevel="0" collapsed="false">
      <c r="A3282" s="1" t="n">
        <v>44835</v>
      </c>
      <c r="B3282" s="2" t="s">
        <v>23</v>
      </c>
      <c r="C3282" s="3" t="n">
        <v>4237.75</v>
      </c>
      <c r="D3282" s="8" t="s">
        <v>17</v>
      </c>
      <c r="E3282" s="3" t="n">
        <f aca="false">IF(Tabla2[[#This Row],[Frecuencia]]="Annual", Tabla2[[#This Row],[Cosecha/Tarea]]/12,Tabla2[[#This Row],[Cosecha/Tarea]])</f>
        <v>4237.75</v>
      </c>
      <c r="F3282" s="3" t="n">
        <v>169510</v>
      </c>
      <c r="G3282" s="2" t="s">
        <v>18</v>
      </c>
      <c r="H3282" s="2" t="n">
        <f aca="false">F3282/Tabla2[[#This Row],[Cosecha Mensual]]</f>
        <v>40</v>
      </c>
      <c r="I3282" s="2" t="n">
        <f aca="false">H3282*_xlfn.XLOOKUP(Tabla2[[#This Row],[Unidad de producción]],Tabla3[Medida],Tabla3[Equivalencia en Kg],"ELVIS",0)</f>
        <v>1814.4</v>
      </c>
      <c r="J3282" s="2" t="n">
        <v>1375</v>
      </c>
      <c r="K3282" s="2" t="s">
        <v>18</v>
      </c>
      <c r="L3282" s="2" t="n">
        <f aca="false">J3282/_xlfn.XLOOKUP(Tabla2[[#This Row],[Unidad de precio]],Tabla3[Medida],Tabla3[Equivalencia en Kg],"ELVIS",0)</f>
        <v>30.3130511463845</v>
      </c>
      <c r="M3282" s="2" t="n">
        <v>30322</v>
      </c>
      <c r="N3282" s="3" t="n">
        <f aca="false">(Tabla2[[#This Row],[Productividad (kg/TAS)]]*Tabla2[[#This Row],[Precio por kg]]-Tabla2[[#This Row],[Costos (En RD$/Tarea)]])</f>
        <v>24678</v>
      </c>
      <c r="O3282" s="9" t="n">
        <f aca="false">IF(Tabla2[[#This Row],[Costos (En RD$/Tarea)]]=0,0,Tabla2[[#This Row],[Beneficio Neto  (En RD$/Tarea)]]/Tabla2[[#This Row],[Costos (En RD$/Tarea)]])</f>
        <v>0.813864520809973</v>
      </c>
      <c r="P3282" s="7" t="n">
        <f aca="false">Tabla2[[#This Row],[Rentabilidad (%)]]/12</f>
        <v>0.0678220434008311</v>
      </c>
    </row>
    <row r="3283" customFormat="false" ht="14.25" hidden="false" customHeight="false" outlineLevel="0" collapsed="false">
      <c r="A3283" s="1" t="n">
        <v>44835</v>
      </c>
      <c r="B3283" s="2" t="s">
        <v>24</v>
      </c>
      <c r="C3283" s="3" t="n">
        <v>5930</v>
      </c>
      <c r="D3283" s="8" t="s">
        <v>17</v>
      </c>
      <c r="E3283" s="3" t="n">
        <f aca="false">IF(Tabla2[[#This Row],[Frecuencia]]="Annual", Tabla2[[#This Row],[Cosecha/Tarea]]/12,Tabla2[[#This Row],[Cosecha/Tarea]])</f>
        <v>5930</v>
      </c>
      <c r="F3283" s="3" t="n">
        <v>82026</v>
      </c>
      <c r="G3283" s="2" t="s">
        <v>18</v>
      </c>
      <c r="H3283" s="2" t="n">
        <f aca="false">F3283/Tabla2[[#This Row],[Cosecha Mensual]]</f>
        <v>13.8323777403035</v>
      </c>
      <c r="I3283" s="2" t="n">
        <f aca="false">H3283*_xlfn.XLOOKUP(Tabla2[[#This Row],[Unidad de producción]],Tabla3[Medida],Tabla3[Equivalencia en Kg],"ELVIS",0)</f>
        <v>627.436654300169</v>
      </c>
      <c r="J3283" s="2" t="n">
        <v>3520.69047619048</v>
      </c>
      <c r="K3283" s="2" t="s">
        <v>18</v>
      </c>
      <c r="L3283" s="2" t="n">
        <f aca="false">J3283/_xlfn.XLOOKUP(Tabla2[[#This Row],[Unidad de precio]],Tabla3[Medida],Tabla3[Equivalencia en Kg],"ELVIS",0)</f>
        <v>77.6166330729824</v>
      </c>
      <c r="M3283" s="2" t="n">
        <v>16342.43</v>
      </c>
      <c r="N3283" s="3" t="n">
        <f aca="false">(Tabla2[[#This Row],[Productividad (kg/TAS)]]*Tabla2[[#This Row],[Precio por kg]]-Tabla2[[#This Row],[Costos (En RD$/Tarea)]])</f>
        <v>32357.0905733559</v>
      </c>
      <c r="O3283" s="9" t="n">
        <f aca="false">IF(Tabla2[[#This Row],[Costos (En RD$/Tarea)]]=0,0,Tabla2[[#This Row],[Beneficio Neto  (En RD$/Tarea)]]/Tabla2[[#This Row],[Costos (En RD$/Tarea)]])</f>
        <v>1.97994365423966</v>
      </c>
      <c r="P3283" s="7" t="n">
        <f aca="false">Tabla2[[#This Row],[Rentabilidad (%)]]/12</f>
        <v>0.164995304519972</v>
      </c>
    </row>
    <row r="3284" customFormat="false" ht="14.25" hidden="false" customHeight="false" outlineLevel="0" collapsed="false">
      <c r="A3284" s="1" t="n">
        <v>44835</v>
      </c>
      <c r="B3284" s="2" t="s">
        <v>25</v>
      </c>
      <c r="C3284" s="3" t="n">
        <v>20752</v>
      </c>
      <c r="D3284" s="8" t="s">
        <v>17</v>
      </c>
      <c r="E3284" s="3" t="n">
        <f aca="false">IF(Tabla2[[#This Row],[Frecuencia]]="Annual", Tabla2[[#This Row],[Cosecha/Tarea]]/12,Tabla2[[#This Row],[Cosecha/Tarea]])</f>
        <v>20752</v>
      </c>
      <c r="F3284" s="3" t="n">
        <v>259307</v>
      </c>
      <c r="G3284" s="2" t="s">
        <v>18</v>
      </c>
      <c r="H3284" s="2" t="n">
        <f aca="false">F3284/Tabla2[[#This Row],[Cosecha Mensual]]</f>
        <v>12.4955185042406</v>
      </c>
      <c r="I3284" s="2" t="n">
        <f aca="false">H3284*_xlfn.XLOOKUP(Tabla2[[#This Row],[Unidad de producción]],Tabla3[Medida],Tabla3[Equivalencia en Kg],"ELVIS",0)</f>
        <v>566.796719352352</v>
      </c>
      <c r="J3284" s="2" t="n">
        <v>1476.8125</v>
      </c>
      <c r="K3284" s="2" t="s">
        <v>18</v>
      </c>
      <c r="L3284" s="2" t="n">
        <f aca="false">J3284/_xlfn.XLOOKUP(Tabla2[[#This Row],[Unidad de precio]],Tabla3[Medida],Tabla3[Equivalencia en Kg],"ELVIS",0)</f>
        <v>32.5575947971781</v>
      </c>
      <c r="M3284" s="2" t="n">
        <v>6557.61</v>
      </c>
      <c r="N3284" s="3" t="n">
        <f aca="false">(Tabla2[[#This Row],[Productividad (kg/TAS)]]*Tabla2[[#This Row],[Precio por kg]]-Tabla2[[#This Row],[Costos (En RD$/Tarea)]])</f>
        <v>11895.9279210438</v>
      </c>
      <c r="O3284" s="9" t="n">
        <f aca="false">IF(Tabla2[[#This Row],[Costos (En RD$/Tarea)]]=0,0,Tabla2[[#This Row],[Beneficio Neto  (En RD$/Tarea)]]/Tabla2[[#This Row],[Costos (En RD$/Tarea)]])</f>
        <v>1.81406456331556</v>
      </c>
      <c r="P3284" s="7" t="n">
        <f aca="false">Tabla2[[#This Row],[Rentabilidad (%)]]/12</f>
        <v>0.151172046942963</v>
      </c>
    </row>
    <row r="3285" customFormat="false" ht="14.25" hidden="false" customHeight="false" outlineLevel="0" collapsed="false">
      <c r="A3285" s="1" t="n">
        <v>44835</v>
      </c>
      <c r="B3285" s="2" t="s">
        <v>26</v>
      </c>
      <c r="C3285" s="3" t="n">
        <v>13095</v>
      </c>
      <c r="D3285" s="8" t="s">
        <v>17</v>
      </c>
      <c r="E3285" s="3" t="n">
        <f aca="false">IF(Tabla2[[#This Row],[Frecuencia]]="Annual", Tabla2[[#This Row],[Cosecha/Tarea]]/12,Tabla2[[#This Row],[Cosecha/Tarea]])</f>
        <v>13095</v>
      </c>
      <c r="F3285" s="3" t="n">
        <v>135126</v>
      </c>
      <c r="G3285" s="2" t="s">
        <v>18</v>
      </c>
      <c r="H3285" s="2" t="n">
        <f aca="false">F3285/Tabla2[[#This Row],[Cosecha Mensual]]</f>
        <v>10.3189003436426</v>
      </c>
      <c r="I3285" s="2" t="n">
        <f aca="false">H3285*_xlfn.XLOOKUP(Tabla2[[#This Row],[Unidad de producción]],Tabla3[Medida],Tabla3[Equivalencia en Kg],"ELVIS",0)</f>
        <v>468.065319587629</v>
      </c>
      <c r="J3285" s="2" t="n">
        <v>1223.09114583333</v>
      </c>
      <c r="K3285" s="2" t="s">
        <v>18</v>
      </c>
      <c r="L3285" s="2" t="n">
        <f aca="false">J3285/_xlfn.XLOOKUP(Tabla2[[#This Row],[Unidad de precio]],Tabla3[Medida],Tabla3[Equivalencia en Kg],"ELVIS",0)</f>
        <v>26.9640905166078</v>
      </c>
      <c r="M3285" s="2" t="n">
        <v>2133.92</v>
      </c>
      <c r="N3285" s="3" t="n">
        <f aca="false">(Tabla2[[#This Row],[Productividad (kg/TAS)]]*Tabla2[[#This Row],[Precio por kg]]-Tabla2[[#This Row],[Costos (En RD$/Tarea)]])</f>
        <v>10487.0356450458</v>
      </c>
      <c r="O3285" s="9" t="n">
        <f aca="false">IF(Tabla2[[#This Row],[Costos (En RD$/Tarea)]]=0,0,Tabla2[[#This Row],[Beneficio Neto  (En RD$/Tarea)]]/Tabla2[[#This Row],[Costos (En RD$/Tarea)]])</f>
        <v>4.91444648583161</v>
      </c>
      <c r="P3285" s="7" t="n">
        <f aca="false">Tabla2[[#This Row],[Rentabilidad (%)]]/12</f>
        <v>0.409537207152634</v>
      </c>
    </row>
    <row r="3286" customFormat="false" ht="14.25" hidden="false" customHeight="false" outlineLevel="0" collapsed="false">
      <c r="A3286" s="1" t="n">
        <v>44835</v>
      </c>
      <c r="B3286" s="2" t="s">
        <v>27</v>
      </c>
      <c r="C3286" s="3" t="n">
        <v>2284</v>
      </c>
      <c r="D3286" s="8" t="s">
        <v>17</v>
      </c>
      <c r="E3286" s="3" t="n">
        <f aca="false">IF(Tabla2[[#This Row],[Frecuencia]]="Annual", Tabla2[[#This Row],[Cosecha/Tarea]]/12,Tabla2[[#This Row],[Cosecha/Tarea]])</f>
        <v>2284</v>
      </c>
      <c r="F3286" s="3" t="n">
        <v>28849</v>
      </c>
      <c r="G3286" s="2" t="s">
        <v>18</v>
      </c>
      <c r="H3286" s="2" t="n">
        <f aca="false">F3286/Tabla2[[#This Row],[Cosecha Mensual]]</f>
        <v>12.6309106830123</v>
      </c>
      <c r="I3286" s="2" t="n">
        <f aca="false">H3286*_xlfn.XLOOKUP(Tabla2[[#This Row],[Unidad de producción]],Tabla3[Medida],Tabla3[Equivalencia en Kg],"ELVIS",0)</f>
        <v>572.938108581436</v>
      </c>
      <c r="J3286" s="2" t="n">
        <v>1197.35416666667</v>
      </c>
      <c r="K3286" s="2" t="s">
        <v>18</v>
      </c>
      <c r="L3286" s="2" t="n">
        <f aca="false">J3286/_xlfn.XLOOKUP(Tabla2[[#This Row],[Unidad de precio]],Tabla3[Medida],Tabla3[Equivalencia en Kg],"ELVIS",0)</f>
        <v>26.3966967960024</v>
      </c>
      <c r="M3286" s="2" t="n">
        <v>11717.05</v>
      </c>
      <c r="N3286" s="3" t="n">
        <f aca="false">(Tabla2[[#This Row],[Productividad (kg/TAS)]]*Tabla2[[#This Row],[Precio por kg]]-Tabla2[[#This Row],[Costos (En RD$/Tarea)]])</f>
        <v>3406.62353509928</v>
      </c>
      <c r="O3286" s="9" t="n">
        <f aca="false">IF(Tabla2[[#This Row],[Costos (En RD$/Tarea)]]=0,0,Tabla2[[#This Row],[Beneficio Neto  (En RD$/Tarea)]]/Tabla2[[#This Row],[Costos (En RD$/Tarea)]])</f>
        <v>0.290740718448695</v>
      </c>
      <c r="P3286" s="7" t="n">
        <f aca="false">Tabla2[[#This Row],[Rentabilidad (%)]]/12</f>
        <v>0.0242283932040579</v>
      </c>
    </row>
    <row r="3287" customFormat="false" ht="14.25" hidden="false" customHeight="false" outlineLevel="0" collapsed="false">
      <c r="A3287" s="1" t="n">
        <v>44835</v>
      </c>
      <c r="B3287" s="2" t="s">
        <v>28</v>
      </c>
      <c r="C3287" s="3" t="n">
        <v>28199.6</v>
      </c>
      <c r="D3287" s="8" t="s">
        <v>17</v>
      </c>
      <c r="E3287" s="3" t="n">
        <f aca="false">IF(Tabla2[[#This Row],[Frecuencia]]="Annual", Tabla2[[#This Row],[Cosecha/Tarea]]/12,Tabla2[[#This Row],[Cosecha/Tarea]])</f>
        <v>28199.6</v>
      </c>
      <c r="F3287" s="3" t="n">
        <v>1015185.6</v>
      </c>
      <c r="G3287" s="2" t="s">
        <v>18</v>
      </c>
      <c r="H3287" s="2" t="n">
        <f aca="false">F3287/Tabla2[[#This Row],[Cosecha Mensual]]</f>
        <v>36</v>
      </c>
      <c r="I3287" s="2" t="n">
        <f aca="false">H3287*_xlfn.XLOOKUP(Tabla2[[#This Row],[Unidad de producción]],Tabla3[Medida],Tabla3[Equivalencia en Kg],"ELVIS",0)</f>
        <v>1632.96</v>
      </c>
      <c r="J3287" s="2" t="n">
        <v>5853.82333333333</v>
      </c>
      <c r="K3287" s="2" t="s">
        <v>29</v>
      </c>
      <c r="L3287" s="2" t="n">
        <f aca="false">J3287/_xlfn.XLOOKUP(Tabla2[[#This Row],[Unidad de precio]],Tabla3[Medida],Tabla3[Equivalencia en Kg],"ELVIS",0)</f>
        <v>10.4097580348781</v>
      </c>
      <c r="M3287" s="2" t="n">
        <v>8552.64</v>
      </c>
      <c r="N3287" s="3" t="n">
        <f aca="false">(Tabla2[[#This Row],[Productividad (kg/TAS)]]*Tabla2[[#This Row],[Precio por kg]]-Tabla2[[#This Row],[Costos (En RD$/Tarea)]])</f>
        <v>8446.07848063448</v>
      </c>
      <c r="O3287" s="9" t="n">
        <f aca="false">IF(Tabla2[[#This Row],[Costos (En RD$/Tarea)]]=0,0,Tabla2[[#This Row],[Beneficio Neto  (En RD$/Tarea)]]/Tabla2[[#This Row],[Costos (En RD$/Tarea)]])</f>
        <v>0.98754051154199</v>
      </c>
      <c r="P3287" s="7" t="n">
        <f aca="false">Tabla2[[#This Row],[Rentabilidad (%)]]/12</f>
        <v>0.0822950426284991</v>
      </c>
    </row>
    <row r="3288" customFormat="false" ht="14.25" hidden="false" customHeight="false" outlineLevel="0" collapsed="false">
      <c r="A3288" s="1" t="n">
        <v>44835</v>
      </c>
      <c r="B3288" s="2" t="s">
        <v>30</v>
      </c>
      <c r="C3288" s="3" t="n">
        <v>361168</v>
      </c>
      <c r="D3288" s="3" t="s">
        <v>31</v>
      </c>
      <c r="E3288" s="3" t="n">
        <f aca="false">IF(Tabla2[[#This Row],[Frecuencia]]="Annual", Tabla2[[#This Row],[Cosecha/Tarea]]/12,Tabla2[[#This Row],[Cosecha/Tarea]])</f>
        <v>30097.3333333333</v>
      </c>
      <c r="F3288" s="3" t="n">
        <v>2383708.8</v>
      </c>
      <c r="G3288" s="2" t="s">
        <v>18</v>
      </c>
      <c r="H3288" s="2" t="n">
        <f aca="false">F3288/Tabla2[[#This Row],[Cosecha Mensual]]</f>
        <v>79.2</v>
      </c>
      <c r="I3288" s="2" t="n">
        <f aca="false">H3288*_xlfn.XLOOKUP(Tabla2[[#This Row],[Unidad de producción]],Tabla3[Medida],Tabla3[Equivalencia en Kg],"ELVIS",0)</f>
        <v>3592.512</v>
      </c>
      <c r="J3288" s="2" t="n">
        <v>246.946875</v>
      </c>
      <c r="K3288" s="2" t="s">
        <v>32</v>
      </c>
      <c r="L3288" s="2" t="n">
        <f aca="false">J3288/_xlfn.XLOOKUP(Tabla2[[#This Row],[Unidad de precio]],Tabla3[Medida],Tabla3[Equivalencia en Kg],"ELVIS",0)</f>
        <v>9.07559261300992</v>
      </c>
      <c r="M3288" s="3" t="n">
        <v>47396.15</v>
      </c>
      <c r="N3288" s="3" t="n">
        <f aca="false">(Tabla2[[#This Row],[Productividad (kg/TAS)]]*Tabla2[[#This Row],[Precio por kg]]-Tabla2[[#This Row],[Costos (En RD$/Tarea)]])</f>
        <v>-14791.9746306505</v>
      </c>
      <c r="O3288" s="9" t="n">
        <f aca="false">IF(Tabla2[[#This Row],[Costos (En RD$/Tarea)]]=0,0,Tabla2[[#This Row],[Beneficio Neto  (En RD$/Tarea)]]/Tabla2[[#This Row],[Costos (En RD$/Tarea)]])</f>
        <v>-0.31209232460127</v>
      </c>
      <c r="P3288" s="7" t="n">
        <f aca="false">Tabla2[[#This Row],[Rentabilidad (%)]]/12</f>
        <v>-0.0260076937167725</v>
      </c>
    </row>
    <row r="3289" customFormat="false" ht="14.25" hidden="false" customHeight="false" outlineLevel="0" collapsed="false">
      <c r="A3289" s="1" t="n">
        <v>44835</v>
      </c>
      <c r="B3289" s="2" t="s">
        <v>33</v>
      </c>
      <c r="C3289" s="3" t="n">
        <v>585459</v>
      </c>
      <c r="D3289" s="3" t="s">
        <v>31</v>
      </c>
      <c r="E3289" s="11" t="n">
        <f aca="false">IF(Tabla2[[#This Row],[Frecuencia]]="Annual", Tabla2[[#This Row],[Cosecha/Tarea]]/12,Tabla2[[#This Row],[Cosecha/Tarea]])</f>
        <v>48788.25</v>
      </c>
      <c r="F3289" s="3" t="n">
        <v>1844195.85</v>
      </c>
      <c r="G3289" s="2" t="s">
        <v>18</v>
      </c>
      <c r="H3289" s="2" t="n">
        <f aca="false">F3289/Tabla2[[#This Row],[Cosecha Mensual]]</f>
        <v>37.8</v>
      </c>
      <c r="I3289" s="2" t="n">
        <f aca="false">H3289*_xlfn.XLOOKUP(Tabla2[[#This Row],[Unidad de producción]],Tabla3[Medida],Tabla3[Equivalencia en Kg],"ELVIS",0)</f>
        <v>1714.608</v>
      </c>
      <c r="J3289" s="2" t="n">
        <v>10066.7109375</v>
      </c>
      <c r="K3289" s="2" t="s">
        <v>34</v>
      </c>
      <c r="L3289" s="2" t="n">
        <f aca="false">J3289/_xlfn.XLOOKUP(Tabla2[[#This Row],[Unidad de precio]],Tabla3[Medida],Tabla3[Equivalencia en Kg],"ELVIS",0)</f>
        <v>24.664243384785</v>
      </c>
      <c r="M3289" s="3" t="n">
        <v>25908.33</v>
      </c>
      <c r="N3289" s="3" t="n">
        <f aca="false">(Tabla2[[#This Row],[Productividad (kg/TAS)]]*Tabla2[[#This Row],[Precio por kg]]-Tabla2[[#This Row],[Costos (En RD$/Tarea)]])</f>
        <v>16381.1790214995</v>
      </c>
      <c r="O3289" s="9" t="n">
        <f aca="false">IF(Tabla2[[#This Row],[Costos (En RD$/Tarea)]]=0,0,Tabla2[[#This Row],[Beneficio Neto  (En RD$/Tarea)]]/Tabla2[[#This Row],[Costos (En RD$/Tarea)]])</f>
        <v>0.632274601315463</v>
      </c>
      <c r="P3289" s="7" t="n">
        <f aca="false">Tabla2[[#This Row],[Rentabilidad (%)]]/12</f>
        <v>0.0526895501096219</v>
      </c>
    </row>
    <row r="3290" customFormat="false" ht="14.25" hidden="false" customHeight="false" outlineLevel="0" collapsed="false">
      <c r="A3290" s="1" t="n">
        <v>44866</v>
      </c>
      <c r="B3290" s="2" t="s">
        <v>16</v>
      </c>
      <c r="C3290" s="3" t="n">
        <v>334822</v>
      </c>
      <c r="D3290" s="8" t="s">
        <v>17</v>
      </c>
      <c r="E3290" s="3" t="n">
        <f aca="false">IF(Tabla2[[#This Row],[Frecuencia]]="Annual", Tabla2[[#This Row],[Cosecha/Tarea]]/12,Tabla2[[#This Row],[Cosecha/Tarea]])</f>
        <v>334822</v>
      </c>
      <c r="F3290" s="3" t="n">
        <v>1055854</v>
      </c>
      <c r="G3290" s="2" t="s">
        <v>18</v>
      </c>
      <c r="H3290" s="2" t="n">
        <f aca="false">F3290/Tabla2[[#This Row],[Cosecha Mensual]]</f>
        <v>3.15347856472992</v>
      </c>
      <c r="I3290" s="2" t="n">
        <f aca="false">H3290*_xlfn.XLOOKUP(Tabla2[[#This Row],[Unidad de producción]],Tabla3[Medida],Tabla3[Equivalencia en Kg],"ELVIS",0)</f>
        <v>143.041787696149</v>
      </c>
      <c r="J3290" s="2" t="n">
        <v>2629.35327282728</v>
      </c>
      <c r="K3290" s="2" t="s">
        <v>19</v>
      </c>
      <c r="L3290" s="2" t="n">
        <f aca="false">J3290/_xlfn.XLOOKUP(Tabla2[[#This Row],[Unidad de precio]],Tabla3[Medida],Tabla3[Equivalencia en Kg],"ELVIS",0)</f>
        <v>23.9032115711571</v>
      </c>
      <c r="M3290" s="2" t="n">
        <v>10006.7786059906</v>
      </c>
      <c r="N3290" s="3" t="n">
        <f aca="false">(Tabla2[[#This Row],[Productividad (kg/TAS)]]*Tabla2[[#This Row],[Precio por kg]]-Tabla2[[#This Row],[Costos (En RD$/Tarea)]])</f>
        <v>-6587.62049117302</v>
      </c>
      <c r="O3290" s="9" t="n">
        <f aca="false">IF(Tabla2[[#This Row],[Costos (En RD$/Tarea)]]=0,0,Tabla2[[#This Row],[Beneficio Neto  (En RD$/Tarea)]]/Tabla2[[#This Row],[Costos (En RD$/Tarea)]])</f>
        <v>-0.658315802772863</v>
      </c>
      <c r="P3290" s="7" t="n">
        <f aca="false">Tabla2[[#This Row],[Rentabilidad (%)]]/12</f>
        <v>-0.0548596502310719</v>
      </c>
    </row>
    <row r="3291" customFormat="false" ht="14.25" hidden="false" customHeight="false" outlineLevel="0" collapsed="false">
      <c r="A3291" s="1" t="n">
        <v>44866</v>
      </c>
      <c r="B3291" s="2" t="s">
        <v>20</v>
      </c>
      <c r="C3291" s="3" t="n">
        <v>45644</v>
      </c>
      <c r="D3291" s="8" t="s">
        <v>17</v>
      </c>
      <c r="E3291" s="3" t="n">
        <f aca="false">IF(Tabla2[[#This Row],[Frecuencia]]="Annual", Tabla2[[#This Row],[Cosecha/Tarea]]/12,Tabla2[[#This Row],[Cosecha/Tarea]])</f>
        <v>45644</v>
      </c>
      <c r="F3291" s="3" t="n">
        <v>121413.04</v>
      </c>
      <c r="G3291" s="2" t="s">
        <v>18</v>
      </c>
      <c r="H3291" s="2" t="n">
        <f aca="false">F3291/Tabla2[[#This Row],[Cosecha Mensual]]</f>
        <v>2.66</v>
      </c>
      <c r="I3291" s="2" t="n">
        <f aca="false">H3291*_xlfn.XLOOKUP(Tabla2[[#This Row],[Unidad de producción]],Tabla3[Medida],Tabla3[Equivalencia en Kg],"ELVIS",0)</f>
        <v>120.6576</v>
      </c>
      <c r="J3291" s="2" t="n">
        <v>1269.41795833333</v>
      </c>
      <c r="K3291" s="2" t="s">
        <v>18</v>
      </c>
      <c r="L3291" s="2" t="n">
        <f aca="false">J3291/_xlfn.XLOOKUP(Tabla2[[#This Row],[Unidad de precio]],Tabla3[Medida],Tabla3[Equivalencia en Kg],"ELVIS",0)</f>
        <v>27.9854047251616</v>
      </c>
      <c r="M3291" s="2" t="n">
        <v>4130.097717915</v>
      </c>
      <c r="N3291" s="3" t="n">
        <f aca="false">(Tabla2[[#This Row],[Productividad (kg/TAS)]]*Tabla2[[#This Row],[Precio por kg]]-Tabla2[[#This Row],[Costos (En RD$/Tarea)]])</f>
        <v>-753.445948748343</v>
      </c>
      <c r="O3291" s="9" t="n">
        <f aca="false">IF(Tabla2[[#This Row],[Costos (En RD$/Tarea)]]=0,0,Tabla2[[#This Row],[Beneficio Neto  (En RD$/Tarea)]]/Tabla2[[#This Row],[Costos (En RD$/Tarea)]])</f>
        <v>-0.182428116768314</v>
      </c>
      <c r="P3291" s="7" t="n">
        <f aca="false">Tabla2[[#This Row],[Rentabilidad (%)]]/12</f>
        <v>-0.0152023430640261</v>
      </c>
    </row>
    <row r="3292" customFormat="false" ht="14.25" hidden="false" customHeight="false" outlineLevel="0" collapsed="false">
      <c r="A3292" s="1" t="n">
        <v>44866</v>
      </c>
      <c r="B3292" s="2" t="s">
        <v>21</v>
      </c>
      <c r="C3292" s="3" t="n">
        <v>9023</v>
      </c>
      <c r="D3292" s="8" t="s">
        <v>17</v>
      </c>
      <c r="E3292" s="3" t="n">
        <f aca="false">IF(Tabla2[[#This Row],[Frecuencia]]="Annual", Tabla2[[#This Row],[Cosecha/Tarea]]/12,Tabla2[[#This Row],[Cosecha/Tarea]])</f>
        <v>9023</v>
      </c>
      <c r="F3292" s="3" t="n">
        <v>117299</v>
      </c>
      <c r="G3292" s="2" t="s">
        <v>18</v>
      </c>
      <c r="H3292" s="2" t="n">
        <f aca="false">F3292/Tabla2[[#This Row],[Cosecha Mensual]]</f>
        <v>13</v>
      </c>
      <c r="I3292" s="2" t="n">
        <f aca="false">H3292*_xlfn.XLOOKUP(Tabla2[[#This Row],[Unidad de producción]],Tabla3[Medida],Tabla3[Equivalencia en Kg],"ELVIS",0)</f>
        <v>589.68</v>
      </c>
      <c r="J3292" s="2" t="n">
        <v>1358.92142857143</v>
      </c>
      <c r="K3292" s="2" t="s">
        <v>18</v>
      </c>
      <c r="L3292" s="2" t="n">
        <f aca="false">J3292/_xlfn.XLOOKUP(Tabla2[[#This Row],[Unidad de precio]],Tabla3[Medida],Tabla3[Equivalencia en Kg],"ELVIS",0)</f>
        <v>29.9585852859663</v>
      </c>
      <c r="M3292" s="2" t="n">
        <v>5858.17</v>
      </c>
      <c r="N3292" s="3" t="n">
        <f aca="false">(Tabla2[[#This Row],[Productividad (kg/TAS)]]*Tabla2[[#This Row],[Precio por kg]]-Tabla2[[#This Row],[Costos (En RD$/Tarea)]])</f>
        <v>11807.8085714286</v>
      </c>
      <c r="O3292" s="9" t="n">
        <f aca="false">IF(Tabla2[[#This Row],[Costos (En RD$/Tarea)]]=0,0,Tabla2[[#This Row],[Beneficio Neto  (En RD$/Tarea)]]/Tabla2[[#This Row],[Costos (En RD$/Tarea)]])</f>
        <v>2.01561384723021</v>
      </c>
      <c r="P3292" s="7" t="n">
        <f aca="false">Tabla2[[#This Row],[Rentabilidad (%)]]/12</f>
        <v>0.167967820602517</v>
      </c>
    </row>
    <row r="3293" customFormat="false" ht="14.25" hidden="false" customHeight="false" outlineLevel="0" collapsed="false">
      <c r="A3293" s="1" t="n">
        <v>44866</v>
      </c>
      <c r="B3293" s="2" t="s">
        <v>22</v>
      </c>
      <c r="C3293" s="3" t="n">
        <v>3995</v>
      </c>
      <c r="D3293" s="8" t="s">
        <v>17</v>
      </c>
      <c r="E3293" s="3" t="n">
        <f aca="false">IF(Tabla2[[#This Row],[Frecuencia]]="Annual", Tabla2[[#This Row],[Cosecha/Tarea]]/12,Tabla2[[#This Row],[Cosecha/Tarea]])</f>
        <v>3995</v>
      </c>
      <c r="F3293" s="3" t="n">
        <v>58047.35</v>
      </c>
      <c r="G3293" s="2" t="s">
        <v>18</v>
      </c>
      <c r="H3293" s="2" t="n">
        <f aca="false">F3293/Tabla2[[#This Row],[Cosecha Mensual]]</f>
        <v>14.53</v>
      </c>
      <c r="I3293" s="2" t="n">
        <f aca="false">H3293*_xlfn.XLOOKUP(Tabla2[[#This Row],[Unidad de producción]],Tabla3[Medida],Tabla3[Equivalencia en Kg],"ELVIS",0)</f>
        <v>659.0808</v>
      </c>
      <c r="J3293" s="2" t="n">
        <v>2068.98095238095</v>
      </c>
      <c r="K3293" s="2" t="s">
        <v>18</v>
      </c>
      <c r="L3293" s="2" t="n">
        <f aca="false">J3293/_xlfn.XLOOKUP(Tabla2[[#This Row],[Unidad de precio]],Tabla3[Medida],Tabla3[Equivalencia en Kg],"ELVIS",0)</f>
        <v>45.6124548584866</v>
      </c>
      <c r="M3293" s="2" t="n">
        <v>12106.08</v>
      </c>
      <c r="N3293" s="3" t="n">
        <f aca="false">(Tabla2[[#This Row],[Productividad (kg/TAS)]]*Tabla2[[#This Row],[Precio por kg]]-Tabla2[[#This Row],[Costos (En RD$/Tarea)]])</f>
        <v>17956.2132380952</v>
      </c>
      <c r="O3293" s="9" t="n">
        <f aca="false">IF(Tabla2[[#This Row],[Costos (En RD$/Tarea)]]=0,0,Tabla2[[#This Row],[Beneficio Neto  (En RD$/Tarea)]]/Tabla2[[#This Row],[Costos (En RD$/Tarea)]])</f>
        <v>1.48323926804508</v>
      </c>
      <c r="P3293" s="7" t="n">
        <f aca="false">Tabla2[[#This Row],[Rentabilidad (%)]]/12</f>
        <v>0.12360327233709</v>
      </c>
    </row>
    <row r="3294" customFormat="false" ht="14.25" hidden="false" customHeight="false" outlineLevel="0" collapsed="false">
      <c r="A3294" s="1" t="n">
        <v>44866</v>
      </c>
      <c r="B3294" s="2" t="s">
        <v>23</v>
      </c>
      <c r="C3294" s="3" t="n">
        <v>4600</v>
      </c>
      <c r="D3294" s="8" t="s">
        <v>17</v>
      </c>
      <c r="E3294" s="3" t="n">
        <f aca="false">IF(Tabla2[[#This Row],[Frecuencia]]="Annual", Tabla2[[#This Row],[Cosecha/Tarea]]/12,Tabla2[[#This Row],[Cosecha/Tarea]])</f>
        <v>4600</v>
      </c>
      <c r="F3294" s="3" t="n">
        <v>161000</v>
      </c>
      <c r="G3294" s="2" t="s">
        <v>18</v>
      </c>
      <c r="H3294" s="2" t="n">
        <f aca="false">F3294/Tabla2[[#This Row],[Cosecha Mensual]]</f>
        <v>35</v>
      </c>
      <c r="I3294" s="2" t="n">
        <f aca="false">H3294*_xlfn.XLOOKUP(Tabla2[[#This Row],[Unidad de producción]],Tabla3[Medida],Tabla3[Equivalencia en Kg],"ELVIS",0)</f>
        <v>1587.6</v>
      </c>
      <c r="J3294" s="2" t="n">
        <v>1647.5</v>
      </c>
      <c r="K3294" s="2" t="s">
        <v>18</v>
      </c>
      <c r="L3294" s="2" t="n">
        <f aca="false">J3294/_xlfn.XLOOKUP(Tabla2[[#This Row],[Unidad de precio]],Tabla3[Medida],Tabla3[Equivalencia en Kg],"ELVIS",0)</f>
        <v>36.3205467372134</v>
      </c>
      <c r="M3294" s="2" t="n">
        <v>30322</v>
      </c>
      <c r="N3294" s="3" t="n">
        <f aca="false">(Tabla2[[#This Row],[Productividad (kg/TAS)]]*Tabla2[[#This Row],[Precio por kg]]-Tabla2[[#This Row],[Costos (En RD$/Tarea)]])</f>
        <v>27340.5</v>
      </c>
      <c r="O3294" s="9" t="n">
        <f aca="false">IF(Tabla2[[#This Row],[Costos (En RD$/Tarea)]]=0,0,Tabla2[[#This Row],[Beneficio Neto  (En RD$/Tarea)]]/Tabla2[[#This Row],[Costos (En RD$/Tarea)]])</f>
        <v>0.901672053294638</v>
      </c>
      <c r="P3294" s="7" t="n">
        <f aca="false">Tabla2[[#This Row],[Rentabilidad (%)]]/12</f>
        <v>0.0751393377745531</v>
      </c>
    </row>
    <row r="3295" customFormat="false" ht="14.25" hidden="false" customHeight="false" outlineLevel="0" collapsed="false">
      <c r="A3295" s="1" t="n">
        <v>44866</v>
      </c>
      <c r="B3295" s="2" t="s">
        <v>24</v>
      </c>
      <c r="C3295" s="3" t="n">
        <v>7991</v>
      </c>
      <c r="D3295" s="8" t="s">
        <v>17</v>
      </c>
      <c r="E3295" s="3" t="n">
        <f aca="false">IF(Tabla2[[#This Row],[Frecuencia]]="Annual", Tabla2[[#This Row],[Cosecha/Tarea]]/12,Tabla2[[#This Row],[Cosecha/Tarea]])</f>
        <v>7991</v>
      </c>
      <c r="F3295" s="3" t="n">
        <v>126417.62</v>
      </c>
      <c r="G3295" s="2" t="s">
        <v>18</v>
      </c>
      <c r="H3295" s="2" t="n">
        <f aca="false">F3295/Tabla2[[#This Row],[Cosecha Mensual]]</f>
        <v>15.82</v>
      </c>
      <c r="I3295" s="2" t="n">
        <f aca="false">H3295*_xlfn.XLOOKUP(Tabla2[[#This Row],[Unidad de producción]],Tabla3[Medida],Tabla3[Equivalencia en Kg],"ELVIS",0)</f>
        <v>717.5952</v>
      </c>
      <c r="J3295" s="2" t="n">
        <v>3638.80952380952</v>
      </c>
      <c r="K3295" s="2" t="s">
        <v>18</v>
      </c>
      <c r="L3295" s="2" t="n">
        <f aca="false">J3295/_xlfn.XLOOKUP(Tabla2[[#This Row],[Unidad de precio]],Tabla3[Medida],Tabla3[Equivalencia en Kg],"ELVIS",0)</f>
        <v>80.2206685143192</v>
      </c>
      <c r="M3295" s="2" t="n">
        <v>16342.43</v>
      </c>
      <c r="N3295" s="3" t="n">
        <f aca="false">(Tabla2[[#This Row],[Productividad (kg/TAS)]]*Tabla2[[#This Row],[Precio por kg]]-Tabla2[[#This Row],[Costos (En RD$/Tarea)]])</f>
        <v>41223.5366666666</v>
      </c>
      <c r="O3295" s="9" t="n">
        <f aca="false">IF(Tabla2[[#This Row],[Costos (En RD$/Tarea)]]=0,0,Tabla2[[#This Row],[Beneficio Neto  (En RD$/Tarea)]]/Tabla2[[#This Row],[Costos (En RD$/Tarea)]])</f>
        <v>2.52248513022033</v>
      </c>
      <c r="P3295" s="7" t="n">
        <f aca="false">Tabla2[[#This Row],[Rentabilidad (%)]]/12</f>
        <v>0.210207094185027</v>
      </c>
    </row>
    <row r="3296" customFormat="false" ht="14.25" hidden="false" customHeight="false" outlineLevel="0" collapsed="false">
      <c r="A3296" s="1" t="n">
        <v>44866</v>
      </c>
      <c r="B3296" s="2" t="s">
        <v>25</v>
      </c>
      <c r="C3296" s="3" t="n">
        <v>24672</v>
      </c>
      <c r="D3296" s="8" t="s">
        <v>17</v>
      </c>
      <c r="E3296" s="3" t="n">
        <f aca="false">IF(Tabla2[[#This Row],[Frecuencia]]="Annual", Tabla2[[#This Row],[Cosecha/Tarea]]/12,Tabla2[[#This Row],[Cosecha/Tarea]])</f>
        <v>24672</v>
      </c>
      <c r="F3296" s="3" t="n">
        <v>308289.432536623</v>
      </c>
      <c r="G3296" s="2" t="s">
        <v>18</v>
      </c>
      <c r="H3296" s="2" t="n">
        <f aca="false">F3296/Tabla2[[#This Row],[Cosecha Mensual]]</f>
        <v>12.4955185042406</v>
      </c>
      <c r="I3296" s="2" t="n">
        <f aca="false">H3296*_xlfn.XLOOKUP(Tabla2[[#This Row],[Unidad de producción]],Tabla3[Medida],Tabla3[Equivalencia en Kg],"ELVIS",0)</f>
        <v>566.796719352352</v>
      </c>
      <c r="J3296" s="2" t="n">
        <v>1464.0125</v>
      </c>
      <c r="K3296" s="2" t="s">
        <v>18</v>
      </c>
      <c r="L3296" s="2" t="n">
        <f aca="false">J3296/_xlfn.XLOOKUP(Tabla2[[#This Row],[Unidad de precio]],Tabla3[Medida],Tabla3[Equivalencia en Kg],"ELVIS",0)</f>
        <v>32.2754078483245</v>
      </c>
      <c r="M3296" s="2" t="n">
        <v>6557.61</v>
      </c>
      <c r="N3296" s="3" t="n">
        <f aca="false">(Tabla2[[#This Row],[Productividad (kg/TAS)]]*Tabla2[[#This Row],[Precio por kg]]-Tabla2[[#This Row],[Costos (En RD$/Tarea)]])</f>
        <v>11735.9852841895</v>
      </c>
      <c r="O3296" s="9" t="n">
        <f aca="false">IF(Tabla2[[#This Row],[Costos (En RD$/Tarea)]]=0,0,Tabla2[[#This Row],[Beneficio Neto  (En RD$/Tarea)]]/Tabla2[[#This Row],[Costos (En RD$/Tarea)]])</f>
        <v>1.78967417766373</v>
      </c>
      <c r="P3296" s="7" t="n">
        <f aca="false">Tabla2[[#This Row],[Rentabilidad (%)]]/12</f>
        <v>0.149139514805311</v>
      </c>
    </row>
    <row r="3297" customFormat="false" ht="14.25" hidden="false" customHeight="false" outlineLevel="0" collapsed="false">
      <c r="A3297" s="1" t="n">
        <v>44866</v>
      </c>
      <c r="B3297" s="2" t="s">
        <v>26</v>
      </c>
      <c r="C3297" s="3" t="n">
        <v>9805</v>
      </c>
      <c r="D3297" s="8" t="s">
        <v>17</v>
      </c>
      <c r="E3297" s="3" t="n">
        <f aca="false">IF(Tabla2[[#This Row],[Frecuencia]]="Annual", Tabla2[[#This Row],[Cosecha/Tarea]]/12,Tabla2[[#This Row],[Cosecha/Tarea]])</f>
        <v>9805</v>
      </c>
      <c r="F3297" s="3" t="n">
        <v>101176.817869416</v>
      </c>
      <c r="G3297" s="2" t="s">
        <v>18</v>
      </c>
      <c r="H3297" s="2" t="n">
        <f aca="false">F3297/Tabla2[[#This Row],[Cosecha Mensual]]</f>
        <v>10.3189003436426</v>
      </c>
      <c r="I3297" s="2" t="n">
        <f aca="false">H3297*_xlfn.XLOOKUP(Tabla2[[#This Row],[Unidad de producción]],Tabla3[Medida],Tabla3[Equivalencia en Kg],"ELVIS",0)</f>
        <v>468.06531958763</v>
      </c>
      <c r="J3297" s="2" t="n">
        <v>1423.21428571429</v>
      </c>
      <c r="K3297" s="2" t="s">
        <v>18</v>
      </c>
      <c r="L3297" s="2" t="n">
        <f aca="false">J3297/_xlfn.XLOOKUP(Tabla2[[#This Row],[Unidad de precio]],Tabla3[Medida],Tabla3[Equivalencia en Kg],"ELVIS",0)</f>
        <v>31.3759763164526</v>
      </c>
      <c r="M3297" s="2" t="n">
        <v>2133.92</v>
      </c>
      <c r="N3297" s="3" t="n">
        <f aca="false">(Tabla2[[#This Row],[Productividad (kg/TAS)]]*Tabla2[[#This Row],[Precio por kg]]-Tabla2[[#This Row],[Costos (En RD$/Tarea)]])</f>
        <v>12552.0863819343</v>
      </c>
      <c r="O3297" s="9" t="n">
        <f aca="false">IF(Tabla2[[#This Row],[Costos (En RD$/Tarea)]]=0,0,Tabla2[[#This Row],[Beneficio Neto  (En RD$/Tarea)]]/Tabla2[[#This Row],[Costos (En RD$/Tarea)]])</f>
        <v>5.88217289398585</v>
      </c>
      <c r="P3297" s="7" t="n">
        <f aca="false">Tabla2[[#This Row],[Rentabilidad (%)]]/12</f>
        <v>0.490181074498821</v>
      </c>
    </row>
    <row r="3298" customFormat="false" ht="14.25" hidden="false" customHeight="false" outlineLevel="0" collapsed="false">
      <c r="A3298" s="1" t="n">
        <v>44866</v>
      </c>
      <c r="B3298" s="2" t="s">
        <v>27</v>
      </c>
      <c r="C3298" s="3" t="n">
        <v>1989</v>
      </c>
      <c r="D3298" s="8" t="s">
        <v>17</v>
      </c>
      <c r="E3298" s="3" t="n">
        <f aca="false">IF(Tabla2[[#This Row],[Frecuencia]]="Annual", Tabla2[[#This Row],[Cosecha/Tarea]]/12,Tabla2[[#This Row],[Cosecha/Tarea]])</f>
        <v>1989</v>
      </c>
      <c r="F3298" s="3" t="n">
        <v>25122.8813485114</v>
      </c>
      <c r="G3298" s="2" t="s">
        <v>18</v>
      </c>
      <c r="H3298" s="2" t="n">
        <f aca="false">F3298/Tabla2[[#This Row],[Cosecha Mensual]]</f>
        <v>12.6309106830123</v>
      </c>
      <c r="I3298" s="2" t="n">
        <f aca="false">H3298*_xlfn.XLOOKUP(Tabla2[[#This Row],[Unidad de producción]],Tabla3[Medida],Tabla3[Equivalencia en Kg],"ELVIS",0)</f>
        <v>572.938108581436</v>
      </c>
      <c r="J3298" s="2" t="n">
        <v>1212.66666666667</v>
      </c>
      <c r="K3298" s="2" t="s">
        <v>18</v>
      </c>
      <c r="L3298" s="2" t="n">
        <f aca="false">J3298/_xlfn.XLOOKUP(Tabla2[[#This Row],[Unidad de precio]],Tabla3[Medida],Tabla3[Equivalencia en Kg],"ELVIS",0)</f>
        <v>26.7342739564963</v>
      </c>
      <c r="M3298" s="2" t="n">
        <v>11717.05</v>
      </c>
      <c r="N3298" s="3" t="n">
        <f aca="false">(Tabla2[[#This Row],[Productividad (kg/TAS)]]*Tabla2[[#This Row],[Precio por kg]]-Tabla2[[#This Row],[Costos (En RD$/Tarea)]])</f>
        <v>3600.03435493292</v>
      </c>
      <c r="O3298" s="9" t="n">
        <f aca="false">IF(Tabla2[[#This Row],[Costos (En RD$/Tarea)]]=0,0,Tabla2[[#This Row],[Beneficio Neto  (En RD$/Tarea)]]/Tabla2[[#This Row],[Costos (En RD$/Tarea)]])</f>
        <v>0.307247502992043</v>
      </c>
      <c r="P3298" s="7" t="n">
        <f aca="false">Tabla2[[#This Row],[Rentabilidad (%)]]/12</f>
        <v>0.0256039585826702</v>
      </c>
    </row>
    <row r="3299" customFormat="false" ht="14.25" hidden="false" customHeight="false" outlineLevel="0" collapsed="false">
      <c r="A3299" s="1" t="n">
        <v>44866</v>
      </c>
      <c r="B3299" s="2" t="s">
        <v>28</v>
      </c>
      <c r="C3299" s="3" t="n">
        <v>48980</v>
      </c>
      <c r="D3299" s="8" t="s">
        <v>17</v>
      </c>
      <c r="E3299" s="3" t="n">
        <f aca="false">IF(Tabla2[[#This Row],[Frecuencia]]="Annual", Tabla2[[#This Row],[Cosecha/Tarea]]/12,Tabla2[[#This Row],[Cosecha/Tarea]])</f>
        <v>48980</v>
      </c>
      <c r="F3299" s="3" t="n">
        <v>1763280</v>
      </c>
      <c r="G3299" s="2" t="s">
        <v>18</v>
      </c>
      <c r="H3299" s="2" t="n">
        <f aca="false">F3299/Tabla2[[#This Row],[Cosecha Mensual]]</f>
        <v>36</v>
      </c>
      <c r="I3299" s="2" t="n">
        <f aca="false">H3299*_xlfn.XLOOKUP(Tabla2[[#This Row],[Unidad de producción]],Tabla3[Medida],Tabla3[Equivalencia en Kg],"ELVIS",0)</f>
        <v>1632.96</v>
      </c>
      <c r="J3299" s="2" t="n">
        <v>7423.22555555556</v>
      </c>
      <c r="K3299" s="2" t="s">
        <v>29</v>
      </c>
      <c r="L3299" s="2" t="n">
        <f aca="false">J3299/_xlfn.XLOOKUP(Tabla2[[#This Row],[Unidad de precio]],Tabla3[Medida],Tabla3[Equivalencia en Kg],"ELVIS",0)</f>
        <v>13.2006002695088</v>
      </c>
      <c r="M3299" s="2" t="n">
        <v>8552.64</v>
      </c>
      <c r="N3299" s="3" t="n">
        <f aca="false">(Tabla2[[#This Row],[Productividad (kg/TAS)]]*Tabla2[[#This Row],[Precio por kg]]-Tabla2[[#This Row],[Costos (En RD$/Tarea)]])</f>
        <v>13003.412216097</v>
      </c>
      <c r="O3299" s="9" t="n">
        <f aca="false">IF(Tabla2[[#This Row],[Costos (En RD$/Tarea)]]=0,0,Tabla2[[#This Row],[Beneficio Neto  (En RD$/Tarea)]]/Tabla2[[#This Row],[Costos (En RD$/Tarea)]])</f>
        <v>1.52039746979845</v>
      </c>
      <c r="P3299" s="7" t="n">
        <f aca="false">Tabla2[[#This Row],[Rentabilidad (%)]]/12</f>
        <v>0.126699789149871</v>
      </c>
    </row>
    <row r="3300" customFormat="false" ht="14.25" hidden="false" customHeight="false" outlineLevel="0" collapsed="false">
      <c r="A3300" s="1" t="n">
        <v>44866</v>
      </c>
      <c r="B3300" s="2" t="s">
        <v>30</v>
      </c>
      <c r="C3300" s="3" t="n">
        <v>523319</v>
      </c>
      <c r="D3300" s="3" t="s">
        <v>31</v>
      </c>
      <c r="E3300" s="3" t="n">
        <f aca="false">IF(Tabla2[[#This Row],[Frecuencia]]="Annual", Tabla2[[#This Row],[Cosecha/Tarea]]/12,Tabla2[[#This Row],[Cosecha/Tarea]])</f>
        <v>43609.9166666667</v>
      </c>
      <c r="F3300" s="3" t="n">
        <v>2166540.66</v>
      </c>
      <c r="G3300" s="2" t="s">
        <v>18</v>
      </c>
      <c r="H3300" s="2" t="n">
        <f aca="false">F3300/Tabla2[[#This Row],[Cosecha Mensual]]</f>
        <v>49.68</v>
      </c>
      <c r="I3300" s="2" t="n">
        <f aca="false">H3300*_xlfn.XLOOKUP(Tabla2[[#This Row],[Unidad de producción]],Tabla3[Medida],Tabla3[Equivalencia en Kg],"ELVIS",0)</f>
        <v>2253.4848</v>
      </c>
      <c r="J3300" s="2" t="n">
        <v>269.158333333333</v>
      </c>
      <c r="K3300" s="2" t="s">
        <v>32</v>
      </c>
      <c r="L3300" s="2" t="n">
        <f aca="false">J3300/_xlfn.XLOOKUP(Tabla2[[#This Row],[Unidad de precio]],Tabla3[Medida],Tabla3[Equivalencia en Kg],"ELVIS",0)</f>
        <v>9.89189023643267</v>
      </c>
      <c r="M3300" s="3" t="n">
        <v>47396.15</v>
      </c>
      <c r="N3300" s="3" t="n">
        <f aca="false">(Tabla2[[#This Row],[Productividad (kg/TAS)]]*Tabla2[[#This Row],[Precio por kg]]-Tabla2[[#This Row],[Costos (En RD$/Tarea)]])</f>
        <v>-25104.9257089306</v>
      </c>
      <c r="O3300" s="9" t="n">
        <f aca="false">IF(Tabla2[[#This Row],[Costos (En RD$/Tarea)]]=0,0,Tabla2[[#This Row],[Beneficio Neto  (En RD$/Tarea)]]/Tabla2[[#This Row],[Costos (En RD$/Tarea)]])</f>
        <v>-0.529682805648361</v>
      </c>
      <c r="P3300" s="7" t="n">
        <f aca="false">Tabla2[[#This Row],[Rentabilidad (%)]]/12</f>
        <v>-0.0441402338040301</v>
      </c>
    </row>
    <row r="3301" customFormat="false" ht="14.25" hidden="false" customHeight="false" outlineLevel="0" collapsed="false">
      <c r="A3301" s="1" t="n">
        <v>44866</v>
      </c>
      <c r="B3301" s="2" t="s">
        <v>33</v>
      </c>
      <c r="C3301" s="3" t="n">
        <v>788161</v>
      </c>
      <c r="D3301" s="3" t="s">
        <v>31</v>
      </c>
      <c r="E3301" s="3" t="n">
        <f aca="false">IF(Tabla2[[#This Row],[Frecuencia]]="Annual", Tabla2[[#This Row],[Cosecha/Tarea]]/12,Tabla2[[#This Row],[Cosecha/Tarea]])</f>
        <v>65680.0833333333</v>
      </c>
      <c r="F3301" s="3" t="n">
        <v>1276820.82</v>
      </c>
      <c r="G3301" s="2" t="s">
        <v>18</v>
      </c>
      <c r="H3301" s="2" t="n">
        <f aca="false">F3301/Tabla2[[#This Row],[Cosecha Mensual]]</f>
        <v>19.44</v>
      </c>
      <c r="I3301" s="2" t="n">
        <f aca="false">H3301*_xlfn.XLOOKUP(Tabla2[[#This Row],[Unidad de producción]],Tabla3[Medida],Tabla3[Equivalencia en Kg],"ELVIS",0)</f>
        <v>881.7984</v>
      </c>
      <c r="J3301" s="2" t="n">
        <v>11698.2958333333</v>
      </c>
      <c r="K3301" s="2" t="s">
        <v>34</v>
      </c>
      <c r="L3301" s="2" t="n">
        <f aca="false">J3301/_xlfn.XLOOKUP(Tabla2[[#This Row],[Unidad de precio]],Tabla3[Medida],Tabla3[Equivalencia en Kg],"ELVIS",0)</f>
        <v>28.6617562987463</v>
      </c>
      <c r="M3301" s="3" t="n">
        <v>25908.33</v>
      </c>
      <c r="N3301" s="3" t="n">
        <f aca="false">(Tabla2[[#This Row],[Productividad (kg/TAS)]]*Tabla2[[#This Row],[Precio por kg]]-Tabla2[[#This Row],[Costos (En RD$/Tarea)]])</f>
        <v>-634.439154575593</v>
      </c>
      <c r="O3301" s="9" t="n">
        <f aca="false">IF(Tabla2[[#This Row],[Costos (En RD$/Tarea)]]=0,0,Tabla2[[#This Row],[Beneficio Neto  (En RD$/Tarea)]]/Tabla2[[#This Row],[Costos (En RD$/Tarea)]])</f>
        <v>-0.0244878444336471</v>
      </c>
      <c r="P3301" s="7" t="n">
        <f aca="false">Tabla2[[#This Row],[Rentabilidad (%)]]/12</f>
        <v>-0.00204065370280393</v>
      </c>
    </row>
    <row r="3302" customFormat="false" ht="14.25" hidden="false" customHeight="false" outlineLevel="0" collapsed="false">
      <c r="A3302" s="1" t="n">
        <v>44896</v>
      </c>
      <c r="B3302" s="2" t="s">
        <v>16</v>
      </c>
      <c r="C3302" s="3" t="n">
        <v>135423.110999347</v>
      </c>
      <c r="D3302" s="8" t="s">
        <v>17</v>
      </c>
      <c r="E3302" s="3" t="n">
        <f aca="false">IF(Tabla2[[#This Row],[Frecuencia]]="Annual", Tabla2[[#This Row],[Cosecha/Tarea]]/12,Tabla2[[#This Row],[Cosecha/Tarea]])</f>
        <v>135423.110999347</v>
      </c>
      <c r="F3302" s="3" t="n">
        <v>512300</v>
      </c>
      <c r="G3302" s="2" t="s">
        <v>18</v>
      </c>
      <c r="H3302" s="2" t="n">
        <f aca="false">F3302/Tabla2[[#This Row],[Cosecha Mensual]]</f>
        <v>3.78295843463875</v>
      </c>
      <c r="I3302" s="2" t="n">
        <f aca="false">H3302*_xlfn.XLOOKUP(Tabla2[[#This Row],[Unidad de producción]],Tabla3[Medida],Tabla3[Equivalencia en Kg],"ELVIS",0)</f>
        <v>171.594994595214</v>
      </c>
      <c r="J3302" s="2" t="n">
        <v>2702.51515707126</v>
      </c>
      <c r="K3302" s="2" t="s">
        <v>19</v>
      </c>
      <c r="L3302" s="2" t="n">
        <f aca="false">J3302/_xlfn.XLOOKUP(Tabla2[[#This Row],[Unidad de precio]],Tabla3[Medida],Tabla3[Equivalencia en Kg],"ELVIS",0)</f>
        <v>24.5683196097387</v>
      </c>
      <c r="M3302" s="2" t="n">
        <v>10006.7786059906</v>
      </c>
      <c r="N3302" s="3" t="n">
        <f aca="false">(Tabla2[[#This Row],[Productividad (kg/TAS)]]*Tabla2[[#This Row],[Precio por kg]]-Tabla2[[#This Row],[Costos (En RD$/Tarea)]])</f>
        <v>-5790.977935344</v>
      </c>
      <c r="O3302" s="9" t="n">
        <f aca="false">IF(Tabla2[[#This Row],[Costos (En RD$/Tarea)]]=0,0,Tabla2[[#This Row],[Beneficio Neto  (En RD$/Tarea)]]/Tabla2[[#This Row],[Costos (En RD$/Tarea)]])</f>
        <v>-0.578705511869444</v>
      </c>
      <c r="P3302" s="7" t="n">
        <f aca="false">Tabla2[[#This Row],[Rentabilidad (%)]]/12</f>
        <v>-0.0482254593224537</v>
      </c>
    </row>
    <row r="3303" customFormat="false" ht="14.25" hidden="false" customHeight="false" outlineLevel="0" collapsed="false">
      <c r="A3303" s="1" t="n">
        <v>44896</v>
      </c>
      <c r="B3303" s="2" t="s">
        <v>20</v>
      </c>
      <c r="C3303" s="3" t="n">
        <v>43300.8350208</v>
      </c>
      <c r="D3303" s="8" t="s">
        <v>17</v>
      </c>
      <c r="E3303" s="3" t="n">
        <f aca="false">IF(Tabla2[[#This Row],[Frecuencia]]="Annual", Tabla2[[#This Row],[Cosecha/Tarea]]/12,Tabla2[[#This Row],[Cosecha/Tarea]])</f>
        <v>43300.8350208</v>
      </c>
      <c r="F3303" s="3" t="n">
        <v>115419.912727273</v>
      </c>
      <c r="G3303" s="2" t="s">
        <v>18</v>
      </c>
      <c r="H3303" s="2" t="n">
        <f aca="false">F3303/Tabla2[[#This Row],[Cosecha Mensual]]</f>
        <v>2.66553549537393</v>
      </c>
      <c r="I3303" s="2" t="n">
        <f aca="false">H3303*_xlfn.XLOOKUP(Tabla2[[#This Row],[Unidad de producción]],Tabla3[Medida],Tabla3[Equivalencia en Kg],"ELVIS",0)</f>
        <v>120.908690070162</v>
      </c>
      <c r="J3303" s="2" t="n">
        <v>1294.859375</v>
      </c>
      <c r="K3303" s="2" t="s">
        <v>18</v>
      </c>
      <c r="L3303" s="2" t="n">
        <f aca="false">J3303/_xlfn.XLOOKUP(Tabla2[[#This Row],[Unidad de precio]],Tabla3[Medida],Tabla3[Equivalencia en Kg],"ELVIS",0)</f>
        <v>28.5462825176367</v>
      </c>
      <c r="M3303" s="2" t="n">
        <v>4130.097717915</v>
      </c>
      <c r="N3303" s="3" t="n">
        <f aca="false">(Tabla2[[#This Row],[Productividad (kg/TAS)]]*Tabla2[[#This Row],[Precio por kg]]-Tabla2[[#This Row],[Costos (En RD$/Tarea)]])</f>
        <v>-678.604092334796</v>
      </c>
      <c r="O3303" s="9" t="n">
        <f aca="false">IF(Tabla2[[#This Row],[Costos (En RD$/Tarea)]]=0,0,Tabla2[[#This Row],[Beneficio Neto  (En RD$/Tarea)]]/Tabla2[[#This Row],[Costos (En RD$/Tarea)]])</f>
        <v>-0.164307030652383</v>
      </c>
      <c r="P3303" s="7" t="n">
        <f aca="false">Tabla2[[#This Row],[Rentabilidad (%)]]/12</f>
        <v>-0.0136922525543652</v>
      </c>
    </row>
    <row r="3304" customFormat="false" ht="14.25" hidden="false" customHeight="false" outlineLevel="0" collapsed="false">
      <c r="A3304" s="1" t="n">
        <v>44896</v>
      </c>
      <c r="B3304" s="2" t="s">
        <v>21</v>
      </c>
      <c r="C3304" s="3" t="n">
        <v>9974.96694071589</v>
      </c>
      <c r="D3304" s="8" t="s">
        <v>17</v>
      </c>
      <c r="E3304" s="3" t="n">
        <f aca="false">IF(Tabla2[[#This Row],[Frecuencia]]="Annual", Tabla2[[#This Row],[Cosecha/Tarea]]/12,Tabla2[[#This Row],[Cosecha/Tarea]])</f>
        <v>9974.96694071589</v>
      </c>
      <c r="F3304" s="3" t="n">
        <v>114351.368498549</v>
      </c>
      <c r="G3304" s="2" t="s">
        <v>18</v>
      </c>
      <c r="H3304" s="2" t="n">
        <f aca="false">F3304/Tabla2[[#This Row],[Cosecha Mensual]]</f>
        <v>11.4638343343063</v>
      </c>
      <c r="I3304" s="2" t="n">
        <f aca="false">H3304*_xlfn.XLOOKUP(Tabla2[[#This Row],[Unidad de producción]],Tabla3[Medida],Tabla3[Equivalencia en Kg],"ELVIS",0)</f>
        <v>519.999525404133</v>
      </c>
      <c r="J3304" s="2" t="n">
        <v>1218.0234375</v>
      </c>
      <c r="K3304" s="2" t="s">
        <v>18</v>
      </c>
      <c r="L3304" s="2" t="n">
        <f aca="false">J3304/_xlfn.XLOOKUP(Tabla2[[#This Row],[Unidad de precio]],Tabla3[Medida],Tabla3[Equivalencia en Kg],"ELVIS",0)</f>
        <v>26.8523685515873</v>
      </c>
      <c r="M3304" s="2" t="n">
        <v>5858.17</v>
      </c>
      <c r="N3304" s="3" t="n">
        <f aca="false">(Tabla2[[#This Row],[Productividad (kg/TAS)]]*Tabla2[[#This Row],[Precio por kg]]-Tabla2[[#This Row],[Costos (En RD$/Tarea)]])</f>
        <v>8105.04890280227</v>
      </c>
      <c r="O3304" s="9" t="n">
        <f aca="false">IF(Tabla2[[#This Row],[Costos (En RD$/Tarea)]]=0,0,Tabla2[[#This Row],[Beneficio Neto  (En RD$/Tarea)]]/Tabla2[[#This Row],[Costos (En RD$/Tarea)]])</f>
        <v>1.38354621030156</v>
      </c>
      <c r="P3304" s="7" t="n">
        <f aca="false">Tabla2[[#This Row],[Rentabilidad (%)]]/12</f>
        <v>0.11529551752513</v>
      </c>
    </row>
    <row r="3305" customFormat="false" ht="14.25" hidden="false" customHeight="false" outlineLevel="0" collapsed="false">
      <c r="A3305" s="1" t="n">
        <v>44896</v>
      </c>
      <c r="B3305" s="2" t="s">
        <v>22</v>
      </c>
      <c r="C3305" s="3" t="n">
        <v>5425.34643681334</v>
      </c>
      <c r="D3305" s="8" t="s">
        <v>17</v>
      </c>
      <c r="E3305" s="3" t="n">
        <f aca="false">IF(Tabla2[[#This Row],[Frecuencia]]="Annual", Tabla2[[#This Row],[Cosecha/Tarea]]/12,Tabla2[[#This Row],[Cosecha/Tarea]])</f>
        <v>5425.34643681334</v>
      </c>
      <c r="F3305" s="3" t="n">
        <v>68120.0318181818</v>
      </c>
      <c r="G3305" s="2" t="s">
        <v>18</v>
      </c>
      <c r="H3305" s="2" t="n">
        <f aca="false">F3305/Tabla2[[#This Row],[Cosecha Mensual]]</f>
        <v>12.5558860823998</v>
      </c>
      <c r="I3305" s="2" t="n">
        <f aca="false">H3305*_xlfn.XLOOKUP(Tabla2[[#This Row],[Unidad de producción]],Tabla3[Medida],Tabla3[Equivalencia en Kg],"ELVIS",0)</f>
        <v>569.534992697654</v>
      </c>
      <c r="J3305" s="2" t="n">
        <v>2256.12202380952</v>
      </c>
      <c r="K3305" s="2" t="s">
        <v>18</v>
      </c>
      <c r="L3305" s="2" t="n">
        <f aca="false">J3305/_xlfn.XLOOKUP(Tabla2[[#This Row],[Unidad de precio]],Tabla3[Medida],Tabla3[Equivalencia en Kg],"ELVIS",0)</f>
        <v>49.7381398547072</v>
      </c>
      <c r="M3305" s="2" t="n">
        <v>12106.08</v>
      </c>
      <c r="N3305" s="3" t="n">
        <f aca="false">(Tabla2[[#This Row],[Productividad (kg/TAS)]]*Tabla2[[#This Row],[Precio por kg]]-Tabla2[[#This Row],[Costos (En RD$/Tarea)]])</f>
        <v>16221.5311189456</v>
      </c>
      <c r="O3305" s="9" t="n">
        <f aca="false">IF(Tabla2[[#This Row],[Costos (En RD$/Tarea)]]=0,0,Tabla2[[#This Row],[Beneficio Neto  (En RD$/Tarea)]]/Tabla2[[#This Row],[Costos (En RD$/Tarea)]])</f>
        <v>1.33994910978166</v>
      </c>
      <c r="P3305" s="7" t="n">
        <f aca="false">Tabla2[[#This Row],[Rentabilidad (%)]]/12</f>
        <v>0.111662425815138</v>
      </c>
    </row>
    <row r="3306" customFormat="false" ht="14.25" hidden="false" customHeight="false" outlineLevel="0" collapsed="false">
      <c r="A3306" s="1" t="n">
        <v>44896</v>
      </c>
      <c r="B3306" s="2" t="s">
        <v>23</v>
      </c>
      <c r="C3306" s="3" t="n">
        <v>4376.32881615825</v>
      </c>
      <c r="D3306" s="8" t="s">
        <v>17</v>
      </c>
      <c r="E3306" s="3" t="n">
        <f aca="false">IF(Tabla2[[#This Row],[Frecuencia]]="Annual", Tabla2[[#This Row],[Cosecha/Tarea]]/12,Tabla2[[#This Row],[Cosecha/Tarea]])</f>
        <v>4376.32881615825</v>
      </c>
      <c r="F3306" s="3" t="n">
        <v>169800.181818182</v>
      </c>
      <c r="G3306" s="2" t="s">
        <v>18</v>
      </c>
      <c r="H3306" s="2" t="n">
        <f aca="false">F3306/Tabla2[[#This Row],[Cosecha Mensual]]</f>
        <v>38.7996855243708</v>
      </c>
      <c r="I3306" s="2" t="n">
        <f aca="false">H3306*_xlfn.XLOOKUP(Tabla2[[#This Row],[Unidad de producción]],Tabla3[Medida],Tabla3[Equivalencia en Kg],"ELVIS",0)</f>
        <v>1759.95373538546</v>
      </c>
      <c r="J3306" s="2" t="n">
        <v>2456.25</v>
      </c>
      <c r="K3306" s="2" t="s">
        <v>18</v>
      </c>
      <c r="L3306" s="2" t="n">
        <f aca="false">J3306/_xlfn.XLOOKUP(Tabla2[[#This Row],[Unidad de precio]],Tabla3[Medida],Tabla3[Equivalencia en Kg],"ELVIS",0)</f>
        <v>54.1501322751323</v>
      </c>
      <c r="M3306" s="2" t="n">
        <v>30322</v>
      </c>
      <c r="N3306" s="3" t="n">
        <f aca="false">(Tabla2[[#This Row],[Productividad (kg/TAS)]]*Tabla2[[#This Row],[Precio por kg]]-Tabla2[[#This Row],[Costos (En RD$/Tarea)]])</f>
        <v>64979.7275692358</v>
      </c>
      <c r="O3306" s="9" t="n">
        <f aca="false">IF(Tabla2[[#This Row],[Costos (En RD$/Tarea)]]=0,0,Tabla2[[#This Row],[Beneficio Neto  (En RD$/Tarea)]]/Tabla2[[#This Row],[Costos (En RD$/Tarea)]])</f>
        <v>2.14298949835881</v>
      </c>
      <c r="P3306" s="7" t="n">
        <f aca="false">Tabla2[[#This Row],[Rentabilidad (%)]]/12</f>
        <v>0.178582458196567</v>
      </c>
    </row>
    <row r="3307" customFormat="false" ht="14.25" hidden="false" customHeight="false" outlineLevel="0" collapsed="false">
      <c r="A3307" s="1" t="n">
        <v>44896</v>
      </c>
      <c r="B3307" s="2" t="s">
        <v>24</v>
      </c>
      <c r="C3307" s="3" t="n">
        <v>8825.67290000001</v>
      </c>
      <c r="D3307" s="8" t="s">
        <v>17</v>
      </c>
      <c r="E3307" s="3" t="n">
        <f aca="false">IF(Tabla2[[#This Row],[Frecuencia]]="Annual", Tabla2[[#This Row],[Cosecha/Tarea]]/12,Tabla2[[#This Row],[Cosecha/Tarea]])</f>
        <v>8825.67290000001</v>
      </c>
      <c r="F3307" s="3" t="n">
        <v>103019</v>
      </c>
      <c r="G3307" s="2" t="s">
        <v>18</v>
      </c>
      <c r="H3307" s="2" t="n">
        <f aca="false">F3307/Tabla2[[#This Row],[Cosecha Mensual]]</f>
        <v>11.6726510451118</v>
      </c>
      <c r="I3307" s="2" t="n">
        <f aca="false">H3307*_xlfn.XLOOKUP(Tabla2[[#This Row],[Unidad de producción]],Tabla3[Medida],Tabla3[Equivalencia en Kg],"ELVIS",0)</f>
        <v>529.471451406271</v>
      </c>
      <c r="J3307" s="2" t="n">
        <v>4047.83333333333</v>
      </c>
      <c r="K3307" s="2" t="s">
        <v>18</v>
      </c>
      <c r="L3307" s="2" t="n">
        <f aca="false">J3307/_xlfn.XLOOKUP(Tabla2[[#This Row],[Unidad de precio]],Tabla3[Medida],Tabla3[Equivalencia en Kg],"ELVIS",0)</f>
        <v>89.237948265726</v>
      </c>
      <c r="M3307" s="2" t="n">
        <v>16342.43</v>
      </c>
      <c r="N3307" s="3" t="n">
        <f aca="false">(Tabla2[[#This Row],[Productividad (kg/TAS)]]*Tabla2[[#This Row],[Precio por kg]]-Tabla2[[#This Row],[Costos (En RD$/Tarea)]])</f>
        <v>30906.5159887717</v>
      </c>
      <c r="O3307" s="9" t="n">
        <f aca="false">IF(Tabla2[[#This Row],[Costos (En RD$/Tarea)]]=0,0,Tabla2[[#This Row],[Beneficio Neto  (En RD$/Tarea)]]/Tabla2[[#This Row],[Costos (En RD$/Tarea)]])</f>
        <v>1.89118239997183</v>
      </c>
      <c r="P3307" s="7" t="n">
        <f aca="false">Tabla2[[#This Row],[Rentabilidad (%)]]/12</f>
        <v>0.157598533330986</v>
      </c>
    </row>
    <row r="3308" customFormat="false" ht="14.25" hidden="false" customHeight="false" outlineLevel="0" collapsed="false">
      <c r="A3308" s="1" t="n">
        <v>44896</v>
      </c>
      <c r="B3308" s="2" t="s">
        <v>25</v>
      </c>
      <c r="C3308" s="3" t="n">
        <v>28903.8982968751</v>
      </c>
      <c r="D3308" s="8" t="s">
        <v>17</v>
      </c>
      <c r="E3308" s="3" t="n">
        <f aca="false">IF(Tabla2[[#This Row],[Frecuencia]]="Annual", Tabla2[[#This Row],[Cosecha/Tarea]]/12,Tabla2[[#This Row],[Cosecha/Tarea]])</f>
        <v>28903.8982968751</v>
      </c>
      <c r="F3308" s="3" t="n">
        <v>324087.012048784</v>
      </c>
      <c r="G3308" s="2" t="s">
        <v>18</v>
      </c>
      <c r="H3308" s="2" t="n">
        <f aca="false">F3308/Tabla2[[#This Row],[Cosecha Mensual]]</f>
        <v>11.2125710075524</v>
      </c>
      <c r="I3308" s="2" t="n">
        <f aca="false">H3308*_xlfn.XLOOKUP(Tabla2[[#This Row],[Unidad de producción]],Tabla3[Medida],Tabla3[Equivalencia en Kg],"ELVIS",0)</f>
        <v>508.602220902575</v>
      </c>
      <c r="J3308" s="2" t="n">
        <v>1482.99830729167</v>
      </c>
      <c r="K3308" s="2" t="s">
        <v>18</v>
      </c>
      <c r="L3308" s="2" t="n">
        <f aca="false">J3308/_xlfn.XLOOKUP(Tabla2[[#This Row],[Unidad de precio]],Tabla3[Medida],Tabla3[Equivalencia en Kg],"ELVIS",0)</f>
        <v>32.6939662101338</v>
      </c>
      <c r="M3308" s="2" t="n">
        <v>6557.61</v>
      </c>
      <c r="N3308" s="3" t="n">
        <f aca="false">(Tabla2[[#This Row],[Productividad (kg/TAS)]]*Tabla2[[#This Row],[Precio por kg]]-Tabla2[[#This Row],[Costos (En RD$/Tarea)]])</f>
        <v>10070.6138245878</v>
      </c>
      <c r="O3308" s="9" t="n">
        <f aca="false">IF(Tabla2[[#This Row],[Costos (En RD$/Tarea)]]=0,0,Tabla2[[#This Row],[Beneficio Neto  (En RD$/Tarea)]]/Tabla2[[#This Row],[Costos (En RD$/Tarea)]])</f>
        <v>1.53571405200794</v>
      </c>
      <c r="P3308" s="7" t="n">
        <f aca="false">Tabla2[[#This Row],[Rentabilidad (%)]]/12</f>
        <v>0.127976171000662</v>
      </c>
    </row>
    <row r="3309" customFormat="false" ht="14.25" hidden="false" customHeight="false" outlineLevel="0" collapsed="false">
      <c r="A3309" s="1" t="n">
        <v>44896</v>
      </c>
      <c r="B3309" s="2" t="s">
        <v>26</v>
      </c>
      <c r="C3309" s="3" t="n">
        <v>12954.4789019697</v>
      </c>
      <c r="D3309" s="8" t="s">
        <v>17</v>
      </c>
      <c r="E3309" s="3" t="n">
        <f aca="false">IF(Tabla2[[#This Row],[Frecuencia]]="Annual", Tabla2[[#This Row],[Cosecha/Tarea]]/12,Tabla2[[#This Row],[Cosecha/Tarea]])</f>
        <v>12954.4789019697</v>
      </c>
      <c r="F3309" s="3" t="n">
        <v>98293.3834426742</v>
      </c>
      <c r="G3309" s="2" t="s">
        <v>18</v>
      </c>
      <c r="H3309" s="2" t="n">
        <f aca="false">F3309/Tabla2[[#This Row],[Cosecha Mensual]]</f>
        <v>7.58759840411094</v>
      </c>
      <c r="I3309" s="2" t="n">
        <f aca="false">H3309*_xlfn.XLOOKUP(Tabla2[[#This Row],[Unidad de producción]],Tabla3[Medida],Tabla3[Equivalencia en Kg],"ELVIS",0)</f>
        <v>344.173463610472</v>
      </c>
      <c r="J3309" s="2" t="n">
        <v>1424.953125</v>
      </c>
      <c r="K3309" s="2" t="s">
        <v>18</v>
      </c>
      <c r="L3309" s="2" t="n">
        <f aca="false">J3309/_xlfn.XLOOKUP(Tabla2[[#This Row],[Unidad de precio]],Tabla3[Medida],Tabla3[Equivalencia en Kg],"ELVIS",0)</f>
        <v>31.414310515873</v>
      </c>
      <c r="M3309" s="2" t="n">
        <v>2133.92</v>
      </c>
      <c r="N3309" s="3" t="n">
        <f aca="false">(Tabla2[[#This Row],[Productividad (kg/TAS)]]*Tabla2[[#This Row],[Precio por kg]]-Tabla2[[#This Row],[Costos (En RD$/Tarea)]])</f>
        <v>8678.0520571829</v>
      </c>
      <c r="O3309" s="9" t="n">
        <f aca="false">IF(Tabla2[[#This Row],[Costos (En RD$/Tarea)]]=0,0,Tabla2[[#This Row],[Beneficio Neto  (En RD$/Tarea)]]/Tabla2[[#This Row],[Costos (En RD$/Tarea)]])</f>
        <v>4.06671855420208</v>
      </c>
      <c r="P3309" s="7" t="n">
        <f aca="false">Tabla2[[#This Row],[Rentabilidad (%)]]/12</f>
        <v>0.338893212850173</v>
      </c>
    </row>
    <row r="3310" customFormat="false" ht="14.25" hidden="false" customHeight="false" outlineLevel="0" collapsed="false">
      <c r="A3310" s="1" t="n">
        <v>44896</v>
      </c>
      <c r="B3310" s="2" t="s">
        <v>27</v>
      </c>
      <c r="C3310" s="3" t="n">
        <v>5624.866346</v>
      </c>
      <c r="D3310" s="8" t="s">
        <v>17</v>
      </c>
      <c r="E3310" s="3" t="n">
        <f aca="false">IF(Tabla2[[#This Row],[Frecuencia]]="Annual", Tabla2[[#This Row],[Cosecha/Tarea]]/12,Tabla2[[#This Row],[Cosecha/Tarea]])</f>
        <v>5624.866346</v>
      </c>
      <c r="F3310" s="3" t="n">
        <v>46643.1760769289</v>
      </c>
      <c r="G3310" s="2" t="s">
        <v>18</v>
      </c>
      <c r="H3310" s="2" t="n">
        <f aca="false">F3310/Tabla2[[#This Row],[Cosecha Mensual]]</f>
        <v>8.292317222808</v>
      </c>
      <c r="I3310" s="2" t="n">
        <f aca="false">H3310*_xlfn.XLOOKUP(Tabla2[[#This Row],[Unidad de producción]],Tabla3[Medida],Tabla3[Equivalencia en Kg],"ELVIS",0)</f>
        <v>376.139509226571</v>
      </c>
      <c r="J3310" s="2" t="n">
        <v>874.980555555556</v>
      </c>
      <c r="K3310" s="2" t="s">
        <v>18</v>
      </c>
      <c r="L3310" s="2" t="n">
        <f aca="false">J3310/_xlfn.XLOOKUP(Tabla2[[#This Row],[Unidad de precio]],Tabla3[Medida],Tabla3[Equivalencia en Kg],"ELVIS",0)</f>
        <v>19.28969478738</v>
      </c>
      <c r="M3310" s="2" t="n">
        <v>11717.05</v>
      </c>
      <c r="N3310" s="3" t="n">
        <f aca="false">(Tabla2[[#This Row],[Productividad (kg/TAS)]]*Tabla2[[#This Row],[Precio por kg]]-Tabla2[[#This Row],[Costos (En RD$/Tarea)]])</f>
        <v>-4461.43366954455</v>
      </c>
      <c r="O3310" s="9" t="n">
        <f aca="false">IF(Tabla2[[#This Row],[Costos (En RD$/Tarea)]]=0,0,Tabla2[[#This Row],[Beneficio Neto  (En RD$/Tarea)]]/Tabla2[[#This Row],[Costos (En RD$/Tarea)]])</f>
        <v>-0.380764242667271</v>
      </c>
      <c r="P3310" s="7" t="n">
        <f aca="false">Tabla2[[#This Row],[Rentabilidad (%)]]/12</f>
        <v>-0.0317303535556059</v>
      </c>
    </row>
    <row r="3311" customFormat="false" ht="14.25" hidden="false" customHeight="false" outlineLevel="0" collapsed="false">
      <c r="A3311" s="1" t="n">
        <v>44896</v>
      </c>
      <c r="B3311" s="2" t="s">
        <v>28</v>
      </c>
      <c r="C3311" s="3" t="n">
        <v>62927.8836193334</v>
      </c>
      <c r="D3311" s="8" t="s">
        <v>17</v>
      </c>
      <c r="E3311" s="3" t="n">
        <f aca="false">IF(Tabla2[[#This Row],[Frecuencia]]="Annual", Tabla2[[#This Row],[Cosecha/Tarea]]/12,Tabla2[[#This Row],[Cosecha/Tarea]])</f>
        <v>62927.8836193334</v>
      </c>
      <c r="F3311" s="3" t="n">
        <v>1354361.09180059</v>
      </c>
      <c r="G3311" s="2" t="s">
        <v>18</v>
      </c>
      <c r="H3311" s="2" t="n">
        <f aca="false">F3311/Tabla2[[#This Row],[Cosecha Mensual]]</f>
        <v>21.522431931661</v>
      </c>
      <c r="I3311" s="2" t="n">
        <f aca="false">H3311*_xlfn.XLOOKUP(Tabla2[[#This Row],[Unidad de producción]],Tabla3[Medida],Tabla3[Equivalencia en Kg],"ELVIS",0)</f>
        <v>976.257512420144</v>
      </c>
      <c r="J3311" s="2" t="n">
        <v>4759.375</v>
      </c>
      <c r="K3311" s="2" t="s">
        <v>29</v>
      </c>
      <c r="L3311" s="2" t="n">
        <f aca="false">J3311/_xlfn.XLOOKUP(Tabla2[[#This Row],[Unidad de precio]],Tabla3[Medida],Tabla3[Equivalencia en Kg],"ELVIS",0)</f>
        <v>8.46351851193228</v>
      </c>
      <c r="M3311" s="2" t="n">
        <v>8552.64</v>
      </c>
      <c r="N3311" s="3" t="n">
        <f aca="false">(Tabla2[[#This Row],[Productividad (kg/TAS)]]*Tabla2[[#This Row],[Precio por kg]]-Tabla2[[#This Row],[Costos (En RD$/Tarea)]])</f>
        <v>-290.066471219148</v>
      </c>
      <c r="O3311" s="9" t="n">
        <f aca="false">IF(Tabla2[[#This Row],[Costos (En RD$/Tarea)]]=0,0,Tabla2[[#This Row],[Beneficio Neto  (En RD$/Tarea)]]/Tabla2[[#This Row],[Costos (En RD$/Tarea)]])</f>
        <v>-0.0339154309335069</v>
      </c>
      <c r="P3311" s="7" t="n">
        <f aca="false">Tabla2[[#This Row],[Rentabilidad (%)]]/12</f>
        <v>-0.00282628591112557</v>
      </c>
    </row>
    <row r="3312" customFormat="false" ht="14.25" hidden="false" customHeight="false" outlineLevel="0" collapsed="false">
      <c r="A3312" s="1" t="n">
        <v>44896</v>
      </c>
      <c r="B3312" s="2" t="s">
        <v>30</v>
      </c>
      <c r="C3312" s="3" t="n">
        <v>473184.4</v>
      </c>
      <c r="D3312" s="3" t="s">
        <v>31</v>
      </c>
      <c r="E3312" s="3" t="n">
        <f aca="false">IF(Tabla2[[#This Row],[Frecuencia]]="Annual", Tabla2[[#This Row],[Cosecha/Tarea]]/12,Tabla2[[#This Row],[Cosecha/Tarea]])</f>
        <v>39432.0333333333</v>
      </c>
      <c r="F3312" s="3" t="n">
        <v>2567333.83707601</v>
      </c>
      <c r="G3312" s="2" t="s">
        <v>18</v>
      </c>
      <c r="H3312" s="2" t="n">
        <f aca="false">F3312/Tabla2[[#This Row],[Cosecha Mensual]]</f>
        <v>65.1078227534807</v>
      </c>
      <c r="I3312" s="2" t="n">
        <f aca="false">H3312*_xlfn.XLOOKUP(Tabla2[[#This Row],[Unidad de producción]],Tabla3[Medida],Tabla3[Equivalencia en Kg],"ELVIS",0)</f>
        <v>2953.29084009789</v>
      </c>
      <c r="J3312" s="2" t="n">
        <v>286.882291666667</v>
      </c>
      <c r="K3312" s="2" t="s">
        <v>32</v>
      </c>
      <c r="L3312" s="2" t="n">
        <f aca="false">J3312/_xlfn.XLOOKUP(Tabla2[[#This Row],[Unidad de precio]],Tabla3[Medida],Tabla3[Equivalencia en Kg],"ELVIS",0)</f>
        <v>10.5432668749234</v>
      </c>
      <c r="M3312" s="3" t="n">
        <v>47396.15</v>
      </c>
      <c r="N3312" s="3" t="n">
        <f aca="false">(Tabla2[[#This Row],[Productividad (kg/TAS)]]*Tabla2[[#This Row],[Precio por kg]]-Tabla2[[#This Row],[Costos (En RD$/Tarea)]])</f>
        <v>-16258.8165135811</v>
      </c>
      <c r="O3312" s="9" t="n">
        <f aca="false">IF(Tabla2[[#This Row],[Costos (En RD$/Tarea)]]=0,0,Tabla2[[#This Row],[Beneficio Neto  (En RD$/Tarea)]]/Tabla2[[#This Row],[Costos (En RD$/Tarea)]])</f>
        <v>-0.343040869639857</v>
      </c>
      <c r="P3312" s="7" t="n">
        <f aca="false">Tabla2[[#This Row],[Rentabilidad (%)]]/12</f>
        <v>-0.0285867391366548</v>
      </c>
    </row>
    <row r="3313" customFormat="false" ht="14.25" hidden="false" customHeight="false" outlineLevel="0" collapsed="false">
      <c r="A3313" s="1" t="n">
        <v>44896</v>
      </c>
      <c r="B3313" s="2" t="s">
        <v>33</v>
      </c>
      <c r="C3313" s="3" t="n">
        <v>702426.6</v>
      </c>
      <c r="D3313" s="3" t="s">
        <v>31</v>
      </c>
      <c r="E3313" s="11" t="n">
        <f aca="false">IF(Tabla2[[#This Row],[Frecuencia]]="Annual", Tabla2[[#This Row],[Cosecha/Tarea]]/12,Tabla2[[#This Row],[Cosecha/Tarea]])</f>
        <v>58535.55</v>
      </c>
      <c r="F3313" s="3" t="n">
        <v>1606671</v>
      </c>
      <c r="G3313" s="2" t="s">
        <v>18</v>
      </c>
      <c r="H3313" s="2" t="n">
        <f aca="false">F3313/Tabla2[[#This Row],[Cosecha Mensual]]</f>
        <v>27.4477817326394</v>
      </c>
      <c r="I3313" s="2" t="n">
        <f aca="false">H3313*_xlfn.XLOOKUP(Tabla2[[#This Row],[Unidad de producción]],Tabla3[Medida],Tabla3[Equivalencia en Kg],"ELVIS",0)</f>
        <v>1245.03137939252</v>
      </c>
      <c r="J3313" s="2" t="n">
        <v>13019.921875</v>
      </c>
      <c r="K3313" s="2" t="s">
        <v>34</v>
      </c>
      <c r="L3313" s="2" t="n">
        <f aca="false">J3313/_xlfn.XLOOKUP(Tabla2[[#This Row],[Unidad de precio]],Tabla3[Medida],Tabla3[Equivalencia en Kg],"ELVIS",0)</f>
        <v>31.8998453387235</v>
      </c>
      <c r="M3313" s="3" t="n">
        <v>25908.33</v>
      </c>
      <c r="N3313" s="3" t="n">
        <f aca="false">(Tabla2[[#This Row],[Productividad (kg/TAS)]]*Tabla2[[#This Row],[Precio por kg]]-Tabla2[[#This Row],[Costos (En RD$/Tarea)]])</f>
        <v>13807.9784444791</v>
      </c>
      <c r="O3313" s="9" t="n">
        <f aca="false">IF(Tabla2[[#This Row],[Costos (En RD$/Tarea)]]=0,0,Tabla2[[#This Row],[Beneficio Neto  (En RD$/Tarea)]]/Tabla2[[#This Row],[Costos (En RD$/Tarea)]])</f>
        <v>0.532955170961582</v>
      </c>
      <c r="P3313" s="7" t="n">
        <f aca="false">Tabla2[[#This Row],[Rentabilidad (%)]]/12</f>
        <v>0.0444129309134652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7"/>
  <sheetViews>
    <sheetView showFormulas="false" showGridLines="true" showRowColHeaders="true" showZeros="true" rightToLeft="false" tabSelected="true" showOutlineSymbols="true" defaultGridColor="true" view="normal" topLeftCell="A1" colorId="64" zoomScale="93" zoomScaleNormal="93" zoomScalePageLayoutView="100" workbookViewId="0">
      <selection pane="topLeft" activeCell="C259" activeCellId="0" sqref="C258:C259"/>
    </sheetView>
  </sheetViews>
  <sheetFormatPr defaultColWidth="10.5390625" defaultRowHeight="14.25" zeroHeight="false" outlineLevelRow="0" outlineLevelCol="0"/>
  <cols>
    <col collapsed="false" customWidth="true" hidden="false" outlineLevel="0" max="1" min="1" style="2" width="6.02"/>
    <col collapsed="false" customWidth="true" hidden="false" outlineLevel="0" max="2" min="2" style="2" width="7.64"/>
    <col collapsed="false" customWidth="true" hidden="false" outlineLevel="0" max="3" min="3" style="2" width="18.12"/>
    <col collapsed="false" customWidth="true" hidden="false" outlineLevel="0" max="4" min="4" style="2" width="17.46"/>
    <col collapsed="false" customWidth="true" hidden="false" outlineLevel="0" max="5" min="5" style="2" width="13.27"/>
    <col collapsed="false" customWidth="true" hidden="false" outlineLevel="0" max="6" min="6" style="2" width="17.79"/>
    <col collapsed="false" customWidth="true" hidden="false" outlineLevel="0" max="7" min="7" style="2" width="13.27"/>
    <col collapsed="false" customWidth="true" hidden="false" outlineLevel="0" max="8" min="8" style="2" width="14.37"/>
    <col collapsed="false" customWidth="true" hidden="false" outlineLevel="0" max="9" min="9" style="2" width="14.04"/>
    <col collapsed="false" customWidth="true" hidden="false" outlineLevel="0" max="10" min="10" style="2" width="14.26"/>
    <col collapsed="false" customWidth="true" hidden="false" outlineLevel="0" max="11" min="11" style="2" width="11.61"/>
    <col collapsed="false" customWidth="true" hidden="false" outlineLevel="0" max="12" min="12" style="2" width="13.71"/>
    <col collapsed="false" customWidth="true" hidden="false" outlineLevel="0" max="14" min="13" style="12" width="16.03"/>
  </cols>
  <sheetData>
    <row r="1" customFormat="false" ht="14.25" hidden="false" customHeight="false" outlineLevel="0" collapsed="false">
      <c r="A1" s="13" t="s">
        <v>35</v>
      </c>
      <c r="B1" s="13" t="s">
        <v>0</v>
      </c>
      <c r="C1" s="13" t="s">
        <v>1</v>
      </c>
      <c r="D1" s="13" t="s">
        <v>36</v>
      </c>
      <c r="E1" s="13" t="s">
        <v>7</v>
      </c>
      <c r="F1" s="13" t="s">
        <v>37</v>
      </c>
      <c r="G1" s="13" t="s">
        <v>9</v>
      </c>
      <c r="H1" s="13" t="s">
        <v>38</v>
      </c>
      <c r="I1" s="13" t="s">
        <v>39</v>
      </c>
      <c r="J1" s="13" t="s">
        <v>40</v>
      </c>
      <c r="K1" s="13" t="s">
        <v>41</v>
      </c>
      <c r="L1" s="13" t="s">
        <v>42</v>
      </c>
      <c r="M1" s="14" t="s">
        <v>43</v>
      </c>
      <c r="N1" s="14" t="s">
        <v>44</v>
      </c>
    </row>
    <row r="2" customFormat="false" ht="14.25" hidden="false" customHeight="false" outlineLevel="0" collapsed="false">
      <c r="A2" s="15" t="n">
        <v>2000</v>
      </c>
      <c r="B2" s="16" t="n">
        <f aca="false">DATE(A2,12,31)</f>
        <v>36891</v>
      </c>
      <c r="C2" s="17" t="s">
        <v>16</v>
      </c>
      <c r="D2" s="17" t="s">
        <v>18</v>
      </c>
      <c r="E2" s="17" t="n">
        <v>4.17219147311786</v>
      </c>
      <c r="F2" s="18" t="n">
        <f aca="false">E2*_xlfn.XLOOKUP(D2,conversiones!$A$2:$A$6,conversiones!$B$2:$B$6,0)</f>
        <v>189.250605220626</v>
      </c>
      <c r="G2" s="17" t="n">
        <v>1045.44774477448</v>
      </c>
      <c r="H2" s="17" t="s">
        <v>19</v>
      </c>
      <c r="I2" s="18" t="n">
        <f aca="false">G2/_xlfn.XLOOKUP(H2,conversiones!$A$2:$A$6,conversiones!$B$2:$B$6,0)</f>
        <v>9.50407040704073</v>
      </c>
      <c r="J2" s="17"/>
      <c r="K2" s="18" t="n">
        <f aca="false">_xlfn.XLOOKUP(C2,Ciclo!$A$2:$A$13,Ciclo!$D$2:$D$13,0)</f>
        <v>2.4</v>
      </c>
      <c r="L2" s="18" t="n">
        <f aca="false">F2*I2-J2</f>
        <v>1798.6510765919</v>
      </c>
      <c r="M2" s="19" t="n">
        <f aca="false">IF(J2=0,0,L2/J2)</f>
        <v>0</v>
      </c>
      <c r="N2" s="20" t="n">
        <f aca="false">M2*K2</f>
        <v>0</v>
      </c>
    </row>
    <row r="3" customFormat="false" ht="14.25" hidden="false" customHeight="false" outlineLevel="0" collapsed="false">
      <c r="A3" s="15" t="n">
        <v>2000</v>
      </c>
      <c r="B3" s="16" t="n">
        <f aca="false">DATE(A3,12,31)</f>
        <v>36891</v>
      </c>
      <c r="C3" s="17" t="s">
        <v>20</v>
      </c>
      <c r="D3" s="17" t="s">
        <v>18</v>
      </c>
      <c r="E3" s="17" t="n">
        <v>1.71136801041156</v>
      </c>
      <c r="F3" s="18" t="n">
        <f aca="false">E3*_xlfn.XLOOKUP(D3,conversiones!$A$2:$A$6,conversiones!$B$2:$B$6,0)</f>
        <v>77.6276529522684</v>
      </c>
      <c r="G3" s="17" t="n">
        <v>126.929904206349</v>
      </c>
      <c r="H3" s="17" t="s">
        <v>18</v>
      </c>
      <c r="I3" s="18" t="n">
        <f aca="false">G3/_xlfn.XLOOKUP(H3,conversiones!$A$2:$A$6,conversiones!$B$2:$B$6,0)</f>
        <v>2.79827831142745</v>
      </c>
      <c r="J3" s="17"/>
      <c r="K3" s="18" t="n">
        <f aca="false">_xlfn.XLOOKUP(C3,Ciclo!$A$2:$A$13,Ciclo!$D$2:$D$13,0)</f>
        <v>3</v>
      </c>
      <c r="L3" s="18" t="n">
        <f aca="false">F3*I3-J3</f>
        <v>217.223777623349</v>
      </c>
      <c r="M3" s="19" t="n">
        <f aca="false">IF(J3=0,0,L3/J3)</f>
        <v>0</v>
      </c>
      <c r="N3" s="20" t="n">
        <f aca="false">M3*K3</f>
        <v>0</v>
      </c>
    </row>
    <row r="4" customFormat="false" ht="14.25" hidden="false" customHeight="false" outlineLevel="0" collapsed="false">
      <c r="A4" s="15" t="n">
        <v>2000</v>
      </c>
      <c r="B4" s="16" t="n">
        <f aca="false">DATE(A4,12,31)</f>
        <v>36891</v>
      </c>
      <c r="C4" s="17" t="s">
        <v>23</v>
      </c>
      <c r="D4" s="17" t="s">
        <v>18</v>
      </c>
      <c r="E4" s="17" t="n">
        <v>19.7450528891128</v>
      </c>
      <c r="F4" s="18" t="n">
        <f aca="false">E4*_xlfn.XLOOKUP(D4,conversiones!$A$2:$A$6,conversiones!$B$2:$B$6,0)</f>
        <v>895.635599050157</v>
      </c>
      <c r="G4" s="17" t="n">
        <v>288.357128125</v>
      </c>
      <c r="H4" s="17" t="s">
        <v>18</v>
      </c>
      <c r="I4" s="18" t="n">
        <f aca="false">G4/_xlfn.XLOOKUP(H4,conversiones!$A$2:$A$6,conversiones!$B$2:$B$6,0)</f>
        <v>6.35707954420194</v>
      </c>
      <c r="J4" s="17"/>
      <c r="K4" s="18" t="n">
        <f aca="false">_xlfn.XLOOKUP(C4,Ciclo!$A$2:$A$13,Ciclo!$D$2:$D$13,0)</f>
        <v>4</v>
      </c>
      <c r="L4" s="18" t="n">
        <f aca="false">F4*I4-J4</f>
        <v>5693.6267457808</v>
      </c>
      <c r="M4" s="19" t="n">
        <f aca="false">IF(J4=0,0,L4/J4)</f>
        <v>0</v>
      </c>
      <c r="N4" s="20" t="n">
        <f aca="false">M4*K4</f>
        <v>0</v>
      </c>
    </row>
    <row r="5" customFormat="false" ht="14.25" hidden="false" customHeight="false" outlineLevel="0" collapsed="false">
      <c r="A5" s="15" t="n">
        <v>2000</v>
      </c>
      <c r="B5" s="16" t="n">
        <f aca="false">DATE(A5,12,31)</f>
        <v>36891</v>
      </c>
      <c r="C5" s="17" t="s">
        <v>21</v>
      </c>
      <c r="D5" s="17" t="s">
        <v>18</v>
      </c>
      <c r="E5" s="17" t="n">
        <v>8.39678270315005</v>
      </c>
      <c r="F5" s="18" t="n">
        <f aca="false">E5*_xlfn.XLOOKUP(D5,conversiones!$A$2:$A$6,conversiones!$B$2:$B$6,0)</f>
        <v>380.878063414886</v>
      </c>
      <c r="G5" s="17" t="n">
        <v>140.726611111111</v>
      </c>
      <c r="H5" s="17" t="s">
        <v>18</v>
      </c>
      <c r="I5" s="18" t="n">
        <f aca="false">G5/_xlfn.XLOOKUP(H5,conversiones!$A$2:$A$6,conversiones!$B$2:$B$6,0)</f>
        <v>3.10243851655888</v>
      </c>
      <c r="J5" s="17"/>
      <c r="K5" s="18" t="n">
        <f aca="false">_xlfn.XLOOKUP(C5,Ciclo!$A$2:$A$13,Ciclo!$D$2:$D$13,0)</f>
        <v>2</v>
      </c>
      <c r="L5" s="18" t="n">
        <f aca="false">F5*I5-J5</f>
        <v>1181.6507740507</v>
      </c>
      <c r="M5" s="19" t="n">
        <f aca="false">IF(J5=0,0,L5/J5)</f>
        <v>0</v>
      </c>
      <c r="N5" s="20" t="n">
        <f aca="false">M5*K5</f>
        <v>0</v>
      </c>
    </row>
    <row r="6" customFormat="false" ht="14.25" hidden="false" customHeight="false" outlineLevel="0" collapsed="false">
      <c r="A6" s="15" t="n">
        <v>2000</v>
      </c>
      <c r="B6" s="16" t="n">
        <f aca="false">DATE(A6,12,31)</f>
        <v>36891</v>
      </c>
      <c r="C6" s="17" t="s">
        <v>25</v>
      </c>
      <c r="D6" s="17" t="s">
        <v>18</v>
      </c>
      <c r="E6" s="17" t="n">
        <v>9.06333712512247</v>
      </c>
      <c r="F6" s="18" t="n">
        <f aca="false">E6*_xlfn.XLOOKUP(D6,conversiones!$A$2:$A$6,conversiones!$B$2:$B$6,0)</f>
        <v>411.112971995555</v>
      </c>
      <c r="G6" s="17" t="n">
        <v>122.077633680556</v>
      </c>
      <c r="H6" s="17" t="s">
        <v>18</v>
      </c>
      <c r="I6" s="18" t="n">
        <f aca="false">G6/_xlfn.XLOOKUP(H6,conversiones!$A$2:$A$6,conversiones!$B$2:$B$6,0)</f>
        <v>2.69130585715511</v>
      </c>
      <c r="J6" s="17"/>
      <c r="K6" s="18" t="n">
        <f aca="false">_xlfn.XLOOKUP(C6,Ciclo!$A$2:$A$13,Ciclo!$D$2:$D$13,0)</f>
        <v>1.2</v>
      </c>
      <c r="L6" s="18" t="n">
        <f aca="false">F6*I6-J6</f>
        <v>1106.43074948408</v>
      </c>
      <c r="M6" s="19" t="n">
        <f aca="false">IF(J6=0,0,L6/J6)</f>
        <v>0</v>
      </c>
      <c r="N6" s="20" t="n">
        <f aca="false">M6*K6</f>
        <v>0</v>
      </c>
    </row>
    <row r="7" customFormat="false" ht="14.25" hidden="false" customHeight="false" outlineLevel="0" collapsed="false">
      <c r="A7" s="15" t="n">
        <v>2000</v>
      </c>
      <c r="B7" s="16" t="n">
        <f aca="false">DATE(A7,12,31)</f>
        <v>36891</v>
      </c>
      <c r="C7" s="17" t="s">
        <v>22</v>
      </c>
      <c r="D7" s="17" t="s">
        <v>18</v>
      </c>
      <c r="E7" s="17" t="n">
        <v>9.00105215692169</v>
      </c>
      <c r="F7" s="18" t="n">
        <f aca="false">E7*_xlfn.XLOOKUP(D7,conversiones!$A$2:$A$6,conversiones!$B$2:$B$6,0)</f>
        <v>408.287725837968</v>
      </c>
      <c r="G7" s="17" t="n">
        <v>293.816912698413</v>
      </c>
      <c r="H7" s="17" t="s">
        <v>18</v>
      </c>
      <c r="I7" s="18" t="n">
        <f aca="false">G7/_xlfn.XLOOKUP(H7,conversiones!$A$2:$A$6,conversiones!$B$2:$B$6,0)</f>
        <v>6.47744516530893</v>
      </c>
      <c r="J7" s="17"/>
      <c r="K7" s="18" t="n">
        <f aca="false">_xlfn.XLOOKUP(C7,Ciclo!$A$2:$A$13,Ciclo!$D$2:$D$13,0)</f>
        <v>1</v>
      </c>
      <c r="L7" s="18" t="n">
        <f aca="false">F7*I7-J7</f>
        <v>2644.66135578412</v>
      </c>
      <c r="M7" s="19" t="n">
        <f aca="false">IF(J7=0,0,L7/J7)</f>
        <v>0</v>
      </c>
      <c r="N7" s="20" t="n">
        <f aca="false">M7*K7</f>
        <v>0</v>
      </c>
    </row>
    <row r="8" customFormat="false" ht="14.25" hidden="false" customHeight="false" outlineLevel="0" collapsed="false">
      <c r="A8" s="15" t="n">
        <v>2000</v>
      </c>
      <c r="B8" s="16" t="n">
        <f aca="false">DATE(A8,12,31)</f>
        <v>36891</v>
      </c>
      <c r="C8" s="17" t="s">
        <v>24</v>
      </c>
      <c r="D8" s="17" t="s">
        <v>18</v>
      </c>
      <c r="E8" s="17" t="n">
        <v>11.003948787885</v>
      </c>
      <c r="F8" s="18" t="n">
        <f aca="false">E8*_xlfn.XLOOKUP(D8,conversiones!$A$2:$A$6,conversiones!$B$2:$B$6,0)</f>
        <v>499.139117018464</v>
      </c>
      <c r="G8" s="17" t="n">
        <v>427.441418650794</v>
      </c>
      <c r="H8" s="17" t="s">
        <v>18</v>
      </c>
      <c r="I8" s="18" t="n">
        <f aca="false">G8/_xlfn.XLOOKUP(H8,conversiones!$A$2:$A$6,conversiones!$B$2:$B$6,0)</f>
        <v>9.42331169865066</v>
      </c>
      <c r="J8" s="17"/>
      <c r="K8" s="18" t="n">
        <f aca="false">_xlfn.XLOOKUP(C8,Ciclo!$A$2:$A$13,Ciclo!$D$2:$D$13,0)</f>
        <v>1</v>
      </c>
      <c r="L8" s="18" t="n">
        <f aca="false">F8*I8-J8</f>
        <v>4703.54348065425</v>
      </c>
      <c r="M8" s="19" t="n">
        <f aca="false">IF(J8=0,0,L8/J8)</f>
        <v>0</v>
      </c>
      <c r="N8" s="20" t="n">
        <f aca="false">M8*K8</f>
        <v>0</v>
      </c>
    </row>
    <row r="9" customFormat="false" ht="14.25" hidden="false" customHeight="false" outlineLevel="0" collapsed="false">
      <c r="A9" s="15" t="n">
        <v>2000</v>
      </c>
      <c r="B9" s="16" t="n">
        <f aca="false">DATE(A9,12,31)</f>
        <v>36891</v>
      </c>
      <c r="C9" s="17" t="s">
        <v>30</v>
      </c>
      <c r="D9" s="17" t="s">
        <v>32</v>
      </c>
      <c r="E9" s="17" t="n">
        <v>72.9519980677793</v>
      </c>
      <c r="F9" s="18" t="n">
        <f aca="false">E9*_xlfn.XLOOKUP(D9,conversiones!$A$2:$A$6,conversiones!$B$2:$B$6,0)</f>
        <v>1985.02386742427</v>
      </c>
      <c r="G9" s="17" t="n">
        <v>20.2060248015873</v>
      </c>
      <c r="H9" s="17" t="s">
        <v>32</v>
      </c>
      <c r="I9" s="18" t="n">
        <f aca="false">G9/_xlfn.XLOOKUP(H9,conversiones!$A$2:$A$6,conversiones!$B$2:$B$6,0)</f>
        <v>0.742595545813572</v>
      </c>
      <c r="J9" s="17"/>
      <c r="K9" s="18" t="n">
        <f aca="false">_xlfn.XLOOKUP(C9,Ciclo!$A$2:$A$13,Ciclo!$D$2:$D$13,0)</f>
        <v>1</v>
      </c>
      <c r="L9" s="18" t="n">
        <f aca="false">F9*I9-J9</f>
        <v>1474.0698822829</v>
      </c>
      <c r="M9" s="19" t="n">
        <f aca="false">IF(J9=0,0,L9/J9)</f>
        <v>0</v>
      </c>
      <c r="N9" s="20" t="n">
        <f aca="false">M9*K9</f>
        <v>0</v>
      </c>
    </row>
    <row r="10" customFormat="false" ht="14.25" hidden="false" customHeight="false" outlineLevel="0" collapsed="false">
      <c r="A10" s="15" t="n">
        <v>2000</v>
      </c>
      <c r="B10" s="16" t="n">
        <f aca="false">DATE(A10,12,31)</f>
        <v>36891</v>
      </c>
      <c r="C10" s="17" t="s">
        <v>33</v>
      </c>
      <c r="D10" s="17" t="s">
        <v>34</v>
      </c>
      <c r="E10" s="17" t="n">
        <v>2.215382007082</v>
      </c>
      <c r="F10" s="18" t="n">
        <f aca="false">E10*_xlfn.XLOOKUP(D10,conversiones!$A$2:$A$6,conversiones!$B$2:$B$6,0)</f>
        <v>904.208166190518</v>
      </c>
      <c r="G10" s="17" t="n">
        <v>997.602360119048</v>
      </c>
      <c r="H10" s="17" t="s">
        <v>34</v>
      </c>
      <c r="I10" s="18" t="n">
        <f aca="false">G10/_xlfn.XLOOKUP(H10,conversiones!$A$2:$A$6,conversiones!$B$2:$B$6,0)</f>
        <v>2.44420521896128</v>
      </c>
      <c r="J10" s="17"/>
      <c r="K10" s="18" t="n">
        <f aca="false">_xlfn.XLOOKUP(C10,Ciclo!$A$2:$A$13,Ciclo!$D$2:$D$13,0)</f>
        <v>1</v>
      </c>
      <c r="L10" s="18" t="n">
        <f aca="false">F10*I10-J10</f>
        <v>2210.07031883028</v>
      </c>
      <c r="M10" s="19" t="n">
        <f aca="false">IF(J10=0,0,L10/J10)</f>
        <v>0</v>
      </c>
      <c r="N10" s="20" t="n">
        <f aca="false">M10*K10</f>
        <v>0</v>
      </c>
    </row>
    <row r="11" customFormat="false" ht="14.25" hidden="false" customHeight="false" outlineLevel="0" collapsed="false">
      <c r="A11" s="15" t="n">
        <v>2000</v>
      </c>
      <c r="B11" s="16" t="n">
        <f aca="false">DATE(A11,12,31)</f>
        <v>36891</v>
      </c>
      <c r="C11" s="17" t="s">
        <v>28</v>
      </c>
      <c r="D11" s="17" t="s">
        <v>29</v>
      </c>
      <c r="E11" s="17" t="n">
        <v>1.85766126122411</v>
      </c>
      <c r="F11" s="18" t="n">
        <f aca="false">E11*_xlfn.XLOOKUP(D11,conversiones!$A$2:$A$6,conversiones!$B$2:$B$6,0)</f>
        <v>1044.63723363677</v>
      </c>
      <c r="G11" s="17" t="n">
        <v>1532.16783333333</v>
      </c>
      <c r="H11" s="17" t="s">
        <v>29</v>
      </c>
      <c r="I11" s="18" t="n">
        <f aca="false">G11/_xlfn.XLOOKUP(H11,conversiones!$A$2:$A$6,conversiones!$B$2:$B$6,0)</f>
        <v>2.72462893148865</v>
      </c>
      <c r="J11" s="17"/>
      <c r="K11" s="18" t="n">
        <f aca="false">_xlfn.XLOOKUP(C11,Ciclo!$A$2:$A$13,Ciclo!$D$2:$D$13,0)</f>
        <v>3</v>
      </c>
      <c r="L11" s="18" t="n">
        <f aca="false">F11*I11-J11</f>
        <v>2846.24882967701</v>
      </c>
      <c r="M11" s="19" t="n">
        <f aca="false">IF(J11=0,0,L11/J11)</f>
        <v>0</v>
      </c>
      <c r="N11" s="20" t="n">
        <f aca="false">M11*K11</f>
        <v>0</v>
      </c>
    </row>
    <row r="12" customFormat="false" ht="14.25" hidden="false" customHeight="false" outlineLevel="0" collapsed="false">
      <c r="A12" s="15" t="n">
        <v>2000</v>
      </c>
      <c r="B12" s="16" t="n">
        <f aca="false">DATE(A12,12,31)</f>
        <v>36891</v>
      </c>
      <c r="C12" s="17" t="s">
        <v>26</v>
      </c>
      <c r="D12" s="17" t="s">
        <v>18</v>
      </c>
      <c r="E12" s="17" t="n">
        <v>5.92539823108052</v>
      </c>
      <c r="F12" s="18" t="n">
        <f aca="false">E12*_xlfn.XLOOKUP(D12,conversiones!$A$2:$A$6,conversiones!$B$2:$B$6,0)</f>
        <v>268.776063761812</v>
      </c>
      <c r="G12" s="17" t="n">
        <v>233.399565476191</v>
      </c>
      <c r="H12" s="17" t="s">
        <v>18</v>
      </c>
      <c r="I12" s="18" t="n">
        <f aca="false">G12/_xlfn.XLOOKUP(H12,conversiones!$A$2:$A$6,conversiones!$B$2:$B$6,0)</f>
        <v>5.14549306605359</v>
      </c>
      <c r="J12" s="17"/>
      <c r="K12" s="18" t="n">
        <f aca="false">_xlfn.XLOOKUP(C12,Ciclo!$A$2:$A$13,Ciclo!$D$2:$D$13,0)</f>
        <v>3</v>
      </c>
      <c r="L12" s="18" t="n">
        <f aca="false">F12*I12-J12</f>
        <v>1382.98537240758</v>
      </c>
      <c r="M12" s="19" t="n">
        <f aca="false">IF(J12=0,0,L12/J12)</f>
        <v>0</v>
      </c>
      <c r="N12" s="20" t="n">
        <f aca="false">M12*K12</f>
        <v>0</v>
      </c>
    </row>
    <row r="13" customFormat="false" ht="14.25" hidden="false" customHeight="false" outlineLevel="0" collapsed="false">
      <c r="A13" s="15" t="n">
        <v>2000</v>
      </c>
      <c r="B13" s="16" t="n">
        <f aca="false">DATE(A13,12,31)</f>
        <v>36891</v>
      </c>
      <c r="C13" s="17" t="s">
        <v>27</v>
      </c>
      <c r="D13" s="17" t="s">
        <v>18</v>
      </c>
      <c r="E13" s="17" t="n">
        <v>8.81627102840048</v>
      </c>
      <c r="F13" s="18" t="n">
        <f aca="false">E13*_xlfn.XLOOKUP(D13,conversiones!$A$2:$A$6,conversiones!$B$2:$B$6,0)</f>
        <v>399.906053848246</v>
      </c>
      <c r="G13" s="17" t="n">
        <v>158.904356150794</v>
      </c>
      <c r="H13" s="17" t="s">
        <v>18</v>
      </c>
      <c r="I13" s="18" t="n">
        <f aca="false">G13/_xlfn.XLOOKUP(H13,conversiones!$A$2:$A$6,conversiones!$B$2:$B$6,0)</f>
        <v>3.5031824548235</v>
      </c>
      <c r="J13" s="17"/>
      <c r="K13" s="18" t="n">
        <f aca="false">_xlfn.XLOOKUP(C13,Ciclo!$A$2:$A$13,Ciclo!$D$2:$D$13,0)</f>
        <v>2.4</v>
      </c>
      <c r="L13" s="18" t="n">
        <f aca="false">F13*I13-J13</f>
        <v>1400.94387141888</v>
      </c>
      <c r="M13" s="19" t="n">
        <f aca="false">IF(J13=0,0,L13/J13)</f>
        <v>0</v>
      </c>
      <c r="N13" s="20" t="n">
        <f aca="false">M13*K13</f>
        <v>0</v>
      </c>
    </row>
    <row r="14" customFormat="false" ht="14.25" hidden="false" customHeight="false" outlineLevel="0" collapsed="false">
      <c r="A14" s="15" t="n">
        <v>2001</v>
      </c>
      <c r="B14" s="16" t="n">
        <f aca="false">DATE(A14,12,31)</f>
        <v>37256</v>
      </c>
      <c r="C14" s="17" t="s">
        <v>16</v>
      </c>
      <c r="D14" s="17" t="s">
        <v>18</v>
      </c>
      <c r="E14" s="17" t="n">
        <v>4.41161203462084</v>
      </c>
      <c r="F14" s="18" t="n">
        <f aca="false">E14*_xlfn.XLOOKUP(D14,conversiones!$A$2:$A$6,conversiones!$B$2:$B$6,0)</f>
        <v>200.110721890401</v>
      </c>
      <c r="G14" s="17" t="n">
        <v>989.425192519252</v>
      </c>
      <c r="H14" s="17" t="s">
        <v>19</v>
      </c>
      <c r="I14" s="18" t="n">
        <f aca="false">G14/_xlfn.XLOOKUP(H14,conversiones!$A$2:$A$6,conversiones!$B$2:$B$6,0)</f>
        <v>8.99477447744775</v>
      </c>
      <c r="J14" s="17"/>
      <c r="K14" s="18" t="n">
        <f aca="false">_xlfn.XLOOKUP(C14,Ciclo!$A$2:$A$13,Ciclo!$D$2:$D$13,0)</f>
        <v>2.4</v>
      </c>
      <c r="L14" s="18" t="n">
        <f aca="false">F14*I14-J14</f>
        <v>1799.95081392343</v>
      </c>
      <c r="M14" s="19" t="n">
        <f aca="false">IF(J14=0,0,L14/J14)</f>
        <v>0</v>
      </c>
      <c r="N14" s="20" t="n">
        <f aca="false">M14*K14</f>
        <v>0</v>
      </c>
    </row>
    <row r="15" customFormat="false" ht="14.25" hidden="false" customHeight="false" outlineLevel="0" collapsed="false">
      <c r="A15" s="15" t="n">
        <v>2001</v>
      </c>
      <c r="B15" s="16" t="n">
        <f aca="false">DATE(A15,12,31)</f>
        <v>37256</v>
      </c>
      <c r="C15" s="17" t="s">
        <v>20</v>
      </c>
      <c r="D15" s="17" t="s">
        <v>18</v>
      </c>
      <c r="E15" s="17" t="n">
        <v>1.85652380469175</v>
      </c>
      <c r="F15" s="18" t="n">
        <f aca="false">E15*_xlfn.XLOOKUP(D15,conversiones!$A$2:$A$6,conversiones!$B$2:$B$6,0)</f>
        <v>84.2119197808178</v>
      </c>
      <c r="G15" s="17" t="n">
        <v>125.316942013889</v>
      </c>
      <c r="H15" s="17" t="s">
        <v>18</v>
      </c>
      <c r="I15" s="18" t="n">
        <f aca="false">G15/_xlfn.XLOOKUP(H15,conversiones!$A$2:$A$6,conversiones!$B$2:$B$6,0)</f>
        <v>2.76271918020037</v>
      </c>
      <c r="J15" s="17"/>
      <c r="K15" s="18" t="n">
        <f aca="false">_xlfn.XLOOKUP(C15,Ciclo!$A$2:$A$13,Ciclo!$D$2:$D$13,0)</f>
        <v>3</v>
      </c>
      <c r="L15" s="18" t="n">
        <f aca="false">F15*I15-J15</f>
        <v>232.653885979961</v>
      </c>
      <c r="M15" s="19" t="n">
        <f aca="false">IF(J15=0,0,L15/J15)</f>
        <v>0</v>
      </c>
      <c r="N15" s="20" t="n">
        <f aca="false">M15*K15</f>
        <v>0</v>
      </c>
    </row>
    <row r="16" customFormat="false" ht="14.25" hidden="false" customHeight="false" outlineLevel="0" collapsed="false">
      <c r="A16" s="15" t="n">
        <v>2001</v>
      </c>
      <c r="B16" s="16" t="n">
        <f aca="false">DATE(A16,12,31)</f>
        <v>37256</v>
      </c>
      <c r="C16" s="17" t="s">
        <v>23</v>
      </c>
      <c r="D16" s="17" t="s">
        <v>18</v>
      </c>
      <c r="E16" s="17" t="n">
        <v>25.4853676838419</v>
      </c>
      <c r="F16" s="18" t="n">
        <f aca="false">E16*_xlfn.XLOOKUP(D16,conversiones!$A$2:$A$6,conversiones!$B$2:$B$6,0)</f>
        <v>1156.01627813907</v>
      </c>
      <c r="G16" s="17" t="n">
        <v>285.815329861111</v>
      </c>
      <c r="H16" s="17" t="s">
        <v>18</v>
      </c>
      <c r="I16" s="18" t="n">
        <f aca="false">G16/_xlfn.XLOOKUP(H16,conversiones!$A$2:$A$6,conversiones!$B$2:$B$6,0)</f>
        <v>6.30104342727317</v>
      </c>
      <c r="J16" s="17"/>
      <c r="K16" s="18" t="n">
        <f aca="false">_xlfn.XLOOKUP(C16,Ciclo!$A$2:$A$13,Ciclo!$D$2:$D$13,0)</f>
        <v>4</v>
      </c>
      <c r="L16" s="18" t="n">
        <f aca="false">F16*I16-J16</f>
        <v>7284.10877118897</v>
      </c>
      <c r="M16" s="19" t="n">
        <f aca="false">IF(J16=0,0,L16/J16)</f>
        <v>0</v>
      </c>
      <c r="N16" s="20" t="n">
        <f aca="false">M16*K16</f>
        <v>0</v>
      </c>
    </row>
    <row r="17" customFormat="false" ht="14.25" hidden="false" customHeight="false" outlineLevel="0" collapsed="false">
      <c r="A17" s="15" t="n">
        <v>2001</v>
      </c>
      <c r="B17" s="16" t="n">
        <f aca="false">DATE(A17,12,31)</f>
        <v>37256</v>
      </c>
      <c r="C17" s="17" t="s">
        <v>21</v>
      </c>
      <c r="D17" s="17" t="s">
        <v>18</v>
      </c>
      <c r="E17" s="17" t="n">
        <v>8.35383263009845</v>
      </c>
      <c r="F17" s="18" t="n">
        <f aca="false">E17*_xlfn.XLOOKUP(D17,conversiones!$A$2:$A$6,conversiones!$B$2:$B$6,0)</f>
        <v>378.929848101266</v>
      </c>
      <c r="G17" s="17" t="n">
        <v>154.272410714286</v>
      </c>
      <c r="H17" s="17" t="s">
        <v>18</v>
      </c>
      <c r="I17" s="18" t="n">
        <f aca="false">G17/_xlfn.XLOOKUP(H17,conversiones!$A$2:$A$6,conversiones!$B$2:$B$6,0)</f>
        <v>3.40106725560595</v>
      </c>
      <c r="J17" s="17"/>
      <c r="K17" s="18" t="n">
        <f aca="false">_xlfn.XLOOKUP(C17,Ciclo!$A$2:$A$13,Ciclo!$D$2:$D$13,0)</f>
        <v>2</v>
      </c>
      <c r="L17" s="18" t="n">
        <f aca="false">F17*I17-J17</f>
        <v>1288.76589854895</v>
      </c>
      <c r="M17" s="19" t="n">
        <f aca="false">IF(J17=0,0,L17/J17)</f>
        <v>0</v>
      </c>
      <c r="N17" s="20" t="n">
        <f aca="false">M17*K17</f>
        <v>0</v>
      </c>
    </row>
    <row r="18" customFormat="false" ht="14.25" hidden="false" customHeight="false" outlineLevel="0" collapsed="false">
      <c r="A18" s="15" t="n">
        <v>2001</v>
      </c>
      <c r="B18" s="16" t="n">
        <f aca="false">DATE(A18,12,31)</f>
        <v>37256</v>
      </c>
      <c r="C18" s="17" t="s">
        <v>25</v>
      </c>
      <c r="D18" s="17" t="s">
        <v>18</v>
      </c>
      <c r="E18" s="17" t="n">
        <v>9.6731417034164</v>
      </c>
      <c r="F18" s="18" t="n">
        <f aca="false">E18*_xlfn.XLOOKUP(D18,conversiones!$A$2:$A$6,conversiones!$B$2:$B$6,0)</f>
        <v>438.773707666968</v>
      </c>
      <c r="G18" s="17" t="n">
        <v>108.615742890873</v>
      </c>
      <c r="H18" s="17" t="s">
        <v>18</v>
      </c>
      <c r="I18" s="18" t="n">
        <f aca="false">G18/_xlfn.XLOOKUP(H18,conversiones!$A$2:$A$6,conversiones!$B$2:$B$6,0)</f>
        <v>2.39452695967533</v>
      </c>
      <c r="J18" s="17"/>
      <c r="K18" s="18" t="n">
        <f aca="false">_xlfn.XLOOKUP(C18,Ciclo!$A$2:$A$13,Ciclo!$D$2:$D$13,0)</f>
        <v>1.2</v>
      </c>
      <c r="L18" s="18" t="n">
        <f aca="false">F18*I18-J18</f>
        <v>1050.65547220526</v>
      </c>
      <c r="M18" s="19" t="n">
        <f aca="false">IF(J18=0,0,L18/J18)</f>
        <v>0</v>
      </c>
      <c r="N18" s="20" t="n">
        <f aca="false">M18*K18</f>
        <v>0</v>
      </c>
    </row>
    <row r="19" customFormat="false" ht="14.25" hidden="false" customHeight="false" outlineLevel="0" collapsed="false">
      <c r="A19" s="15" t="n">
        <v>2001</v>
      </c>
      <c r="B19" s="16" t="n">
        <f aca="false">DATE(A19,12,31)</f>
        <v>37256</v>
      </c>
      <c r="C19" s="17" t="s">
        <v>22</v>
      </c>
      <c r="D19" s="17" t="s">
        <v>18</v>
      </c>
      <c r="E19" s="17" t="n">
        <v>8.70336090324275</v>
      </c>
      <c r="F19" s="18" t="n">
        <f aca="false">E19*_xlfn.XLOOKUP(D19,conversiones!$A$2:$A$6,conversiones!$B$2:$B$6,0)</f>
        <v>394.784450571091</v>
      </c>
      <c r="G19" s="17" t="n">
        <v>278.566361111111</v>
      </c>
      <c r="H19" s="17" t="s">
        <v>18</v>
      </c>
      <c r="I19" s="18" t="n">
        <f aca="false">G19/_xlfn.XLOOKUP(H19,conversiones!$A$2:$A$6,conversiones!$B$2:$B$6,0)</f>
        <v>6.14123371056241</v>
      </c>
      <c r="J19" s="17"/>
      <c r="K19" s="18" t="n">
        <f aca="false">_xlfn.XLOOKUP(C19,Ciclo!$A$2:$A$13,Ciclo!$D$2:$D$13,0)</f>
        <v>1</v>
      </c>
      <c r="L19" s="18" t="n">
        <f aca="false">F19*I19-J19</f>
        <v>2424.46357625305</v>
      </c>
      <c r="M19" s="19" t="n">
        <f aca="false">IF(J19=0,0,L19/J19)</f>
        <v>0</v>
      </c>
      <c r="N19" s="20" t="n">
        <f aca="false">M19*K19</f>
        <v>0</v>
      </c>
    </row>
    <row r="20" customFormat="false" ht="14.25" hidden="false" customHeight="false" outlineLevel="0" collapsed="false">
      <c r="A20" s="15" t="n">
        <v>2001</v>
      </c>
      <c r="B20" s="16" t="n">
        <f aca="false">DATE(A20,12,31)</f>
        <v>37256</v>
      </c>
      <c r="C20" s="17" t="s">
        <v>24</v>
      </c>
      <c r="D20" s="17" t="s">
        <v>18</v>
      </c>
      <c r="E20" s="17" t="n">
        <v>10.6239170225747</v>
      </c>
      <c r="F20" s="18" t="n">
        <f aca="false">E20*_xlfn.XLOOKUP(D20,conversiones!$A$2:$A$6,conversiones!$B$2:$B$6,0)</f>
        <v>481.900876143988</v>
      </c>
      <c r="G20" s="17" t="n">
        <v>484.919728174603</v>
      </c>
      <c r="H20" s="17" t="s">
        <v>18</v>
      </c>
      <c r="I20" s="18" t="n">
        <f aca="false">G20/_xlfn.XLOOKUP(H20,conversiones!$A$2:$A$6,conversiones!$B$2:$B$6,0)</f>
        <v>10.6904701978528</v>
      </c>
      <c r="J20" s="17"/>
      <c r="K20" s="18" t="n">
        <f aca="false">_xlfn.XLOOKUP(C20,Ciclo!$A$2:$A$13,Ciclo!$D$2:$D$13,0)</f>
        <v>1</v>
      </c>
      <c r="L20" s="18" t="n">
        <f aca="false">F20*I20-J20</f>
        <v>5151.74695473646</v>
      </c>
      <c r="M20" s="19" t="n">
        <f aca="false">IF(J20=0,0,L20/J20)</f>
        <v>0</v>
      </c>
      <c r="N20" s="20" t="n">
        <f aca="false">M20*K20</f>
        <v>0</v>
      </c>
    </row>
    <row r="21" customFormat="false" ht="14.25" hidden="false" customHeight="false" outlineLevel="0" collapsed="false">
      <c r="A21" s="15" t="n">
        <v>2001</v>
      </c>
      <c r="B21" s="16" t="n">
        <f aca="false">DATE(A21,12,31)</f>
        <v>37256</v>
      </c>
      <c r="C21" s="17" t="s">
        <v>30</v>
      </c>
      <c r="D21" s="17" t="s">
        <v>32</v>
      </c>
      <c r="E21" s="17" t="n">
        <v>71.8788331833525</v>
      </c>
      <c r="F21" s="18" t="n">
        <f aca="false">E21*_xlfn.XLOOKUP(D21,conversiones!$A$2:$A$6,conversiones!$B$2:$B$6,0)</f>
        <v>1955.82305091902</v>
      </c>
      <c r="G21" s="17" t="n">
        <v>27.9820704365079</v>
      </c>
      <c r="H21" s="17" t="s">
        <v>32</v>
      </c>
      <c r="I21" s="18" t="n">
        <f aca="false">G21/_xlfn.XLOOKUP(H21,conversiones!$A$2:$A$6,conversiones!$B$2:$B$6,0)</f>
        <v>1.02837451071326</v>
      </c>
      <c r="J21" s="17"/>
      <c r="K21" s="18" t="n">
        <f aca="false">_xlfn.XLOOKUP(C21,Ciclo!$A$2:$A$13,Ciclo!$D$2:$D$13,0)</f>
        <v>1</v>
      </c>
      <c r="L21" s="18" t="n">
        <f aca="false">F21*I21-J21</f>
        <v>2011.31857303057</v>
      </c>
      <c r="M21" s="19" t="n">
        <f aca="false">IF(J21=0,0,L21/J21)</f>
        <v>0</v>
      </c>
      <c r="N21" s="20" t="n">
        <f aca="false">M21*K21</f>
        <v>0</v>
      </c>
    </row>
    <row r="22" customFormat="false" ht="14.25" hidden="false" customHeight="false" outlineLevel="0" collapsed="false">
      <c r="A22" s="15" t="n">
        <v>2001</v>
      </c>
      <c r="B22" s="16" t="n">
        <f aca="false">DATE(A22,12,31)</f>
        <v>37256</v>
      </c>
      <c r="C22" s="17" t="s">
        <v>33</v>
      </c>
      <c r="D22" s="17" t="s">
        <v>34</v>
      </c>
      <c r="E22" s="17" t="n">
        <v>1.99173966013748</v>
      </c>
      <c r="F22" s="18" t="n">
        <f aca="false">E22*_xlfn.XLOOKUP(D22,conversiones!$A$2:$A$6,conversiones!$B$2:$B$6,0)</f>
        <v>812.928542285112</v>
      </c>
      <c r="G22" s="17" t="n">
        <v>1084.48174007937</v>
      </c>
      <c r="H22" s="17" t="s">
        <v>34</v>
      </c>
      <c r="I22" s="18" t="n">
        <f aca="false">G22/_xlfn.XLOOKUP(H22,conversiones!$A$2:$A$6,conversiones!$B$2:$B$6,0)</f>
        <v>2.65706661785954</v>
      </c>
      <c r="J22" s="17"/>
      <c r="K22" s="18" t="n">
        <f aca="false">_xlfn.XLOOKUP(C22,Ciclo!$A$2:$A$13,Ciclo!$D$2:$D$13,0)</f>
        <v>1</v>
      </c>
      <c r="L22" s="18" t="n">
        <f aca="false">F22*I22-J22</f>
        <v>2160.00529241099</v>
      </c>
      <c r="M22" s="19" t="n">
        <f aca="false">IF(J22=0,0,L22/J22)</f>
        <v>0</v>
      </c>
      <c r="N22" s="20" t="n">
        <f aca="false">M22*K22</f>
        <v>0</v>
      </c>
    </row>
    <row r="23" customFormat="false" ht="14.25" hidden="false" customHeight="false" outlineLevel="0" collapsed="false">
      <c r="A23" s="15" t="n">
        <v>2001</v>
      </c>
      <c r="B23" s="16" t="n">
        <f aca="false">DATE(A23,12,31)</f>
        <v>37256</v>
      </c>
      <c r="C23" s="17" t="s">
        <v>28</v>
      </c>
      <c r="D23" s="17" t="s">
        <v>29</v>
      </c>
      <c r="E23" s="17" t="n">
        <v>1.76908070145016</v>
      </c>
      <c r="F23" s="18" t="n">
        <f aca="false">E23*_xlfn.XLOOKUP(D23,conversiones!$A$2:$A$6,conversiones!$B$2:$B$6,0)</f>
        <v>994.824841653483</v>
      </c>
      <c r="G23" s="17" t="n">
        <v>2130.34908333333</v>
      </c>
      <c r="H23" s="17" t="s">
        <v>29</v>
      </c>
      <c r="I23" s="18" t="n">
        <f aca="false">G23/_xlfn.XLOOKUP(H23,conversiones!$A$2:$A$6,conversiones!$B$2:$B$6,0)</f>
        <v>3.78836483859112</v>
      </c>
      <c r="J23" s="17"/>
      <c r="K23" s="18" t="n">
        <f aca="false">_xlfn.XLOOKUP(C23,Ciclo!$A$2:$A$13,Ciclo!$D$2:$D$13,0)</f>
        <v>3</v>
      </c>
      <c r="L23" s="18" t="n">
        <f aca="false">F23*I23-J23</f>
        <v>3768.75945067703</v>
      </c>
      <c r="M23" s="19" t="n">
        <f aca="false">IF(J23=0,0,L23/J23)</f>
        <v>0</v>
      </c>
      <c r="N23" s="20" t="n">
        <f aca="false">M23*K23</f>
        <v>0</v>
      </c>
    </row>
    <row r="24" customFormat="false" ht="14.25" hidden="false" customHeight="false" outlineLevel="0" collapsed="false">
      <c r="A24" s="15" t="n">
        <v>2001</v>
      </c>
      <c r="B24" s="16" t="n">
        <f aca="false">DATE(A24,12,31)</f>
        <v>37256</v>
      </c>
      <c r="C24" s="17" t="s">
        <v>26</v>
      </c>
      <c r="D24" s="17" t="s">
        <v>18</v>
      </c>
      <c r="E24" s="17" t="n">
        <v>5.9243550790867</v>
      </c>
      <c r="F24" s="18" t="n">
        <f aca="false">E24*_xlfn.XLOOKUP(D24,conversiones!$A$2:$A$6,conversiones!$B$2:$B$6,0)</f>
        <v>268.728746387373</v>
      </c>
      <c r="G24" s="17" t="n">
        <v>191.681333333333</v>
      </c>
      <c r="H24" s="17" t="s">
        <v>18</v>
      </c>
      <c r="I24" s="18" t="n">
        <f aca="false">G24/_xlfn.XLOOKUP(H24,conversiones!$A$2:$A$6,conversiones!$B$2:$B$6,0)</f>
        <v>4.22577895355672</v>
      </c>
      <c r="J24" s="17"/>
      <c r="K24" s="18" t="n">
        <f aca="false">_xlfn.XLOOKUP(C24,Ciclo!$A$2:$A$13,Ciclo!$D$2:$D$13,0)</f>
        <v>3</v>
      </c>
      <c r="L24" s="18" t="n">
        <f aca="false">F24*I24-J24</f>
        <v>1135.58828069944</v>
      </c>
      <c r="M24" s="19" t="n">
        <f aca="false">IF(J24=0,0,L24/J24)</f>
        <v>0</v>
      </c>
      <c r="N24" s="20" t="n">
        <f aca="false">M24*K24</f>
        <v>0</v>
      </c>
    </row>
    <row r="25" customFormat="false" ht="14.25" hidden="false" customHeight="false" outlineLevel="0" collapsed="false">
      <c r="A25" s="15" t="n">
        <v>2001</v>
      </c>
      <c r="B25" s="16" t="n">
        <f aca="false">DATE(A25,12,31)</f>
        <v>37256</v>
      </c>
      <c r="C25" s="17" t="s">
        <v>27</v>
      </c>
      <c r="D25" s="17" t="s">
        <v>18</v>
      </c>
      <c r="E25" s="17" t="n">
        <v>8.61173809348184</v>
      </c>
      <c r="F25" s="18" t="n">
        <f aca="false">E25*_xlfn.XLOOKUP(D25,conversiones!$A$2:$A$6,conversiones!$B$2:$B$6,0)</f>
        <v>390.628439920336</v>
      </c>
      <c r="G25" s="17" t="n">
        <v>209.194513888889</v>
      </c>
      <c r="H25" s="17" t="s">
        <v>18</v>
      </c>
      <c r="I25" s="18" t="n">
        <f aca="false">G25/_xlfn.XLOOKUP(H25,conversiones!$A$2:$A$6,conversiones!$B$2:$B$6,0)</f>
        <v>4.61187199931413</v>
      </c>
      <c r="J25" s="17"/>
      <c r="K25" s="18" t="n">
        <f aca="false">_xlfn.XLOOKUP(C25,Ciclo!$A$2:$A$13,Ciclo!$D$2:$D$13,0)</f>
        <v>2.4</v>
      </c>
      <c r="L25" s="18" t="n">
        <f aca="false">F25*I25-J25</f>
        <v>1801.52836420436</v>
      </c>
      <c r="M25" s="19" t="n">
        <f aca="false">IF(J25=0,0,L25/J25)</f>
        <v>0</v>
      </c>
      <c r="N25" s="20" t="n">
        <f aca="false">M25*K25</f>
        <v>0</v>
      </c>
    </row>
    <row r="26" customFormat="false" ht="14.25" hidden="false" customHeight="false" outlineLevel="0" collapsed="false">
      <c r="A26" s="15" t="n">
        <v>2002</v>
      </c>
      <c r="B26" s="16" t="n">
        <f aca="false">DATE(A26,12,31)</f>
        <v>37621</v>
      </c>
      <c r="C26" s="17" t="s">
        <v>16</v>
      </c>
      <c r="D26" s="17" t="s">
        <v>18</v>
      </c>
      <c r="E26" s="17" t="n">
        <v>4.37941122836838</v>
      </c>
      <c r="F26" s="18" t="n">
        <f aca="false">E26*_xlfn.XLOOKUP(D26,conversiones!$A$2:$A$6,conversiones!$B$2:$B$6,0)</f>
        <v>198.65009331879</v>
      </c>
      <c r="G26" s="17" t="n">
        <v>873.178951228456</v>
      </c>
      <c r="H26" s="17" t="s">
        <v>19</v>
      </c>
      <c r="I26" s="18" t="n">
        <f aca="false">G26/_xlfn.XLOOKUP(H26,conversiones!$A$2:$A$6,conversiones!$B$2:$B$6,0)</f>
        <v>7.93799046571324</v>
      </c>
      <c r="J26" s="17" t="n">
        <v>1921.06</v>
      </c>
      <c r="K26" s="18" t="n">
        <f aca="false">_xlfn.XLOOKUP(C26,Ciclo!$A$2:$A$13,Ciclo!$D$2:$D$13,0)</f>
        <v>2.4</v>
      </c>
      <c r="L26" s="18" t="n">
        <f aca="false">F26*I26-J26</f>
        <v>-344.177453222402</v>
      </c>
      <c r="M26" s="19" t="n">
        <f aca="false">IF(J26=0,0,L26/J26)</f>
        <v>-0.179160178871249</v>
      </c>
      <c r="N26" s="20" t="n">
        <f aca="false">M26*K26</f>
        <v>-0.429984429290999</v>
      </c>
    </row>
    <row r="27" customFormat="false" ht="14.25" hidden="false" customHeight="false" outlineLevel="0" collapsed="false">
      <c r="A27" s="15" t="n">
        <v>2002</v>
      </c>
      <c r="B27" s="16" t="n">
        <f aca="false">DATE(A27,12,31)</f>
        <v>37621</v>
      </c>
      <c r="C27" s="17" t="s">
        <v>20</v>
      </c>
      <c r="D27" s="17" t="s">
        <v>18</v>
      </c>
      <c r="E27" s="17" t="n">
        <v>1.79685581335229</v>
      </c>
      <c r="F27" s="18" t="n">
        <f aca="false">E27*_xlfn.XLOOKUP(D27,conversiones!$A$2:$A$6,conversiones!$B$2:$B$6,0)</f>
        <v>81.5053796936599</v>
      </c>
      <c r="G27" s="17" t="n">
        <v>125.811193970238</v>
      </c>
      <c r="H27" s="17" t="s">
        <v>18</v>
      </c>
      <c r="I27" s="18" t="n">
        <f aca="false">G27/_xlfn.XLOOKUP(H27,conversiones!$A$2:$A$6,conversiones!$B$2:$B$6,0)</f>
        <v>2.77361538735093</v>
      </c>
      <c r="J27" s="17" t="n">
        <v>531.935</v>
      </c>
      <c r="K27" s="18" t="n">
        <f aca="false">_xlfn.XLOOKUP(C27,Ciclo!$A$2:$A$13,Ciclo!$D$2:$D$13,0)</f>
        <v>3</v>
      </c>
      <c r="L27" s="18" t="n">
        <f aca="false">F27*I27-J27</f>
        <v>-305.870424729785</v>
      </c>
      <c r="M27" s="19" t="n">
        <f aca="false">IF(J27=0,0,L27/J27)</f>
        <v>-0.575014662937737</v>
      </c>
      <c r="N27" s="20" t="n">
        <f aca="false">M27*K27</f>
        <v>-1.72504398881321</v>
      </c>
    </row>
    <row r="28" customFormat="false" ht="14.25" hidden="false" customHeight="false" outlineLevel="0" collapsed="false">
      <c r="A28" s="15" t="n">
        <v>2002</v>
      </c>
      <c r="B28" s="16" t="n">
        <f aca="false">DATE(A28,12,31)</f>
        <v>37621</v>
      </c>
      <c r="C28" s="17" t="s">
        <v>23</v>
      </c>
      <c r="D28" s="17" t="s">
        <v>18</v>
      </c>
      <c r="E28" s="17" t="n">
        <v>23.064823189904</v>
      </c>
      <c r="F28" s="18" t="n">
        <f aca="false">E28*_xlfn.XLOOKUP(D28,conversiones!$A$2:$A$6,conversiones!$B$2:$B$6,0)</f>
        <v>1046.22037989405</v>
      </c>
      <c r="G28" s="17" t="n">
        <v>207.378628472222</v>
      </c>
      <c r="H28" s="17" t="s">
        <v>18</v>
      </c>
      <c r="I28" s="18" t="n">
        <f aca="false">G28/_xlfn.XLOOKUP(H28,conversiones!$A$2:$A$6,conversiones!$B$2:$B$6,0)</f>
        <v>4.57183925203311</v>
      </c>
      <c r="J28" s="17" t="n">
        <v>5786.34</v>
      </c>
      <c r="K28" s="18" t="n">
        <f aca="false">_xlfn.XLOOKUP(C28,Ciclo!$A$2:$A$13,Ciclo!$D$2:$D$13,0)</f>
        <v>4</v>
      </c>
      <c r="L28" s="18" t="n">
        <f aca="false">F28*I28-J28</f>
        <v>-1003.18860092341</v>
      </c>
      <c r="M28" s="19" t="n">
        <f aca="false">IF(J28=0,0,L28/J28)</f>
        <v>-0.173371872534868</v>
      </c>
      <c r="N28" s="20" t="n">
        <f aca="false">M28*K28</f>
        <v>-0.693487490139472</v>
      </c>
    </row>
    <row r="29" customFormat="false" ht="14.25" hidden="false" customHeight="false" outlineLevel="0" collapsed="false">
      <c r="A29" s="15" t="n">
        <v>2002</v>
      </c>
      <c r="B29" s="16" t="n">
        <f aca="false">DATE(A29,12,31)</f>
        <v>37621</v>
      </c>
      <c r="C29" s="17" t="s">
        <v>21</v>
      </c>
      <c r="D29" s="17" t="s">
        <v>18</v>
      </c>
      <c r="E29" s="17" t="n">
        <v>8.39083719726034</v>
      </c>
      <c r="F29" s="18" t="n">
        <f aca="false">E29*_xlfn.XLOOKUP(D29,conversiones!$A$2:$A$6,conversiones!$B$2:$B$6,0)</f>
        <v>380.608375267729</v>
      </c>
      <c r="G29" s="17" t="n">
        <v>120.590532162698</v>
      </c>
      <c r="H29" s="17" t="s">
        <v>18</v>
      </c>
      <c r="I29" s="18" t="n">
        <f aca="false">G29/_xlfn.XLOOKUP(H29,conversiones!$A$2:$A$6,conversiones!$B$2:$B$6,0)</f>
        <v>2.65852143215825</v>
      </c>
      <c r="J29" s="17" t="n">
        <v>945.93</v>
      </c>
      <c r="K29" s="18" t="n">
        <f aca="false">_xlfn.XLOOKUP(C29,Ciclo!$A$2:$A$13,Ciclo!$D$2:$D$13,0)</f>
        <v>2</v>
      </c>
      <c r="L29" s="18" t="n">
        <f aca="false">F29*I29-J29</f>
        <v>65.9255229081859</v>
      </c>
      <c r="M29" s="19" t="n">
        <f aca="false">IF(J29=0,0,L29/J29)</f>
        <v>0.0696938704853276</v>
      </c>
      <c r="N29" s="20" t="n">
        <f aca="false">M29*K29</f>
        <v>0.139387740970655</v>
      </c>
    </row>
    <row r="30" customFormat="false" ht="14.25" hidden="false" customHeight="false" outlineLevel="0" collapsed="false">
      <c r="A30" s="15" t="n">
        <v>2002</v>
      </c>
      <c r="B30" s="16" t="n">
        <f aca="false">DATE(A30,12,31)</f>
        <v>37621</v>
      </c>
      <c r="C30" s="17" t="s">
        <v>25</v>
      </c>
      <c r="D30" s="17" t="s">
        <v>18</v>
      </c>
      <c r="E30" s="17" t="n">
        <v>9.69527069778329</v>
      </c>
      <c r="F30" s="18" t="n">
        <f aca="false">E30*_xlfn.XLOOKUP(D30,conversiones!$A$2:$A$6,conversiones!$B$2:$B$6,0)</f>
        <v>439.77747885145</v>
      </c>
      <c r="G30" s="17" t="n">
        <v>94.6398896081349</v>
      </c>
      <c r="H30" s="17" t="s">
        <v>18</v>
      </c>
      <c r="I30" s="18" t="n">
        <f aca="false">G30/_xlfn.XLOOKUP(H30,conversiones!$A$2:$A$6,conversiones!$B$2:$B$6,0)</f>
        <v>2.08641731940333</v>
      </c>
      <c r="J30" s="17" t="n">
        <v>966.8</v>
      </c>
      <c r="K30" s="18" t="n">
        <f aca="false">_xlfn.XLOOKUP(C30,Ciclo!$A$2:$A$13,Ciclo!$D$2:$D$13,0)</f>
        <v>1.2</v>
      </c>
      <c r="L30" s="18" t="n">
        <f aca="false">F30*I30-J30</f>
        <v>-49.2406514408046</v>
      </c>
      <c r="M30" s="19" t="n">
        <f aca="false">IF(J30=0,0,L30/J30)</f>
        <v>-0.0509315798932609</v>
      </c>
      <c r="N30" s="20" t="n">
        <f aca="false">M30*K30</f>
        <v>-0.0611178958719131</v>
      </c>
    </row>
    <row r="31" customFormat="false" ht="14.25" hidden="false" customHeight="false" outlineLevel="0" collapsed="false">
      <c r="A31" s="15" t="n">
        <v>2002</v>
      </c>
      <c r="B31" s="16" t="n">
        <f aca="false">DATE(A31,12,31)</f>
        <v>37621</v>
      </c>
      <c r="C31" s="17" t="s">
        <v>22</v>
      </c>
      <c r="D31" s="17" t="s">
        <v>18</v>
      </c>
      <c r="E31" s="17" t="n">
        <v>9.34461822234177</v>
      </c>
      <c r="F31" s="18" t="n">
        <f aca="false">E31*_xlfn.XLOOKUP(D31,conversiones!$A$2:$A$6,conversiones!$B$2:$B$6,0)</f>
        <v>423.871882565423</v>
      </c>
      <c r="G31" s="17" t="n">
        <v>327.287055555556</v>
      </c>
      <c r="H31" s="17" t="s">
        <v>18</v>
      </c>
      <c r="I31" s="18" t="n">
        <f aca="false">G31/_xlfn.XLOOKUP(H31,conversiones!$A$2:$A$6,conversiones!$B$2:$B$6,0)</f>
        <v>7.21532309425829</v>
      </c>
      <c r="J31" s="17" t="n">
        <v>2751.22</v>
      </c>
      <c r="K31" s="18" t="n">
        <f aca="false">_xlfn.XLOOKUP(C31,Ciclo!$A$2:$A$13,Ciclo!$D$2:$D$13,0)</f>
        <v>1</v>
      </c>
      <c r="L31" s="18" t="n">
        <f aca="false">F31*I31-J31</f>
        <v>307.152583281032</v>
      </c>
      <c r="M31" s="19" t="n">
        <f aca="false">IF(J31=0,0,L31/J31)</f>
        <v>0.111642319873013</v>
      </c>
      <c r="N31" s="20" t="n">
        <f aca="false">M31*K31</f>
        <v>0.111642319873013</v>
      </c>
    </row>
    <row r="32" customFormat="false" ht="14.25" hidden="false" customHeight="false" outlineLevel="0" collapsed="false">
      <c r="A32" s="15" t="n">
        <v>2002</v>
      </c>
      <c r="B32" s="16" t="n">
        <f aca="false">DATE(A32,12,31)</f>
        <v>37621</v>
      </c>
      <c r="C32" s="17" t="s">
        <v>24</v>
      </c>
      <c r="D32" s="17" t="s">
        <v>18</v>
      </c>
      <c r="E32" s="17" t="n">
        <v>10.9671188143682</v>
      </c>
      <c r="F32" s="18" t="n">
        <f aca="false">E32*_xlfn.XLOOKUP(D32,conversiones!$A$2:$A$6,conversiones!$B$2:$B$6,0)</f>
        <v>497.468509419742</v>
      </c>
      <c r="G32" s="17" t="n">
        <v>391.233127976191</v>
      </c>
      <c r="H32" s="17" t="s">
        <v>18</v>
      </c>
      <c r="I32" s="18" t="n">
        <f aca="false">G32/_xlfn.XLOOKUP(H32,conversiones!$A$2:$A$6,conversiones!$B$2:$B$6,0)</f>
        <v>8.62506895891074</v>
      </c>
      <c r="J32" s="17" t="n">
        <v>1994.96</v>
      </c>
      <c r="K32" s="18" t="n">
        <f aca="false">_xlfn.XLOOKUP(C32,Ciclo!$A$2:$A$13,Ciclo!$D$2:$D$13,0)</f>
        <v>1</v>
      </c>
      <c r="L32" s="18" t="n">
        <f aca="false">F32*I32-J32</f>
        <v>2295.74019863181</v>
      </c>
      <c r="M32" s="19" t="n">
        <f aca="false">IF(J32=0,0,L32/J32)</f>
        <v>1.15077003981624</v>
      </c>
      <c r="N32" s="20" t="n">
        <f aca="false">M32*K32</f>
        <v>1.15077003981624</v>
      </c>
    </row>
    <row r="33" customFormat="false" ht="14.25" hidden="false" customHeight="false" outlineLevel="0" collapsed="false">
      <c r="A33" s="15" t="n">
        <v>2002</v>
      </c>
      <c r="B33" s="16" t="n">
        <f aca="false">DATE(A33,12,31)</f>
        <v>37621</v>
      </c>
      <c r="C33" s="17" t="s">
        <v>30</v>
      </c>
      <c r="D33" s="17" t="s">
        <v>32</v>
      </c>
      <c r="E33" s="17" t="n">
        <v>81.4185590450476</v>
      </c>
      <c r="F33" s="18" t="n">
        <f aca="false">E33*_xlfn.XLOOKUP(D33,conversiones!$A$2:$A$6,conversiones!$B$2:$B$6,0)</f>
        <v>2215.39899161575</v>
      </c>
      <c r="G33" s="17" t="n">
        <v>26.2307420634921</v>
      </c>
      <c r="H33" s="17" t="s">
        <v>32</v>
      </c>
      <c r="I33" s="18" t="n">
        <f aca="false">G33/_xlfn.XLOOKUP(H33,conversiones!$A$2:$A$6,conversiones!$B$2:$B$6,0)</f>
        <v>0.964011101194124</v>
      </c>
      <c r="J33" s="17" t="n">
        <v>3727.21</v>
      </c>
      <c r="K33" s="18" t="n">
        <f aca="false">_xlfn.XLOOKUP(C33,Ciclo!$A$2:$A$13,Ciclo!$D$2:$D$13,0)</f>
        <v>1</v>
      </c>
      <c r="L33" s="18" t="n">
        <f aca="false">F33*I33-J33</f>
        <v>-1591.54077850815</v>
      </c>
      <c r="M33" s="19" t="n">
        <f aca="false">IF(J33=0,0,L33/J33)</f>
        <v>-0.427005931650794</v>
      </c>
      <c r="N33" s="20" t="n">
        <f aca="false">M33*K33</f>
        <v>-0.427005931650794</v>
      </c>
    </row>
    <row r="34" customFormat="false" ht="14.25" hidden="false" customHeight="false" outlineLevel="0" collapsed="false">
      <c r="A34" s="15" t="n">
        <v>2002</v>
      </c>
      <c r="B34" s="16" t="n">
        <f aca="false">DATE(A34,12,31)</f>
        <v>37621</v>
      </c>
      <c r="C34" s="17" t="s">
        <v>33</v>
      </c>
      <c r="D34" s="17" t="s">
        <v>34</v>
      </c>
      <c r="E34" s="17" t="n">
        <v>1.84939444850377</v>
      </c>
      <c r="F34" s="18" t="n">
        <f aca="false">E34*_xlfn.XLOOKUP(D34,conversiones!$A$2:$A$6,conversiones!$B$2:$B$6,0)</f>
        <v>754.830344156814</v>
      </c>
      <c r="G34" s="17" t="n">
        <v>1184.58313948413</v>
      </c>
      <c r="H34" s="17" t="s">
        <v>34</v>
      </c>
      <c r="I34" s="18" t="n">
        <f aca="false">G34/_xlfn.XLOOKUP(H34,conversiones!$A$2:$A$6,conversiones!$B$2:$B$6,0)</f>
        <v>2.90232301723418</v>
      </c>
      <c r="J34" s="17" t="n">
        <v>3949.84</v>
      </c>
      <c r="K34" s="18" t="n">
        <f aca="false">_xlfn.XLOOKUP(C34,Ciclo!$A$2:$A$13,Ciclo!$D$2:$D$13,0)</f>
        <v>1</v>
      </c>
      <c r="L34" s="18" t="n">
        <f aca="false">F34*I34-J34</f>
        <v>-1759.07851804688</v>
      </c>
      <c r="M34" s="19" t="n">
        <f aca="false">IF(J34=0,0,L34/J34)</f>
        <v>-0.445354373353575</v>
      </c>
      <c r="N34" s="20" t="n">
        <f aca="false">M34*K34</f>
        <v>-0.445354373353575</v>
      </c>
    </row>
    <row r="35" customFormat="false" ht="14.25" hidden="false" customHeight="false" outlineLevel="0" collapsed="false">
      <c r="A35" s="15" t="n">
        <v>2002</v>
      </c>
      <c r="B35" s="16" t="n">
        <f aca="false">DATE(A35,12,31)</f>
        <v>37621</v>
      </c>
      <c r="C35" s="17" t="s">
        <v>28</v>
      </c>
      <c r="D35" s="17" t="s">
        <v>29</v>
      </c>
      <c r="E35" s="17" t="n">
        <v>1.7971124997928</v>
      </c>
      <c r="F35" s="18" t="n">
        <f aca="false">E35*_xlfn.XLOOKUP(D35,conversiones!$A$2:$A$6,conversiones!$B$2:$B$6,0)</f>
        <v>1010.58824313348</v>
      </c>
      <c r="G35" s="17" t="n">
        <v>2767.66979166667</v>
      </c>
      <c r="H35" s="17" t="s">
        <v>29</v>
      </c>
      <c r="I35" s="18" t="n">
        <f aca="false">G35/_xlfn.XLOOKUP(H35,conversiones!$A$2:$A$6,conversiones!$B$2:$B$6,0)</f>
        <v>4.92170180258682</v>
      </c>
      <c r="J35" s="17" t="n">
        <v>3619.46</v>
      </c>
      <c r="K35" s="18" t="n">
        <f aca="false">_xlfn.XLOOKUP(C35,Ciclo!$A$2:$A$13,Ciclo!$D$2:$D$13,0)</f>
        <v>3</v>
      </c>
      <c r="L35" s="18" t="n">
        <f aca="false">F35*I35-J35</f>
        <v>1354.35397790311</v>
      </c>
      <c r="M35" s="19" t="n">
        <f aca="false">IF(J35=0,0,L35/J35)</f>
        <v>0.374186751035543</v>
      </c>
      <c r="N35" s="20" t="n">
        <f aca="false">M35*K35</f>
        <v>1.12256025310663</v>
      </c>
    </row>
    <row r="36" customFormat="false" ht="14.25" hidden="false" customHeight="false" outlineLevel="0" collapsed="false">
      <c r="A36" s="15" t="n">
        <v>2002</v>
      </c>
      <c r="B36" s="16" t="n">
        <f aca="false">DATE(A36,12,31)</f>
        <v>37621</v>
      </c>
      <c r="C36" s="17" t="s">
        <v>26</v>
      </c>
      <c r="D36" s="17" t="s">
        <v>18</v>
      </c>
      <c r="E36" s="17" t="n">
        <v>6.11509774672215</v>
      </c>
      <c r="F36" s="18" t="n">
        <f aca="false">E36*_xlfn.XLOOKUP(D36,conversiones!$A$2:$A$6,conversiones!$B$2:$B$6,0)</f>
        <v>277.380833791317</v>
      </c>
      <c r="G36" s="17" t="n">
        <v>208.94</v>
      </c>
      <c r="H36" s="17" t="s">
        <v>18</v>
      </c>
      <c r="I36" s="18" t="n">
        <f aca="false">G36/_xlfn.XLOOKUP(H36,conversiones!$A$2:$A$6,conversiones!$B$2:$B$6,0)</f>
        <v>4.60626102292769</v>
      </c>
      <c r="J36" s="17" t="n">
        <v>360.52</v>
      </c>
      <c r="K36" s="18" t="n">
        <f aca="false">_xlfn.XLOOKUP(C36,Ciclo!$A$2:$A$13,Ciclo!$D$2:$D$13,0)</f>
        <v>3</v>
      </c>
      <c r="L36" s="18" t="n">
        <f aca="false">F36*I36-J36</f>
        <v>917.168523200126</v>
      </c>
      <c r="M36" s="19" t="n">
        <f aca="false">IF(J36=0,0,L36/J36)</f>
        <v>2.5440156529461</v>
      </c>
      <c r="N36" s="20" t="n">
        <f aca="false">M36*K36</f>
        <v>7.63204695883829</v>
      </c>
    </row>
    <row r="37" customFormat="false" ht="14.25" hidden="false" customHeight="false" outlineLevel="0" collapsed="false">
      <c r="A37" s="15" t="n">
        <v>2002</v>
      </c>
      <c r="B37" s="16" t="n">
        <f aca="false">DATE(A37,12,31)</f>
        <v>37621</v>
      </c>
      <c r="C37" s="17" t="s">
        <v>27</v>
      </c>
      <c r="D37" s="17" t="s">
        <v>18</v>
      </c>
      <c r="E37" s="17" t="n">
        <v>9.42273373535324</v>
      </c>
      <c r="F37" s="18" t="n">
        <f aca="false">E37*_xlfn.XLOOKUP(D37,conversiones!$A$2:$A$6,conversiones!$B$2:$B$6,0)</f>
        <v>427.415202235623</v>
      </c>
      <c r="G37" s="17" t="n">
        <v>207.8</v>
      </c>
      <c r="H37" s="17" t="s">
        <v>18</v>
      </c>
      <c r="I37" s="18" t="n">
        <f aca="false">G37/_xlfn.XLOOKUP(H37,conversiones!$A$2:$A$6,conversiones!$B$2:$B$6,0)</f>
        <v>4.58112874779542</v>
      </c>
      <c r="J37" s="17" t="n">
        <v>2321.75</v>
      </c>
      <c r="K37" s="18" t="n">
        <f aca="false">_xlfn.XLOOKUP(C37,Ciclo!$A$2:$A$13,Ciclo!$D$2:$D$13,0)</f>
        <v>2.4</v>
      </c>
      <c r="L37" s="18" t="n">
        <f aca="false">F37*I37-J37</f>
        <v>-363.705929793597</v>
      </c>
      <c r="M37" s="19" t="n">
        <f aca="false">IF(J37=0,0,L37/J37)</f>
        <v>-0.156651633377236</v>
      </c>
      <c r="N37" s="20" t="n">
        <f aca="false">M37*K37</f>
        <v>-0.375963920105365</v>
      </c>
    </row>
    <row r="38" customFormat="false" ht="14.25" hidden="false" customHeight="false" outlineLevel="0" collapsed="false">
      <c r="A38" s="15" t="n">
        <v>2003</v>
      </c>
      <c r="B38" s="16" t="n">
        <f aca="false">DATE(A38,12,31)</f>
        <v>37986</v>
      </c>
      <c r="C38" s="17" t="s">
        <v>16</v>
      </c>
      <c r="D38" s="17" t="s">
        <v>18</v>
      </c>
      <c r="E38" s="17" t="n">
        <v>4.1810992993523</v>
      </c>
      <c r="F38" s="18" t="n">
        <f aca="false">E38*_xlfn.XLOOKUP(D38,conversiones!$A$2:$A$6,conversiones!$B$2:$B$6,0)</f>
        <v>189.65466421862</v>
      </c>
      <c r="G38" s="17" t="n">
        <v>1089.47799779978</v>
      </c>
      <c r="H38" s="17" t="s">
        <v>19</v>
      </c>
      <c r="I38" s="18" t="n">
        <f aca="false">G38/_xlfn.XLOOKUP(H38,conversiones!$A$2:$A$6,conversiones!$B$2:$B$6,0)</f>
        <v>9.90434543454346</v>
      </c>
      <c r="J38" s="17" t="n">
        <v>4275.41</v>
      </c>
      <c r="K38" s="18" t="n">
        <f aca="false">_xlfn.XLOOKUP(C38,Ciclo!$A$2:$A$13,Ciclo!$D$2:$D$13,0)</f>
        <v>2.4</v>
      </c>
      <c r="L38" s="18" t="n">
        <f aca="false">F38*I38-J38</f>
        <v>-2397.00469230644</v>
      </c>
      <c r="M38" s="19" t="n">
        <f aca="false">IF(J38=0,0,L38/J38)</f>
        <v>-0.560649082148013</v>
      </c>
      <c r="N38" s="20" t="n">
        <f aca="false">M38*K38</f>
        <v>-1.34555779715523</v>
      </c>
    </row>
    <row r="39" customFormat="false" ht="14.25" hidden="false" customHeight="false" outlineLevel="0" collapsed="false">
      <c r="A39" s="15" t="n">
        <v>2003</v>
      </c>
      <c r="B39" s="16" t="n">
        <f aca="false">DATE(A39,12,31)</f>
        <v>37986</v>
      </c>
      <c r="C39" s="17" t="s">
        <v>20</v>
      </c>
      <c r="D39" s="17" t="s">
        <v>18</v>
      </c>
      <c r="E39" s="17" t="n">
        <v>1.96555330360762</v>
      </c>
      <c r="F39" s="18" t="n">
        <f aca="false">E39*_xlfn.XLOOKUP(D39,conversiones!$A$2:$A$6,conversiones!$B$2:$B$6,0)</f>
        <v>89.1574978516417</v>
      </c>
      <c r="G39" s="17" t="n">
        <v>210.546136011905</v>
      </c>
      <c r="H39" s="17" t="s">
        <v>18</v>
      </c>
      <c r="I39" s="18" t="n">
        <f aca="false">G39/_xlfn.XLOOKUP(H39,conversiones!$A$2:$A$6,conversiones!$B$2:$B$6,0)</f>
        <v>4.64166966516545</v>
      </c>
      <c r="J39" s="17" t="n">
        <v>938.62</v>
      </c>
      <c r="K39" s="18" t="n">
        <f aca="false">_xlfn.XLOOKUP(C39,Ciclo!$A$2:$A$13,Ciclo!$D$2:$D$13,0)</f>
        <v>3</v>
      </c>
      <c r="L39" s="18" t="n">
        <f aca="false">F39*I39-J39</f>
        <v>-524.780346799981</v>
      </c>
      <c r="M39" s="19" t="n">
        <f aca="false">IF(J39=0,0,L39/J39)</f>
        <v>-0.55909776778673</v>
      </c>
      <c r="N39" s="20" t="n">
        <f aca="false">M39*K39</f>
        <v>-1.67729330336019</v>
      </c>
    </row>
    <row r="40" customFormat="false" ht="14.25" hidden="false" customHeight="false" outlineLevel="0" collapsed="false">
      <c r="A40" s="15" t="n">
        <v>2003</v>
      </c>
      <c r="B40" s="16" t="n">
        <f aca="false">DATE(A40,12,31)</f>
        <v>37986</v>
      </c>
      <c r="C40" s="17" t="s">
        <v>23</v>
      </c>
      <c r="D40" s="17" t="s">
        <v>18</v>
      </c>
      <c r="E40" s="17" t="n">
        <v>25.4645527197731</v>
      </c>
      <c r="F40" s="18" t="n">
        <f aca="false">E40*_xlfn.XLOOKUP(D40,conversiones!$A$2:$A$6,conversiones!$B$2:$B$6,0)</f>
        <v>1155.07211136891</v>
      </c>
      <c r="G40" s="17" t="n">
        <v>275.202569444444</v>
      </c>
      <c r="H40" s="17" t="s">
        <v>18</v>
      </c>
      <c r="I40" s="18" t="n">
        <f aca="false">G40/_xlfn.XLOOKUP(H40,conversiones!$A$2:$A$6,conversiones!$B$2:$B$6,0)</f>
        <v>6.06707604595335</v>
      </c>
      <c r="J40" s="17" t="n">
        <v>9309.96</v>
      </c>
      <c r="K40" s="18" t="n">
        <f aca="false">_xlfn.XLOOKUP(C40,Ciclo!$A$2:$A$13,Ciclo!$D$2:$D$13,0)</f>
        <v>4</v>
      </c>
      <c r="L40" s="18" t="n">
        <f aca="false">F40*I40-J40</f>
        <v>-2302.04966176494</v>
      </c>
      <c r="M40" s="19" t="n">
        <f aca="false">IF(J40=0,0,L40/J40)</f>
        <v>-0.247267406279397</v>
      </c>
      <c r="N40" s="20" t="n">
        <f aca="false">M40*K40</f>
        <v>-0.989069625117589</v>
      </c>
    </row>
    <row r="41" customFormat="false" ht="14.25" hidden="false" customHeight="false" outlineLevel="0" collapsed="false">
      <c r="A41" s="15" t="n">
        <v>2003</v>
      </c>
      <c r="B41" s="16" t="n">
        <f aca="false">DATE(A41,12,31)</f>
        <v>37986</v>
      </c>
      <c r="C41" s="17" t="s">
        <v>21</v>
      </c>
      <c r="D41" s="17" t="s">
        <v>18</v>
      </c>
      <c r="E41" s="17" t="n">
        <v>9.0045672555494</v>
      </c>
      <c r="F41" s="18" t="n">
        <f aca="false">E41*_xlfn.XLOOKUP(D41,conversiones!$A$2:$A$6,conversiones!$B$2:$B$6,0)</f>
        <v>408.447170711721</v>
      </c>
      <c r="G41" s="17" t="n">
        <v>109.714219434524</v>
      </c>
      <c r="H41" s="17" t="s">
        <v>18</v>
      </c>
      <c r="I41" s="18" t="n">
        <f aca="false">G41/_xlfn.XLOOKUP(H41,conversiones!$A$2:$A$6,conversiones!$B$2:$B$6,0)</f>
        <v>2.41874381469409</v>
      </c>
      <c r="J41" s="17" t="n">
        <v>1545.78</v>
      </c>
      <c r="K41" s="18" t="n">
        <f aca="false">_xlfn.XLOOKUP(C41,Ciclo!$A$2:$A$13,Ciclo!$D$2:$D$13,0)</f>
        <v>2</v>
      </c>
      <c r="L41" s="18" t="n">
        <f aca="false">F41*I41-J41</f>
        <v>-557.850932211724</v>
      </c>
      <c r="M41" s="19" t="n">
        <f aca="false">IF(J41=0,0,L41/J41)</f>
        <v>-0.360886369478013</v>
      </c>
      <c r="N41" s="20" t="n">
        <f aca="false">M41*K41</f>
        <v>-0.721772738956027</v>
      </c>
    </row>
    <row r="42" customFormat="false" ht="14.25" hidden="false" customHeight="false" outlineLevel="0" collapsed="false">
      <c r="A42" s="15" t="n">
        <v>2003</v>
      </c>
      <c r="B42" s="16" t="n">
        <f aca="false">DATE(A42,12,31)</f>
        <v>37986</v>
      </c>
      <c r="C42" s="17" t="s">
        <v>25</v>
      </c>
      <c r="D42" s="17" t="s">
        <v>18</v>
      </c>
      <c r="E42" s="17" t="n">
        <v>10.1366390549272</v>
      </c>
      <c r="F42" s="18" t="n">
        <f aca="false">E42*_xlfn.XLOOKUP(D42,conversiones!$A$2:$A$6,conversiones!$B$2:$B$6,0)</f>
        <v>459.797947531498</v>
      </c>
      <c r="G42" s="17" t="n">
        <v>102.463844146825</v>
      </c>
      <c r="H42" s="17" t="s">
        <v>18</v>
      </c>
      <c r="I42" s="18" t="n">
        <f aca="false">G42/_xlfn.XLOOKUP(H42,conversiones!$A$2:$A$6,conversiones!$B$2:$B$6,0)</f>
        <v>2.25890308965664</v>
      </c>
      <c r="J42" s="17" t="n">
        <v>1396.74</v>
      </c>
      <c r="K42" s="18" t="n">
        <f aca="false">_xlfn.XLOOKUP(C42,Ciclo!$A$2:$A$13,Ciclo!$D$2:$D$13,0)</f>
        <v>1.2</v>
      </c>
      <c r="L42" s="18" t="n">
        <f aca="false">F42*I42-J42</f>
        <v>-358.10099570332</v>
      </c>
      <c r="M42" s="19" t="n">
        <f aca="false">IF(J42=0,0,L42/J42)</f>
        <v>-0.256383432638372</v>
      </c>
      <c r="N42" s="20" t="n">
        <f aca="false">M42*K42</f>
        <v>-0.307660119166047</v>
      </c>
    </row>
    <row r="43" customFormat="false" ht="14.25" hidden="false" customHeight="false" outlineLevel="0" collapsed="false">
      <c r="A43" s="15" t="n">
        <v>2003</v>
      </c>
      <c r="B43" s="16" t="n">
        <f aca="false">DATE(A43,12,31)</f>
        <v>37986</v>
      </c>
      <c r="C43" s="17" t="s">
        <v>22</v>
      </c>
      <c r="D43" s="17" t="s">
        <v>18</v>
      </c>
      <c r="E43" s="17" t="n">
        <v>9.6123181360157</v>
      </c>
      <c r="F43" s="18" t="n">
        <f aca="false">E43*_xlfn.XLOOKUP(D43,conversiones!$A$2:$A$6,conversiones!$B$2:$B$6,0)</f>
        <v>436.014750649672</v>
      </c>
      <c r="G43" s="17" t="n">
        <v>341.842864583333</v>
      </c>
      <c r="H43" s="17" t="s">
        <v>18</v>
      </c>
      <c r="I43" s="18" t="n">
        <f aca="false">G43/_xlfn.XLOOKUP(H43,conversiones!$A$2:$A$6,conversiones!$B$2:$B$6,0)</f>
        <v>7.53621835501175</v>
      </c>
      <c r="J43" s="17" t="n">
        <v>3985.46</v>
      </c>
      <c r="K43" s="18" t="n">
        <f aca="false">_xlfn.XLOOKUP(C43,Ciclo!$A$2:$A$13,Ciclo!$D$2:$D$13,0)</f>
        <v>1</v>
      </c>
      <c r="L43" s="18" t="n">
        <f aca="false">F43*I43-J43</f>
        <v>-699.557633098069</v>
      </c>
      <c r="M43" s="19" t="n">
        <f aca="false">IF(J43=0,0,L43/J43)</f>
        <v>-0.175527450557293</v>
      </c>
      <c r="N43" s="20" t="n">
        <f aca="false">M43*K43</f>
        <v>-0.175527450557293</v>
      </c>
    </row>
    <row r="44" customFormat="false" ht="14.25" hidden="false" customHeight="false" outlineLevel="0" collapsed="false">
      <c r="A44" s="15" t="n">
        <v>2003</v>
      </c>
      <c r="B44" s="16" t="n">
        <f aca="false">DATE(A44,12,31)</f>
        <v>37986</v>
      </c>
      <c r="C44" s="17" t="s">
        <v>24</v>
      </c>
      <c r="D44" s="17" t="s">
        <v>18</v>
      </c>
      <c r="E44" s="17" t="n">
        <v>15.4505143260783</v>
      </c>
      <c r="F44" s="18" t="n">
        <f aca="false">E44*_xlfn.XLOOKUP(D44,conversiones!$A$2:$A$6,conversiones!$B$2:$B$6,0)</f>
        <v>700.835329830912</v>
      </c>
      <c r="G44" s="17" t="n">
        <v>363.087652777778</v>
      </c>
      <c r="H44" s="17" t="s">
        <v>18</v>
      </c>
      <c r="I44" s="18" t="n">
        <f aca="false">G44/_xlfn.XLOOKUP(H44,conversiones!$A$2:$A$6,conversiones!$B$2:$B$6,0)</f>
        <v>8.00457788310798</v>
      </c>
      <c r="J44" s="17" t="n">
        <v>3188.34</v>
      </c>
      <c r="K44" s="18" t="n">
        <f aca="false">_xlfn.XLOOKUP(C44,Ciclo!$A$2:$A$13,Ciclo!$D$2:$D$13,0)</f>
        <v>1</v>
      </c>
      <c r="L44" s="18" t="n">
        <f aca="false">F44*I44-J44</f>
        <v>2421.5509808652</v>
      </c>
      <c r="M44" s="19" t="n">
        <f aca="false">IF(J44=0,0,L44/J44)</f>
        <v>0.759502117360508</v>
      </c>
      <c r="N44" s="20" t="n">
        <f aca="false">M44*K44</f>
        <v>0.759502117360508</v>
      </c>
    </row>
    <row r="45" customFormat="false" ht="14.25" hidden="false" customHeight="false" outlineLevel="0" collapsed="false">
      <c r="A45" s="15" t="n">
        <v>2003</v>
      </c>
      <c r="B45" s="16" t="n">
        <f aca="false">DATE(A45,12,31)</f>
        <v>37986</v>
      </c>
      <c r="C45" s="17" t="s">
        <v>30</v>
      </c>
      <c r="D45" s="17" t="s">
        <v>32</v>
      </c>
      <c r="E45" s="17" t="n">
        <v>81.4461711007135</v>
      </c>
      <c r="F45" s="18" t="n">
        <f aca="false">E45*_xlfn.XLOOKUP(D45,conversiones!$A$2:$A$6,conversiones!$B$2:$B$6,0)</f>
        <v>2216.15031565041</v>
      </c>
      <c r="G45" s="17" t="n">
        <v>32.0912182539683</v>
      </c>
      <c r="H45" s="17" t="s">
        <v>32</v>
      </c>
      <c r="I45" s="18" t="n">
        <f aca="false">G45/_xlfn.XLOOKUP(H45,conversiones!$A$2:$A$6,conversiones!$B$2:$B$6,0)</f>
        <v>1.17939060102787</v>
      </c>
      <c r="J45" s="17" t="n">
        <v>6435.96</v>
      </c>
      <c r="K45" s="18" t="n">
        <f aca="false">_xlfn.XLOOKUP(C45,Ciclo!$A$2:$A$13,Ciclo!$D$2:$D$13,0)</f>
        <v>1</v>
      </c>
      <c r="L45" s="18" t="n">
        <f aca="false">F45*I45-J45</f>
        <v>-3822.25314725696</v>
      </c>
      <c r="M45" s="19" t="n">
        <f aca="false">IF(J45=0,0,L45/J45)</f>
        <v>-0.593890134068104</v>
      </c>
      <c r="N45" s="20" t="n">
        <f aca="false">M45*K45</f>
        <v>-0.593890134068104</v>
      </c>
    </row>
    <row r="46" customFormat="false" ht="14.25" hidden="false" customHeight="false" outlineLevel="0" collapsed="false">
      <c r="A46" s="15" t="n">
        <v>2003</v>
      </c>
      <c r="B46" s="16" t="n">
        <f aca="false">DATE(A46,12,31)</f>
        <v>37986</v>
      </c>
      <c r="C46" s="17" t="s">
        <v>33</v>
      </c>
      <c r="D46" s="17" t="s">
        <v>34</v>
      </c>
      <c r="E46" s="17" t="n">
        <v>1.90893290785429</v>
      </c>
      <c r="F46" s="18" t="n">
        <f aca="false">E46*_xlfn.XLOOKUP(D46,conversiones!$A$2:$A$6,conversiones!$B$2:$B$6,0)</f>
        <v>779.130966340729</v>
      </c>
      <c r="G46" s="17" t="n">
        <v>1376.28299603175</v>
      </c>
      <c r="H46" s="17" t="s">
        <v>34</v>
      </c>
      <c r="I46" s="18" t="n">
        <f aca="false">G46/_xlfn.XLOOKUP(H46,conversiones!$A$2:$A$6,conversiones!$B$2:$B$6,0)</f>
        <v>3.37200293037302</v>
      </c>
      <c r="J46" s="17" t="n">
        <v>8666.64</v>
      </c>
      <c r="K46" s="18" t="n">
        <f aca="false">_xlfn.XLOOKUP(C46,Ciclo!$A$2:$A$13,Ciclo!$D$2:$D$13,0)</f>
        <v>1</v>
      </c>
      <c r="L46" s="18" t="n">
        <f aca="false">F46*I46-J46</f>
        <v>-6039.4080983547</v>
      </c>
      <c r="M46" s="19" t="n">
        <f aca="false">IF(J46=0,0,L46/J46)</f>
        <v>-0.696856924754541</v>
      </c>
      <c r="N46" s="20" t="n">
        <f aca="false">M46*K46</f>
        <v>-0.696856924754541</v>
      </c>
    </row>
    <row r="47" customFormat="false" ht="14.25" hidden="false" customHeight="false" outlineLevel="0" collapsed="false">
      <c r="A47" s="15" t="n">
        <v>2003</v>
      </c>
      <c r="B47" s="16" t="n">
        <f aca="false">DATE(A47,12,31)</f>
        <v>37986</v>
      </c>
      <c r="C47" s="17" t="s">
        <v>28</v>
      </c>
      <c r="D47" s="17" t="s">
        <v>29</v>
      </c>
      <c r="E47" s="17" t="n">
        <v>1.92230986184808</v>
      </c>
      <c r="F47" s="18" t="n">
        <f aca="false">E47*_xlfn.XLOOKUP(D47,conversiones!$A$2:$A$6,conversiones!$B$2:$B$6,0)</f>
        <v>1080.99172771165</v>
      </c>
      <c r="G47" s="17" t="n">
        <v>2131.1735868254</v>
      </c>
      <c r="H47" s="17" t="s">
        <v>29</v>
      </c>
      <c r="I47" s="18" t="n">
        <f aca="false">G47/_xlfn.XLOOKUP(H47,conversiones!$A$2:$A$6,conversiones!$B$2:$B$6,0)</f>
        <v>3.78983103962976</v>
      </c>
      <c r="J47" s="17" t="n">
        <v>7517.1463872</v>
      </c>
      <c r="K47" s="18" t="n">
        <f aca="false">_xlfn.XLOOKUP(C47,Ciclo!$A$2:$A$13,Ciclo!$D$2:$D$13,0)</f>
        <v>3</v>
      </c>
      <c r="L47" s="18" t="n">
        <f aca="false">F47*I47-J47</f>
        <v>-3420.37038393539</v>
      </c>
      <c r="M47" s="19" t="n">
        <f aca="false">IF(J47=0,0,L47/J47)</f>
        <v>-0.455009149450582</v>
      </c>
      <c r="N47" s="20" t="n">
        <f aca="false">M47*K47</f>
        <v>-1.36502744835175</v>
      </c>
    </row>
    <row r="48" customFormat="false" ht="14.25" hidden="false" customHeight="false" outlineLevel="0" collapsed="false">
      <c r="A48" s="15" t="n">
        <v>2003</v>
      </c>
      <c r="B48" s="16" t="n">
        <f aca="false">DATE(A48,12,31)</f>
        <v>37986</v>
      </c>
      <c r="C48" s="17" t="s">
        <v>26</v>
      </c>
      <c r="D48" s="17" t="s">
        <v>18</v>
      </c>
      <c r="E48" s="17" t="n">
        <v>5.91660486532741</v>
      </c>
      <c r="F48" s="18" t="n">
        <f aca="false">E48*_xlfn.XLOOKUP(D48,conversiones!$A$2:$A$6,conversiones!$B$2:$B$6,0)</f>
        <v>268.377196691251</v>
      </c>
      <c r="G48" s="17" t="n">
        <v>247.46</v>
      </c>
      <c r="H48" s="17" t="s">
        <v>18</v>
      </c>
      <c r="I48" s="18" t="n">
        <f aca="false">G48/_xlfn.XLOOKUP(H48,conversiones!$A$2:$A$6,conversiones!$B$2:$B$6,0)</f>
        <v>5.45546737213404</v>
      </c>
      <c r="J48" s="17" t="n">
        <v>1217.11</v>
      </c>
      <c r="K48" s="18" t="n">
        <f aca="false">_xlfn.XLOOKUP(C48,Ciclo!$A$2:$A$13,Ciclo!$D$2:$D$13,0)</f>
        <v>3</v>
      </c>
      <c r="L48" s="18" t="n">
        <f aca="false">F48*I48-J48</f>
        <v>247.013039973921</v>
      </c>
      <c r="M48" s="19" t="n">
        <f aca="false">IF(J48=0,0,L48/J48)</f>
        <v>0.202950464603792</v>
      </c>
      <c r="N48" s="20" t="n">
        <f aca="false">M48*K48</f>
        <v>0.608851393811375</v>
      </c>
    </row>
    <row r="49" customFormat="false" ht="14.25" hidden="false" customHeight="false" outlineLevel="0" collapsed="false">
      <c r="A49" s="15" t="n">
        <v>2003</v>
      </c>
      <c r="B49" s="16" t="n">
        <f aca="false">DATE(A49,12,31)</f>
        <v>37986</v>
      </c>
      <c r="C49" s="17" t="s">
        <v>27</v>
      </c>
      <c r="D49" s="17" t="s">
        <v>18</v>
      </c>
      <c r="E49" s="17" t="n">
        <v>9.41738694154941</v>
      </c>
      <c r="F49" s="18" t="n">
        <f aca="false">E49*_xlfn.XLOOKUP(D49,conversiones!$A$2:$A$6,conversiones!$B$2:$B$6,0)</f>
        <v>427.172671668681</v>
      </c>
      <c r="G49" s="17" t="n">
        <v>263.374045634921</v>
      </c>
      <c r="H49" s="17" t="s">
        <v>18</v>
      </c>
      <c r="I49" s="18" t="n">
        <f aca="false">G49/_xlfn.XLOOKUP(H49,conversiones!$A$2:$A$6,conversiones!$B$2:$B$6,0)</f>
        <v>5.80630612069932</v>
      </c>
      <c r="J49" s="17" t="n">
        <v>3938.29</v>
      </c>
      <c r="K49" s="18" t="n">
        <f aca="false">_xlfn.XLOOKUP(C49,Ciclo!$A$2:$A$13,Ciclo!$D$2:$D$13,0)</f>
        <v>2.4</v>
      </c>
      <c r="L49" s="18" t="n">
        <f aca="false">F49*I49-J49</f>
        <v>-1457.99470189466</v>
      </c>
      <c r="M49" s="19" t="n">
        <f aca="false">IF(J49=0,0,L49/J49)</f>
        <v>-0.370210091662792</v>
      </c>
      <c r="N49" s="20" t="n">
        <f aca="false">M49*K49</f>
        <v>-0.888504219990701</v>
      </c>
    </row>
    <row r="50" customFormat="false" ht="14.25" hidden="false" customHeight="false" outlineLevel="0" collapsed="false">
      <c r="A50" s="15" t="n">
        <v>2004</v>
      </c>
      <c r="B50" s="16" t="n">
        <f aca="false">DATE(A50,12,31)</f>
        <v>38352</v>
      </c>
      <c r="C50" s="17" t="s">
        <v>16</v>
      </c>
      <c r="D50" s="17" t="s">
        <v>18</v>
      </c>
      <c r="E50" s="17" t="n">
        <v>3.87959372235879</v>
      </c>
      <c r="F50" s="18" t="n">
        <f aca="false">E50*_xlfn.XLOOKUP(D50,conversiones!$A$2:$A$6,conversiones!$B$2:$B$6,0)</f>
        <v>175.978371246195</v>
      </c>
      <c r="G50" s="17" t="n">
        <v>1097.42652777778</v>
      </c>
      <c r="H50" s="17" t="s">
        <v>19</v>
      </c>
      <c r="I50" s="18" t="n">
        <f aca="false">G50/_xlfn.XLOOKUP(H50,conversiones!$A$2:$A$6,conversiones!$B$2:$B$6,0)</f>
        <v>9.97660479797982</v>
      </c>
      <c r="J50" s="17" t="n">
        <v>4376.41</v>
      </c>
      <c r="K50" s="18" t="n">
        <f aca="false">_xlfn.XLOOKUP(C50,Ciclo!$A$2:$A$13,Ciclo!$D$2:$D$13,0)</f>
        <v>2.4</v>
      </c>
      <c r="L50" s="18" t="n">
        <f aca="false">F50*I50-J50</f>
        <v>-2620.74333708454</v>
      </c>
      <c r="M50" s="19" t="n">
        <f aca="false">IF(J50=0,0,L50/J50)</f>
        <v>-0.598834052816016</v>
      </c>
      <c r="N50" s="20" t="n">
        <f aca="false">M50*K50</f>
        <v>-1.43720172675844</v>
      </c>
    </row>
    <row r="51" customFormat="false" ht="14.25" hidden="false" customHeight="false" outlineLevel="0" collapsed="false">
      <c r="A51" s="15" t="n">
        <v>2004</v>
      </c>
      <c r="B51" s="16" t="n">
        <f aca="false">DATE(A51,12,31)</f>
        <v>38352</v>
      </c>
      <c r="C51" s="17" t="s">
        <v>20</v>
      </c>
      <c r="D51" s="17" t="s">
        <v>18</v>
      </c>
      <c r="E51" s="17" t="n">
        <v>2.06922266998882</v>
      </c>
      <c r="F51" s="18" t="n">
        <f aca="false">E51*_xlfn.XLOOKUP(D51,conversiones!$A$2:$A$6,conversiones!$B$2:$B$6,0)</f>
        <v>93.8599403106929</v>
      </c>
      <c r="G51" s="17" t="n">
        <v>394.344316666667</v>
      </c>
      <c r="H51" s="17" t="s">
        <v>18</v>
      </c>
      <c r="I51" s="18" t="n">
        <f aca="false">G51/_xlfn.XLOOKUP(H51,conversiones!$A$2:$A$6,conversiones!$B$2:$B$6,0)</f>
        <v>8.69365777483834</v>
      </c>
      <c r="J51" s="17" t="n">
        <v>1100.66</v>
      </c>
      <c r="K51" s="18" t="n">
        <f aca="false">_xlfn.XLOOKUP(C51,Ciclo!$A$2:$A$13,Ciclo!$D$2:$D$13,0)</f>
        <v>3</v>
      </c>
      <c r="L51" s="18" t="n">
        <f aca="false">F51*I51-J51</f>
        <v>-284.673800172083</v>
      </c>
      <c r="M51" s="19" t="n">
        <f aca="false">IF(J51=0,0,L51/J51)</f>
        <v>-0.258639180284632</v>
      </c>
      <c r="N51" s="20" t="n">
        <f aca="false">M51*K51</f>
        <v>-0.775917540853895</v>
      </c>
    </row>
    <row r="52" customFormat="false" ht="14.25" hidden="false" customHeight="false" outlineLevel="0" collapsed="false">
      <c r="A52" s="15" t="n">
        <v>2004</v>
      </c>
      <c r="B52" s="16" t="n">
        <f aca="false">DATE(A52,12,31)</f>
        <v>38352</v>
      </c>
      <c r="C52" s="17" t="s">
        <v>23</v>
      </c>
      <c r="D52" s="17" t="s">
        <v>18</v>
      </c>
      <c r="E52" s="17" t="n">
        <v>24.9046537328094</v>
      </c>
      <c r="F52" s="18" t="n">
        <f aca="false">E52*_xlfn.XLOOKUP(D52,conversiones!$A$2:$A$6,conversiones!$B$2:$B$6,0)</f>
        <v>1129.67509332023</v>
      </c>
      <c r="G52" s="17" t="n">
        <v>584.114583333333</v>
      </c>
      <c r="H52" s="17" t="s">
        <v>18</v>
      </c>
      <c r="I52" s="18" t="n">
        <f aca="false">G52/_xlfn.XLOOKUP(H52,conversiones!$A$2:$A$6,conversiones!$B$2:$B$6,0)</f>
        <v>12.8773056290417</v>
      </c>
      <c r="J52" s="17" t="n">
        <v>9274.52</v>
      </c>
      <c r="K52" s="18" t="n">
        <f aca="false">_xlfn.XLOOKUP(C52,Ciclo!$A$2:$A$13,Ciclo!$D$2:$D$13,0)</f>
        <v>4</v>
      </c>
      <c r="L52" s="18" t="n">
        <f aca="false">F52*I52-J52</f>
        <v>5272.6514382009</v>
      </c>
      <c r="M52" s="19" t="n">
        <f aca="false">IF(J52=0,0,L52/J52)</f>
        <v>0.568509360937375</v>
      </c>
      <c r="N52" s="20" t="n">
        <f aca="false">M52*K52</f>
        <v>2.2740374437495</v>
      </c>
    </row>
    <row r="53" customFormat="false" ht="14.25" hidden="false" customHeight="false" outlineLevel="0" collapsed="false">
      <c r="A53" s="15" t="n">
        <v>2004</v>
      </c>
      <c r="B53" s="16" t="n">
        <f aca="false">DATE(A53,12,31)</f>
        <v>38352</v>
      </c>
      <c r="C53" s="17" t="s">
        <v>21</v>
      </c>
      <c r="D53" s="17" t="s">
        <v>18</v>
      </c>
      <c r="E53" s="17" t="n">
        <v>8.89386633938225</v>
      </c>
      <c r="F53" s="18" t="n">
        <f aca="false">E53*_xlfn.XLOOKUP(D53,conversiones!$A$2:$A$6,conversiones!$B$2:$B$6,0)</f>
        <v>403.425777154379</v>
      </c>
      <c r="G53" s="17" t="n">
        <v>305.803256944444</v>
      </c>
      <c r="H53" s="17" t="s">
        <v>18</v>
      </c>
      <c r="I53" s="18" t="n">
        <f aca="false">G53/_xlfn.XLOOKUP(H53,conversiones!$A$2:$A$6,conversiones!$B$2:$B$6,0)</f>
        <v>6.7416943770821</v>
      </c>
      <c r="J53" s="17" t="n">
        <v>3591.85</v>
      </c>
      <c r="K53" s="18" t="n">
        <f aca="false">_xlfn.XLOOKUP(C53,Ciclo!$A$2:$A$13,Ciclo!$D$2:$D$13,0)</f>
        <v>2</v>
      </c>
      <c r="L53" s="18" t="n">
        <f aca="false">F53*I53-J53</f>
        <v>-872.076706588348</v>
      </c>
      <c r="M53" s="19" t="n">
        <f aca="false">IF(J53=0,0,L53/J53)</f>
        <v>-0.242793186404874</v>
      </c>
      <c r="N53" s="20" t="n">
        <f aca="false">M53*K53</f>
        <v>-0.485586372809749</v>
      </c>
    </row>
    <row r="54" customFormat="false" ht="14.25" hidden="false" customHeight="false" outlineLevel="0" collapsed="false">
      <c r="A54" s="15" t="n">
        <v>2004</v>
      </c>
      <c r="B54" s="16" t="n">
        <f aca="false">DATE(A54,12,31)</f>
        <v>38352</v>
      </c>
      <c r="C54" s="17" t="s">
        <v>25</v>
      </c>
      <c r="D54" s="17" t="s">
        <v>18</v>
      </c>
      <c r="E54" s="17" t="n">
        <v>9.08256563376179</v>
      </c>
      <c r="F54" s="18" t="n">
        <f aca="false">E54*_xlfn.XLOOKUP(D54,conversiones!$A$2:$A$6,conversiones!$B$2:$B$6,0)</f>
        <v>411.985177147435</v>
      </c>
      <c r="G54" s="17" t="n">
        <v>490.194916574074</v>
      </c>
      <c r="H54" s="17" t="s">
        <v>18</v>
      </c>
      <c r="I54" s="18" t="n">
        <f aca="false">G54/_xlfn.XLOOKUP(H54,conversiones!$A$2:$A$6,conversiones!$B$2:$B$6,0)</f>
        <v>10.8067662384055</v>
      </c>
      <c r="J54" s="17" t="n">
        <v>1852.92</v>
      </c>
      <c r="K54" s="18" t="n">
        <f aca="false">_xlfn.XLOOKUP(C54,Ciclo!$A$2:$A$13,Ciclo!$D$2:$D$13,0)</f>
        <v>1.2</v>
      </c>
      <c r="L54" s="18" t="n">
        <f aca="false">F54*I54-J54</f>
        <v>2599.30750312041</v>
      </c>
      <c r="M54" s="19" t="n">
        <f aca="false">IF(J54=0,0,L54/J54)</f>
        <v>1.40281690689313</v>
      </c>
      <c r="N54" s="20" t="n">
        <f aca="false">M54*K54</f>
        <v>1.68338028827175</v>
      </c>
    </row>
    <row r="55" customFormat="false" ht="14.25" hidden="false" customHeight="false" outlineLevel="0" collapsed="false">
      <c r="A55" s="15" t="n">
        <v>2004</v>
      </c>
      <c r="B55" s="16" t="n">
        <f aca="false">DATE(A55,12,31)</f>
        <v>38352</v>
      </c>
      <c r="C55" s="17" t="s">
        <v>22</v>
      </c>
      <c r="D55" s="17" t="s">
        <v>18</v>
      </c>
      <c r="E55" s="17" t="n">
        <v>8.95560579335702</v>
      </c>
      <c r="F55" s="18" t="n">
        <f aca="false">E55*_xlfn.XLOOKUP(D55,conversiones!$A$2:$A$6,conversiones!$B$2:$B$6,0)</f>
        <v>406.226278786674</v>
      </c>
      <c r="G55" s="17" t="n">
        <v>632.259166666667</v>
      </c>
      <c r="H55" s="17" t="s">
        <v>18</v>
      </c>
      <c r="I55" s="18" t="n">
        <f aca="false">G55/_xlfn.XLOOKUP(H55,conversiones!$A$2:$A$6,conversiones!$B$2:$B$6,0)</f>
        <v>13.9386941504997</v>
      </c>
      <c r="J55" s="17" t="n">
        <v>3985.16</v>
      </c>
      <c r="K55" s="18" t="n">
        <f aca="false">_xlfn.XLOOKUP(C55,Ciclo!$A$2:$A$13,Ciclo!$D$2:$D$13,0)</f>
        <v>1</v>
      </c>
      <c r="L55" s="18" t="n">
        <f aca="false">F55*I55-J55</f>
        <v>1677.10385590308</v>
      </c>
      <c r="M55" s="19" t="n">
        <f aca="false">IF(J55=0,0,L55/J55)</f>
        <v>0.420837270248393</v>
      </c>
      <c r="N55" s="20" t="n">
        <f aca="false">M55*K55</f>
        <v>0.420837270248393</v>
      </c>
    </row>
    <row r="56" customFormat="false" ht="14.25" hidden="false" customHeight="false" outlineLevel="0" collapsed="false">
      <c r="A56" s="15" t="n">
        <v>2004</v>
      </c>
      <c r="B56" s="16" t="n">
        <f aca="false">DATE(A56,12,31)</f>
        <v>38352</v>
      </c>
      <c r="C56" s="17" t="s">
        <v>24</v>
      </c>
      <c r="D56" s="17" t="s">
        <v>18</v>
      </c>
      <c r="E56" s="17" t="n">
        <v>18.1437833986462</v>
      </c>
      <c r="F56" s="18" t="n">
        <f aca="false">E56*_xlfn.XLOOKUP(D56,conversiones!$A$2:$A$6,conversiones!$B$2:$B$6,0)</f>
        <v>823.002014962592</v>
      </c>
      <c r="G56" s="17" t="n">
        <v>927.129340277778</v>
      </c>
      <c r="H56" s="17" t="s">
        <v>18</v>
      </c>
      <c r="I56" s="18" t="n">
        <f aca="false">G56/_xlfn.XLOOKUP(H56,conversiones!$A$2:$A$6,conversiones!$B$2:$B$6,0)</f>
        <v>20.4393593535665</v>
      </c>
      <c r="J56" s="17" t="n">
        <v>2563.46</v>
      </c>
      <c r="K56" s="18" t="n">
        <f aca="false">_xlfn.XLOOKUP(C56,Ciclo!$A$2:$A$13,Ciclo!$D$2:$D$13,0)</f>
        <v>1</v>
      </c>
      <c r="L56" s="18" t="n">
        <f aca="false">F56*I56-J56</f>
        <v>14258.1739325298</v>
      </c>
      <c r="M56" s="19" t="n">
        <f aca="false">IF(J56=0,0,L56/J56)</f>
        <v>5.56208169135846</v>
      </c>
      <c r="N56" s="20" t="n">
        <f aca="false">M56*K56</f>
        <v>5.56208169135846</v>
      </c>
    </row>
    <row r="57" customFormat="false" ht="14.25" hidden="false" customHeight="false" outlineLevel="0" collapsed="false">
      <c r="A57" s="15" t="n">
        <v>2004</v>
      </c>
      <c r="B57" s="16" t="n">
        <f aca="false">DATE(A57,12,31)</f>
        <v>38352</v>
      </c>
      <c r="C57" s="17" t="s">
        <v>30</v>
      </c>
      <c r="D57" s="17" t="s">
        <v>32</v>
      </c>
      <c r="E57" s="17" t="n">
        <v>80.2578071053631</v>
      </c>
      <c r="F57" s="18" t="n">
        <f aca="false">E57*_xlfn.XLOOKUP(D57,conversiones!$A$2:$A$6,conversiones!$B$2:$B$6,0)</f>
        <v>2183.81493133693</v>
      </c>
      <c r="G57" s="17" t="n">
        <v>78.24</v>
      </c>
      <c r="H57" s="17" t="s">
        <v>32</v>
      </c>
      <c r="I57" s="18" t="n">
        <f aca="false">G57/_xlfn.XLOOKUP(H57,conversiones!$A$2:$A$6,conversiones!$B$2:$B$6,0)</f>
        <v>2.87541345093716</v>
      </c>
      <c r="J57" s="17" t="n">
        <v>6693.79</v>
      </c>
      <c r="K57" s="18" t="n">
        <f aca="false">_xlfn.XLOOKUP(C57,Ciclo!$A$2:$A$13,Ciclo!$D$2:$D$13,0)</f>
        <v>1</v>
      </c>
      <c r="L57" s="18" t="n">
        <f aca="false">F57*I57-J57</f>
        <v>-414.419172076392</v>
      </c>
      <c r="M57" s="19" t="n">
        <f aca="false">IF(J57=0,0,L57/J57)</f>
        <v>-0.0619109909447999</v>
      </c>
      <c r="N57" s="20" t="n">
        <f aca="false">M57*K57</f>
        <v>-0.0619109909447999</v>
      </c>
    </row>
    <row r="58" customFormat="false" ht="14.25" hidden="false" customHeight="false" outlineLevel="0" collapsed="false">
      <c r="A58" s="15" t="n">
        <v>2004</v>
      </c>
      <c r="B58" s="16" t="n">
        <f aca="false">DATE(A58,12,31)</f>
        <v>38352</v>
      </c>
      <c r="C58" s="17" t="s">
        <v>33</v>
      </c>
      <c r="D58" s="17" t="s">
        <v>34</v>
      </c>
      <c r="E58" s="17" t="n">
        <v>2.01924390581645</v>
      </c>
      <c r="F58" s="18" t="n">
        <f aca="false">E58*_xlfn.XLOOKUP(D58,conversiones!$A$2:$A$6,conversiones!$B$2:$B$6,0)</f>
        <v>824.154400158984</v>
      </c>
      <c r="G58" s="17" t="n">
        <v>2519.05</v>
      </c>
      <c r="H58" s="17" t="s">
        <v>34</v>
      </c>
      <c r="I58" s="18" t="n">
        <f aca="false">G58/_xlfn.XLOOKUP(H58,conversiones!$A$2:$A$6,conversiones!$B$2:$B$6,0)</f>
        <v>6.17187308587529</v>
      </c>
      <c r="J58" s="17" t="n">
        <v>8906.28</v>
      </c>
      <c r="K58" s="18" t="n">
        <f aca="false">_xlfn.XLOOKUP(C58,Ciclo!$A$2:$A$13,Ciclo!$D$2:$D$13,0)</f>
        <v>1</v>
      </c>
      <c r="L58" s="18" t="n">
        <f aca="false">F58*I58-J58</f>
        <v>-3819.70363905307</v>
      </c>
      <c r="M58" s="19" t="n">
        <f aca="false">IF(J58=0,0,L58/J58)</f>
        <v>-0.428877560446457</v>
      </c>
      <c r="N58" s="20" t="n">
        <f aca="false">M58*K58</f>
        <v>-0.428877560446457</v>
      </c>
    </row>
    <row r="59" customFormat="false" ht="14.25" hidden="false" customHeight="false" outlineLevel="0" collapsed="false">
      <c r="A59" s="15" t="n">
        <v>2004</v>
      </c>
      <c r="B59" s="16" t="n">
        <f aca="false">DATE(A59,12,31)</f>
        <v>38352</v>
      </c>
      <c r="C59" s="17" t="s">
        <v>28</v>
      </c>
      <c r="D59" s="17" t="s">
        <v>29</v>
      </c>
      <c r="E59" s="17" t="n">
        <v>1.48343516653473</v>
      </c>
      <c r="F59" s="18" t="n">
        <f aca="false">E59*_xlfn.XLOOKUP(D59,conversiones!$A$2:$A$6,conversiones!$B$2:$B$6,0)</f>
        <v>834.19493154914</v>
      </c>
      <c r="G59" s="17" t="n">
        <v>3223.71527777778</v>
      </c>
      <c r="H59" s="17" t="s">
        <v>29</v>
      </c>
      <c r="I59" s="18" t="n">
        <f aca="false">G59/_xlfn.XLOOKUP(H59,conversiones!$A$2:$A$6,conversiones!$B$2:$B$6,0)</f>
        <v>5.73268001169716</v>
      </c>
      <c r="J59" s="17" t="n">
        <v>7896.87291948</v>
      </c>
      <c r="K59" s="18" t="n">
        <f aca="false">_xlfn.XLOOKUP(C59,Ciclo!$A$2:$A$13,Ciclo!$D$2:$D$13,0)</f>
        <v>3</v>
      </c>
      <c r="L59" s="18" t="n">
        <f aca="false">F59*I59-J59</f>
        <v>-3114.70030952916</v>
      </c>
      <c r="M59" s="19" t="n">
        <f aca="false">IF(J59=0,0,L59/J59)</f>
        <v>-0.394421987195188</v>
      </c>
      <c r="N59" s="20" t="n">
        <f aca="false">M59*K59</f>
        <v>-1.18326596158556</v>
      </c>
    </row>
    <row r="60" customFormat="false" ht="14.25" hidden="false" customHeight="false" outlineLevel="0" collapsed="false">
      <c r="A60" s="15" t="n">
        <v>2004</v>
      </c>
      <c r="B60" s="16" t="n">
        <f aca="false">DATE(A60,12,31)</f>
        <v>38352</v>
      </c>
      <c r="C60" s="17" t="s">
        <v>26</v>
      </c>
      <c r="D60" s="17" t="s">
        <v>18</v>
      </c>
      <c r="E60" s="17" t="n">
        <v>6.80427805467452</v>
      </c>
      <c r="F60" s="18" t="n">
        <f aca="false">E60*_xlfn.XLOOKUP(D60,conversiones!$A$2:$A$6,conversiones!$B$2:$B$6,0)</f>
        <v>308.642052560036</v>
      </c>
      <c r="G60" s="17" t="n">
        <v>440.77</v>
      </c>
      <c r="H60" s="17" t="s">
        <v>18</v>
      </c>
      <c r="I60" s="18" t="n">
        <f aca="false">G60/_xlfn.XLOOKUP(H60,conversiones!$A$2:$A$6,conversiones!$B$2:$B$6,0)</f>
        <v>9.71715167548501</v>
      </c>
      <c r="J60" s="17" t="n">
        <v>1244.4</v>
      </c>
      <c r="K60" s="18" t="n">
        <f aca="false">_xlfn.XLOOKUP(C60,Ciclo!$A$2:$A$13,Ciclo!$D$2:$D$13,0)</f>
        <v>3</v>
      </c>
      <c r="L60" s="18" t="n">
        <f aca="false">F60*I60-J60</f>
        <v>1754.72163815889</v>
      </c>
      <c r="M60" s="19" t="n">
        <f aca="false">IF(J60=0,0,L60/J60)</f>
        <v>1.41009453403961</v>
      </c>
      <c r="N60" s="20" t="n">
        <f aca="false">M60*K60</f>
        <v>4.23028360211882</v>
      </c>
    </row>
    <row r="61" customFormat="false" ht="14.25" hidden="false" customHeight="false" outlineLevel="0" collapsed="false">
      <c r="A61" s="15" t="n">
        <v>2004</v>
      </c>
      <c r="B61" s="16" t="n">
        <f aca="false">DATE(A61,12,31)</f>
        <v>38352</v>
      </c>
      <c r="C61" s="17" t="s">
        <v>27</v>
      </c>
      <c r="D61" s="17" t="s">
        <v>18</v>
      </c>
      <c r="E61" s="17" t="n">
        <v>8.41977576704497</v>
      </c>
      <c r="F61" s="18" t="n">
        <f aca="false">E61*_xlfn.XLOOKUP(D61,conversiones!$A$2:$A$6,conversiones!$B$2:$B$6,0)</f>
        <v>381.92102879316</v>
      </c>
      <c r="G61" s="17" t="n">
        <v>381.37</v>
      </c>
      <c r="H61" s="17" t="s">
        <v>18</v>
      </c>
      <c r="I61" s="18" t="n">
        <f aca="false">G61/_xlfn.XLOOKUP(H61,conversiones!$A$2:$A$6,conversiones!$B$2:$B$6,0)</f>
        <v>8.4076278659612</v>
      </c>
      <c r="J61" s="17" t="n">
        <v>4235.82</v>
      </c>
      <c r="K61" s="18" t="n">
        <f aca="false">_xlfn.XLOOKUP(C61,Ciclo!$A$2:$A$13,Ciclo!$D$2:$D$13,0)</f>
        <v>2.4</v>
      </c>
      <c r="L61" s="18" t="n">
        <f aca="false">F61*I61-J61</f>
        <v>-1024.77011572206</v>
      </c>
      <c r="M61" s="19" t="n">
        <f aca="false">IF(J61=0,0,L61/J61)</f>
        <v>-0.24192957106819</v>
      </c>
      <c r="N61" s="20" t="n">
        <f aca="false">M61*K61</f>
        <v>-0.580630970563656</v>
      </c>
    </row>
    <row r="62" customFormat="false" ht="14.25" hidden="false" customHeight="false" outlineLevel="0" collapsed="false">
      <c r="A62" s="15" t="n">
        <v>2005</v>
      </c>
      <c r="B62" s="16" t="n">
        <f aca="false">DATE(A62,12,31)</f>
        <v>38717</v>
      </c>
      <c r="C62" s="17" t="s">
        <v>16</v>
      </c>
      <c r="D62" s="17" t="s">
        <v>18</v>
      </c>
      <c r="E62" s="17" t="n">
        <v>3.78948840222566</v>
      </c>
      <c r="F62" s="18" t="n">
        <f aca="false">E62*_xlfn.XLOOKUP(D62,conversiones!$A$2:$A$6,conversiones!$B$2:$B$6,0)</f>
        <v>171.891193924956</v>
      </c>
      <c r="G62" s="17" t="n">
        <v>1040.53</v>
      </c>
      <c r="H62" s="17" t="s">
        <v>19</v>
      </c>
      <c r="I62" s="18" t="n">
        <f aca="false">G62/_xlfn.XLOOKUP(H62,conversiones!$A$2:$A$6,conversiones!$B$2:$B$6,0)</f>
        <v>9.45936363636364</v>
      </c>
      <c r="J62" s="17" t="n">
        <v>4807.32</v>
      </c>
      <c r="K62" s="18" t="n">
        <f aca="false">_xlfn.XLOOKUP(C62,Ciclo!$A$2:$A$13,Ciclo!$D$2:$D$13,0)</f>
        <v>2.4</v>
      </c>
      <c r="L62" s="18" t="n">
        <f aca="false">F62*I62-J62</f>
        <v>-3181.33869077514</v>
      </c>
      <c r="M62" s="19" t="n">
        <f aca="false">IF(J62=0,0,L62/J62)</f>
        <v>-0.66176969512642</v>
      </c>
      <c r="N62" s="20" t="n">
        <f aca="false">M62*K62</f>
        <v>-1.58824726830341</v>
      </c>
    </row>
    <row r="63" customFormat="false" ht="14.25" hidden="false" customHeight="false" outlineLevel="0" collapsed="false">
      <c r="A63" s="15" t="n">
        <v>2005</v>
      </c>
      <c r="B63" s="16" t="n">
        <f aca="false">DATE(A63,12,31)</f>
        <v>38717</v>
      </c>
      <c r="C63" s="17" t="s">
        <v>20</v>
      </c>
      <c r="D63" s="17" t="s">
        <v>18</v>
      </c>
      <c r="E63" s="17" t="n">
        <v>1.96969550703946</v>
      </c>
      <c r="F63" s="18" t="n">
        <f aca="false">E63*_xlfn.XLOOKUP(D63,conversiones!$A$2:$A$6,conversiones!$B$2:$B$6,0)</f>
        <v>89.3453881993099</v>
      </c>
      <c r="G63" s="17" t="n">
        <v>349.156012070106</v>
      </c>
      <c r="H63" s="17" t="s">
        <v>18</v>
      </c>
      <c r="I63" s="18" t="n">
        <f aca="false">G63/_xlfn.XLOOKUP(H63,conversiones!$A$2:$A$6,conversiones!$B$2:$B$6,0)</f>
        <v>7.69744294687183</v>
      </c>
      <c r="J63" s="17" t="n">
        <v>1327.7</v>
      </c>
      <c r="K63" s="18" t="n">
        <f aca="false">_xlfn.XLOOKUP(C63,Ciclo!$A$2:$A$13,Ciclo!$D$2:$D$13,0)</f>
        <v>3</v>
      </c>
      <c r="L63" s="18" t="n">
        <f aca="false">F63*I63-J63</f>
        <v>-639.968971769697</v>
      </c>
      <c r="M63" s="19" t="n">
        <f aca="false">IF(J63=0,0,L63/J63)</f>
        <v>-0.482013234744066</v>
      </c>
      <c r="N63" s="20" t="n">
        <f aca="false">M63*K63</f>
        <v>-1.4460397042322</v>
      </c>
    </row>
    <row r="64" customFormat="false" ht="14.25" hidden="false" customHeight="false" outlineLevel="0" collapsed="false">
      <c r="A64" s="15" t="n">
        <v>2005</v>
      </c>
      <c r="B64" s="16" t="n">
        <f aca="false">DATE(A64,12,31)</f>
        <v>38717</v>
      </c>
      <c r="C64" s="17" t="s">
        <v>23</v>
      </c>
      <c r="D64" s="17" t="s">
        <v>18</v>
      </c>
      <c r="E64" s="17" t="n">
        <v>30.6093097913323</v>
      </c>
      <c r="F64" s="18" t="n">
        <f aca="false">E64*_xlfn.XLOOKUP(D64,conversiones!$A$2:$A$6,conversiones!$B$2:$B$6,0)</f>
        <v>1388.43829213483</v>
      </c>
      <c r="G64" s="17" t="n">
        <v>607.594274305556</v>
      </c>
      <c r="H64" s="17" t="s">
        <v>18</v>
      </c>
      <c r="I64" s="18" t="n">
        <f aca="false">G64/_xlfn.XLOOKUP(H64,conversiones!$A$2:$A$6,conversiones!$B$2:$B$6,0)</f>
        <v>13.3949355005634</v>
      </c>
      <c r="J64" s="17" t="n">
        <v>10163.53</v>
      </c>
      <c r="K64" s="18" t="n">
        <f aca="false">_xlfn.XLOOKUP(C64,Ciclo!$A$2:$A$13,Ciclo!$D$2:$D$13,0)</f>
        <v>4</v>
      </c>
      <c r="L64" s="18" t="n">
        <f aca="false">F64*I64-J64</f>
        <v>8434.5113696585</v>
      </c>
      <c r="M64" s="19" t="n">
        <f aca="false">IF(J64=0,0,L64/J64)</f>
        <v>0.82988010756681</v>
      </c>
      <c r="N64" s="20" t="n">
        <f aca="false">M64*K64</f>
        <v>3.31952043026724</v>
      </c>
    </row>
    <row r="65" customFormat="false" ht="14.25" hidden="false" customHeight="false" outlineLevel="0" collapsed="false">
      <c r="A65" s="15" t="n">
        <v>2005</v>
      </c>
      <c r="B65" s="16" t="n">
        <f aca="false">DATE(A65,12,31)</f>
        <v>38717</v>
      </c>
      <c r="C65" s="17" t="s">
        <v>21</v>
      </c>
      <c r="D65" s="17" t="s">
        <v>18</v>
      </c>
      <c r="E65" s="17" t="n">
        <v>8.64339781328848</v>
      </c>
      <c r="F65" s="18" t="n">
        <f aca="false">E65*_xlfn.XLOOKUP(D65,conversiones!$A$2:$A$6,conversiones!$B$2:$B$6,0)</f>
        <v>392.064524810766</v>
      </c>
      <c r="G65" s="17" t="n">
        <v>332.518625</v>
      </c>
      <c r="H65" s="17" t="s">
        <v>18</v>
      </c>
      <c r="I65" s="18" t="n">
        <f aca="false">G65/_xlfn.XLOOKUP(H65,conversiones!$A$2:$A$6,conversiones!$B$2:$B$6,0)</f>
        <v>7.33065751763668</v>
      </c>
      <c r="J65" s="17" t="n">
        <v>2092.86</v>
      </c>
      <c r="K65" s="18" t="n">
        <f aca="false">_xlfn.XLOOKUP(C65,Ciclo!$A$2:$A$13,Ciclo!$D$2:$D$13,0)</f>
        <v>2</v>
      </c>
      <c r="L65" s="18" t="n">
        <f aca="false">F65*I65-J65</f>
        <v>781.230756202692</v>
      </c>
      <c r="M65" s="19" t="n">
        <f aca="false">IF(J65=0,0,L65/J65)</f>
        <v>0.373283810767415</v>
      </c>
      <c r="N65" s="20" t="n">
        <f aca="false">M65*K65</f>
        <v>0.74656762153483</v>
      </c>
    </row>
    <row r="66" customFormat="false" ht="14.25" hidden="false" customHeight="false" outlineLevel="0" collapsed="false">
      <c r="A66" s="15" t="n">
        <v>2005</v>
      </c>
      <c r="B66" s="16" t="n">
        <f aca="false">DATE(A66,12,31)</f>
        <v>38717</v>
      </c>
      <c r="C66" s="17" t="s">
        <v>25</v>
      </c>
      <c r="D66" s="17" t="s">
        <v>18</v>
      </c>
      <c r="E66" s="17" t="n">
        <v>9.22850594885645</v>
      </c>
      <c r="F66" s="18" t="n">
        <f aca="false">E66*_xlfn.XLOOKUP(D66,conversiones!$A$2:$A$6,conversiones!$B$2:$B$6,0)</f>
        <v>418.605029840129</v>
      </c>
      <c r="G66" s="17" t="n">
        <v>494.747405257936</v>
      </c>
      <c r="H66" s="17" t="s">
        <v>18</v>
      </c>
      <c r="I66" s="18" t="n">
        <f aca="false">G66/_xlfn.XLOOKUP(H66,conversiones!$A$2:$A$6,conversiones!$B$2:$B$6,0)</f>
        <v>10.9071297455453</v>
      </c>
      <c r="J66" s="17" t="n">
        <v>2314.215</v>
      </c>
      <c r="K66" s="18" t="n">
        <f aca="false">_xlfn.XLOOKUP(C66,Ciclo!$A$2:$A$13,Ciclo!$D$2:$D$13,0)</f>
        <v>1.2</v>
      </c>
      <c r="L66" s="18" t="n">
        <f aca="false">F66*I66-J66</f>
        <v>2251.56437260416</v>
      </c>
      <c r="M66" s="19" t="n">
        <f aca="false">IF(J66=0,0,L66/J66)</f>
        <v>0.972927914046083</v>
      </c>
      <c r="N66" s="20" t="n">
        <f aca="false">M66*K66</f>
        <v>1.1675134968553</v>
      </c>
    </row>
    <row r="67" customFormat="false" ht="14.25" hidden="false" customHeight="false" outlineLevel="0" collapsed="false">
      <c r="A67" s="15" t="n">
        <v>2005</v>
      </c>
      <c r="B67" s="16" t="n">
        <f aca="false">DATE(A67,12,31)</f>
        <v>38717</v>
      </c>
      <c r="C67" s="17" t="s">
        <v>22</v>
      </c>
      <c r="D67" s="17" t="s">
        <v>18</v>
      </c>
      <c r="E67" s="17" t="n">
        <v>7.81131162276153</v>
      </c>
      <c r="F67" s="18" t="n">
        <f aca="false">E67*_xlfn.XLOOKUP(D67,conversiones!$A$2:$A$6,conversiones!$B$2:$B$6,0)</f>
        <v>354.321095208463</v>
      </c>
      <c r="G67" s="17" t="n">
        <v>986.905347222222</v>
      </c>
      <c r="H67" s="17" t="s">
        <v>18</v>
      </c>
      <c r="I67" s="18" t="n">
        <f aca="false">G67/_xlfn.XLOOKUP(H67,conversiones!$A$2:$A$6,conversiones!$B$2:$B$6,0)</f>
        <v>21.7571725578091</v>
      </c>
      <c r="J67" s="17" t="n">
        <v>5853.83</v>
      </c>
      <c r="K67" s="18" t="n">
        <f aca="false">_xlfn.XLOOKUP(C67,Ciclo!$A$2:$A$13,Ciclo!$D$2:$D$13,0)</f>
        <v>1</v>
      </c>
      <c r="L67" s="18" t="n">
        <f aca="false">F67*I67-J67</f>
        <v>1855.19520932245</v>
      </c>
      <c r="M67" s="19" t="n">
        <f aca="false">IF(J67=0,0,L67/J67)</f>
        <v>0.316919898480558</v>
      </c>
      <c r="N67" s="20" t="n">
        <f aca="false">M67*K67</f>
        <v>0.316919898480558</v>
      </c>
    </row>
    <row r="68" customFormat="false" ht="14.25" hidden="false" customHeight="false" outlineLevel="0" collapsed="false">
      <c r="A68" s="15" t="n">
        <v>2005</v>
      </c>
      <c r="B68" s="16" t="n">
        <f aca="false">DATE(A68,12,31)</f>
        <v>38717</v>
      </c>
      <c r="C68" s="17" t="s">
        <v>24</v>
      </c>
      <c r="D68" s="17" t="s">
        <v>18</v>
      </c>
      <c r="E68" s="17" t="n">
        <v>8.91490999840705</v>
      </c>
      <c r="F68" s="18" t="n">
        <f aca="false">E68*_xlfn.XLOOKUP(D68,conversiones!$A$2:$A$6,conversiones!$B$2:$B$6,0)</f>
        <v>404.380317527744</v>
      </c>
      <c r="G68" s="17" t="n">
        <v>1043.68541666667</v>
      </c>
      <c r="H68" s="17" t="s">
        <v>18</v>
      </c>
      <c r="I68" s="18" t="n">
        <f aca="false">G68/_xlfn.XLOOKUP(H68,conversiones!$A$2:$A$6,conversiones!$B$2:$B$6,0)</f>
        <v>23.0089377572017</v>
      </c>
      <c r="J68" s="17" t="n">
        <v>4680.83</v>
      </c>
      <c r="K68" s="18" t="n">
        <f aca="false">_xlfn.XLOOKUP(C68,Ciclo!$A$2:$A$13,Ciclo!$D$2:$D$13,0)</f>
        <v>1</v>
      </c>
      <c r="L68" s="18" t="n">
        <f aca="false">F68*I68-J68</f>
        <v>4623.53155623332</v>
      </c>
      <c r="M68" s="19" t="n">
        <f aca="false">IF(J68=0,0,L68/J68)</f>
        <v>0.987758913746777</v>
      </c>
      <c r="N68" s="20" t="n">
        <f aca="false">M68*K68</f>
        <v>0.987758913746777</v>
      </c>
    </row>
    <row r="69" customFormat="false" ht="14.25" hidden="false" customHeight="false" outlineLevel="0" collapsed="false">
      <c r="A69" s="15" t="n">
        <v>2005</v>
      </c>
      <c r="B69" s="16" t="n">
        <f aca="false">DATE(A69,12,31)</f>
        <v>38717</v>
      </c>
      <c r="C69" s="17" t="s">
        <v>30</v>
      </c>
      <c r="D69" s="17" t="s">
        <v>32</v>
      </c>
      <c r="E69" s="17" t="n">
        <v>78.6589120026928</v>
      </c>
      <c r="F69" s="18" t="n">
        <f aca="false">E69*_xlfn.XLOOKUP(D69,conversiones!$A$2:$A$6,conversiones!$B$2:$B$6,0)</f>
        <v>2140.30899559327</v>
      </c>
      <c r="G69" s="17" t="n">
        <v>64.67</v>
      </c>
      <c r="H69" s="17" t="s">
        <v>32</v>
      </c>
      <c r="I69" s="18" t="n">
        <f aca="false">G69/_xlfn.XLOOKUP(H69,conversiones!$A$2:$A$6,conversiones!$B$2:$B$6,0)</f>
        <v>2.37669974274164</v>
      </c>
      <c r="J69" s="17" t="n">
        <v>7918.62</v>
      </c>
      <c r="K69" s="18" t="n">
        <f aca="false">_xlfn.XLOOKUP(C69,Ciclo!$A$2:$A$13,Ciclo!$D$2:$D$13,0)</f>
        <v>1</v>
      </c>
      <c r="L69" s="18" t="n">
        <f aca="false">F69*I69-J69</f>
        <v>-2831.74816078586</v>
      </c>
      <c r="M69" s="19" t="n">
        <f aca="false">IF(J69=0,0,L69/J69)</f>
        <v>-0.357606269878572</v>
      </c>
      <c r="N69" s="20" t="n">
        <f aca="false">M69*K69</f>
        <v>-0.357606269878572</v>
      </c>
    </row>
    <row r="70" customFormat="false" ht="14.25" hidden="false" customHeight="false" outlineLevel="0" collapsed="false">
      <c r="A70" s="15" t="n">
        <v>2005</v>
      </c>
      <c r="B70" s="16" t="n">
        <f aca="false">DATE(A70,12,31)</f>
        <v>38717</v>
      </c>
      <c r="C70" s="17" t="s">
        <v>33</v>
      </c>
      <c r="D70" s="17" t="s">
        <v>34</v>
      </c>
      <c r="E70" s="17" t="n">
        <v>2.44732863599582</v>
      </c>
      <c r="F70" s="18" t="n">
        <f aca="false">E70*_xlfn.XLOOKUP(D70,conversiones!$A$2:$A$6,conversiones!$B$2:$B$6,0)</f>
        <v>998.877182781694</v>
      </c>
      <c r="G70" s="17" t="n">
        <v>2614.64</v>
      </c>
      <c r="H70" s="17" t="s">
        <v>34</v>
      </c>
      <c r="I70" s="18" t="n">
        <f aca="false">G70/_xlfn.XLOOKUP(H70,conversiones!$A$2:$A$6,conversiones!$B$2:$B$6,0)</f>
        <v>6.40607619747642</v>
      </c>
      <c r="J70" s="17" t="n">
        <v>9928.24</v>
      </c>
      <c r="K70" s="18" t="n">
        <f aca="false">_xlfn.XLOOKUP(C70,Ciclo!$A$2:$A$13,Ciclo!$D$2:$D$13,0)</f>
        <v>1</v>
      </c>
      <c r="L70" s="18" t="n">
        <f aca="false">F70*I70-J70</f>
        <v>-3529.35665517989</v>
      </c>
      <c r="M70" s="19" t="n">
        <f aca="false">IF(J70=0,0,L70/J70)</f>
        <v>-0.355486637629619</v>
      </c>
      <c r="N70" s="20" t="n">
        <f aca="false">M70*K70</f>
        <v>-0.355486637629619</v>
      </c>
    </row>
    <row r="71" customFormat="false" ht="14.25" hidden="false" customHeight="false" outlineLevel="0" collapsed="false">
      <c r="A71" s="15" t="n">
        <v>2005</v>
      </c>
      <c r="B71" s="16" t="n">
        <f aca="false">DATE(A71,12,31)</f>
        <v>38717</v>
      </c>
      <c r="C71" s="17" t="s">
        <v>28</v>
      </c>
      <c r="D71" s="17" t="s">
        <v>29</v>
      </c>
      <c r="E71" s="17" t="n">
        <v>1.02450016286712</v>
      </c>
      <c r="F71" s="18" t="n">
        <f aca="false">E71*_xlfn.XLOOKUP(D71,conversiones!$A$2:$A$6,conversiones!$B$2:$B$6,0)</f>
        <v>576.117421586696</v>
      </c>
      <c r="G71" s="17" t="n">
        <v>3080.55104166667</v>
      </c>
      <c r="H71" s="17" t="s">
        <v>29</v>
      </c>
      <c r="I71" s="18" t="n">
        <f aca="false">G71/_xlfn.XLOOKUP(H71,conversiones!$A$2:$A$6,conversiones!$B$2:$B$6,0)</f>
        <v>5.47809339841852</v>
      </c>
      <c r="J71" s="17" t="n">
        <v>9027.66</v>
      </c>
      <c r="K71" s="18" t="n">
        <f aca="false">_xlfn.XLOOKUP(C71,Ciclo!$A$2:$A$13,Ciclo!$D$2:$D$13,0)</f>
        <v>3</v>
      </c>
      <c r="L71" s="18" t="n">
        <f aca="false">F71*I71-J71</f>
        <v>-5871.63495609202</v>
      </c>
      <c r="M71" s="19" t="n">
        <f aca="false">IF(J71=0,0,L71/J71)</f>
        <v>-0.650404972727376</v>
      </c>
      <c r="N71" s="20" t="n">
        <f aca="false">M71*K71</f>
        <v>-1.95121491818213</v>
      </c>
    </row>
    <row r="72" customFormat="false" ht="14.25" hidden="false" customHeight="false" outlineLevel="0" collapsed="false">
      <c r="A72" s="15" t="n">
        <v>2005</v>
      </c>
      <c r="B72" s="16" t="n">
        <f aca="false">DATE(A72,12,31)</f>
        <v>38717</v>
      </c>
      <c r="C72" s="17" t="s">
        <v>26</v>
      </c>
      <c r="D72" s="17" t="s">
        <v>18</v>
      </c>
      <c r="E72" s="17" t="n">
        <v>6.18504064561734</v>
      </c>
      <c r="F72" s="18" t="n">
        <f aca="false">E72*_xlfn.XLOOKUP(D72,conversiones!$A$2:$A$6,conversiones!$B$2:$B$6,0)</f>
        <v>280.553443685203</v>
      </c>
      <c r="G72" s="17" t="n">
        <v>483.43</v>
      </c>
      <c r="H72" s="17" t="s">
        <v>18</v>
      </c>
      <c r="I72" s="18" t="n">
        <f aca="false">G72/_xlfn.XLOOKUP(H72,conversiones!$A$2:$A$6,conversiones!$B$2:$B$6,0)</f>
        <v>10.6576278659612</v>
      </c>
      <c r="J72" s="17" t="n">
        <v>906.4</v>
      </c>
      <c r="K72" s="18" t="n">
        <f aca="false">_xlfn.XLOOKUP(C72,Ciclo!$A$2:$A$13,Ciclo!$D$2:$D$13,0)</f>
        <v>3</v>
      </c>
      <c r="L72" s="18" t="n">
        <f aca="false">F72*I72-J72</f>
        <v>2083.63419931079</v>
      </c>
      <c r="M72" s="19" t="n">
        <f aca="false">IF(J72=0,0,L72/J72)</f>
        <v>2.29880207337907</v>
      </c>
      <c r="N72" s="20" t="n">
        <f aca="false">M72*K72</f>
        <v>6.89640622013721</v>
      </c>
    </row>
    <row r="73" customFormat="false" ht="14.25" hidden="false" customHeight="false" outlineLevel="0" collapsed="false">
      <c r="A73" s="15" t="n">
        <v>2005</v>
      </c>
      <c r="B73" s="16" t="n">
        <f aca="false">DATE(A73,12,31)</f>
        <v>38717</v>
      </c>
      <c r="C73" s="17" t="s">
        <v>27</v>
      </c>
      <c r="D73" s="17" t="s">
        <v>18</v>
      </c>
      <c r="E73" s="17" t="n">
        <v>7.86364383111549</v>
      </c>
      <c r="F73" s="18" t="n">
        <f aca="false">E73*_xlfn.XLOOKUP(D73,conversiones!$A$2:$A$6,conversiones!$B$2:$B$6,0)</f>
        <v>356.694884179399</v>
      </c>
      <c r="G73" s="17" t="n">
        <v>251.940288194445</v>
      </c>
      <c r="H73" s="17" t="s">
        <v>18</v>
      </c>
      <c r="I73" s="18" t="n">
        <f aca="false">G73/_xlfn.XLOOKUP(H73,conversiones!$A$2:$A$6,conversiones!$B$2:$B$6,0)</f>
        <v>5.55423915772586</v>
      </c>
      <c r="J73" s="17" t="n">
        <v>5157.39</v>
      </c>
      <c r="K73" s="18" t="n">
        <f aca="false">_xlfn.XLOOKUP(C73,Ciclo!$A$2:$A$13,Ciclo!$D$2:$D$13,0)</f>
        <v>2.4</v>
      </c>
      <c r="L73" s="18" t="n">
        <f aca="false">F73*I73-J73</f>
        <v>-3176.22130693029</v>
      </c>
      <c r="M73" s="19" t="n">
        <f aca="false">IF(J73=0,0,L73/J73)</f>
        <v>-0.615858274617645</v>
      </c>
      <c r="N73" s="20" t="n">
        <f aca="false">M73*K73</f>
        <v>-1.47805985908235</v>
      </c>
    </row>
    <row r="74" customFormat="false" ht="14.25" hidden="false" customHeight="false" outlineLevel="0" collapsed="false">
      <c r="A74" s="15" t="n">
        <v>2006</v>
      </c>
      <c r="B74" s="16" t="n">
        <f aca="false">DATE(A74,12,31)</f>
        <v>39082</v>
      </c>
      <c r="C74" s="17" t="s">
        <v>16</v>
      </c>
      <c r="D74" s="17" t="s">
        <v>18</v>
      </c>
      <c r="E74" s="17" t="n">
        <v>4.22375938930642</v>
      </c>
      <c r="F74" s="18" t="n">
        <f aca="false">E74*_xlfn.XLOOKUP(D74,conversiones!$A$2:$A$6,conversiones!$B$2:$B$6,0)</f>
        <v>191.589725898939</v>
      </c>
      <c r="G74" s="17" t="n">
        <v>1006.56892222222</v>
      </c>
      <c r="H74" s="17" t="s">
        <v>19</v>
      </c>
      <c r="I74" s="18" t="n">
        <f aca="false">G74/_xlfn.XLOOKUP(H74,conversiones!$A$2:$A$6,conversiones!$B$2:$B$6,0)</f>
        <v>9.15062656565655</v>
      </c>
      <c r="J74" s="17" t="n">
        <v>4756.775</v>
      </c>
      <c r="K74" s="18" t="n">
        <f aca="false">_xlfn.XLOOKUP(C74,Ciclo!$A$2:$A$13,Ciclo!$D$2:$D$13,0)</f>
        <v>2.4</v>
      </c>
      <c r="L74" s="18" t="n">
        <f aca="false">F74*I74-J74</f>
        <v>-3003.60896448231</v>
      </c>
      <c r="M74" s="19" t="n">
        <f aca="false">IF(J74=0,0,L74/J74)</f>
        <v>-0.631438099233685</v>
      </c>
      <c r="N74" s="20" t="n">
        <f aca="false">M74*K74</f>
        <v>-1.51545143816084</v>
      </c>
    </row>
    <row r="75" customFormat="false" ht="14.25" hidden="false" customHeight="false" outlineLevel="0" collapsed="false">
      <c r="A75" s="15" t="n">
        <v>2006</v>
      </c>
      <c r="B75" s="16" t="n">
        <f aca="false">DATE(A75,12,31)</f>
        <v>39082</v>
      </c>
      <c r="C75" s="17" t="s">
        <v>20</v>
      </c>
      <c r="D75" s="17" t="s">
        <v>18</v>
      </c>
      <c r="E75" s="17" t="n">
        <v>1.92727987755021</v>
      </c>
      <c r="F75" s="18" t="n">
        <f aca="false">E75*_xlfn.XLOOKUP(D75,conversiones!$A$2:$A$6,conversiones!$B$2:$B$6,0)</f>
        <v>87.4214152456775</v>
      </c>
      <c r="G75" s="17" t="n">
        <v>418.261740555556</v>
      </c>
      <c r="H75" s="17" t="s">
        <v>18</v>
      </c>
      <c r="I75" s="18" t="n">
        <f aca="false">G75/_xlfn.XLOOKUP(H75,conversiones!$A$2:$A$6,conversiones!$B$2:$B$6,0)</f>
        <v>9.22093784293554</v>
      </c>
      <c r="J75" s="17" t="n">
        <v>1341.48</v>
      </c>
      <c r="K75" s="18" t="n">
        <f aca="false">_xlfn.XLOOKUP(C75,Ciclo!$A$2:$A$13,Ciclo!$D$2:$D$13,0)</f>
        <v>3</v>
      </c>
      <c r="L75" s="18" t="n">
        <f aca="false">F75*I75-J75</f>
        <v>-535.372563878151</v>
      </c>
      <c r="M75" s="19" t="n">
        <f aca="false">IF(J75=0,0,L75/J75)</f>
        <v>-0.399090977038905</v>
      </c>
      <c r="N75" s="20" t="n">
        <f aca="false">M75*K75</f>
        <v>-1.19727293111672</v>
      </c>
    </row>
    <row r="76" customFormat="false" ht="14.25" hidden="false" customHeight="false" outlineLevel="0" collapsed="false">
      <c r="A76" s="15" t="n">
        <v>2006</v>
      </c>
      <c r="B76" s="16" t="n">
        <f aca="false">DATE(A76,12,31)</f>
        <v>39082</v>
      </c>
      <c r="C76" s="17" t="s">
        <v>23</v>
      </c>
      <c r="D76" s="17" t="s">
        <v>18</v>
      </c>
      <c r="E76" s="17" t="n">
        <v>30.7998944033791</v>
      </c>
      <c r="F76" s="18" t="n">
        <f aca="false">E76*_xlfn.XLOOKUP(D76,conversiones!$A$2:$A$6,conversiones!$B$2:$B$6,0)</f>
        <v>1397.08321013728</v>
      </c>
      <c r="G76" s="17" t="n">
        <v>547.823582354798</v>
      </c>
      <c r="H76" s="17" t="s">
        <v>18</v>
      </c>
      <c r="I76" s="18" t="n">
        <f aca="false">G76/_xlfn.XLOOKUP(H76,conversiones!$A$2:$A$6,conversiones!$B$2:$B$6,0)</f>
        <v>12.077239469903</v>
      </c>
      <c r="J76" s="17" t="n">
        <v>10412.05</v>
      </c>
      <c r="K76" s="18" t="n">
        <f aca="false">_xlfn.XLOOKUP(C76,Ciclo!$A$2:$A$13,Ciclo!$D$2:$D$13,0)</f>
        <v>4</v>
      </c>
      <c r="L76" s="18" t="n">
        <f aca="false">F76*I76-J76</f>
        <v>6460.85848820863</v>
      </c>
      <c r="M76" s="19" t="n">
        <f aca="false">IF(J76=0,0,L76/J76)</f>
        <v>0.620517428192204</v>
      </c>
      <c r="N76" s="20" t="n">
        <f aca="false">M76*K76</f>
        <v>2.48206971276881</v>
      </c>
    </row>
    <row r="77" customFormat="false" ht="14.25" hidden="false" customHeight="false" outlineLevel="0" collapsed="false">
      <c r="A77" s="15" t="n">
        <v>2006</v>
      </c>
      <c r="B77" s="16" t="n">
        <f aca="false">DATE(A77,12,31)</f>
        <v>39082</v>
      </c>
      <c r="C77" s="17" t="s">
        <v>21</v>
      </c>
      <c r="D77" s="17" t="s">
        <v>18</v>
      </c>
      <c r="E77" s="17" t="n">
        <v>9.72636846467934</v>
      </c>
      <c r="F77" s="18" t="n">
        <f aca="false">E77*_xlfn.XLOOKUP(D77,conversiones!$A$2:$A$6,conversiones!$B$2:$B$6,0)</f>
        <v>441.188073557855</v>
      </c>
      <c r="G77" s="17" t="n">
        <v>303.850923888889</v>
      </c>
      <c r="H77" s="17" t="s">
        <v>18</v>
      </c>
      <c r="I77" s="18" t="n">
        <f aca="false">G77/_xlfn.XLOOKUP(H77,conversiones!$A$2:$A$6,conversiones!$B$2:$B$6,0)</f>
        <v>6.69865352488732</v>
      </c>
      <c r="J77" s="17" t="n">
        <v>2058.755</v>
      </c>
      <c r="K77" s="18" t="n">
        <f aca="false">_xlfn.XLOOKUP(C77,Ciclo!$A$2:$A$13,Ciclo!$D$2:$D$13,0)</f>
        <v>2</v>
      </c>
      <c r="L77" s="18" t="n">
        <f aca="false">F77*I77-J77</f>
        <v>896.611044076572</v>
      </c>
      <c r="M77" s="19" t="n">
        <f aca="false">IF(J77=0,0,L77/J77)</f>
        <v>0.43551128914153</v>
      </c>
      <c r="N77" s="20" t="n">
        <f aca="false">M77*K77</f>
        <v>0.871022578283061</v>
      </c>
    </row>
    <row r="78" customFormat="false" ht="14.25" hidden="false" customHeight="false" outlineLevel="0" collapsed="false">
      <c r="A78" s="15" t="n">
        <v>2006</v>
      </c>
      <c r="B78" s="16" t="n">
        <f aca="false">DATE(A78,12,31)</f>
        <v>39082</v>
      </c>
      <c r="C78" s="17" t="s">
        <v>25</v>
      </c>
      <c r="D78" s="17" t="s">
        <v>18</v>
      </c>
      <c r="E78" s="17" t="n">
        <v>10.0084381321526</v>
      </c>
      <c r="F78" s="18" t="n">
        <f aca="false">E78*_xlfn.XLOOKUP(D78,conversiones!$A$2:$A$6,conversiones!$B$2:$B$6,0)</f>
        <v>453.982753674442</v>
      </c>
      <c r="G78" s="17" t="n">
        <v>368.111802470238</v>
      </c>
      <c r="H78" s="17" t="s">
        <v>18</v>
      </c>
      <c r="I78" s="18" t="n">
        <f aca="false">G78/_xlfn.XLOOKUP(H78,conversiones!$A$2:$A$6,conversiones!$B$2:$B$6,0)</f>
        <v>8.11533956063135</v>
      </c>
      <c r="J78" s="17" t="n">
        <v>2287.145</v>
      </c>
      <c r="K78" s="18" t="n">
        <f aca="false">_xlfn.XLOOKUP(C78,Ciclo!$A$2:$A$13,Ciclo!$D$2:$D$13,0)</f>
        <v>1.2</v>
      </c>
      <c r="L78" s="18" t="n">
        <f aca="false">F78*I78-J78</f>
        <v>1397.07920073856</v>
      </c>
      <c r="M78" s="19" t="n">
        <f aca="false">IF(J78=0,0,L78/J78)</f>
        <v>0.610839802784063</v>
      </c>
      <c r="N78" s="20" t="n">
        <f aca="false">M78*K78</f>
        <v>0.733007763340876</v>
      </c>
    </row>
    <row r="79" customFormat="false" ht="14.25" hidden="false" customHeight="false" outlineLevel="0" collapsed="false">
      <c r="A79" s="15" t="n">
        <v>2006</v>
      </c>
      <c r="B79" s="16" t="n">
        <f aca="false">DATE(A79,12,31)</f>
        <v>39082</v>
      </c>
      <c r="C79" s="17" t="s">
        <v>22</v>
      </c>
      <c r="D79" s="17" t="s">
        <v>18</v>
      </c>
      <c r="E79" s="17" t="n">
        <v>8.87203867589663</v>
      </c>
      <c r="F79" s="18" t="n">
        <f aca="false">E79*_xlfn.XLOOKUP(D79,conversiones!$A$2:$A$6,conversiones!$B$2:$B$6,0)</f>
        <v>402.435674338671</v>
      </c>
      <c r="G79" s="17" t="n">
        <v>926.368819444444</v>
      </c>
      <c r="H79" s="17" t="s">
        <v>18</v>
      </c>
      <c r="I79" s="18" t="n">
        <f aca="false">G79/_xlfn.XLOOKUP(H79,conversiones!$A$2:$A$6,conversiones!$B$2:$B$6,0)</f>
        <v>20.422593021262</v>
      </c>
      <c r="J79" s="17" t="n">
        <v>5691.88</v>
      </c>
      <c r="K79" s="18" t="n">
        <f aca="false">_xlfn.XLOOKUP(C79,Ciclo!$A$2:$A$13,Ciclo!$D$2:$D$13,0)</f>
        <v>1</v>
      </c>
      <c r="L79" s="18" t="n">
        <f aca="false">F79*I79-J79</f>
        <v>2526.89999425581</v>
      </c>
      <c r="M79" s="19" t="n">
        <f aca="false">IF(J79=0,0,L79/J79)</f>
        <v>0.44394821996525</v>
      </c>
      <c r="N79" s="20" t="n">
        <f aca="false">M79*K79</f>
        <v>0.44394821996525</v>
      </c>
    </row>
    <row r="80" customFormat="false" ht="14.25" hidden="false" customHeight="false" outlineLevel="0" collapsed="false">
      <c r="A80" s="15" t="n">
        <v>2006</v>
      </c>
      <c r="B80" s="16" t="n">
        <f aca="false">DATE(A80,12,31)</f>
        <v>39082</v>
      </c>
      <c r="C80" s="17" t="s">
        <v>24</v>
      </c>
      <c r="D80" s="17" t="s">
        <v>18</v>
      </c>
      <c r="E80" s="17" t="n">
        <v>8.18564766693823</v>
      </c>
      <c r="F80" s="18" t="n">
        <f aca="false">E80*_xlfn.XLOOKUP(D80,conversiones!$A$2:$A$6,conversiones!$B$2:$B$6,0)</f>
        <v>371.300978172318</v>
      </c>
      <c r="G80" s="17" t="n">
        <v>898.594909722222</v>
      </c>
      <c r="H80" s="17" t="s">
        <v>18</v>
      </c>
      <c r="I80" s="18" t="n">
        <f aca="false">G80/_xlfn.XLOOKUP(H80,conversiones!$A$2:$A$6,conversiones!$B$2:$B$6,0)</f>
        <v>19.8102934242112</v>
      </c>
      <c r="J80" s="17" t="n">
        <v>4593.1</v>
      </c>
      <c r="K80" s="18" t="n">
        <f aca="false">_xlfn.XLOOKUP(C80,Ciclo!$A$2:$A$13,Ciclo!$D$2:$D$13,0)</f>
        <v>1</v>
      </c>
      <c r="L80" s="18" t="n">
        <f aca="false">F80*I80-J80</f>
        <v>2762.48132629028</v>
      </c>
      <c r="M80" s="19" t="n">
        <f aca="false">IF(J80=0,0,L80/J80)</f>
        <v>0.601441581130452</v>
      </c>
      <c r="N80" s="20" t="n">
        <f aca="false">M80*K80</f>
        <v>0.601441581130452</v>
      </c>
    </row>
    <row r="81" customFormat="false" ht="14.25" hidden="false" customHeight="false" outlineLevel="0" collapsed="false">
      <c r="A81" s="15" t="n">
        <v>2006</v>
      </c>
      <c r="B81" s="16" t="n">
        <f aca="false">DATE(A81,12,31)</f>
        <v>39082</v>
      </c>
      <c r="C81" s="17" t="s">
        <v>30</v>
      </c>
      <c r="D81" s="17" t="s">
        <v>32</v>
      </c>
      <c r="E81" s="17" t="n">
        <v>66.6254345660259</v>
      </c>
      <c r="F81" s="18" t="n">
        <f aca="false">E81*_xlfn.XLOOKUP(D81,conversiones!$A$2:$A$6,conversiones!$B$2:$B$6,0)</f>
        <v>1812.87807454157</v>
      </c>
      <c r="G81" s="17" t="n">
        <v>62.67</v>
      </c>
      <c r="H81" s="17" t="s">
        <v>32</v>
      </c>
      <c r="I81" s="18" t="n">
        <f aca="false">G81/_xlfn.XLOOKUP(H81,conversiones!$A$2:$A$6,conversiones!$B$2:$B$6,0)</f>
        <v>2.303197353914</v>
      </c>
      <c r="J81" s="17" t="n">
        <v>7154.19</v>
      </c>
      <c r="K81" s="18" t="n">
        <f aca="false">_xlfn.XLOOKUP(C81,Ciclo!$A$2:$A$13,Ciclo!$D$2:$D$13,0)</f>
        <v>1</v>
      </c>
      <c r="L81" s="18" t="n">
        <f aca="false">F81*I81-J81</f>
        <v>-2978.77401574716</v>
      </c>
      <c r="M81" s="19" t="n">
        <f aca="false">IF(J81=0,0,L81/J81)</f>
        <v>-0.41636775312749</v>
      </c>
      <c r="N81" s="20" t="n">
        <f aca="false">M81*K81</f>
        <v>-0.41636775312749</v>
      </c>
    </row>
    <row r="82" customFormat="false" ht="14.25" hidden="false" customHeight="false" outlineLevel="0" collapsed="false">
      <c r="A82" s="15" t="n">
        <v>2006</v>
      </c>
      <c r="B82" s="16" t="n">
        <f aca="false">DATE(A82,12,31)</f>
        <v>39082</v>
      </c>
      <c r="C82" s="17" t="s">
        <v>33</v>
      </c>
      <c r="D82" s="17" t="s">
        <v>34</v>
      </c>
      <c r="E82" s="17" t="n">
        <v>2.86702855991048</v>
      </c>
      <c r="F82" s="18" t="n">
        <f aca="false">E82*_xlfn.XLOOKUP(D82,conversiones!$A$2:$A$6,conversiones!$B$2:$B$6,0)</f>
        <v>1170.17770672746</v>
      </c>
      <c r="G82" s="17" t="n">
        <v>2327.75</v>
      </c>
      <c r="H82" s="17" t="s">
        <v>34</v>
      </c>
      <c r="I82" s="18" t="n">
        <f aca="false">G82/_xlfn.XLOOKUP(H82,conversiones!$A$2:$A$6,conversiones!$B$2:$B$6,0)</f>
        <v>5.70317285311773</v>
      </c>
      <c r="J82" s="17" t="n">
        <v>9504.44</v>
      </c>
      <c r="K82" s="18" t="n">
        <f aca="false">_xlfn.XLOOKUP(C82,Ciclo!$A$2:$A$13,Ciclo!$D$2:$D$13,0)</f>
        <v>1</v>
      </c>
      <c r="L82" s="18" t="n">
        <f aca="false">F82*I82-J82</f>
        <v>-2830.71426966838</v>
      </c>
      <c r="M82" s="19" t="n">
        <f aca="false">IF(J82=0,0,L82/J82)</f>
        <v>-0.297830726446627</v>
      </c>
      <c r="N82" s="20" t="n">
        <f aca="false">M82*K82</f>
        <v>-0.297830726446627</v>
      </c>
    </row>
    <row r="83" customFormat="false" ht="14.25" hidden="false" customHeight="false" outlineLevel="0" collapsed="false">
      <c r="A83" s="15" t="n">
        <v>2006</v>
      </c>
      <c r="B83" s="16" t="n">
        <f aca="false">DATE(A83,12,31)</f>
        <v>39082</v>
      </c>
      <c r="C83" s="17" t="s">
        <v>28</v>
      </c>
      <c r="D83" s="17" t="s">
        <v>29</v>
      </c>
      <c r="E83" s="17" t="n">
        <v>1.39858097806966</v>
      </c>
      <c r="F83" s="18" t="n">
        <f aca="false">E83*_xlfn.XLOOKUP(D83,conversiones!$A$2:$A$6,conversiones!$B$2:$B$6,0)</f>
        <v>786.478027207693</v>
      </c>
      <c r="G83" s="17" t="n">
        <v>3939.41469047619</v>
      </c>
      <c r="H83" s="17" t="s">
        <v>29</v>
      </c>
      <c r="I83" s="18" t="n">
        <f aca="false">G83/_xlfn.XLOOKUP(H83,conversiones!$A$2:$A$6,conversiones!$B$2:$B$6,0)</f>
        <v>7.00539654030691</v>
      </c>
      <c r="J83" s="17" t="n">
        <v>8196.87</v>
      </c>
      <c r="K83" s="18" t="n">
        <f aca="false">_xlfn.XLOOKUP(C83,Ciclo!$A$2:$A$13,Ciclo!$D$2:$D$13,0)</f>
        <v>3</v>
      </c>
      <c r="L83" s="18" t="n">
        <f aca="false">F83*I83-J83</f>
        <v>-2687.27954917182</v>
      </c>
      <c r="M83" s="19" t="n">
        <f aca="false">IF(J83=0,0,L83/J83)</f>
        <v>-0.327842157942217</v>
      </c>
      <c r="N83" s="20" t="n">
        <f aca="false">M83*K83</f>
        <v>-0.983526473826652</v>
      </c>
    </row>
    <row r="84" customFormat="false" ht="14.25" hidden="false" customHeight="false" outlineLevel="0" collapsed="false">
      <c r="A84" s="15" t="n">
        <v>2006</v>
      </c>
      <c r="B84" s="16" t="n">
        <f aca="false">DATE(A84,12,31)</f>
        <v>39082</v>
      </c>
      <c r="C84" s="17" t="s">
        <v>26</v>
      </c>
      <c r="D84" s="17" t="s">
        <v>18</v>
      </c>
      <c r="E84" s="17" t="n">
        <v>6.3652655925985</v>
      </c>
      <c r="F84" s="18" t="n">
        <f aca="false">E84*_xlfn.XLOOKUP(D84,conversiones!$A$2:$A$6,conversiones!$B$2:$B$6,0)</f>
        <v>288.728447280268</v>
      </c>
      <c r="G84" s="17" t="n">
        <v>466.1</v>
      </c>
      <c r="H84" s="17" t="s">
        <v>18</v>
      </c>
      <c r="I84" s="18" t="n">
        <f aca="false">G84/_xlfn.XLOOKUP(H84,conversiones!$A$2:$A$6,conversiones!$B$2:$B$6,0)</f>
        <v>10.2755731922399</v>
      </c>
      <c r="J84" s="17" t="n">
        <v>864.56</v>
      </c>
      <c r="K84" s="18" t="n">
        <f aca="false">_xlfn.XLOOKUP(C84,Ciclo!$A$2:$A$13,Ciclo!$D$2:$D$13,0)</f>
        <v>3</v>
      </c>
      <c r="L84" s="18" t="n">
        <f aca="false">F84*I84-J84</f>
        <v>2102.29029271016</v>
      </c>
      <c r="M84" s="19" t="n">
        <f aca="false">IF(J84=0,0,L84/J84)</f>
        <v>2.43163030062709</v>
      </c>
      <c r="N84" s="20" t="n">
        <f aca="false">M84*K84</f>
        <v>7.29489090188128</v>
      </c>
    </row>
    <row r="85" customFormat="false" ht="14.25" hidden="false" customHeight="false" outlineLevel="0" collapsed="false">
      <c r="A85" s="15" t="n">
        <v>2006</v>
      </c>
      <c r="B85" s="16" t="n">
        <f aca="false">DATE(A85,12,31)</f>
        <v>39082</v>
      </c>
      <c r="C85" s="17" t="s">
        <v>27</v>
      </c>
      <c r="D85" s="17" t="s">
        <v>18</v>
      </c>
      <c r="E85" s="17" t="n">
        <v>8.58592025775272</v>
      </c>
      <c r="F85" s="18" t="n">
        <f aca="false">E85*_xlfn.XLOOKUP(D85,conversiones!$A$2:$A$6,conversiones!$B$2:$B$6,0)</f>
        <v>389.457342891663</v>
      </c>
      <c r="G85" s="17" t="n">
        <v>244.092036555556</v>
      </c>
      <c r="H85" s="17" t="s">
        <v>18</v>
      </c>
      <c r="I85" s="18" t="n">
        <f aca="false">G85/_xlfn.XLOOKUP(H85,conversiones!$A$2:$A$6,conversiones!$B$2:$B$6,0)</f>
        <v>5.38121773711543</v>
      </c>
      <c r="J85" s="17" t="n">
        <v>4742.13</v>
      </c>
      <c r="K85" s="18" t="n">
        <f aca="false">_xlfn.XLOOKUP(C85,Ciclo!$A$2:$A$13,Ciclo!$D$2:$D$13,0)</f>
        <v>2.4</v>
      </c>
      <c r="L85" s="18" t="n">
        <f aca="false">F85*I85-J85</f>
        <v>-2646.37523858153</v>
      </c>
      <c r="M85" s="19" t="n">
        <f aca="false">IF(J85=0,0,L85/J85)</f>
        <v>-0.558056240251013</v>
      </c>
      <c r="N85" s="20" t="n">
        <f aca="false">M85*K85</f>
        <v>-1.33933497660243</v>
      </c>
    </row>
    <row r="86" customFormat="false" ht="14.25" hidden="false" customHeight="false" outlineLevel="0" collapsed="false">
      <c r="A86" s="15" t="n">
        <v>2007</v>
      </c>
      <c r="B86" s="16" t="n">
        <f aca="false">DATE(A86,12,31)</f>
        <v>39447</v>
      </c>
      <c r="C86" s="17" t="s">
        <v>16</v>
      </c>
      <c r="D86" s="17" t="s">
        <v>18</v>
      </c>
      <c r="E86" s="17" t="n">
        <v>4.32656924811028</v>
      </c>
      <c r="F86" s="18" t="n">
        <f aca="false">E86*_xlfn.XLOOKUP(D86,conversiones!$A$2:$A$6,conversiones!$B$2:$B$6,0)</f>
        <v>196.253181094282</v>
      </c>
      <c r="G86" s="17" t="n">
        <v>1292.28354166667</v>
      </c>
      <c r="H86" s="17" t="s">
        <v>19</v>
      </c>
      <c r="I86" s="18" t="n">
        <f aca="false">G86/_xlfn.XLOOKUP(H86,conversiones!$A$2:$A$6,conversiones!$B$2:$B$6,0)</f>
        <v>11.7480321969697</v>
      </c>
      <c r="J86" s="17" t="n">
        <v>5339.5</v>
      </c>
      <c r="K86" s="18" t="n">
        <f aca="false">_xlfn.XLOOKUP(C86,Ciclo!$A$2:$A$13,Ciclo!$D$2:$D$13,0)</f>
        <v>2.4</v>
      </c>
      <c r="L86" s="18" t="n">
        <f aca="false">F86*I86-J86</f>
        <v>-3033.91130974664</v>
      </c>
      <c r="M86" s="19" t="n">
        <f aca="false">IF(J86=0,0,L86/J86)</f>
        <v>-0.568201387722941</v>
      </c>
      <c r="N86" s="20" t="n">
        <f aca="false">M86*K86</f>
        <v>-1.36368333053506</v>
      </c>
    </row>
    <row r="87" customFormat="false" ht="14.25" hidden="false" customHeight="false" outlineLevel="0" collapsed="false">
      <c r="A87" s="15" t="n">
        <v>2007</v>
      </c>
      <c r="B87" s="16" t="n">
        <f aca="false">DATE(A87,12,31)</f>
        <v>39447</v>
      </c>
      <c r="C87" s="17" t="s">
        <v>20</v>
      </c>
      <c r="D87" s="17" t="s">
        <v>18</v>
      </c>
      <c r="E87" s="17" t="n">
        <v>1.85103966949694</v>
      </c>
      <c r="F87" s="18" t="n">
        <f aca="false">E87*_xlfn.XLOOKUP(D87,conversiones!$A$2:$A$6,conversiones!$B$2:$B$6,0)</f>
        <v>83.9631594083812</v>
      </c>
      <c r="G87" s="17" t="n">
        <v>392.747764312335</v>
      </c>
      <c r="H87" s="17" t="s">
        <v>18</v>
      </c>
      <c r="I87" s="18" t="n">
        <f aca="false">G87/_xlfn.XLOOKUP(H87,conversiones!$A$2:$A$6,conversiones!$B$2:$B$6,0)</f>
        <v>8.65846041252943</v>
      </c>
      <c r="J87" s="17" t="n">
        <v>1417.48</v>
      </c>
      <c r="K87" s="18" t="n">
        <f aca="false">_xlfn.XLOOKUP(C87,Ciclo!$A$2:$A$13,Ciclo!$D$2:$D$13,0)</f>
        <v>3</v>
      </c>
      <c r="L87" s="18" t="n">
        <f aca="false">F87*I87-J87</f>
        <v>-690.488308151633</v>
      </c>
      <c r="M87" s="19" t="n">
        <f aca="false">IF(J87=0,0,L87/J87)</f>
        <v>-0.487123845240591</v>
      </c>
      <c r="N87" s="20" t="n">
        <f aca="false">M87*K87</f>
        <v>-1.46137153572177</v>
      </c>
    </row>
    <row r="88" customFormat="false" ht="14.25" hidden="false" customHeight="false" outlineLevel="0" collapsed="false">
      <c r="A88" s="15" t="n">
        <v>2007</v>
      </c>
      <c r="B88" s="16" t="n">
        <f aca="false">DATE(A88,12,31)</f>
        <v>39447</v>
      </c>
      <c r="C88" s="17" t="s">
        <v>23</v>
      </c>
      <c r="D88" s="17" t="s">
        <v>18</v>
      </c>
      <c r="E88" s="17" t="n">
        <v>29.9970373746582</v>
      </c>
      <c r="F88" s="18" t="n">
        <f aca="false">E88*_xlfn.XLOOKUP(D88,conversiones!$A$2:$A$6,conversiones!$B$2:$B$6,0)</f>
        <v>1360.6656153145</v>
      </c>
      <c r="G88" s="17" t="n">
        <v>723.995243055556</v>
      </c>
      <c r="H88" s="17" t="s">
        <v>18</v>
      </c>
      <c r="I88" s="18" t="n">
        <f aca="false">G88/_xlfn.XLOOKUP(H88,conversiones!$A$2:$A$6,conversiones!$B$2:$B$6,0)</f>
        <v>15.9610944236234</v>
      </c>
      <c r="J88" s="17" t="n">
        <v>12092.41</v>
      </c>
      <c r="K88" s="18" t="n">
        <f aca="false">_xlfn.XLOOKUP(C88,Ciclo!$A$2:$A$13,Ciclo!$D$2:$D$13,0)</f>
        <v>4</v>
      </c>
      <c r="L88" s="18" t="n">
        <f aca="false">F88*I88-J88</f>
        <v>9625.30236501226</v>
      </c>
      <c r="M88" s="19" t="n">
        <f aca="false">IF(J88=0,0,L88/J88)</f>
        <v>0.795978830110148</v>
      </c>
      <c r="N88" s="20" t="n">
        <f aca="false">M88*K88</f>
        <v>3.18391532044059</v>
      </c>
    </row>
    <row r="89" customFormat="false" ht="14.25" hidden="false" customHeight="false" outlineLevel="0" collapsed="false">
      <c r="A89" s="15" t="n">
        <v>2007</v>
      </c>
      <c r="B89" s="16" t="n">
        <f aca="false">DATE(A89,12,31)</f>
        <v>39447</v>
      </c>
      <c r="C89" s="17" t="s">
        <v>21</v>
      </c>
      <c r="D89" s="17" t="s">
        <v>18</v>
      </c>
      <c r="E89" s="17" t="n">
        <v>10.4954683964793</v>
      </c>
      <c r="F89" s="18" t="n">
        <f aca="false">E89*_xlfn.XLOOKUP(D89,conversiones!$A$2:$A$6,conversiones!$B$2:$B$6,0)</f>
        <v>476.074446464301</v>
      </c>
      <c r="G89" s="17" t="n">
        <v>280.071879365079</v>
      </c>
      <c r="H89" s="17" t="s">
        <v>18</v>
      </c>
      <c r="I89" s="18" t="n">
        <f aca="false">G89/_xlfn.XLOOKUP(H89,conversiones!$A$2:$A$6,conversiones!$B$2:$B$6,0)</f>
        <v>6.17442414826012</v>
      </c>
      <c r="J89" s="17" t="n">
        <v>2131.605</v>
      </c>
      <c r="K89" s="18" t="n">
        <f aca="false">_xlfn.XLOOKUP(C89,Ciclo!$A$2:$A$13,Ciclo!$D$2:$D$13,0)</f>
        <v>2</v>
      </c>
      <c r="L89" s="18" t="n">
        <f aca="false">F89*I89-J89</f>
        <v>807.88055861875</v>
      </c>
      <c r="M89" s="19" t="n">
        <f aca="false">IF(J89=0,0,L89/J89)</f>
        <v>0.379001061931619</v>
      </c>
      <c r="N89" s="20" t="n">
        <f aca="false">M89*K89</f>
        <v>0.758002123863239</v>
      </c>
    </row>
    <row r="90" customFormat="false" ht="14.25" hidden="false" customHeight="false" outlineLevel="0" collapsed="false">
      <c r="A90" s="15" t="n">
        <v>2007</v>
      </c>
      <c r="B90" s="16" t="n">
        <f aca="false">DATE(A90,12,31)</f>
        <v>39447</v>
      </c>
      <c r="C90" s="17" t="s">
        <v>25</v>
      </c>
      <c r="D90" s="17" t="s">
        <v>18</v>
      </c>
      <c r="E90" s="17" t="n">
        <v>10.4805483183325</v>
      </c>
      <c r="F90" s="18" t="n">
        <f aca="false">E90*_xlfn.XLOOKUP(D90,conversiones!$A$2:$A$6,conversiones!$B$2:$B$6,0)</f>
        <v>475.397671719562</v>
      </c>
      <c r="G90" s="17" t="n">
        <v>286.084687996032</v>
      </c>
      <c r="H90" s="17" t="s">
        <v>18</v>
      </c>
      <c r="I90" s="18" t="n">
        <f aca="false">G90/_xlfn.XLOOKUP(H90,conversiones!$A$2:$A$6,conversiones!$B$2:$B$6,0)</f>
        <v>6.30698165776085</v>
      </c>
      <c r="J90" s="17" t="n">
        <v>2341.04</v>
      </c>
      <c r="K90" s="18" t="n">
        <f aca="false">_xlfn.XLOOKUP(C90,Ciclo!$A$2:$A$13,Ciclo!$D$2:$D$13,0)</f>
        <v>1.2</v>
      </c>
      <c r="L90" s="18" t="n">
        <f aca="false">F90*I90-J90</f>
        <v>657.284395677491</v>
      </c>
      <c r="M90" s="19" t="n">
        <f aca="false">IF(J90=0,0,L90/J90)</f>
        <v>0.280765982502431</v>
      </c>
      <c r="N90" s="20" t="n">
        <f aca="false">M90*K90</f>
        <v>0.336919179002917</v>
      </c>
    </row>
    <row r="91" customFormat="false" ht="14.25" hidden="false" customHeight="false" outlineLevel="0" collapsed="false">
      <c r="A91" s="15" t="n">
        <v>2007</v>
      </c>
      <c r="B91" s="16" t="n">
        <f aca="false">DATE(A91,12,31)</f>
        <v>39447</v>
      </c>
      <c r="C91" s="17" t="s">
        <v>22</v>
      </c>
      <c r="D91" s="17" t="s">
        <v>18</v>
      </c>
      <c r="E91" s="17" t="n">
        <v>8.99139944181808</v>
      </c>
      <c r="F91" s="18" t="n">
        <f aca="false">E91*_xlfn.XLOOKUP(D91,conversiones!$A$2:$A$6,conversiones!$B$2:$B$6,0)</f>
        <v>407.849878680868</v>
      </c>
      <c r="G91" s="17" t="n">
        <v>943.505119047619</v>
      </c>
      <c r="H91" s="17" t="s">
        <v>18</v>
      </c>
      <c r="I91" s="18" t="n">
        <f aca="false">G91/_xlfn.XLOOKUP(H91,conversiones!$A$2:$A$6,conversiones!$B$2:$B$6,0)</f>
        <v>20.800377404048</v>
      </c>
      <c r="J91" s="17" t="n">
        <v>6063.13</v>
      </c>
      <c r="K91" s="18" t="n">
        <f aca="false">_xlfn.XLOOKUP(C91,Ciclo!$A$2:$A$13,Ciclo!$D$2:$D$13,0)</f>
        <v>1</v>
      </c>
      <c r="L91" s="18" t="n">
        <f aca="false">F91*I91-J91</f>
        <v>2420.30140075726</v>
      </c>
      <c r="M91" s="19" t="n">
        <f aca="false">IF(J91=0,0,L91/J91)</f>
        <v>0.399183491160055</v>
      </c>
      <c r="N91" s="20" t="n">
        <f aca="false">M91*K91</f>
        <v>0.399183491160055</v>
      </c>
    </row>
    <row r="92" customFormat="false" ht="14.25" hidden="false" customHeight="false" outlineLevel="0" collapsed="false">
      <c r="A92" s="15" t="n">
        <v>2007</v>
      </c>
      <c r="B92" s="16" t="n">
        <f aca="false">DATE(A92,12,31)</f>
        <v>39447</v>
      </c>
      <c r="C92" s="17" t="s">
        <v>24</v>
      </c>
      <c r="D92" s="17" t="s">
        <v>18</v>
      </c>
      <c r="E92" s="17" t="n">
        <v>8.71937949520953</v>
      </c>
      <c r="F92" s="18" t="n">
        <f aca="false">E92*_xlfn.XLOOKUP(D92,conversiones!$A$2:$A$6,conversiones!$B$2:$B$6,0)</f>
        <v>395.511053902704</v>
      </c>
      <c r="G92" s="17" t="n">
        <v>901.605391865079</v>
      </c>
      <c r="H92" s="17" t="s">
        <v>18</v>
      </c>
      <c r="I92" s="18" t="n">
        <f aca="false">G92/_xlfn.XLOOKUP(H92,conversiones!$A$2:$A$6,conversiones!$B$2:$B$6,0)</f>
        <v>19.8766620781543</v>
      </c>
      <c r="J92" s="17" t="n">
        <v>4803.45</v>
      </c>
      <c r="K92" s="18" t="n">
        <f aca="false">_xlfn.XLOOKUP(C92,Ciclo!$A$2:$A$13,Ciclo!$D$2:$D$13,0)</f>
        <v>1</v>
      </c>
      <c r="L92" s="18" t="n">
        <f aca="false">F92*I92-J92</f>
        <v>3057.98956659872</v>
      </c>
      <c r="M92" s="19" t="n">
        <f aca="false">IF(J92=0,0,L92/J92)</f>
        <v>0.636623586505267</v>
      </c>
      <c r="N92" s="20" t="n">
        <f aca="false">M92*K92</f>
        <v>0.636623586505267</v>
      </c>
    </row>
    <row r="93" customFormat="false" ht="14.25" hidden="false" customHeight="false" outlineLevel="0" collapsed="false">
      <c r="A93" s="15" t="n">
        <v>2007</v>
      </c>
      <c r="B93" s="16" t="n">
        <f aca="false">DATE(A93,12,31)</f>
        <v>39447</v>
      </c>
      <c r="C93" s="17" t="s">
        <v>30</v>
      </c>
      <c r="D93" s="17" t="s">
        <v>32</v>
      </c>
      <c r="E93" s="17" t="n">
        <v>68.231640327942</v>
      </c>
      <c r="F93" s="18" t="n">
        <f aca="false">E93*_xlfn.XLOOKUP(D93,conversiones!$A$2:$A$6,conversiones!$B$2:$B$6,0)</f>
        <v>1856.5829333233</v>
      </c>
      <c r="G93" s="17" t="n">
        <v>75.26</v>
      </c>
      <c r="H93" s="17" t="s">
        <v>32</v>
      </c>
      <c r="I93" s="18" t="n">
        <f aca="false">G93/_xlfn.XLOOKUP(H93,conversiones!$A$2:$A$6,conversiones!$B$2:$B$6,0)</f>
        <v>2.76589489158398</v>
      </c>
      <c r="J93" s="17" t="n">
        <v>8303.36</v>
      </c>
      <c r="K93" s="18" t="n">
        <f aca="false">_xlfn.XLOOKUP(C93,Ciclo!$A$2:$A$13,Ciclo!$D$2:$D$13,0)</f>
        <v>1</v>
      </c>
      <c r="L93" s="18" t="n">
        <f aca="false">F93*I93-J93</f>
        <v>-3168.24674891909</v>
      </c>
      <c r="M93" s="19" t="n">
        <f aca="false">IF(J93=0,0,L93/J93)</f>
        <v>-0.381562012115467</v>
      </c>
      <c r="N93" s="20" t="n">
        <f aca="false">M93*K93</f>
        <v>-0.381562012115467</v>
      </c>
    </row>
    <row r="94" customFormat="false" ht="14.25" hidden="false" customHeight="false" outlineLevel="0" collapsed="false">
      <c r="A94" s="15" t="n">
        <v>2007</v>
      </c>
      <c r="B94" s="16" t="n">
        <f aca="false">DATE(A94,12,31)</f>
        <v>39447</v>
      </c>
      <c r="C94" s="17" t="s">
        <v>33</v>
      </c>
      <c r="D94" s="17" t="s">
        <v>34</v>
      </c>
      <c r="E94" s="17" t="n">
        <v>2.53275687510389</v>
      </c>
      <c r="F94" s="18" t="n">
        <f aca="false">E94*_xlfn.XLOOKUP(D94,conversiones!$A$2:$A$6,conversiones!$B$2:$B$6,0)</f>
        <v>1033.74471857365</v>
      </c>
      <c r="G94" s="17" t="n">
        <v>2852.43</v>
      </c>
      <c r="H94" s="17" t="s">
        <v>34</v>
      </c>
      <c r="I94" s="18" t="n">
        <f aca="false">G94/_xlfn.XLOOKUP(H94,conversiones!$A$2:$A$6,conversiones!$B$2:$B$6,0)</f>
        <v>6.98868063212054</v>
      </c>
      <c r="J94" s="17" t="n">
        <v>11167.89</v>
      </c>
      <c r="K94" s="18" t="n">
        <f aca="false">_xlfn.XLOOKUP(C94,Ciclo!$A$2:$A$13,Ciclo!$D$2:$D$13,0)</f>
        <v>1</v>
      </c>
      <c r="L94" s="18" t="n">
        <f aca="false">F94*I94-J94</f>
        <v>-3943.37830674741</v>
      </c>
      <c r="M94" s="19" t="n">
        <f aca="false">IF(J94=0,0,L94/J94)</f>
        <v>-0.353099672968431</v>
      </c>
      <c r="N94" s="20" t="n">
        <f aca="false">M94*K94</f>
        <v>-0.353099672968431</v>
      </c>
    </row>
    <row r="95" customFormat="false" ht="14.25" hidden="false" customHeight="false" outlineLevel="0" collapsed="false">
      <c r="A95" s="15" t="n">
        <v>2007</v>
      </c>
      <c r="B95" s="16" t="n">
        <f aca="false">DATE(A95,12,31)</f>
        <v>39447</v>
      </c>
      <c r="C95" s="17" t="s">
        <v>28</v>
      </c>
      <c r="D95" s="17" t="s">
        <v>29</v>
      </c>
      <c r="E95" s="17" t="n">
        <v>1.2171330386348</v>
      </c>
      <c r="F95" s="18" t="n">
        <f aca="false">E95*_xlfn.XLOOKUP(D95,conversiones!$A$2:$A$6,conversiones!$B$2:$B$6,0)</f>
        <v>684.442592945894</v>
      </c>
      <c r="G95" s="17" t="n">
        <v>5604.43</v>
      </c>
      <c r="H95" s="17" t="s">
        <v>29</v>
      </c>
      <c r="I95" s="18" t="n">
        <f aca="false">G95/_xlfn.XLOOKUP(H95,conversiones!$A$2:$A$6,conversiones!$B$2:$B$6,0)</f>
        <v>9.96626596009532</v>
      </c>
      <c r="J95" s="17" t="n">
        <v>10097.26</v>
      </c>
      <c r="K95" s="18" t="n">
        <f aca="false">_xlfn.XLOOKUP(C95,Ciclo!$A$2:$A$13,Ciclo!$D$2:$D$13,0)</f>
        <v>3</v>
      </c>
      <c r="L95" s="18" t="n">
        <f aca="false">F95*I95-J95</f>
        <v>-3275.92308428397</v>
      </c>
      <c r="M95" s="19" t="n">
        <f aca="false">IF(J95=0,0,L95/J95)</f>
        <v>-0.324436835763759</v>
      </c>
      <c r="N95" s="20" t="n">
        <f aca="false">M95*K95</f>
        <v>-0.973310507291275</v>
      </c>
    </row>
    <row r="96" customFormat="false" ht="14.25" hidden="false" customHeight="false" outlineLevel="0" collapsed="false">
      <c r="A96" s="15" t="n">
        <v>2007</v>
      </c>
      <c r="B96" s="16" t="n">
        <f aca="false">DATE(A96,12,31)</f>
        <v>39447</v>
      </c>
      <c r="C96" s="17" t="s">
        <v>26</v>
      </c>
      <c r="D96" s="17" t="s">
        <v>18</v>
      </c>
      <c r="E96" s="17" t="n">
        <v>6.50176783984501</v>
      </c>
      <c r="F96" s="18" t="n">
        <f aca="false">E96*_xlfn.XLOOKUP(D96,conversiones!$A$2:$A$6,conversiones!$B$2:$B$6,0)</f>
        <v>294.92018921537</v>
      </c>
      <c r="G96" s="17" t="n">
        <v>511.86</v>
      </c>
      <c r="H96" s="17" t="s">
        <v>18</v>
      </c>
      <c r="I96" s="18" t="n">
        <f aca="false">G96/_xlfn.XLOOKUP(H96,conversiones!$A$2:$A$6,conversiones!$B$2:$B$6,0)</f>
        <v>11.2843915343915</v>
      </c>
      <c r="J96" s="17" t="n">
        <v>970.18</v>
      </c>
      <c r="K96" s="18" t="n">
        <f aca="false">_xlfn.XLOOKUP(C96,Ciclo!$A$2:$A$13,Ciclo!$D$2:$D$13,0)</f>
        <v>3</v>
      </c>
      <c r="L96" s="18" t="n">
        <f aca="false">F96*I96-J96</f>
        <v>2357.81488650307</v>
      </c>
      <c r="M96" s="19" t="n">
        <f aca="false">IF(J96=0,0,L96/J96)</f>
        <v>2.43028601548482</v>
      </c>
      <c r="N96" s="20" t="n">
        <f aca="false">M96*K96</f>
        <v>7.29085804645447</v>
      </c>
    </row>
    <row r="97" customFormat="false" ht="14.25" hidden="false" customHeight="false" outlineLevel="0" collapsed="false">
      <c r="A97" s="15" t="n">
        <v>2007</v>
      </c>
      <c r="B97" s="16" t="n">
        <f aca="false">DATE(A97,12,31)</f>
        <v>39447</v>
      </c>
      <c r="C97" s="17" t="s">
        <v>27</v>
      </c>
      <c r="D97" s="17" t="s">
        <v>18</v>
      </c>
      <c r="E97" s="17" t="n">
        <v>7.68797556335967</v>
      </c>
      <c r="F97" s="18" t="n">
        <f aca="false">E97*_xlfn.XLOOKUP(D97,conversiones!$A$2:$A$6,conversiones!$B$2:$B$6,0)</f>
        <v>348.726571553995</v>
      </c>
      <c r="G97" s="17" t="n">
        <v>263.378333333334</v>
      </c>
      <c r="H97" s="17" t="s">
        <v>18</v>
      </c>
      <c r="I97" s="18" t="n">
        <f aca="false">G97/_xlfn.XLOOKUP(H97,conversiones!$A$2:$A$6,conversiones!$B$2:$B$6,0)</f>
        <v>5.80640064667844</v>
      </c>
      <c r="J97" s="17" t="n">
        <v>5280.51</v>
      </c>
      <c r="K97" s="18" t="n">
        <f aca="false">_xlfn.XLOOKUP(C97,Ciclo!$A$2:$A$13,Ciclo!$D$2:$D$13,0)</f>
        <v>2.4</v>
      </c>
      <c r="L97" s="18" t="n">
        <f aca="false">F97*I97-J97</f>
        <v>-3255.66380941493</v>
      </c>
      <c r="M97" s="19" t="n">
        <f aca="false">IF(J97=0,0,L97/J97)</f>
        <v>-0.616543441715844</v>
      </c>
      <c r="N97" s="20" t="n">
        <f aca="false">M97*K97</f>
        <v>-1.47970426011803</v>
      </c>
    </row>
    <row r="98" customFormat="false" ht="14.25" hidden="false" customHeight="false" outlineLevel="0" collapsed="false">
      <c r="A98" s="15" t="n">
        <v>2008</v>
      </c>
      <c r="B98" s="16" t="n">
        <f aca="false">DATE(A98,12,31)</f>
        <v>39813</v>
      </c>
      <c r="C98" s="17" t="s">
        <v>16</v>
      </c>
      <c r="D98" s="17" t="s">
        <v>18</v>
      </c>
      <c r="E98" s="17" t="n">
        <v>4.35020762550434</v>
      </c>
      <c r="F98" s="18" t="n">
        <f aca="false">E98*_xlfn.XLOOKUP(D98,conversiones!$A$2:$A$6,conversiones!$B$2:$B$6,0)</f>
        <v>197.325417892877</v>
      </c>
      <c r="G98" s="17" t="n">
        <v>1244.11</v>
      </c>
      <c r="H98" s="17" t="s">
        <v>19</v>
      </c>
      <c r="I98" s="18" t="n">
        <f aca="false">G98/_xlfn.XLOOKUP(H98,conversiones!$A$2:$A$6,conversiones!$B$2:$B$6,0)</f>
        <v>11.3100909090909</v>
      </c>
      <c r="J98" s="17" t="n">
        <v>6402.1671715266</v>
      </c>
      <c r="K98" s="18" t="n">
        <f aca="false">_xlfn.XLOOKUP(C98,Ciclo!$A$2:$A$13,Ciclo!$D$2:$D$13,0)</f>
        <v>2.4</v>
      </c>
      <c r="L98" s="18" t="n">
        <f aca="false">F98*I98-J98</f>
        <v>-4170.39875648381</v>
      </c>
      <c r="M98" s="19" t="n">
        <f aca="false">IF(J98=0,0,L98/J98)</f>
        <v>-0.651404226842358</v>
      </c>
      <c r="N98" s="20" t="n">
        <f aca="false">M98*K98</f>
        <v>-1.56337014442166</v>
      </c>
    </row>
    <row r="99" customFormat="false" ht="14.25" hidden="false" customHeight="false" outlineLevel="0" collapsed="false">
      <c r="A99" s="15" t="n">
        <v>2008</v>
      </c>
      <c r="B99" s="16" t="n">
        <f aca="false">DATE(A99,12,31)</f>
        <v>39813</v>
      </c>
      <c r="C99" s="17" t="s">
        <v>20</v>
      </c>
      <c r="D99" s="17" t="s">
        <v>18</v>
      </c>
      <c r="E99" s="17" t="n">
        <v>2.0148290247958</v>
      </c>
      <c r="F99" s="18" t="n">
        <f aca="false">E99*_xlfn.XLOOKUP(D99,conversiones!$A$2:$A$6,conversiones!$B$2:$B$6,0)</f>
        <v>91.3926445647375</v>
      </c>
      <c r="G99" s="17" t="n">
        <v>649.958304174603</v>
      </c>
      <c r="H99" s="17" t="s">
        <v>18</v>
      </c>
      <c r="I99" s="18" t="n">
        <f aca="false">G99/_xlfn.XLOOKUP(H99,conversiones!$A$2:$A$6,conversiones!$B$2:$B$6,0)</f>
        <v>14.328886776336</v>
      </c>
      <c r="J99" s="17" t="n">
        <v>1490.90401998252</v>
      </c>
      <c r="K99" s="18" t="n">
        <f aca="false">_xlfn.XLOOKUP(C99,Ciclo!$A$2:$A$13,Ciclo!$D$2:$D$13,0)</f>
        <v>3</v>
      </c>
      <c r="L99" s="18" t="n">
        <f aca="false">F99*I99-J99</f>
        <v>-181.349163824473</v>
      </c>
      <c r="M99" s="19" t="n">
        <f aca="false">IF(J99=0,0,L99/J99)</f>
        <v>-0.121637047988239</v>
      </c>
      <c r="N99" s="20" t="n">
        <f aca="false">M99*K99</f>
        <v>-0.364911143964718</v>
      </c>
    </row>
    <row r="100" customFormat="false" ht="14.25" hidden="false" customHeight="false" outlineLevel="0" collapsed="false">
      <c r="A100" s="15" t="n">
        <v>2008</v>
      </c>
      <c r="B100" s="16" t="n">
        <f aca="false">DATE(A100,12,31)</f>
        <v>39813</v>
      </c>
      <c r="C100" s="17" t="s">
        <v>23</v>
      </c>
      <c r="D100" s="17" t="s">
        <v>18</v>
      </c>
      <c r="E100" s="17" t="n">
        <v>28.4866717152594</v>
      </c>
      <c r="F100" s="18" t="n">
        <f aca="false">E100*_xlfn.XLOOKUP(D100,conversiones!$A$2:$A$6,conversiones!$B$2:$B$6,0)</f>
        <v>1292.15542900417</v>
      </c>
      <c r="G100" s="17" t="n">
        <v>900.701527777778</v>
      </c>
      <c r="H100" s="17" t="s">
        <v>18</v>
      </c>
      <c r="I100" s="18" t="n">
        <f aca="false">G100/_xlfn.XLOOKUP(H100,conversiones!$A$2:$A$6,conversiones!$B$2:$B$6,0)</f>
        <v>19.8567356212032</v>
      </c>
      <c r="J100" s="17" t="n">
        <v>17874.25</v>
      </c>
      <c r="K100" s="18" t="n">
        <f aca="false">_xlfn.XLOOKUP(C100,Ciclo!$A$2:$A$13,Ciclo!$D$2:$D$13,0)</f>
        <v>4</v>
      </c>
      <c r="L100" s="18" t="n">
        <f aca="false">F100*I100-J100</f>
        <v>7783.73873523816</v>
      </c>
      <c r="M100" s="19" t="n">
        <f aca="false">IF(J100=0,0,L100/J100)</f>
        <v>0.435472186818365</v>
      </c>
      <c r="N100" s="20" t="n">
        <f aca="false">M100*K100</f>
        <v>1.74188874727346</v>
      </c>
    </row>
    <row r="101" customFormat="false" ht="14.25" hidden="false" customHeight="false" outlineLevel="0" collapsed="false">
      <c r="A101" s="15" t="n">
        <v>2008</v>
      </c>
      <c r="B101" s="16" t="n">
        <f aca="false">DATE(A101,12,31)</f>
        <v>39813</v>
      </c>
      <c r="C101" s="17" t="s">
        <v>21</v>
      </c>
      <c r="D101" s="17" t="s">
        <v>18</v>
      </c>
      <c r="E101" s="17" t="n">
        <v>9.84864864864865</v>
      </c>
      <c r="F101" s="18" t="n">
        <f aca="false">E101*_xlfn.XLOOKUP(D101,conversiones!$A$2:$A$6,conversiones!$B$2:$B$6,0)</f>
        <v>446.734702702703</v>
      </c>
      <c r="G101" s="17" t="n">
        <v>488.552096486111</v>
      </c>
      <c r="H101" s="17" t="s">
        <v>18</v>
      </c>
      <c r="I101" s="18" t="n">
        <f aca="false">G101/_xlfn.XLOOKUP(H101,conversiones!$A$2:$A$6,conversiones!$B$2:$B$6,0)</f>
        <v>10.7705488643323</v>
      </c>
      <c r="J101" s="17" t="n">
        <v>3935.0401959</v>
      </c>
      <c r="K101" s="18" t="n">
        <f aca="false">_xlfn.XLOOKUP(C101,Ciclo!$A$2:$A$13,Ciclo!$D$2:$D$13,0)</f>
        <v>2</v>
      </c>
      <c r="L101" s="18" t="n">
        <f aca="false">F101*I101-J101</f>
        <v>876.537748952402</v>
      </c>
      <c r="M101" s="19" t="n">
        <f aca="false">IF(J101=0,0,L101/J101)</f>
        <v>0.222751917468514</v>
      </c>
      <c r="N101" s="20" t="n">
        <f aca="false">M101*K101</f>
        <v>0.445503834937028</v>
      </c>
    </row>
    <row r="102" customFormat="false" ht="14.25" hidden="false" customHeight="false" outlineLevel="0" collapsed="false">
      <c r="A102" s="15" t="n">
        <v>2008</v>
      </c>
      <c r="B102" s="16" t="n">
        <f aca="false">DATE(A102,12,31)</f>
        <v>39813</v>
      </c>
      <c r="C102" s="17" t="s">
        <v>25</v>
      </c>
      <c r="D102" s="17" t="s">
        <v>18</v>
      </c>
      <c r="E102" s="17" t="n">
        <v>10.4186222289408</v>
      </c>
      <c r="F102" s="18" t="n">
        <f aca="false">E102*_xlfn.XLOOKUP(D102,conversiones!$A$2:$A$6,conversiones!$B$2:$B$6,0)</f>
        <v>472.588704304755</v>
      </c>
      <c r="G102" s="17" t="n">
        <v>781.941490674603</v>
      </c>
      <c r="H102" s="17" t="s">
        <v>18</v>
      </c>
      <c r="I102" s="18" t="n">
        <f aca="false">G102/_xlfn.XLOOKUP(H102,conversiones!$A$2:$A$6,conversiones!$B$2:$B$6,0)</f>
        <v>17.2385690183995</v>
      </c>
      <c r="J102" s="17" t="n">
        <v>3201.64901153456</v>
      </c>
      <c r="K102" s="18" t="n">
        <f aca="false">_xlfn.XLOOKUP(C102,Ciclo!$A$2:$A$13,Ciclo!$D$2:$D$13,0)</f>
        <v>1.2</v>
      </c>
      <c r="L102" s="18" t="n">
        <f aca="false">F102*I102-J102</f>
        <v>4945.10398493896</v>
      </c>
      <c r="M102" s="19" t="n">
        <f aca="false">IF(J102=0,0,L102/J102)</f>
        <v>1.54454906428633</v>
      </c>
      <c r="N102" s="20" t="n">
        <f aca="false">M102*K102</f>
        <v>1.8534588771436</v>
      </c>
    </row>
    <row r="103" customFormat="false" ht="14.25" hidden="false" customHeight="false" outlineLevel="0" collapsed="false">
      <c r="A103" s="15" t="n">
        <v>2008</v>
      </c>
      <c r="B103" s="16" t="n">
        <f aca="false">DATE(A103,12,31)</f>
        <v>39813</v>
      </c>
      <c r="C103" s="17" t="s">
        <v>22</v>
      </c>
      <c r="D103" s="17" t="s">
        <v>18</v>
      </c>
      <c r="E103" s="17" t="n">
        <v>9.62632302094186</v>
      </c>
      <c r="F103" s="18" t="n">
        <f aca="false">E103*_xlfn.XLOOKUP(D103,conversiones!$A$2:$A$6,conversiones!$B$2:$B$6,0)</f>
        <v>436.650012229923</v>
      </c>
      <c r="G103" s="17" t="n">
        <v>1241.56577777778</v>
      </c>
      <c r="H103" s="17" t="s">
        <v>18</v>
      </c>
      <c r="I103" s="18" t="n">
        <f aca="false">G103/_xlfn.XLOOKUP(H103,conversiones!$A$2:$A$6,conversiones!$B$2:$B$6,0)</f>
        <v>27.3713795806389</v>
      </c>
      <c r="J103" s="17" t="n">
        <v>6901.0735717536</v>
      </c>
      <c r="K103" s="18" t="n">
        <f aca="false">_xlfn.XLOOKUP(C103,Ciclo!$A$2:$A$13,Ciclo!$D$2:$D$13,0)</f>
        <v>1</v>
      </c>
      <c r="L103" s="18" t="n">
        <f aca="false">F103*I103-J103</f>
        <v>5050.63965688223</v>
      </c>
      <c r="M103" s="19" t="n">
        <f aca="false">IF(J103=0,0,L103/J103)</f>
        <v>0.73186289123981</v>
      </c>
      <c r="N103" s="20" t="n">
        <f aca="false">M103*K103</f>
        <v>0.73186289123981</v>
      </c>
    </row>
    <row r="104" customFormat="false" ht="14.25" hidden="false" customHeight="false" outlineLevel="0" collapsed="false">
      <c r="A104" s="15" t="n">
        <v>2008</v>
      </c>
      <c r="B104" s="16" t="n">
        <f aca="false">DATE(A104,12,31)</f>
        <v>39813</v>
      </c>
      <c r="C104" s="17" t="s">
        <v>24</v>
      </c>
      <c r="D104" s="17" t="s">
        <v>18</v>
      </c>
      <c r="E104" s="17" t="n">
        <v>8.59577838945078</v>
      </c>
      <c r="F104" s="18" t="n">
        <f aca="false">E104*_xlfn.XLOOKUP(D104,conversiones!$A$2:$A$6,conversiones!$B$2:$B$6,0)</f>
        <v>389.904507745487</v>
      </c>
      <c r="G104" s="17" t="n">
        <v>1159.79513888889</v>
      </c>
      <c r="H104" s="17" t="s">
        <v>18</v>
      </c>
      <c r="I104" s="18" t="n">
        <f aca="false">G104/_xlfn.XLOOKUP(H104,conversiones!$A$2:$A$6,conversiones!$B$2:$B$6,0)</f>
        <v>25.5686759014306</v>
      </c>
      <c r="J104" s="17" t="n">
        <v>5602.34206216742</v>
      </c>
      <c r="K104" s="18" t="n">
        <f aca="false">_xlfn.XLOOKUP(C104,Ciclo!$A$2:$A$13,Ciclo!$D$2:$D$13,0)</f>
        <v>1</v>
      </c>
      <c r="L104" s="18" t="n">
        <f aca="false">F104*I104-J104</f>
        <v>4366.99992888377</v>
      </c>
      <c r="M104" s="19" t="n">
        <f aca="false">IF(J104=0,0,L104/J104)</f>
        <v>0.779495411102097</v>
      </c>
      <c r="N104" s="20" t="n">
        <f aca="false">M104*K104</f>
        <v>0.779495411102097</v>
      </c>
    </row>
    <row r="105" customFormat="false" ht="14.25" hidden="false" customHeight="false" outlineLevel="0" collapsed="false">
      <c r="A105" s="15" t="n">
        <v>2008</v>
      </c>
      <c r="B105" s="16" t="n">
        <f aca="false">DATE(A105,12,31)</f>
        <v>39813</v>
      </c>
      <c r="C105" s="17" t="s">
        <v>30</v>
      </c>
      <c r="D105" s="17" t="s">
        <v>32</v>
      </c>
      <c r="E105" s="17" t="n">
        <v>62.2845919299874</v>
      </c>
      <c r="F105" s="18" t="n">
        <f aca="false">E105*_xlfn.XLOOKUP(D105,conversiones!$A$2:$A$6,conversiones!$B$2:$B$6,0)</f>
        <v>1694.76374641496</v>
      </c>
      <c r="G105" s="17" t="n">
        <v>112.711517857143</v>
      </c>
      <c r="H105" s="17" t="s">
        <v>32</v>
      </c>
      <c r="I105" s="18" t="n">
        <f aca="false">G105/_xlfn.XLOOKUP(H105,conversiones!$A$2:$A$6,conversiones!$B$2:$B$6,0)</f>
        <v>4.14228290544443</v>
      </c>
      <c r="J105" s="17" t="n">
        <v>8644.77930505247</v>
      </c>
      <c r="K105" s="18" t="n">
        <f aca="false">_xlfn.XLOOKUP(C105,Ciclo!$A$2:$A$13,Ciclo!$D$2:$D$13,0)</f>
        <v>1</v>
      </c>
      <c r="L105" s="18" t="n">
        <f aca="false">F105*I105-J105</f>
        <v>-1624.58840951083</v>
      </c>
      <c r="M105" s="19" t="n">
        <f aca="false">IF(J105=0,0,L105/J105)</f>
        <v>-0.187927112096585</v>
      </c>
      <c r="N105" s="20" t="n">
        <f aca="false">M105*K105</f>
        <v>-0.187927112096585</v>
      </c>
    </row>
    <row r="106" customFormat="false" ht="14.25" hidden="false" customHeight="false" outlineLevel="0" collapsed="false">
      <c r="A106" s="15" t="n">
        <v>2008</v>
      </c>
      <c r="B106" s="16" t="n">
        <f aca="false">DATE(A106,12,31)</f>
        <v>39813</v>
      </c>
      <c r="C106" s="17" t="s">
        <v>33</v>
      </c>
      <c r="D106" s="17" t="s">
        <v>34</v>
      </c>
      <c r="E106" s="17" t="n">
        <v>2.23180280591116</v>
      </c>
      <c r="F106" s="18" t="n">
        <f aca="false">E106*_xlfn.XLOOKUP(D106,conversiones!$A$2:$A$6,conversiones!$B$2:$B$6,0)</f>
        <v>910.91031523264</v>
      </c>
      <c r="G106" s="17" t="n">
        <v>4869.30900198413</v>
      </c>
      <c r="H106" s="17" t="s">
        <v>34</v>
      </c>
      <c r="I106" s="18" t="n">
        <f aca="false">G106/_xlfn.XLOOKUP(H106,conversiones!$A$2:$A$6,conversiones!$B$2:$B$6,0)</f>
        <v>11.9301947861917</v>
      </c>
      <c r="J106" s="17" t="n">
        <v>8418.12886809492</v>
      </c>
      <c r="K106" s="18" t="n">
        <f aca="false">_xlfn.XLOOKUP(C106,Ciclo!$A$2:$A$13,Ciclo!$D$2:$D$13,0)</f>
        <v>1</v>
      </c>
      <c r="L106" s="18" t="n">
        <f aca="false">F106*I106-J106</f>
        <v>2449.20862538173</v>
      </c>
      <c r="M106" s="19" t="n">
        <f aca="false">IF(J106=0,0,L106/J106)</f>
        <v>0.290944539310195</v>
      </c>
      <c r="N106" s="20" t="n">
        <f aca="false">M106*K106</f>
        <v>0.290944539310195</v>
      </c>
    </row>
    <row r="107" customFormat="false" ht="14.25" hidden="false" customHeight="false" outlineLevel="0" collapsed="false">
      <c r="A107" s="15" t="n">
        <v>2008</v>
      </c>
      <c r="B107" s="16" t="n">
        <f aca="false">DATE(A107,12,31)</f>
        <v>39813</v>
      </c>
      <c r="C107" s="17" t="s">
        <v>28</v>
      </c>
      <c r="D107" s="17" t="s">
        <v>29</v>
      </c>
      <c r="E107" s="17" t="n">
        <v>1.49111132681198</v>
      </c>
      <c r="F107" s="18" t="n">
        <f aca="false">E107*_xlfn.XLOOKUP(D107,conversiones!$A$2:$A$6,conversiones!$B$2:$B$6,0)</f>
        <v>838.511543519449</v>
      </c>
      <c r="G107" s="17" t="n">
        <v>5628.48763095238</v>
      </c>
      <c r="H107" s="17" t="s">
        <v>29</v>
      </c>
      <c r="I107" s="18" t="n">
        <f aca="false">G107/_xlfn.XLOOKUP(H107,conversiones!$A$2:$A$6,conversiones!$B$2:$B$6,0)</f>
        <v>10.0090472506889</v>
      </c>
      <c r="J107" s="17" t="n">
        <v>4903.37166571833</v>
      </c>
      <c r="K107" s="18" t="n">
        <f aca="false">_xlfn.XLOOKUP(C107,Ciclo!$A$2:$A$13,Ciclo!$D$2:$D$13,0)</f>
        <v>3</v>
      </c>
      <c r="L107" s="18" t="n">
        <f aca="false">F107*I107-J107</f>
        <v>3489.32999361589</v>
      </c>
      <c r="M107" s="19" t="n">
        <f aca="false">IF(J107=0,0,L107/J107)</f>
        <v>0.711618500798412</v>
      </c>
      <c r="N107" s="20" t="n">
        <f aca="false">M107*K107</f>
        <v>2.13485550239524</v>
      </c>
    </row>
    <row r="108" customFormat="false" ht="14.25" hidden="false" customHeight="false" outlineLevel="0" collapsed="false">
      <c r="A108" s="15" t="n">
        <v>2008</v>
      </c>
      <c r="B108" s="16" t="n">
        <f aca="false">DATE(A108,12,31)</f>
        <v>39813</v>
      </c>
      <c r="C108" s="17" t="s">
        <v>26</v>
      </c>
      <c r="D108" s="17" t="s">
        <v>18</v>
      </c>
      <c r="E108" s="17" t="n">
        <v>5.90893093116667</v>
      </c>
      <c r="F108" s="18" t="n">
        <f aca="false">E108*_xlfn.XLOOKUP(D108,conversiones!$A$2:$A$6,conversiones!$B$2:$B$6,0)</f>
        <v>268.02910703772</v>
      </c>
      <c r="G108" s="17" t="n">
        <v>707.9655</v>
      </c>
      <c r="H108" s="17" t="s">
        <v>18</v>
      </c>
      <c r="I108" s="18" t="n">
        <f aca="false">G108/_xlfn.XLOOKUP(H108,conversiones!$A$2:$A$6,conversiones!$B$2:$B$6,0)</f>
        <v>15.607705026455</v>
      </c>
      <c r="J108" s="17" t="n">
        <v>1294.92573769894</v>
      </c>
      <c r="K108" s="18" t="n">
        <f aca="false">_xlfn.XLOOKUP(C108,Ciclo!$A$2:$A$13,Ciclo!$D$2:$D$13,0)</f>
        <v>3</v>
      </c>
      <c r="L108" s="18" t="n">
        <f aca="false">F108*I108-J108</f>
        <v>2888.39350344994</v>
      </c>
      <c r="M108" s="19" t="n">
        <f aca="false">IF(J108=0,0,L108/J108)</f>
        <v>2.23054760544227</v>
      </c>
      <c r="N108" s="20" t="n">
        <f aca="false">M108*K108</f>
        <v>6.69164281632682</v>
      </c>
    </row>
    <row r="109" customFormat="false" ht="14.25" hidden="false" customHeight="false" outlineLevel="0" collapsed="false">
      <c r="A109" s="15" t="n">
        <v>2008</v>
      </c>
      <c r="B109" s="16" t="n">
        <f aca="false">DATE(A109,12,31)</f>
        <v>39813</v>
      </c>
      <c r="C109" s="17" t="s">
        <v>27</v>
      </c>
      <c r="D109" s="17" t="s">
        <v>18</v>
      </c>
      <c r="E109" s="17" t="n">
        <v>7.2165397019573</v>
      </c>
      <c r="F109" s="18" t="n">
        <f aca="false">E109*_xlfn.XLOOKUP(D109,conversiones!$A$2:$A$6,conversiones!$B$2:$B$6,0)</f>
        <v>327.342240880783</v>
      </c>
      <c r="G109" s="17" t="n">
        <v>388.631857638889</v>
      </c>
      <c r="H109" s="17" t="s">
        <v>18</v>
      </c>
      <c r="I109" s="18" t="n">
        <f aca="false">G109/_xlfn.XLOOKUP(H109,conversiones!$A$2:$A$6,conversiones!$B$2:$B$6,0)</f>
        <v>8.5677217292524</v>
      </c>
      <c r="J109" s="17" t="n">
        <v>5429.72570566602</v>
      </c>
      <c r="K109" s="18" t="n">
        <f aca="false">_xlfn.XLOOKUP(C109,Ciclo!$A$2:$A$13,Ciclo!$D$2:$D$13,0)</f>
        <v>2.4</v>
      </c>
      <c r="L109" s="18" t="n">
        <f aca="false">F109*I109-J109</f>
        <v>-2625.14847556956</v>
      </c>
      <c r="M109" s="19" t="n">
        <f aca="false">IF(J109=0,0,L109/J109)</f>
        <v>-0.48347718059315</v>
      </c>
      <c r="N109" s="20" t="n">
        <f aca="false">M109*K109</f>
        <v>-1.16034523342356</v>
      </c>
    </row>
    <row r="110" customFormat="false" ht="14.25" hidden="false" customHeight="false" outlineLevel="0" collapsed="false">
      <c r="A110" s="15" t="n">
        <v>2009</v>
      </c>
      <c r="B110" s="16" t="n">
        <f aca="false">DATE(A110,12,31)</f>
        <v>40178</v>
      </c>
      <c r="C110" s="17" t="s">
        <v>16</v>
      </c>
      <c r="D110" s="17" t="s">
        <v>18</v>
      </c>
      <c r="E110" s="17" t="n">
        <v>4.20022868113391</v>
      </c>
      <c r="F110" s="18" t="n">
        <f aca="false">E110*_xlfn.XLOOKUP(D110,conversiones!$A$2:$A$6,conversiones!$B$2:$B$6,0)</f>
        <v>190.522372976234</v>
      </c>
      <c r="G110" s="17" t="n">
        <v>1999.14119853716</v>
      </c>
      <c r="H110" s="17" t="s">
        <v>19</v>
      </c>
      <c r="I110" s="18" t="n">
        <f aca="false">G110/_xlfn.XLOOKUP(H110,conversiones!$A$2:$A$6,conversiones!$B$2:$B$6,0)</f>
        <v>18.1740108957924</v>
      </c>
      <c r="J110" s="17" t="n">
        <v>6526.78</v>
      </c>
      <c r="K110" s="18" t="n">
        <f aca="false">_xlfn.XLOOKUP(C110,Ciclo!$A$2:$A$13,Ciclo!$D$2:$D$13,0)</f>
        <v>2.4</v>
      </c>
      <c r="L110" s="18" t="n">
        <f aca="false">F110*I110-J110</f>
        <v>-3064.2243176377</v>
      </c>
      <c r="M110" s="19" t="n">
        <f aca="false">IF(J110=0,0,L110/J110)</f>
        <v>-0.469484848215767</v>
      </c>
      <c r="N110" s="20" t="n">
        <f aca="false">M110*K110</f>
        <v>-1.12676363571784</v>
      </c>
    </row>
    <row r="111" customFormat="false" ht="14.25" hidden="false" customHeight="false" outlineLevel="0" collapsed="false">
      <c r="A111" s="15" t="n">
        <v>2009</v>
      </c>
      <c r="B111" s="16" t="n">
        <f aca="false">DATE(A111,12,31)</f>
        <v>40178</v>
      </c>
      <c r="C111" s="17" t="s">
        <v>20</v>
      </c>
      <c r="D111" s="17" t="s">
        <v>18</v>
      </c>
      <c r="E111" s="17" t="n">
        <v>2.03049620407562</v>
      </c>
      <c r="F111" s="18" t="n">
        <f aca="false">E111*_xlfn.XLOOKUP(D111,conversiones!$A$2:$A$6,conversiones!$B$2:$B$6,0)</f>
        <v>92.1033078168701</v>
      </c>
      <c r="G111" s="17" t="n">
        <v>601.318</v>
      </c>
      <c r="H111" s="17" t="s">
        <v>18</v>
      </c>
      <c r="I111" s="18" t="n">
        <f aca="false">G111/_xlfn.XLOOKUP(H111,conversiones!$A$2:$A$6,conversiones!$B$2:$B$6,0)</f>
        <v>13.256569664903</v>
      </c>
      <c r="J111" s="17" t="n">
        <v>1590.10324602816</v>
      </c>
      <c r="K111" s="18" t="n">
        <f aca="false">_xlfn.XLOOKUP(C111,Ciclo!$A$2:$A$13,Ciclo!$D$2:$D$13,0)</f>
        <v>3</v>
      </c>
      <c r="L111" s="18" t="n">
        <f aca="false">F111*I111-J111</f>
        <v>-369.129329585817</v>
      </c>
      <c r="M111" s="19" t="n">
        <f aca="false">IF(J111=0,0,L111/J111)</f>
        <v>-0.232141737027357</v>
      </c>
      <c r="N111" s="20" t="n">
        <f aca="false">M111*K111</f>
        <v>-0.696425211082072</v>
      </c>
    </row>
    <row r="112" customFormat="false" ht="14.25" hidden="false" customHeight="false" outlineLevel="0" collapsed="false">
      <c r="A112" s="15" t="n">
        <v>2009</v>
      </c>
      <c r="B112" s="16" t="n">
        <f aca="false">DATE(A112,12,31)</f>
        <v>40178</v>
      </c>
      <c r="C112" s="17" t="s">
        <v>23</v>
      </c>
      <c r="D112" s="17" t="s">
        <v>18</v>
      </c>
      <c r="E112" s="17" t="n">
        <v>30.4595805529075</v>
      </c>
      <c r="F112" s="18" t="n">
        <f aca="false">E112*_xlfn.XLOOKUP(D112,conversiones!$A$2:$A$6,conversiones!$B$2:$B$6,0)</f>
        <v>1381.64657387988</v>
      </c>
      <c r="G112" s="17" t="n">
        <v>615.463541666667</v>
      </c>
      <c r="H112" s="17" t="s">
        <v>18</v>
      </c>
      <c r="I112" s="18" t="n">
        <f aca="false">G112/_xlfn.XLOOKUP(H112,conversiones!$A$2:$A$6,conversiones!$B$2:$B$6,0)</f>
        <v>13.5684202307466</v>
      </c>
      <c r="J112" s="17" t="n">
        <v>17661.8086675086</v>
      </c>
      <c r="K112" s="18" t="n">
        <f aca="false">_xlfn.XLOOKUP(C112,Ciclo!$A$2:$A$13,Ciclo!$D$2:$D$13,0)</f>
        <v>4</v>
      </c>
      <c r="L112" s="18" t="n">
        <f aca="false">F112*I112-J112</f>
        <v>1084.95265726498</v>
      </c>
      <c r="M112" s="19" t="n">
        <f aca="false">IF(J112=0,0,L112/J112)</f>
        <v>0.0614293064594743</v>
      </c>
      <c r="N112" s="20" t="n">
        <f aca="false">M112*K112</f>
        <v>0.245717225837897</v>
      </c>
    </row>
    <row r="113" customFormat="false" ht="14.25" hidden="false" customHeight="false" outlineLevel="0" collapsed="false">
      <c r="A113" s="15" t="n">
        <v>2009</v>
      </c>
      <c r="B113" s="16" t="n">
        <f aca="false">DATE(A113,12,31)</f>
        <v>40178</v>
      </c>
      <c r="C113" s="17" t="s">
        <v>21</v>
      </c>
      <c r="D113" s="17" t="s">
        <v>18</v>
      </c>
      <c r="E113" s="17" t="n">
        <v>10.7416677862406</v>
      </c>
      <c r="F113" s="18" t="n">
        <f aca="false">E113*_xlfn.XLOOKUP(D113,conversiones!$A$2:$A$6,conversiones!$B$2:$B$6,0)</f>
        <v>487.242050783874</v>
      </c>
      <c r="G113" s="17" t="n">
        <v>336.311030489418</v>
      </c>
      <c r="H113" s="17" t="s">
        <v>18</v>
      </c>
      <c r="I113" s="18" t="n">
        <f aca="false">G113/_xlfn.XLOOKUP(H113,conversiones!$A$2:$A$6,conversiones!$B$2:$B$6,0)</f>
        <v>7.41426434059563</v>
      </c>
      <c r="J113" s="17" t="n">
        <v>4038.1847175</v>
      </c>
      <c r="K113" s="18" t="n">
        <f aca="false">_xlfn.XLOOKUP(C113,Ciclo!$A$2:$A$13,Ciclo!$D$2:$D$13,0)</f>
        <v>2</v>
      </c>
      <c r="L113" s="18" t="n">
        <f aca="false">F113*I113-J113</f>
        <v>-425.643355134439</v>
      </c>
      <c r="M113" s="19" t="n">
        <f aca="false">IF(J113=0,0,L113/J113)</f>
        <v>-0.105404627304407</v>
      </c>
      <c r="N113" s="20" t="n">
        <f aca="false">M113*K113</f>
        <v>-0.210809254608813</v>
      </c>
    </row>
    <row r="114" customFormat="false" ht="14.25" hidden="false" customHeight="false" outlineLevel="0" collapsed="false">
      <c r="A114" s="15" t="n">
        <v>2009</v>
      </c>
      <c r="B114" s="16" t="n">
        <f aca="false">DATE(A114,12,31)</f>
        <v>40178</v>
      </c>
      <c r="C114" s="17" t="s">
        <v>25</v>
      </c>
      <c r="D114" s="17" t="s">
        <v>18</v>
      </c>
      <c r="E114" s="17" t="n">
        <v>10.7015694535185</v>
      </c>
      <c r="F114" s="18" t="n">
        <f aca="false">E114*_xlfn.XLOOKUP(D114,conversiones!$A$2:$A$6,conversiones!$B$2:$B$6,0)</f>
        <v>485.423190411599</v>
      </c>
      <c r="G114" s="17" t="n">
        <v>407.441236111111</v>
      </c>
      <c r="H114" s="17" t="s">
        <v>18</v>
      </c>
      <c r="I114" s="18" t="n">
        <f aca="false">G114/_xlfn.XLOOKUP(H114,conversiones!$A$2:$A$6,conversiones!$B$2:$B$6,0)</f>
        <v>8.98239056682344</v>
      </c>
      <c r="J114" s="17" t="n">
        <v>3380.66818371576</v>
      </c>
      <c r="K114" s="18" t="n">
        <f aca="false">_xlfn.XLOOKUP(C114,Ciclo!$A$2:$A$13,Ciclo!$D$2:$D$13,0)</f>
        <v>1.2</v>
      </c>
      <c r="L114" s="18" t="n">
        <f aca="false">F114*I114-J114</f>
        <v>979.592502754724</v>
      </c>
      <c r="M114" s="19" t="n">
        <f aca="false">IF(J114=0,0,L114/J114)</f>
        <v>0.28976298457012</v>
      </c>
      <c r="N114" s="20" t="n">
        <f aca="false">M114*K114</f>
        <v>0.347715581484144</v>
      </c>
    </row>
    <row r="115" customFormat="false" ht="14.25" hidden="false" customHeight="false" outlineLevel="0" collapsed="false">
      <c r="A115" s="15" t="n">
        <v>2009</v>
      </c>
      <c r="B115" s="16" t="n">
        <f aca="false">DATE(A115,12,31)</f>
        <v>40178</v>
      </c>
      <c r="C115" s="17" t="s">
        <v>22</v>
      </c>
      <c r="D115" s="17" t="s">
        <v>18</v>
      </c>
      <c r="E115" s="17" t="n">
        <v>9.72852696762602</v>
      </c>
      <c r="F115" s="18" t="n">
        <f aca="false">E115*_xlfn.XLOOKUP(D115,conversiones!$A$2:$A$6,conversiones!$B$2:$B$6,0)</f>
        <v>441.285983251516</v>
      </c>
      <c r="G115" s="17" t="n">
        <v>1188.5136656746</v>
      </c>
      <c r="H115" s="17" t="s">
        <v>18</v>
      </c>
      <c r="I115" s="18" t="n">
        <f aca="false">G115/_xlfn.XLOOKUP(H115,conversiones!$A$2:$A$6,conversiones!$B$2:$B$6,0)</f>
        <v>26.2018003896517</v>
      </c>
      <c r="J115" s="17" t="n">
        <v>7095.7961172</v>
      </c>
      <c r="K115" s="18" t="n">
        <f aca="false">_xlfn.XLOOKUP(C115,Ciclo!$A$2:$A$13,Ciclo!$D$2:$D$13,0)</f>
        <v>1</v>
      </c>
      <c r="L115" s="18" t="n">
        <f aca="false">F115*I115-J115</f>
        <v>4466.6911307074</v>
      </c>
      <c r="M115" s="19" t="n">
        <f aca="false">IF(J115=0,0,L115/J115)</f>
        <v>0.629484142009136</v>
      </c>
      <c r="N115" s="20" t="n">
        <f aca="false">M115*K115</f>
        <v>0.629484142009136</v>
      </c>
    </row>
    <row r="116" customFormat="false" ht="14.25" hidden="false" customHeight="false" outlineLevel="0" collapsed="false">
      <c r="A116" s="15" t="n">
        <v>2009</v>
      </c>
      <c r="B116" s="16" t="n">
        <f aca="false">DATE(A116,12,31)</f>
        <v>40178</v>
      </c>
      <c r="C116" s="17" t="s">
        <v>24</v>
      </c>
      <c r="D116" s="17" t="s">
        <v>18</v>
      </c>
      <c r="E116" s="17" t="n">
        <v>8.95441316393351</v>
      </c>
      <c r="F116" s="18" t="n">
        <f aca="false">E116*_xlfn.XLOOKUP(D116,conversiones!$A$2:$A$6,conversiones!$B$2:$B$6,0)</f>
        <v>406.172181116024</v>
      </c>
      <c r="G116" s="17" t="n">
        <v>1219.17118069728</v>
      </c>
      <c r="H116" s="17" t="s">
        <v>18</v>
      </c>
      <c r="I116" s="18" t="n">
        <f aca="false">G116/_xlfn.XLOOKUP(H116,conversiones!$A$2:$A$6,conversiones!$B$2:$B$6,0)</f>
        <v>26.877671532127</v>
      </c>
      <c r="J116" s="17" t="n">
        <v>5745.6881190336</v>
      </c>
      <c r="K116" s="18" t="n">
        <f aca="false">_xlfn.XLOOKUP(C116,Ciclo!$A$2:$A$13,Ciclo!$D$2:$D$13,0)</f>
        <v>1</v>
      </c>
      <c r="L116" s="18" t="n">
        <f aca="false">F116*I116-J116</f>
        <v>5171.27435049048</v>
      </c>
      <c r="M116" s="19" t="n">
        <f aca="false">IF(J116=0,0,L116/J116)</f>
        <v>0.90002698429797</v>
      </c>
      <c r="N116" s="20" t="n">
        <f aca="false">M116*K116</f>
        <v>0.90002698429797</v>
      </c>
    </row>
    <row r="117" customFormat="false" ht="14.25" hidden="false" customHeight="false" outlineLevel="0" collapsed="false">
      <c r="A117" s="15" t="n">
        <v>2009</v>
      </c>
      <c r="B117" s="16" t="n">
        <f aca="false">DATE(A117,12,31)</f>
        <v>40178</v>
      </c>
      <c r="C117" s="17" t="s">
        <v>30</v>
      </c>
      <c r="D117" s="17" t="s">
        <v>32</v>
      </c>
      <c r="E117" s="17" t="n">
        <v>83.8108880476253</v>
      </c>
      <c r="F117" s="18" t="n">
        <f aca="false">E117*_xlfn.XLOOKUP(D117,conversiones!$A$2:$A$6,conversiones!$B$2:$B$6,0)</f>
        <v>2280.49426377588</v>
      </c>
      <c r="G117" s="17" t="n">
        <v>104.78</v>
      </c>
      <c r="H117" s="17" t="s">
        <v>32</v>
      </c>
      <c r="I117" s="18" t="n">
        <f aca="false">G117/_xlfn.XLOOKUP(H117,conversiones!$A$2:$A$6,conversiones!$B$2:$B$6,0)</f>
        <v>3.8507901506799</v>
      </c>
      <c r="J117" s="17" t="n">
        <v>9253.94477920298</v>
      </c>
      <c r="K117" s="18" t="n">
        <f aca="false">_xlfn.XLOOKUP(C117,Ciclo!$A$2:$A$13,Ciclo!$D$2:$D$13,0)</f>
        <v>1</v>
      </c>
      <c r="L117" s="18" t="n">
        <f aca="false">F117*I117-J117</f>
        <v>-472.239929572801</v>
      </c>
      <c r="M117" s="19" t="n">
        <f aca="false">IF(J117=0,0,L117/J117)</f>
        <v>-0.0510312024590959</v>
      </c>
      <c r="N117" s="20" t="n">
        <f aca="false">M117*K117</f>
        <v>-0.0510312024590959</v>
      </c>
    </row>
    <row r="118" customFormat="false" ht="14.25" hidden="false" customHeight="false" outlineLevel="0" collapsed="false">
      <c r="A118" s="15" t="n">
        <v>2009</v>
      </c>
      <c r="B118" s="16" t="n">
        <f aca="false">DATE(A118,12,31)</f>
        <v>40178</v>
      </c>
      <c r="C118" s="17" t="s">
        <v>33</v>
      </c>
      <c r="D118" s="17" t="s">
        <v>34</v>
      </c>
      <c r="E118" s="17" t="n">
        <v>2.89657254967586</v>
      </c>
      <c r="F118" s="18" t="n">
        <f aca="false">E118*_xlfn.XLOOKUP(D118,conversiones!$A$2:$A$6,conversiones!$B$2:$B$6,0)</f>
        <v>1182.2360861502</v>
      </c>
      <c r="G118" s="17" t="n">
        <v>2985.92782242064</v>
      </c>
      <c r="H118" s="17" t="s">
        <v>34</v>
      </c>
      <c r="I118" s="18" t="n">
        <f aca="false">G118/_xlfn.XLOOKUP(H118,conversiones!$A$2:$A$6,conversiones!$B$2:$B$6,0)</f>
        <v>7.3157609271607</v>
      </c>
      <c r="J118" s="17" t="n">
        <v>8960.6721575976</v>
      </c>
      <c r="K118" s="18" t="n">
        <f aca="false">_xlfn.XLOOKUP(C118,Ciclo!$A$2:$A$13,Ciclo!$D$2:$D$13,0)</f>
        <v>1</v>
      </c>
      <c r="L118" s="18" t="n">
        <f aca="false">F118*I118-J118</f>
        <v>-311.71559186056</v>
      </c>
      <c r="M118" s="19" t="n">
        <f aca="false">IF(J118=0,0,L118/J118)</f>
        <v>-0.0347870769489387</v>
      </c>
      <c r="N118" s="20" t="n">
        <f aca="false">M118*K118</f>
        <v>-0.0347870769489387</v>
      </c>
    </row>
    <row r="119" customFormat="false" ht="14.25" hidden="false" customHeight="false" outlineLevel="0" collapsed="false">
      <c r="A119" s="15" t="n">
        <v>2009</v>
      </c>
      <c r="B119" s="16" t="n">
        <f aca="false">DATE(A119,12,31)</f>
        <v>40178</v>
      </c>
      <c r="C119" s="17" t="s">
        <v>28</v>
      </c>
      <c r="D119" s="17" t="s">
        <v>29</v>
      </c>
      <c r="E119" s="17" t="n">
        <v>1.18615951693726</v>
      </c>
      <c r="F119" s="18" t="n">
        <f aca="false">E119*_xlfn.XLOOKUP(D119,conversiones!$A$2:$A$6,conversiones!$B$2:$B$6,0)</f>
        <v>667.024942754499</v>
      </c>
      <c r="G119" s="17" t="n">
        <v>5259.8068287037</v>
      </c>
      <c r="H119" s="17" t="s">
        <v>29</v>
      </c>
      <c r="I119" s="18" t="n">
        <f aca="false">G119/_xlfn.XLOOKUP(H119,conversiones!$A$2:$A$6,conversiones!$B$2:$B$6,0)</f>
        <v>9.35342822616869</v>
      </c>
      <c r="J119" s="17" t="n">
        <v>5157.16231976537</v>
      </c>
      <c r="K119" s="18" t="n">
        <f aca="false">_xlfn.XLOOKUP(C119,Ciclo!$A$2:$A$13,Ciclo!$D$2:$D$13,0)</f>
        <v>3</v>
      </c>
      <c r="L119" s="18" t="n">
        <f aca="false">F119*I119-J119</f>
        <v>1081.80760735311</v>
      </c>
      <c r="M119" s="19" t="n">
        <f aca="false">IF(J119=0,0,L119/J119)</f>
        <v>0.209767996482672</v>
      </c>
      <c r="N119" s="20" t="n">
        <f aca="false">M119*K119</f>
        <v>0.629303989448017</v>
      </c>
    </row>
    <row r="120" customFormat="false" ht="14.25" hidden="false" customHeight="false" outlineLevel="0" collapsed="false">
      <c r="A120" s="15" t="n">
        <v>2009</v>
      </c>
      <c r="B120" s="16" t="n">
        <f aca="false">DATE(A120,12,31)</f>
        <v>40178</v>
      </c>
      <c r="C120" s="17" t="s">
        <v>26</v>
      </c>
      <c r="D120" s="17" t="s">
        <v>18</v>
      </c>
      <c r="E120" s="17" t="n">
        <v>6.1029461118825</v>
      </c>
      <c r="F120" s="18" t="n">
        <f aca="false">E120*_xlfn.XLOOKUP(D120,conversiones!$A$2:$A$6,conversiones!$B$2:$B$6,0)</f>
        <v>276.82963563499</v>
      </c>
      <c r="G120" s="17" t="n">
        <v>619.235267857143</v>
      </c>
      <c r="H120" s="17" t="s">
        <v>18</v>
      </c>
      <c r="I120" s="18" t="n">
        <f aca="false">G120/_xlfn.XLOOKUP(H120,conversiones!$A$2:$A$6,conversiones!$B$2:$B$6,0)</f>
        <v>13.6515711608718</v>
      </c>
      <c r="J120" s="17" t="n">
        <v>1376.3165203125</v>
      </c>
      <c r="K120" s="18" t="n">
        <f aca="false">_xlfn.XLOOKUP(C120,Ciclo!$A$2:$A$13,Ciclo!$D$2:$D$13,0)</f>
        <v>3</v>
      </c>
      <c r="L120" s="18" t="n">
        <f aca="false">F120*I120-J120</f>
        <v>2402.84294999677</v>
      </c>
      <c r="M120" s="19" t="n">
        <f aca="false">IF(J120=0,0,L120/J120)</f>
        <v>1.7458505471192</v>
      </c>
      <c r="N120" s="20" t="n">
        <f aca="false">M120*K120</f>
        <v>5.2375516413576</v>
      </c>
    </row>
    <row r="121" customFormat="false" ht="14.25" hidden="false" customHeight="false" outlineLevel="0" collapsed="false">
      <c r="A121" s="15" t="n">
        <v>2009</v>
      </c>
      <c r="B121" s="16" t="n">
        <f aca="false">DATE(A121,12,31)</f>
        <v>40178</v>
      </c>
      <c r="C121" s="17" t="s">
        <v>27</v>
      </c>
      <c r="D121" s="17" t="s">
        <v>18</v>
      </c>
      <c r="E121" s="17" t="n">
        <v>7.25608120355266</v>
      </c>
      <c r="F121" s="18" t="n">
        <f aca="false">E121*_xlfn.XLOOKUP(D121,conversiones!$A$2:$A$6,conversiones!$B$2:$B$6,0)</f>
        <v>329.135843393149</v>
      </c>
      <c r="G121" s="17" t="n">
        <v>289.168873095238</v>
      </c>
      <c r="H121" s="17" t="s">
        <v>18</v>
      </c>
      <c r="I121" s="18" t="n">
        <f aca="false">G121/_xlfn.XLOOKUP(H121,conversiones!$A$2:$A$6,conversiones!$B$2:$B$6,0)</f>
        <v>6.37497515642059</v>
      </c>
      <c r="J121" s="17" t="n">
        <v>5690.0383784955</v>
      </c>
      <c r="K121" s="18" t="n">
        <f aca="false">_xlfn.XLOOKUP(C121,Ciclo!$A$2:$A$13,Ciclo!$D$2:$D$13,0)</f>
        <v>2.4</v>
      </c>
      <c r="L121" s="18" t="n">
        <f aca="false">F121*I121-J121</f>
        <v>-3591.80555377664</v>
      </c>
      <c r="M121" s="19" t="n">
        <f aca="false">IF(J121=0,0,L121/J121)</f>
        <v>-0.631244521539826</v>
      </c>
      <c r="N121" s="20" t="n">
        <f aca="false">M121*K121</f>
        <v>-1.51498685169558</v>
      </c>
    </row>
    <row r="122" customFormat="false" ht="14.25" hidden="false" customHeight="false" outlineLevel="0" collapsed="false">
      <c r="A122" s="15" t="n">
        <v>2010</v>
      </c>
      <c r="B122" s="16" t="n">
        <f aca="false">DATE(A122,12,31)</f>
        <v>40543</v>
      </c>
      <c r="C122" s="17" t="s">
        <v>16</v>
      </c>
      <c r="D122" s="17" t="s">
        <v>18</v>
      </c>
      <c r="E122" s="17" t="n">
        <v>4.40859735604249</v>
      </c>
      <c r="F122" s="18" t="n">
        <f aca="false">E122*_xlfn.XLOOKUP(D122,conversiones!$A$2:$A$6,conversiones!$B$2:$B$6,0)</f>
        <v>199.973976070087</v>
      </c>
      <c r="G122" s="17" t="n">
        <v>1883.36384905372</v>
      </c>
      <c r="H122" s="17" t="s">
        <v>19</v>
      </c>
      <c r="I122" s="18" t="n">
        <f aca="false">G122/_xlfn.XLOOKUP(H122,conversiones!$A$2:$A$6,conversiones!$B$2:$B$6,0)</f>
        <v>17.121489536852</v>
      </c>
      <c r="J122" s="17" t="n">
        <v>7449.80873820933</v>
      </c>
      <c r="K122" s="18" t="n">
        <f aca="false">_xlfn.XLOOKUP(C122,Ciclo!$A$2:$A$13,Ciclo!$D$2:$D$13,0)</f>
        <v>2.4</v>
      </c>
      <c r="L122" s="18" t="n">
        <f aca="false">F122*I122-J122</f>
        <v>-4025.95639928264</v>
      </c>
      <c r="M122" s="19" t="n">
        <f aca="false">IF(J122=0,0,L122/J122)</f>
        <v>-0.540410705933148</v>
      </c>
      <c r="N122" s="20" t="n">
        <f aca="false">M122*K122</f>
        <v>-1.29698569423955</v>
      </c>
    </row>
    <row r="123" customFormat="false" ht="14.25" hidden="false" customHeight="false" outlineLevel="0" collapsed="false">
      <c r="A123" s="15" t="n">
        <v>2010</v>
      </c>
      <c r="B123" s="16" t="n">
        <f aca="false">DATE(A123,12,31)</f>
        <v>40543</v>
      </c>
      <c r="C123" s="17" t="s">
        <v>20</v>
      </c>
      <c r="D123" s="17" t="s">
        <v>18</v>
      </c>
      <c r="E123" s="17" t="n">
        <v>2.33184275673247</v>
      </c>
      <c r="F123" s="18" t="n">
        <f aca="false">E123*_xlfn.XLOOKUP(D123,conversiones!$A$2:$A$6,conversiones!$B$2:$B$6,0)</f>
        <v>105.772387445385</v>
      </c>
      <c r="G123" s="17" t="n">
        <v>613.429642296958</v>
      </c>
      <c r="H123" s="17" t="s">
        <v>18</v>
      </c>
      <c r="I123" s="18" t="n">
        <f aca="false">G123/_xlfn.XLOOKUP(H123,conversiones!$A$2:$A$6,conversiones!$B$2:$B$6,0)</f>
        <v>13.5235811793862</v>
      </c>
      <c r="J123" s="17" t="n">
        <v>2162.02023182316</v>
      </c>
      <c r="K123" s="18" t="n">
        <f aca="false">_xlfn.XLOOKUP(C123,Ciclo!$A$2:$A$13,Ciclo!$D$2:$D$13,0)</f>
        <v>3</v>
      </c>
      <c r="L123" s="18" t="n">
        <f aca="false">F123*I123-J123</f>
        <v>-731.598763668008</v>
      </c>
      <c r="M123" s="19" t="n">
        <f aca="false">IF(J123=0,0,L123/J123)</f>
        <v>-0.338386640836878</v>
      </c>
      <c r="N123" s="20" t="n">
        <f aca="false">M123*K123</f>
        <v>-1.01515992251064</v>
      </c>
    </row>
    <row r="124" customFormat="false" ht="14.25" hidden="false" customHeight="false" outlineLevel="0" collapsed="false">
      <c r="A124" s="15" t="n">
        <v>2010</v>
      </c>
      <c r="B124" s="16" t="n">
        <f aca="false">DATE(A124,12,31)</f>
        <v>40543</v>
      </c>
      <c r="C124" s="17" t="s">
        <v>23</v>
      </c>
      <c r="D124" s="17" t="s">
        <v>18</v>
      </c>
      <c r="E124" s="17" t="n">
        <v>32.9048582419148</v>
      </c>
      <c r="F124" s="18" t="n">
        <f aca="false">E124*_xlfn.XLOOKUP(D124,conversiones!$A$2:$A$6,conversiones!$B$2:$B$6,0)</f>
        <v>1492.56436985326</v>
      </c>
      <c r="G124" s="17" t="n">
        <v>769.19849537037</v>
      </c>
      <c r="H124" s="17" t="s">
        <v>18</v>
      </c>
      <c r="I124" s="18" t="n">
        <f aca="false">G124/_xlfn.XLOOKUP(H124,conversiones!$A$2:$A$6,conversiones!$B$2:$B$6,0)</f>
        <v>16.9576387868247</v>
      </c>
      <c r="J124" s="17" t="n">
        <v>20327.21</v>
      </c>
      <c r="K124" s="18" t="n">
        <f aca="false">_xlfn.XLOOKUP(C124,Ciclo!$A$2:$A$13,Ciclo!$D$2:$D$13,0)</f>
        <v>4</v>
      </c>
      <c r="L124" s="18" t="n">
        <f aca="false">F124*I124-J124</f>
        <v>4983.15745005618</v>
      </c>
      <c r="M124" s="19" t="n">
        <f aca="false">IF(J124=0,0,L124/J124)</f>
        <v>0.245147142675074</v>
      </c>
      <c r="N124" s="20" t="n">
        <f aca="false">M124*K124</f>
        <v>0.980588570700295</v>
      </c>
    </row>
    <row r="125" customFormat="false" ht="14.25" hidden="false" customHeight="false" outlineLevel="0" collapsed="false">
      <c r="A125" s="15" t="n">
        <v>2010</v>
      </c>
      <c r="B125" s="16" t="n">
        <f aca="false">DATE(A125,12,31)</f>
        <v>40543</v>
      </c>
      <c r="C125" s="17" t="s">
        <v>21</v>
      </c>
      <c r="D125" s="17" t="s">
        <v>18</v>
      </c>
      <c r="E125" s="17" t="n">
        <v>11.2785380683398</v>
      </c>
      <c r="F125" s="18" t="n">
        <f aca="false">E125*_xlfn.XLOOKUP(D125,conversiones!$A$2:$A$6,conversiones!$B$2:$B$6,0)</f>
        <v>511.594486779893</v>
      </c>
      <c r="G125" s="17" t="n">
        <v>403.43013723545</v>
      </c>
      <c r="H125" s="17" t="s">
        <v>18</v>
      </c>
      <c r="I125" s="18" t="n">
        <f aca="false">G125/_xlfn.XLOOKUP(H125,conversiones!$A$2:$A$6,conversiones!$B$2:$B$6,0)</f>
        <v>8.89396246109899</v>
      </c>
      <c r="J125" s="17" t="n">
        <v>4521.4268875</v>
      </c>
      <c r="K125" s="18" t="n">
        <f aca="false">_xlfn.XLOOKUP(C125,Ciclo!$A$2:$A$13,Ciclo!$D$2:$D$13,0)</f>
        <v>2</v>
      </c>
      <c r="L125" s="18" t="n">
        <f aca="false">F125*I125-J125</f>
        <v>28.6752732255727</v>
      </c>
      <c r="M125" s="19" t="n">
        <f aca="false">IF(J125=0,0,L125/J125)</f>
        <v>0.00634208490794107</v>
      </c>
      <c r="N125" s="20" t="n">
        <f aca="false">M125*K125</f>
        <v>0.0126841698158821</v>
      </c>
    </row>
    <row r="126" customFormat="false" ht="14.25" hidden="false" customHeight="false" outlineLevel="0" collapsed="false">
      <c r="A126" s="15" t="n">
        <v>2010</v>
      </c>
      <c r="B126" s="16" t="n">
        <f aca="false">DATE(A126,12,31)</f>
        <v>40543</v>
      </c>
      <c r="C126" s="17" t="s">
        <v>25</v>
      </c>
      <c r="D126" s="17" t="s">
        <v>18</v>
      </c>
      <c r="E126" s="17" t="n">
        <v>11.7309961413221</v>
      </c>
      <c r="F126" s="18" t="n">
        <f aca="false">E126*_xlfn.XLOOKUP(D126,conversiones!$A$2:$A$6,conversiones!$B$2:$B$6,0)</f>
        <v>532.117984970371</v>
      </c>
      <c r="G126" s="17" t="n">
        <v>262.052989583333</v>
      </c>
      <c r="H126" s="17" t="s">
        <v>18</v>
      </c>
      <c r="I126" s="18" t="n">
        <f aca="false">G126/_xlfn.XLOOKUP(H126,conversiones!$A$2:$A$6,conversiones!$B$2:$B$6,0)</f>
        <v>5.77718231003821</v>
      </c>
      <c r="J126" s="17" t="n">
        <v>3734.00643997985</v>
      </c>
      <c r="K126" s="18" t="n">
        <f aca="false">_xlfn.XLOOKUP(C126,Ciclo!$A$2:$A$13,Ciclo!$D$2:$D$13,0)</f>
        <v>1.2</v>
      </c>
      <c r="L126" s="18" t="n">
        <f aca="false">F126*I126-J126</f>
        <v>-659.86383035585</v>
      </c>
      <c r="M126" s="19" t="n">
        <f aca="false">IF(J126=0,0,L126/J126)</f>
        <v>-0.176717378762585</v>
      </c>
      <c r="N126" s="20" t="n">
        <f aca="false">M126*K126</f>
        <v>-0.212060854515102</v>
      </c>
    </row>
    <row r="127" customFormat="false" ht="14.25" hidden="false" customHeight="false" outlineLevel="0" collapsed="false">
      <c r="A127" s="15" t="n">
        <v>2010</v>
      </c>
      <c r="B127" s="16" t="n">
        <f aca="false">DATE(A127,12,31)</f>
        <v>40543</v>
      </c>
      <c r="C127" s="17" t="s">
        <v>22</v>
      </c>
      <c r="D127" s="17" t="s">
        <v>18</v>
      </c>
      <c r="E127" s="17" t="n">
        <v>9.61298827335221</v>
      </c>
      <c r="F127" s="18" t="n">
        <f aca="false">E127*_xlfn.XLOOKUP(D127,conversiones!$A$2:$A$6,conversiones!$B$2:$B$6,0)</f>
        <v>436.045148079256</v>
      </c>
      <c r="G127" s="17" t="n">
        <v>1223.08692708333</v>
      </c>
      <c r="H127" s="17" t="s">
        <v>18</v>
      </c>
      <c r="I127" s="18" t="n">
        <f aca="false">G127/_xlfn.XLOOKUP(H127,conversiones!$A$2:$A$6,conversiones!$B$2:$B$6,0)</f>
        <v>26.9639975106554</v>
      </c>
      <c r="J127" s="17" t="n">
        <v>7599.7694060736</v>
      </c>
      <c r="K127" s="18" t="n">
        <f aca="false">_xlfn.XLOOKUP(C127,Ciclo!$A$2:$A$13,Ciclo!$D$2:$D$13,0)</f>
        <v>1</v>
      </c>
      <c r="L127" s="18" t="n">
        <f aca="false">F127*I127-J127</f>
        <v>4157.75088126884</v>
      </c>
      <c r="M127" s="19" t="n">
        <f aca="false">IF(J127=0,0,L127/J127)</f>
        <v>0.547089083774837</v>
      </c>
      <c r="N127" s="20" t="n">
        <f aca="false">M127*K127</f>
        <v>0.547089083774837</v>
      </c>
    </row>
    <row r="128" customFormat="false" ht="14.25" hidden="false" customHeight="false" outlineLevel="0" collapsed="false">
      <c r="A128" s="15" t="n">
        <v>2010</v>
      </c>
      <c r="B128" s="16" t="n">
        <f aca="false">DATE(A128,12,31)</f>
        <v>40543</v>
      </c>
      <c r="C128" s="17" t="s">
        <v>24</v>
      </c>
      <c r="D128" s="17" t="s">
        <v>18</v>
      </c>
      <c r="E128" s="17" t="n">
        <v>9.13479185317816</v>
      </c>
      <c r="F128" s="18" t="n">
        <f aca="false">E128*_xlfn.XLOOKUP(D128,conversiones!$A$2:$A$6,conversiones!$B$2:$B$6,0)</f>
        <v>414.354158460161</v>
      </c>
      <c r="G128" s="17" t="n">
        <v>1252.72046337632</v>
      </c>
      <c r="H128" s="17" t="s">
        <v>18</v>
      </c>
      <c r="I128" s="18" t="n">
        <f aca="false">G128/_xlfn.XLOOKUP(H128,conversiones!$A$2:$A$6,conversiones!$B$2:$B$6,0)</f>
        <v>27.6172941661446</v>
      </c>
      <c r="J128" s="17" t="n">
        <v>6579.6044973696</v>
      </c>
      <c r="K128" s="18" t="n">
        <f aca="false">_xlfn.XLOOKUP(C128,Ciclo!$A$2:$A$13,Ciclo!$D$2:$D$13,0)</f>
        <v>1</v>
      </c>
      <c r="L128" s="18" t="n">
        <f aca="false">F128*I128-J128</f>
        <v>4863.73618578998</v>
      </c>
      <c r="M128" s="19" t="n">
        <f aca="false">IF(J128=0,0,L128/J128)</f>
        <v>0.739214064877973</v>
      </c>
      <c r="N128" s="20" t="n">
        <f aca="false">M128*K128</f>
        <v>0.739214064877973</v>
      </c>
    </row>
    <row r="129" customFormat="false" ht="14.25" hidden="false" customHeight="false" outlineLevel="0" collapsed="false">
      <c r="A129" s="15" t="n">
        <v>2010</v>
      </c>
      <c r="B129" s="16" t="n">
        <f aca="false">DATE(A129,12,31)</f>
        <v>40543</v>
      </c>
      <c r="C129" s="17" t="s">
        <v>30</v>
      </c>
      <c r="D129" s="17" t="s">
        <v>32</v>
      </c>
      <c r="E129" s="17" t="n">
        <v>93.651103905811</v>
      </c>
      <c r="F129" s="18" t="n">
        <f aca="false">E129*_xlfn.XLOOKUP(D129,conversiones!$A$2:$A$6,conversiones!$B$2:$B$6,0)</f>
        <v>2548.24653727712</v>
      </c>
      <c r="G129" s="17" t="n">
        <v>109.944596064815</v>
      </c>
      <c r="H129" s="17" t="s">
        <v>32</v>
      </c>
      <c r="I129" s="18" t="n">
        <f aca="false">G129/_xlfn.XLOOKUP(H129,conversiones!$A$2:$A$6,conversiones!$B$2:$B$6,0)</f>
        <v>4.04059522472676</v>
      </c>
      <c r="J129" s="17" t="n">
        <v>10497.9114219602</v>
      </c>
      <c r="K129" s="18" t="n">
        <f aca="false">_xlfn.XLOOKUP(C129,Ciclo!$A$2:$A$13,Ciclo!$D$2:$D$13,0)</f>
        <v>1</v>
      </c>
      <c r="L129" s="18" t="n">
        <f aca="false">F129*I129-J129</f>
        <v>-201.478632011789</v>
      </c>
      <c r="M129" s="19" t="n">
        <f aca="false">IF(J129=0,0,L129/J129)</f>
        <v>-0.0191922587182745</v>
      </c>
      <c r="N129" s="20" t="n">
        <f aca="false">M129*K129</f>
        <v>-0.0191922587182745</v>
      </c>
    </row>
    <row r="130" customFormat="false" ht="14.25" hidden="false" customHeight="false" outlineLevel="0" collapsed="false">
      <c r="A130" s="15" t="n">
        <v>2010</v>
      </c>
      <c r="B130" s="16" t="n">
        <f aca="false">DATE(A130,12,31)</f>
        <v>40543</v>
      </c>
      <c r="C130" s="17" t="s">
        <v>33</v>
      </c>
      <c r="D130" s="17" t="s">
        <v>34</v>
      </c>
      <c r="E130" s="17" t="n">
        <v>2.57965952586218</v>
      </c>
      <c r="F130" s="18" t="n">
        <f aca="false">E130*_xlfn.XLOOKUP(D130,conversiones!$A$2:$A$6,conversiones!$B$2:$B$6,0)</f>
        <v>1052.88803548065</v>
      </c>
      <c r="G130" s="17" t="n">
        <v>3672.19584986772</v>
      </c>
      <c r="H130" s="17" t="s">
        <v>34</v>
      </c>
      <c r="I130" s="18" t="n">
        <f aca="false">G130/_xlfn.XLOOKUP(H130,conversiones!$A$2:$A$6,conversiones!$B$2:$B$6,0)</f>
        <v>8.99717224027372</v>
      </c>
      <c r="J130" s="17" t="n">
        <v>9292.97349690822</v>
      </c>
      <c r="K130" s="18" t="n">
        <f aca="false">_xlfn.XLOOKUP(C130,Ciclo!$A$2:$A$13,Ciclo!$D$2:$D$13,0)</f>
        <v>1</v>
      </c>
      <c r="L130" s="18" t="n">
        <f aca="false">F130*I130-J130</f>
        <v>180.041508034608</v>
      </c>
      <c r="M130" s="19" t="n">
        <f aca="false">IF(J130=0,0,L130/J130)</f>
        <v>0.0193739396862057</v>
      </c>
      <c r="N130" s="20" t="n">
        <f aca="false">M130*K130</f>
        <v>0.0193739396862057</v>
      </c>
    </row>
    <row r="131" customFormat="false" ht="14.25" hidden="false" customHeight="false" outlineLevel="0" collapsed="false">
      <c r="A131" s="15" t="n">
        <v>2010</v>
      </c>
      <c r="B131" s="16" t="n">
        <f aca="false">DATE(A131,12,31)</f>
        <v>40543</v>
      </c>
      <c r="C131" s="17" t="s">
        <v>28</v>
      </c>
      <c r="D131" s="17" t="s">
        <v>29</v>
      </c>
      <c r="E131" s="17" t="n">
        <v>1.25019757351919</v>
      </c>
      <c r="F131" s="18" t="n">
        <f aca="false">E131*_xlfn.XLOOKUP(D131,conversiones!$A$2:$A$6,conversiones!$B$2:$B$6,0)</f>
        <v>703.036103492781</v>
      </c>
      <c r="G131" s="17" t="n">
        <v>5908.059375</v>
      </c>
      <c r="H131" s="17" t="s">
        <v>29</v>
      </c>
      <c r="I131" s="18" t="n">
        <f aca="false">G131/_xlfn.XLOOKUP(H131,conversiones!$A$2:$A$6,conversiones!$B$2:$B$6,0)</f>
        <v>10.5062050983391</v>
      </c>
      <c r="J131" s="17" t="n">
        <v>6158.11903089474</v>
      </c>
      <c r="K131" s="18" t="n">
        <f aca="false">_xlfn.XLOOKUP(C131,Ciclo!$A$2:$A$13,Ciclo!$D$2:$D$13,0)</f>
        <v>3</v>
      </c>
      <c r="L131" s="18" t="n">
        <f aca="false">F131*I131-J131</f>
        <v>1228.12246393756</v>
      </c>
      <c r="M131" s="19" t="n">
        <f aca="false">IF(J131=0,0,L131/J131)</f>
        <v>0.199431426670413</v>
      </c>
      <c r="N131" s="20" t="n">
        <f aca="false">M131*K131</f>
        <v>0.59829428001124</v>
      </c>
    </row>
    <row r="132" customFormat="false" ht="14.25" hidden="false" customHeight="false" outlineLevel="0" collapsed="false">
      <c r="A132" s="15" t="n">
        <v>2010</v>
      </c>
      <c r="B132" s="16" t="n">
        <f aca="false">DATE(A132,12,31)</f>
        <v>40543</v>
      </c>
      <c r="C132" s="17" t="s">
        <v>26</v>
      </c>
      <c r="D132" s="17" t="s">
        <v>18</v>
      </c>
      <c r="E132" s="17" t="n">
        <v>6.31488208024086</v>
      </c>
      <c r="F132" s="18" t="n">
        <f aca="false">E132*_xlfn.XLOOKUP(D132,conversiones!$A$2:$A$6,conversiones!$B$2:$B$6,0)</f>
        <v>286.443051159725</v>
      </c>
      <c r="G132" s="17" t="n">
        <v>613.91349537037</v>
      </c>
      <c r="H132" s="17" t="s">
        <v>18</v>
      </c>
      <c r="I132" s="18" t="n">
        <f aca="false">G132/_xlfn.XLOOKUP(H132,conversiones!$A$2:$A$6,conversiones!$B$2:$B$6,0)</f>
        <v>13.5342481342674</v>
      </c>
      <c r="J132" s="17" t="n">
        <v>1771.21219288463</v>
      </c>
      <c r="K132" s="18" t="n">
        <f aca="false">_xlfn.XLOOKUP(C132,Ciclo!$A$2:$A$13,Ciclo!$D$2:$D$13,0)</f>
        <v>3</v>
      </c>
      <c r="L132" s="18" t="n">
        <f aca="false">F132*I132-J132</f>
        <v>2105.57913784775</v>
      </c>
      <c r="M132" s="19" t="n">
        <f aca="false">IF(J132=0,0,L132/J132)</f>
        <v>1.18877859259684</v>
      </c>
      <c r="N132" s="20" t="n">
        <f aca="false">M132*K132</f>
        <v>3.56633577779052</v>
      </c>
    </row>
    <row r="133" customFormat="false" ht="14.25" hidden="false" customHeight="false" outlineLevel="0" collapsed="false">
      <c r="A133" s="15" t="n">
        <v>2010</v>
      </c>
      <c r="B133" s="16" t="n">
        <f aca="false">DATE(A133,12,31)</f>
        <v>40543</v>
      </c>
      <c r="C133" s="17" t="s">
        <v>27</v>
      </c>
      <c r="D133" s="17" t="s">
        <v>18</v>
      </c>
      <c r="E133" s="17" t="n">
        <v>6.52252503890507</v>
      </c>
      <c r="F133" s="18" t="n">
        <f aca="false">E133*_xlfn.XLOOKUP(D133,conversiones!$A$2:$A$6,conversiones!$B$2:$B$6,0)</f>
        <v>295.861735764734</v>
      </c>
      <c r="G133" s="17" t="n">
        <v>289.168873095238</v>
      </c>
      <c r="H133" s="17" t="s">
        <v>18</v>
      </c>
      <c r="I133" s="18" t="n">
        <f aca="false">G133/_xlfn.XLOOKUP(H133,conversiones!$A$2:$A$6,conversiones!$B$2:$B$6,0)</f>
        <v>6.37497515642059</v>
      </c>
      <c r="J133" s="17" t="n">
        <v>6142.39107464557</v>
      </c>
      <c r="K133" s="18" t="n">
        <f aca="false">_xlfn.XLOOKUP(C133,Ciclo!$A$2:$A$13,Ciclo!$D$2:$D$13,0)</f>
        <v>2.4</v>
      </c>
      <c r="L133" s="18" t="n">
        <f aca="false">F133*I133-J133</f>
        <v>-4256.27985940992</v>
      </c>
      <c r="M133" s="19" t="n">
        <f aca="false">IF(J133=0,0,L133/J133)</f>
        <v>-0.692935341902748</v>
      </c>
      <c r="N133" s="20" t="n">
        <f aca="false">M133*K133</f>
        <v>-1.6630448205666</v>
      </c>
    </row>
    <row r="134" customFormat="false" ht="14.25" hidden="false" customHeight="false" outlineLevel="0" collapsed="false">
      <c r="A134" s="15" t="n">
        <v>2011</v>
      </c>
      <c r="B134" s="16" t="n">
        <f aca="false">DATE(A134,12,31)</f>
        <v>40908</v>
      </c>
      <c r="C134" s="17" t="s">
        <v>16</v>
      </c>
      <c r="D134" s="17" t="s">
        <v>18</v>
      </c>
      <c r="E134" s="17" t="n">
        <v>4.37332700819305</v>
      </c>
      <c r="F134" s="18" t="n">
        <f aca="false">E134*_xlfn.XLOOKUP(D134,conversiones!$A$2:$A$6,conversiones!$B$2:$B$6,0)</f>
        <v>198.374113091637</v>
      </c>
      <c r="G134" s="17" t="n">
        <v>1689.4249469697</v>
      </c>
      <c r="H134" s="17" t="s">
        <v>19</v>
      </c>
      <c r="I134" s="18" t="n">
        <f aca="false">G134/_xlfn.XLOOKUP(H134,conversiones!$A$2:$A$6,conversiones!$B$2:$B$6,0)</f>
        <v>15.3584086088155</v>
      </c>
      <c r="J134" s="17" t="n">
        <v>7569</v>
      </c>
      <c r="K134" s="18" t="n">
        <f aca="false">_xlfn.XLOOKUP(C134,Ciclo!$A$2:$A$13,Ciclo!$D$2:$D$13,0)</f>
        <v>2.4</v>
      </c>
      <c r="L134" s="18" t="n">
        <f aca="false">F134*I134-J134</f>
        <v>-4522.28931372728</v>
      </c>
      <c r="M134" s="19" t="n">
        <f aca="false">IF(J134=0,0,L134/J134)</f>
        <v>-0.597475137234413</v>
      </c>
      <c r="N134" s="20" t="n">
        <f aca="false">M134*K134</f>
        <v>-1.43394032936259</v>
      </c>
    </row>
    <row r="135" customFormat="false" ht="14.25" hidden="false" customHeight="false" outlineLevel="0" collapsed="false">
      <c r="A135" s="15" t="n">
        <v>2011</v>
      </c>
      <c r="B135" s="16" t="n">
        <f aca="false">DATE(A135,12,31)</f>
        <v>40908</v>
      </c>
      <c r="C135" s="17" t="s">
        <v>20</v>
      </c>
      <c r="D135" s="17" t="s">
        <v>18</v>
      </c>
      <c r="E135" s="17" t="n">
        <v>2.25016276072925</v>
      </c>
      <c r="F135" s="18" t="n">
        <f aca="false">E135*_xlfn.XLOOKUP(D135,conversiones!$A$2:$A$6,conversiones!$B$2:$B$6,0)</f>
        <v>102.067382826679</v>
      </c>
      <c r="G135" s="17" t="n">
        <v>642.397818981482</v>
      </c>
      <c r="H135" s="17" t="s">
        <v>18</v>
      </c>
      <c r="I135" s="18" t="n">
        <f aca="false">G135/_xlfn.XLOOKUP(H135,conversiones!$A$2:$A$6,conversiones!$B$2:$B$6,0)</f>
        <v>14.162209413172</v>
      </c>
      <c r="J135" s="17" t="n">
        <v>2249.6320342848</v>
      </c>
      <c r="K135" s="18" t="n">
        <f aca="false">_xlfn.XLOOKUP(C135,Ciclo!$A$2:$A$13,Ciclo!$D$2:$D$13,0)</f>
        <v>3</v>
      </c>
      <c r="L135" s="18" t="n">
        <f aca="false">F135*I135-J135</f>
        <v>-804.132384438979</v>
      </c>
      <c r="M135" s="19" t="n">
        <f aca="false">IF(J135=0,0,L135/J135)</f>
        <v>-0.357450628451167</v>
      </c>
      <c r="N135" s="20" t="n">
        <f aca="false">M135*K135</f>
        <v>-1.0723518853535</v>
      </c>
    </row>
    <row r="136" customFormat="false" ht="14.25" hidden="false" customHeight="false" outlineLevel="0" collapsed="false">
      <c r="A136" s="15" t="n">
        <v>2011</v>
      </c>
      <c r="B136" s="16" t="n">
        <f aca="false">DATE(A136,12,31)</f>
        <v>40908</v>
      </c>
      <c r="C136" s="17" t="s">
        <v>23</v>
      </c>
      <c r="D136" s="17" t="s">
        <v>18</v>
      </c>
      <c r="E136" s="17" t="n">
        <v>32.7514791258366</v>
      </c>
      <c r="F136" s="18" t="n">
        <f aca="false">E136*_xlfn.XLOOKUP(D136,conversiones!$A$2:$A$6,conversiones!$B$2:$B$6,0)</f>
        <v>1485.60709314795</v>
      </c>
      <c r="G136" s="17" t="n">
        <v>903.477272727273</v>
      </c>
      <c r="H136" s="17" t="s">
        <v>18</v>
      </c>
      <c r="I136" s="18" t="n">
        <f aca="false">G136/_xlfn.XLOOKUP(H136,conversiones!$A$2:$A$6,conversiones!$B$2:$B$6,0)</f>
        <v>19.9179292929293</v>
      </c>
      <c r="J136" s="17" t="n">
        <v>22831.198995686</v>
      </c>
      <c r="K136" s="18" t="n">
        <f aca="false">_xlfn.XLOOKUP(C136,Ciclo!$A$2:$A$13,Ciclo!$D$2:$D$13,0)</f>
        <v>4</v>
      </c>
      <c r="L136" s="18" t="n">
        <f aca="false">F136*I136-J136</f>
        <v>6759.01804270906</v>
      </c>
      <c r="M136" s="19" t="n">
        <f aca="false">IF(J136=0,0,L136/J136)</f>
        <v>0.296043061250799</v>
      </c>
      <c r="N136" s="20" t="n">
        <f aca="false">M136*K136</f>
        <v>1.1841722450032</v>
      </c>
    </row>
    <row r="137" customFormat="false" ht="14.25" hidden="false" customHeight="false" outlineLevel="0" collapsed="false">
      <c r="A137" s="15" t="n">
        <v>2011</v>
      </c>
      <c r="B137" s="16" t="n">
        <f aca="false">DATE(A137,12,31)</f>
        <v>40908</v>
      </c>
      <c r="C137" s="17" t="s">
        <v>21</v>
      </c>
      <c r="D137" s="17" t="s">
        <v>18</v>
      </c>
      <c r="E137" s="17" t="n">
        <v>11.2181916345038</v>
      </c>
      <c r="F137" s="18" t="n">
        <f aca="false">E137*_xlfn.XLOOKUP(D137,conversiones!$A$2:$A$6,conversiones!$B$2:$B$6,0)</f>
        <v>508.857172541092</v>
      </c>
      <c r="G137" s="17" t="n">
        <v>494.757728888889</v>
      </c>
      <c r="H137" s="17" t="s">
        <v>18</v>
      </c>
      <c r="I137" s="18" t="n">
        <f aca="false">G137/_xlfn.XLOOKUP(H137,conversiones!$A$2:$A$6,conversiones!$B$2:$B$6,0)</f>
        <v>10.9073573388203</v>
      </c>
      <c r="J137" s="17" t="n">
        <v>4921.44160075</v>
      </c>
      <c r="K137" s="18" t="n">
        <f aca="false">_xlfn.XLOOKUP(C137,Ciclo!$A$2:$A$13,Ciclo!$D$2:$D$13,0)</f>
        <v>2</v>
      </c>
      <c r="L137" s="18" t="n">
        <f aca="false">F137*I137-J137</f>
        <v>628.845414577433</v>
      </c>
      <c r="M137" s="19" t="n">
        <f aca="false">IF(J137=0,0,L137/J137)</f>
        <v>0.127776669031611</v>
      </c>
      <c r="N137" s="20" t="n">
        <f aca="false">M137*K137</f>
        <v>0.255553338063221</v>
      </c>
    </row>
    <row r="138" customFormat="false" ht="14.25" hidden="false" customHeight="false" outlineLevel="0" collapsed="false">
      <c r="A138" s="15" t="n">
        <v>2011</v>
      </c>
      <c r="B138" s="16" t="n">
        <f aca="false">DATE(A138,12,31)</f>
        <v>40908</v>
      </c>
      <c r="C138" s="17" t="s">
        <v>25</v>
      </c>
      <c r="D138" s="17" t="s">
        <v>18</v>
      </c>
      <c r="E138" s="17" t="n">
        <v>10.9099641774151</v>
      </c>
      <c r="F138" s="18" t="n">
        <f aca="false">E138*_xlfn.XLOOKUP(D138,conversiones!$A$2:$A$6,conversiones!$B$2:$B$6,0)</f>
        <v>494.875975087549</v>
      </c>
      <c r="G138" s="17" t="n">
        <v>669.751296640212</v>
      </c>
      <c r="H138" s="17" t="s">
        <v>18</v>
      </c>
      <c r="I138" s="18" t="n">
        <f aca="false">G138/_xlfn.XLOOKUP(H138,conversiones!$A$2:$A$6,conversiones!$B$2:$B$6,0)</f>
        <v>14.7652402257542</v>
      </c>
      <c r="J138" s="17" t="n">
        <v>4283.98894113212</v>
      </c>
      <c r="K138" s="18" t="n">
        <f aca="false">_xlfn.XLOOKUP(C138,Ciclo!$A$2:$A$13,Ciclo!$D$2:$D$13,0)</f>
        <v>1.2</v>
      </c>
      <c r="L138" s="18" t="n">
        <f aca="false">F138*I138-J138</f>
        <v>3022.97371298991</v>
      </c>
      <c r="M138" s="19" t="n">
        <f aca="false">IF(J138=0,0,L138/J138)</f>
        <v>0.705644611722791</v>
      </c>
      <c r="N138" s="20" t="n">
        <f aca="false">M138*K138</f>
        <v>0.84677353406735</v>
      </c>
    </row>
    <row r="139" customFormat="false" ht="14.25" hidden="false" customHeight="false" outlineLevel="0" collapsed="false">
      <c r="A139" s="15" t="n">
        <v>2011</v>
      </c>
      <c r="B139" s="16" t="n">
        <f aca="false">DATE(A139,12,31)</f>
        <v>40908</v>
      </c>
      <c r="C139" s="17" t="s">
        <v>22</v>
      </c>
      <c r="D139" s="17" t="s">
        <v>18</v>
      </c>
      <c r="E139" s="17" t="n">
        <v>9.30798257041463</v>
      </c>
      <c r="F139" s="18" t="n">
        <f aca="false">E139*_xlfn.XLOOKUP(D139,conversiones!$A$2:$A$6,conversiones!$B$2:$B$6,0)</f>
        <v>422.210089394008</v>
      </c>
      <c r="G139" s="17" t="n">
        <v>1215.66506944444</v>
      </c>
      <c r="H139" s="17" t="s">
        <v>18</v>
      </c>
      <c r="I139" s="18" t="n">
        <f aca="false">G139/_xlfn.XLOOKUP(H139,conversiones!$A$2:$A$6,conversiones!$B$2:$B$6,0)</f>
        <v>26.8003763105035</v>
      </c>
      <c r="J139" s="17" t="n">
        <v>8263.3527360768</v>
      </c>
      <c r="K139" s="18" t="n">
        <f aca="false">_xlfn.XLOOKUP(C139,Ciclo!$A$2:$A$13,Ciclo!$D$2:$D$13,0)</f>
        <v>1</v>
      </c>
      <c r="L139" s="18" t="n">
        <f aca="false">F139*I139-J139</f>
        <v>3052.03654177394</v>
      </c>
      <c r="M139" s="19" t="n">
        <f aca="false">IF(J139=0,0,L139/J139)</f>
        <v>0.369346031720165</v>
      </c>
      <c r="N139" s="20" t="n">
        <f aca="false">M139*K139</f>
        <v>0.369346031720165</v>
      </c>
    </row>
    <row r="140" customFormat="false" ht="14.25" hidden="false" customHeight="false" outlineLevel="0" collapsed="false">
      <c r="A140" s="15" t="n">
        <v>2011</v>
      </c>
      <c r="B140" s="16" t="n">
        <f aca="false">DATE(A140,12,31)</f>
        <v>40908</v>
      </c>
      <c r="C140" s="17" t="s">
        <v>24</v>
      </c>
      <c r="D140" s="17" t="s">
        <v>18</v>
      </c>
      <c r="E140" s="17" t="n">
        <v>9.05587884182636</v>
      </c>
      <c r="F140" s="18" t="n">
        <f aca="false">E140*_xlfn.XLOOKUP(D140,conversiones!$A$2:$A$6,conversiones!$B$2:$B$6,0)</f>
        <v>410.774664265244</v>
      </c>
      <c r="G140" s="17" t="n">
        <v>1235.06319444444</v>
      </c>
      <c r="H140" s="17" t="s">
        <v>18</v>
      </c>
      <c r="I140" s="18" t="n">
        <f aca="false">G140/_xlfn.XLOOKUP(H140,conversiones!$A$2:$A$6,conversiones!$B$2:$B$6,0)</f>
        <v>27.228024568881</v>
      </c>
      <c r="J140" s="17" t="n">
        <v>6908.3833517736</v>
      </c>
      <c r="K140" s="18" t="n">
        <f aca="false">_xlfn.XLOOKUP(C140,Ciclo!$A$2:$A$13,Ciclo!$D$2:$D$13,0)</f>
        <v>1</v>
      </c>
      <c r="L140" s="18" t="n">
        <f aca="false">F140*I140-J140</f>
        <v>4276.19929911428</v>
      </c>
      <c r="M140" s="19" t="n">
        <f aca="false">IF(J140=0,0,L140/J140)</f>
        <v>0.618986972982101</v>
      </c>
      <c r="N140" s="20" t="n">
        <f aca="false">M140*K140</f>
        <v>0.618986972982101</v>
      </c>
    </row>
    <row r="141" customFormat="false" ht="14.25" hidden="false" customHeight="false" outlineLevel="0" collapsed="false">
      <c r="A141" s="15" t="n">
        <v>2011</v>
      </c>
      <c r="B141" s="16" t="n">
        <f aca="false">DATE(A141,12,31)</f>
        <v>40908</v>
      </c>
      <c r="C141" s="17" t="s">
        <v>30</v>
      </c>
      <c r="D141" s="17" t="s">
        <v>32</v>
      </c>
      <c r="E141" s="17" t="n">
        <v>97.6474775653887</v>
      </c>
      <c r="F141" s="18" t="n">
        <f aca="false">E141*_xlfn.XLOOKUP(D141,conversiones!$A$2:$A$6,conversiones!$B$2:$B$6,0)</f>
        <v>2656.98786455423</v>
      </c>
      <c r="G141" s="17" t="n">
        <v>123.041262626263</v>
      </c>
      <c r="H141" s="17" t="s">
        <v>32</v>
      </c>
      <c r="I141" s="18" t="n">
        <f aca="false">G141/_xlfn.XLOOKUP(H141,conversiones!$A$2:$A$6,conversiones!$B$2:$B$6,0)</f>
        <v>4.52191336369949</v>
      </c>
      <c r="J141" s="17" t="n">
        <v>11259.713084354</v>
      </c>
      <c r="K141" s="18" t="n">
        <f aca="false">_xlfn.XLOOKUP(C141,Ciclo!$A$2:$A$13,Ciclo!$D$2:$D$13,0)</f>
        <v>1</v>
      </c>
      <c r="L141" s="18" t="n">
        <f aca="false">F141*I141-J141</f>
        <v>754.955847561116</v>
      </c>
      <c r="M141" s="19" t="n">
        <f aca="false">IF(J141=0,0,L141/J141)</f>
        <v>0.0670492970740231</v>
      </c>
      <c r="N141" s="20" t="n">
        <f aca="false">M141*K141</f>
        <v>0.0670492970740231</v>
      </c>
    </row>
    <row r="142" customFormat="false" ht="14.25" hidden="false" customHeight="false" outlineLevel="0" collapsed="false">
      <c r="A142" s="15" t="n">
        <v>2011</v>
      </c>
      <c r="B142" s="16" t="n">
        <f aca="false">DATE(A142,12,31)</f>
        <v>40908</v>
      </c>
      <c r="C142" s="17" t="s">
        <v>33</v>
      </c>
      <c r="D142" s="17" t="s">
        <v>34</v>
      </c>
      <c r="E142" s="17" t="n">
        <v>2.67186742746611</v>
      </c>
      <c r="F142" s="18" t="n">
        <f aca="false">E142*_xlfn.XLOOKUP(D142,conversiones!$A$2:$A$6,conversiones!$B$2:$B$6,0)</f>
        <v>1090.52269052029</v>
      </c>
      <c r="G142" s="17" t="n">
        <v>4343.04585858586</v>
      </c>
      <c r="H142" s="17" t="s">
        <v>34</v>
      </c>
      <c r="I142" s="18" t="n">
        <f aca="false">G142/_xlfn.XLOOKUP(H142,conversiones!$A$2:$A$6,conversiones!$B$2:$B$6,0)</f>
        <v>10.6408081798012</v>
      </c>
      <c r="J142" s="17" t="n">
        <v>10868.0263728783</v>
      </c>
      <c r="K142" s="18" t="n">
        <f aca="false">_xlfn.XLOOKUP(C142,Ciclo!$A$2:$A$13,Ciclo!$D$2:$D$13,0)</f>
        <v>1</v>
      </c>
      <c r="L142" s="18" t="n">
        <f aca="false">F142*I142-J142</f>
        <v>736.016392668842</v>
      </c>
      <c r="M142" s="19" t="n">
        <f aca="false">IF(J142=0,0,L142/J142)</f>
        <v>0.0677230959344751</v>
      </c>
      <c r="N142" s="20" t="n">
        <f aca="false">M142*K142</f>
        <v>0.0677230959344751</v>
      </c>
    </row>
    <row r="143" customFormat="false" ht="14.25" hidden="false" customHeight="false" outlineLevel="0" collapsed="false">
      <c r="A143" s="15" t="n">
        <v>2011</v>
      </c>
      <c r="B143" s="16" t="n">
        <f aca="false">DATE(A143,12,31)</f>
        <v>40908</v>
      </c>
      <c r="C143" s="17" t="s">
        <v>28</v>
      </c>
      <c r="D143" s="17" t="s">
        <v>29</v>
      </c>
      <c r="E143" s="17" t="n">
        <v>1.28074038101863</v>
      </c>
      <c r="F143" s="18" t="n">
        <f aca="false">E143*_xlfn.XLOOKUP(D143,conversiones!$A$2:$A$6,conversiones!$B$2:$B$6,0)</f>
        <v>720.211545862017</v>
      </c>
      <c r="G143" s="17" t="n">
        <v>6628.69395833333</v>
      </c>
      <c r="H143" s="17" t="s">
        <v>29</v>
      </c>
      <c r="I143" s="18" t="n">
        <f aca="false">G143/_xlfn.XLOOKUP(H143,conversiones!$A$2:$A$6,conversiones!$B$2:$B$6,0)</f>
        <v>11.7876977599554</v>
      </c>
      <c r="J143" s="17" t="n">
        <v>6816.05132473333</v>
      </c>
      <c r="K143" s="18" t="n">
        <f aca="false">_xlfn.XLOOKUP(C143,Ciclo!$A$2:$A$13,Ciclo!$D$2:$D$13,0)</f>
        <v>3</v>
      </c>
      <c r="L143" s="18" t="n">
        <f aca="false">F143*I143-J143</f>
        <v>1673.58470111839</v>
      </c>
      <c r="M143" s="19" t="n">
        <f aca="false">IF(J143=0,0,L143/J143)</f>
        <v>0.245535812655264</v>
      </c>
      <c r="N143" s="20" t="n">
        <f aca="false">M143*K143</f>
        <v>0.736607437965793</v>
      </c>
    </row>
    <row r="144" customFormat="false" ht="14.25" hidden="false" customHeight="false" outlineLevel="0" collapsed="false">
      <c r="A144" s="15" t="n">
        <v>2011</v>
      </c>
      <c r="B144" s="16" t="n">
        <f aca="false">DATE(A144,12,31)</f>
        <v>40908</v>
      </c>
      <c r="C144" s="17" t="s">
        <v>26</v>
      </c>
      <c r="D144" s="17" t="s">
        <v>18</v>
      </c>
      <c r="E144" s="17" t="n">
        <v>6.20025705052879</v>
      </c>
      <c r="F144" s="18" t="n">
        <f aca="false">E144*_xlfn.XLOOKUP(D144,conversiones!$A$2:$A$6,conversiones!$B$2:$B$6,0)</f>
        <v>281.243659811986</v>
      </c>
      <c r="G144" s="17" t="n">
        <v>461.584458333333</v>
      </c>
      <c r="H144" s="17" t="s">
        <v>18</v>
      </c>
      <c r="I144" s="18" t="n">
        <f aca="false">G144/_xlfn.XLOOKUP(H144,conversiones!$A$2:$A$6,conversiones!$B$2:$B$6,0)</f>
        <v>10.1760242136978</v>
      </c>
      <c r="J144" s="17" t="n">
        <v>2009.79</v>
      </c>
      <c r="K144" s="18" t="n">
        <f aca="false">_xlfn.XLOOKUP(C144,Ciclo!$A$2:$A$13,Ciclo!$D$2:$D$13,0)</f>
        <v>3</v>
      </c>
      <c r="L144" s="18" t="n">
        <f aca="false">F144*I144-J144</f>
        <v>852.15229219576</v>
      </c>
      <c r="M144" s="19" t="n">
        <f aca="false">IF(J144=0,0,L144/J144)</f>
        <v>0.424000662853214</v>
      </c>
      <c r="N144" s="20" t="n">
        <f aca="false">M144*K144</f>
        <v>1.27200198855964</v>
      </c>
    </row>
    <row r="145" customFormat="false" ht="14.25" hidden="false" customHeight="false" outlineLevel="0" collapsed="false">
      <c r="A145" s="15" t="n">
        <v>2011</v>
      </c>
      <c r="B145" s="16" t="n">
        <f aca="false">DATE(A145,12,31)</f>
        <v>40908</v>
      </c>
      <c r="C145" s="17" t="s">
        <v>27</v>
      </c>
      <c r="D145" s="17" t="s">
        <v>18</v>
      </c>
      <c r="E145" s="17" t="n">
        <v>6.88246033582761</v>
      </c>
      <c r="F145" s="18" t="n">
        <f aca="false">E145*_xlfn.XLOOKUP(D145,conversiones!$A$2:$A$6,conversiones!$B$2:$B$6,0)</f>
        <v>312.18840083314</v>
      </c>
      <c r="G145" s="17" t="n">
        <v>461.584458333333</v>
      </c>
      <c r="H145" s="17" t="s">
        <v>18</v>
      </c>
      <c r="I145" s="18" t="n">
        <f aca="false">G145/_xlfn.XLOOKUP(H145,conversiones!$A$2:$A$6,conversiones!$B$2:$B$6,0)</f>
        <v>10.1760242136978</v>
      </c>
      <c r="J145" s="17" t="n">
        <v>6922.022</v>
      </c>
      <c r="K145" s="18" t="n">
        <f aca="false">_xlfn.XLOOKUP(C145,Ciclo!$A$2:$A$13,Ciclo!$D$2:$D$13,0)</f>
        <v>2.4</v>
      </c>
      <c r="L145" s="18" t="n">
        <f aca="false">F145*I145-J145</f>
        <v>-3745.18527388636</v>
      </c>
      <c r="M145" s="19" t="n">
        <f aca="false">IF(J145=0,0,L145/J145)</f>
        <v>-0.541053650780995</v>
      </c>
      <c r="N145" s="20" t="n">
        <f aca="false">M145*K145</f>
        <v>-1.29852876187439</v>
      </c>
    </row>
    <row r="146" customFormat="false" ht="14.25" hidden="false" customHeight="false" outlineLevel="0" collapsed="false">
      <c r="A146" s="15" t="n">
        <v>2012</v>
      </c>
      <c r="B146" s="16" t="n">
        <f aca="false">DATE(A146,12,31)</f>
        <v>41274</v>
      </c>
      <c r="C146" s="17" t="s">
        <v>16</v>
      </c>
      <c r="D146" s="17" t="s">
        <v>18</v>
      </c>
      <c r="E146" s="17" t="n">
        <v>4.23828166683149</v>
      </c>
      <c r="F146" s="18" t="n">
        <f aca="false">E146*_xlfn.XLOOKUP(D146,conversiones!$A$2:$A$6,conversiones!$B$2:$B$6,0)</f>
        <v>192.248456407476</v>
      </c>
      <c r="G146" s="17" t="n">
        <v>1602.04471993866</v>
      </c>
      <c r="H146" s="17" t="s">
        <v>19</v>
      </c>
      <c r="I146" s="18" t="n">
        <f aca="false">G146/_xlfn.XLOOKUP(H146,conversiones!$A$2:$A$6,conversiones!$B$2:$B$6,0)</f>
        <v>14.5640429085333</v>
      </c>
      <c r="J146" s="17" t="n">
        <v>7982.61905212344</v>
      </c>
      <c r="K146" s="18" t="n">
        <f aca="false">_xlfn.XLOOKUP(C146,Ciclo!$A$2:$A$13,Ciclo!$D$2:$D$13,0)</f>
        <v>2.4</v>
      </c>
      <c r="L146" s="18" t="n">
        <f aca="false">F146*I146-J146</f>
        <v>-5182.70428390567</v>
      </c>
      <c r="M146" s="19" t="n">
        <f aca="false">IF(J146=0,0,L146/J146)</f>
        <v>-0.649248605008531</v>
      </c>
      <c r="N146" s="20" t="n">
        <f aca="false">M146*K146</f>
        <v>-1.55819665202047</v>
      </c>
    </row>
    <row r="147" customFormat="false" ht="14.25" hidden="false" customHeight="false" outlineLevel="0" collapsed="false">
      <c r="A147" s="15" t="n">
        <v>2012</v>
      </c>
      <c r="B147" s="16" t="n">
        <f aca="false">DATE(A147,12,31)</f>
        <v>41274</v>
      </c>
      <c r="C147" s="17" t="s">
        <v>20</v>
      </c>
      <c r="D147" s="17" t="s">
        <v>18</v>
      </c>
      <c r="E147" s="17" t="n">
        <v>2.17334211911049</v>
      </c>
      <c r="F147" s="18" t="n">
        <f aca="false">E147*_xlfn.XLOOKUP(D147,conversiones!$A$2:$A$6,conversiones!$B$2:$B$6,0)</f>
        <v>98.5827985228518</v>
      </c>
      <c r="G147" s="17" t="n">
        <v>719.383426432981</v>
      </c>
      <c r="H147" s="17" t="s">
        <v>18</v>
      </c>
      <c r="I147" s="18" t="n">
        <f aca="false">G147/_xlfn.XLOOKUP(H147,conversiones!$A$2:$A$6,conversiones!$B$2:$B$6,0)</f>
        <v>15.8594229813267</v>
      </c>
      <c r="J147" s="17" t="n">
        <v>2248.3053412475</v>
      </c>
      <c r="K147" s="18" t="n">
        <f aca="false">_xlfn.XLOOKUP(C147,Ciclo!$A$2:$A$13,Ciclo!$D$2:$D$13,0)</f>
        <v>3</v>
      </c>
      <c r="L147" s="18" t="n">
        <f aca="false">F147*I147-J147</f>
        <v>-684.83904079068</v>
      </c>
      <c r="M147" s="19" t="n">
        <f aca="false">IF(J147=0,0,L147/J147)</f>
        <v>-0.304602327907422</v>
      </c>
      <c r="N147" s="20" t="n">
        <f aca="false">M147*K147</f>
        <v>-0.913806983722267</v>
      </c>
    </row>
    <row r="148" customFormat="false" ht="14.25" hidden="false" customHeight="false" outlineLevel="0" collapsed="false">
      <c r="A148" s="15" t="n">
        <v>2012</v>
      </c>
      <c r="B148" s="16" t="n">
        <f aca="false">DATE(A148,12,31)</f>
        <v>41274</v>
      </c>
      <c r="C148" s="17" t="s">
        <v>23</v>
      </c>
      <c r="D148" s="17" t="s">
        <v>18</v>
      </c>
      <c r="E148" s="17" t="n">
        <v>33.6415821143533</v>
      </c>
      <c r="F148" s="18" t="n">
        <f aca="false">E148*_xlfn.XLOOKUP(D148,conversiones!$A$2:$A$6,conversiones!$B$2:$B$6,0)</f>
        <v>1525.98216470707</v>
      </c>
      <c r="G148" s="17" t="n">
        <v>882.58876577381</v>
      </c>
      <c r="H148" s="17" t="s">
        <v>18</v>
      </c>
      <c r="I148" s="18" t="n">
        <f aca="false">G148/_xlfn.XLOOKUP(H148,conversiones!$A$2:$A$6,conversiones!$B$2:$B$6,0)</f>
        <v>19.4574242895461</v>
      </c>
      <c r="J148" s="17" t="n">
        <v>24344.842076238</v>
      </c>
      <c r="K148" s="18" t="n">
        <f aca="false">_xlfn.XLOOKUP(C148,Ciclo!$A$2:$A$13,Ciclo!$D$2:$D$13,0)</f>
        <v>4</v>
      </c>
      <c r="L148" s="18" t="n">
        <f aca="false">F148*I148-J148</f>
        <v>5346.84036074736</v>
      </c>
      <c r="M148" s="19" t="n">
        <f aca="false">IF(J148=0,0,L148/J148)</f>
        <v>0.219629289194124</v>
      </c>
      <c r="N148" s="20" t="n">
        <f aca="false">M148*K148</f>
        <v>0.878517156776496</v>
      </c>
    </row>
    <row r="149" customFormat="false" ht="14.25" hidden="false" customHeight="false" outlineLevel="0" collapsed="false">
      <c r="A149" s="15" t="n">
        <v>2012</v>
      </c>
      <c r="B149" s="16" t="n">
        <f aca="false">DATE(A149,12,31)</f>
        <v>41274</v>
      </c>
      <c r="C149" s="17" t="s">
        <v>21</v>
      </c>
      <c r="D149" s="17" t="s">
        <v>18</v>
      </c>
      <c r="E149" s="17" t="n">
        <v>11.2326209945258</v>
      </c>
      <c r="F149" s="18" t="n">
        <f aca="false">E149*_xlfn.XLOOKUP(D149,conversiones!$A$2:$A$6,conversiones!$B$2:$B$6,0)</f>
        <v>509.51168831169</v>
      </c>
      <c r="G149" s="17" t="n">
        <v>354.600379797178</v>
      </c>
      <c r="H149" s="17" t="s">
        <v>18</v>
      </c>
      <c r="I149" s="18" t="n">
        <f aca="false">G149/_xlfn.XLOOKUP(H149,conversiones!$A$2:$A$6,conversiones!$B$2:$B$6,0)</f>
        <v>7.81746869041398</v>
      </c>
      <c r="J149" s="17" t="n">
        <v>5350.20172000917</v>
      </c>
      <c r="K149" s="18" t="n">
        <f aca="false">_xlfn.XLOOKUP(C149,Ciclo!$A$2:$A$13,Ciclo!$D$2:$D$13,0)</f>
        <v>2</v>
      </c>
      <c r="L149" s="18" t="n">
        <f aca="false">F149*I149-J149</f>
        <v>-1367.11004923257</v>
      </c>
      <c r="M149" s="19" t="n">
        <f aca="false">IF(J149=0,0,L149/J149)</f>
        <v>-0.25552495415635</v>
      </c>
      <c r="N149" s="20" t="n">
        <f aca="false">M149*K149</f>
        <v>-0.511049908312699</v>
      </c>
    </row>
    <row r="150" customFormat="false" ht="14.25" hidden="false" customHeight="false" outlineLevel="0" collapsed="false">
      <c r="A150" s="15" t="n">
        <v>2012</v>
      </c>
      <c r="B150" s="16" t="n">
        <f aca="false">DATE(A150,12,31)</f>
        <v>41274</v>
      </c>
      <c r="C150" s="17" t="s">
        <v>25</v>
      </c>
      <c r="D150" s="17" t="s">
        <v>18</v>
      </c>
      <c r="E150" s="17" t="n">
        <v>10.410571431746</v>
      </c>
      <c r="F150" s="18" t="n">
        <f aca="false">E150*_xlfn.XLOOKUP(D150,conversiones!$A$2:$A$6,conversiones!$B$2:$B$6,0)</f>
        <v>472.223520143999</v>
      </c>
      <c r="G150" s="17" t="n">
        <v>403.557773412699</v>
      </c>
      <c r="H150" s="17" t="s">
        <v>18</v>
      </c>
      <c r="I150" s="18" t="n">
        <f aca="false">G150/_xlfn.XLOOKUP(H150,conversiones!$A$2:$A$6,conversiones!$B$2:$B$6,0)</f>
        <v>8.89677630980377</v>
      </c>
      <c r="J150" s="17" t="n">
        <v>4628.4219376425</v>
      </c>
      <c r="K150" s="18" t="n">
        <f aca="false">_xlfn.XLOOKUP(C150,Ciclo!$A$2:$A$13,Ciclo!$D$2:$D$13,0)</f>
        <v>1.2</v>
      </c>
      <c r="L150" s="18" t="n">
        <f aca="false">F150*I150-J150</f>
        <v>-427.15491069323</v>
      </c>
      <c r="M150" s="19" t="n">
        <f aca="false">IF(J150=0,0,L150/J150)</f>
        <v>-0.0922895354935601</v>
      </c>
      <c r="N150" s="20" t="n">
        <f aca="false">M150*K150</f>
        <v>-0.110747442592272</v>
      </c>
    </row>
    <row r="151" customFormat="false" ht="14.25" hidden="false" customHeight="false" outlineLevel="0" collapsed="false">
      <c r="A151" s="15" t="n">
        <v>2012</v>
      </c>
      <c r="B151" s="16" t="n">
        <f aca="false">DATE(A151,12,31)</f>
        <v>41274</v>
      </c>
      <c r="C151" s="17" t="s">
        <v>22</v>
      </c>
      <c r="D151" s="17" t="s">
        <v>18</v>
      </c>
      <c r="E151" s="17" t="n">
        <v>9.18281967213115</v>
      </c>
      <c r="F151" s="18" t="n">
        <f aca="false">E151*_xlfn.XLOOKUP(D151,conversiones!$A$2:$A$6,conversiones!$B$2:$B$6,0)</f>
        <v>416.532700327869</v>
      </c>
      <c r="G151" s="17" t="n">
        <v>1133.93018287037</v>
      </c>
      <c r="H151" s="17" t="s">
        <v>18</v>
      </c>
      <c r="I151" s="18" t="n">
        <f aca="false">G151/_xlfn.XLOOKUP(H151,conversiones!$A$2:$A$6,conversiones!$B$2:$B$6,0)</f>
        <v>24.9984608216572</v>
      </c>
      <c r="J151" s="17" t="n">
        <v>8360.190555</v>
      </c>
      <c r="K151" s="18" t="n">
        <f aca="false">_xlfn.XLOOKUP(C151,Ciclo!$A$2:$A$13,Ciclo!$D$2:$D$13,0)</f>
        <v>1</v>
      </c>
      <c r="L151" s="18" t="n">
        <f aca="false">F151*I151-J151</f>
        <v>2052.48583508531</v>
      </c>
      <c r="M151" s="19" t="n">
        <f aca="false">IF(J151=0,0,L151/J151)</f>
        <v>0.245507063694591</v>
      </c>
      <c r="N151" s="20" t="n">
        <f aca="false">M151*K151</f>
        <v>0.245507063694591</v>
      </c>
    </row>
    <row r="152" customFormat="false" ht="14.25" hidden="false" customHeight="false" outlineLevel="0" collapsed="false">
      <c r="A152" s="15" t="n">
        <v>2012</v>
      </c>
      <c r="B152" s="16" t="n">
        <f aca="false">DATE(A152,12,31)</f>
        <v>41274</v>
      </c>
      <c r="C152" s="17" t="s">
        <v>24</v>
      </c>
      <c r="D152" s="17" t="s">
        <v>18</v>
      </c>
      <c r="E152" s="17" t="n">
        <v>8.75310611966478</v>
      </c>
      <c r="F152" s="18" t="n">
        <f aca="false">E152*_xlfn.XLOOKUP(D152,conversiones!$A$2:$A$6,conversiones!$B$2:$B$6,0)</f>
        <v>397.040893587994</v>
      </c>
      <c r="G152" s="17" t="n">
        <v>1267.94772518267</v>
      </c>
      <c r="H152" s="17" t="s">
        <v>18</v>
      </c>
      <c r="I152" s="18" t="n">
        <f aca="false">G152/_xlfn.XLOOKUP(H152,conversiones!$A$2:$A$6,conversiones!$B$2:$B$6,0)</f>
        <v>27.9529921777485</v>
      </c>
      <c r="J152" s="17" t="n">
        <v>8104.7130577284</v>
      </c>
      <c r="K152" s="18" t="n">
        <f aca="false">_xlfn.XLOOKUP(C152,Ciclo!$A$2:$A$13,Ciclo!$D$2:$D$13,0)</f>
        <v>1</v>
      </c>
      <c r="L152" s="18" t="n">
        <f aca="false">F152*I152-J152</f>
        <v>2993.76793498307</v>
      </c>
      <c r="M152" s="19" t="n">
        <f aca="false">IF(J152=0,0,L152/J152)</f>
        <v>0.369386049038257</v>
      </c>
      <c r="N152" s="20" t="n">
        <f aca="false">M152*K152</f>
        <v>0.369386049038257</v>
      </c>
    </row>
    <row r="153" customFormat="false" ht="14.25" hidden="false" customHeight="false" outlineLevel="0" collapsed="false">
      <c r="A153" s="15" t="n">
        <v>2012</v>
      </c>
      <c r="B153" s="16" t="n">
        <f aca="false">DATE(A153,12,31)</f>
        <v>41274</v>
      </c>
      <c r="C153" s="17" t="s">
        <v>30</v>
      </c>
      <c r="D153" s="17" t="s">
        <v>32</v>
      </c>
      <c r="E153" s="17" t="n">
        <v>98.3439458352725</v>
      </c>
      <c r="F153" s="18" t="n">
        <f aca="false">E153*_xlfn.XLOOKUP(D153,conversiones!$A$2:$A$6,conversiones!$B$2:$B$6,0)</f>
        <v>2675.93876617777</v>
      </c>
      <c r="G153" s="17" t="n">
        <v>158.119965167549</v>
      </c>
      <c r="H153" s="17" t="s">
        <v>32</v>
      </c>
      <c r="I153" s="18" t="n">
        <f aca="false">G153/_xlfn.XLOOKUP(H153,conversiones!$A$2:$A$6,conversiones!$B$2:$B$6,0)</f>
        <v>5.81109758057879</v>
      </c>
      <c r="J153" s="17" t="n">
        <v>12463.8060770282</v>
      </c>
      <c r="K153" s="18" t="n">
        <f aca="false">_xlfn.XLOOKUP(C153,Ciclo!$A$2:$A$13,Ciclo!$D$2:$D$13,0)</f>
        <v>1</v>
      </c>
      <c r="L153" s="18" t="n">
        <f aca="false">F153*I153-J153</f>
        <v>3086.33521288441</v>
      </c>
      <c r="M153" s="19" t="n">
        <f aca="false">IF(J153=0,0,L153/J153)</f>
        <v>0.247623815214261</v>
      </c>
      <c r="N153" s="20" t="n">
        <f aca="false">M153*K153</f>
        <v>0.247623815214261</v>
      </c>
    </row>
    <row r="154" customFormat="false" ht="14.25" hidden="false" customHeight="false" outlineLevel="0" collapsed="false">
      <c r="A154" s="15" t="n">
        <v>2012</v>
      </c>
      <c r="B154" s="16" t="n">
        <f aca="false">DATE(A154,12,31)</f>
        <v>41274</v>
      </c>
      <c r="C154" s="17" t="s">
        <v>33</v>
      </c>
      <c r="D154" s="17" t="s">
        <v>34</v>
      </c>
      <c r="E154" s="17" t="n">
        <v>2.8312792354006</v>
      </c>
      <c r="F154" s="18" t="n">
        <f aca="false">E154*_xlfn.XLOOKUP(D154,conversiones!$A$2:$A$6,conversiones!$B$2:$B$6,0)</f>
        <v>1155.58661992875</v>
      </c>
      <c r="G154" s="17" t="n">
        <v>4539.35027305367</v>
      </c>
      <c r="H154" s="17" t="s">
        <v>34</v>
      </c>
      <c r="I154" s="18" t="n">
        <f aca="false">G154/_xlfn.XLOOKUP(H154,conversiones!$A$2:$A$6,conversiones!$B$2:$B$6,0)</f>
        <v>11.1217696264944</v>
      </c>
      <c r="J154" s="17" t="n">
        <v>11933.7643424532</v>
      </c>
      <c r="K154" s="18" t="n">
        <f aca="false">_xlfn.XLOOKUP(C154,Ciclo!$A$2:$A$13,Ciclo!$D$2:$D$13,0)</f>
        <v>1</v>
      </c>
      <c r="L154" s="18" t="n">
        <f aca="false">F154*I154-J154</f>
        <v>918.403827853699</v>
      </c>
      <c r="M154" s="19" t="n">
        <f aca="false">IF(J154=0,0,L154/J154)</f>
        <v>0.0769584350334929</v>
      </c>
      <c r="N154" s="20" t="n">
        <f aca="false">M154*K154</f>
        <v>0.0769584350334929</v>
      </c>
    </row>
    <row r="155" customFormat="false" ht="14.25" hidden="false" customHeight="false" outlineLevel="0" collapsed="false">
      <c r="A155" s="15" t="n">
        <v>2012</v>
      </c>
      <c r="B155" s="16" t="n">
        <f aca="false">DATE(A155,12,31)</f>
        <v>41274</v>
      </c>
      <c r="C155" s="17" t="s">
        <v>28</v>
      </c>
      <c r="D155" s="17" t="s">
        <v>29</v>
      </c>
      <c r="E155" s="17" t="n">
        <v>1.19843934222192</v>
      </c>
      <c r="F155" s="18" t="n">
        <f aca="false">E155*_xlfn.XLOOKUP(D155,conversiones!$A$2:$A$6,conversiones!$B$2:$B$6,0)</f>
        <v>673.930379705075</v>
      </c>
      <c r="G155" s="17" t="n">
        <v>5424.81944444444</v>
      </c>
      <c r="H155" s="17" t="s">
        <v>29</v>
      </c>
      <c r="I155" s="18" t="n">
        <f aca="false">G155/_xlfn.XLOOKUP(H155,conversiones!$A$2:$A$6,conversiones!$B$2:$B$6,0)</f>
        <v>9.64686745464388</v>
      </c>
      <c r="J155" s="17" t="n">
        <v>6923.3397737334</v>
      </c>
      <c r="K155" s="18" t="n">
        <f aca="false">_xlfn.XLOOKUP(C155,Ciclo!$A$2:$A$13,Ciclo!$D$2:$D$13,0)</f>
        <v>3</v>
      </c>
      <c r="L155" s="18" t="n">
        <f aca="false">F155*I155-J155</f>
        <v>-422.022727060724</v>
      </c>
      <c r="M155" s="19" t="n">
        <f aca="false">IF(J155=0,0,L155/J155)</f>
        <v>-0.060956523997543</v>
      </c>
      <c r="N155" s="20" t="n">
        <f aca="false">M155*K155</f>
        <v>-0.182869571992629</v>
      </c>
    </row>
    <row r="156" customFormat="false" ht="14.25" hidden="false" customHeight="false" outlineLevel="0" collapsed="false">
      <c r="A156" s="15" t="n">
        <v>2012</v>
      </c>
      <c r="B156" s="16" t="n">
        <f aca="false">DATE(A156,12,31)</f>
        <v>41274</v>
      </c>
      <c r="C156" s="17" t="s">
        <v>26</v>
      </c>
      <c r="D156" s="17" t="s">
        <v>18</v>
      </c>
      <c r="E156" s="17" t="n">
        <v>6.65704689279382</v>
      </c>
      <c r="F156" s="18" t="n">
        <f aca="false">E156*_xlfn.XLOOKUP(D156,conversiones!$A$2:$A$6,conversiones!$B$2:$B$6,0)</f>
        <v>301.963647057128</v>
      </c>
      <c r="G156" s="17" t="n">
        <v>779.876424162257</v>
      </c>
      <c r="H156" s="17" t="s">
        <v>18</v>
      </c>
      <c r="I156" s="18" t="n">
        <f aca="false">G156/_xlfn.XLOOKUP(H156,conversiones!$A$2:$A$6,conversiones!$B$2:$B$6,0)</f>
        <v>17.19304286072</v>
      </c>
      <c r="J156" s="17" t="n">
        <v>2035.793320573</v>
      </c>
      <c r="K156" s="18" t="n">
        <f aca="false">_xlfn.XLOOKUP(C156,Ciclo!$A$2:$A$13,Ciclo!$D$2:$D$13,0)</f>
        <v>3</v>
      </c>
      <c r="L156" s="18" t="n">
        <f aca="false">F156*I156-J156</f>
        <v>3155.88060565951</v>
      </c>
      <c r="M156" s="19" t="n">
        <f aca="false">IF(J156=0,0,L156/J156)</f>
        <v>1.55019695455688</v>
      </c>
      <c r="N156" s="20" t="n">
        <f aca="false">M156*K156</f>
        <v>4.65059086367065</v>
      </c>
    </row>
    <row r="157" customFormat="false" ht="14.25" hidden="false" customHeight="false" outlineLevel="0" collapsed="false">
      <c r="A157" s="15" t="n">
        <v>2012</v>
      </c>
      <c r="B157" s="16" t="n">
        <f aca="false">DATE(A157,12,31)</f>
        <v>41274</v>
      </c>
      <c r="C157" s="17" t="s">
        <v>27</v>
      </c>
      <c r="D157" s="17" t="s">
        <v>18</v>
      </c>
      <c r="E157" s="17" t="n">
        <v>7.28334164450355</v>
      </c>
      <c r="F157" s="18" t="n">
        <f aca="false">E157*_xlfn.XLOOKUP(D157,conversiones!$A$2:$A$6,conversiones!$B$2:$B$6,0)</f>
        <v>330.372376994681</v>
      </c>
      <c r="G157" s="17" t="n">
        <v>661.509261133157</v>
      </c>
      <c r="H157" s="17" t="s">
        <v>18</v>
      </c>
      <c r="I157" s="18" t="n">
        <f aca="false">G157/_xlfn.XLOOKUP(H157,conversiones!$A$2:$A$6,conversiones!$B$2:$B$6,0)</f>
        <v>14.5835375029356</v>
      </c>
      <c r="J157" s="17" t="n">
        <v>7766.250013275</v>
      </c>
      <c r="K157" s="18" t="n">
        <f aca="false">_xlfn.XLOOKUP(C157,Ciclo!$A$2:$A$13,Ciclo!$D$2:$D$13,0)</f>
        <v>2.4</v>
      </c>
      <c r="L157" s="18" t="n">
        <f aca="false">F157*I157-J157</f>
        <v>-2948.2520634391</v>
      </c>
      <c r="M157" s="19" t="n">
        <f aca="false">IF(J157=0,0,L157/J157)</f>
        <v>-0.379623635396697</v>
      </c>
      <c r="N157" s="20" t="n">
        <f aca="false">M157*K157</f>
        <v>-0.911096724952073</v>
      </c>
    </row>
    <row r="158" customFormat="false" ht="14.25" hidden="false" customHeight="false" outlineLevel="0" collapsed="false">
      <c r="A158" s="15" t="n">
        <v>2013</v>
      </c>
      <c r="B158" s="16" t="n">
        <f aca="false">DATE(A158,12,31)</f>
        <v>41639</v>
      </c>
      <c r="C158" s="17" t="s">
        <v>16</v>
      </c>
      <c r="D158" s="17" t="s">
        <v>18</v>
      </c>
      <c r="E158" s="17" t="n">
        <v>4.63442276680388</v>
      </c>
      <c r="F158" s="18" t="n">
        <f aca="false">E158*_xlfn.XLOOKUP(D158,conversiones!$A$2:$A$6,conversiones!$B$2:$B$6,0)</f>
        <v>210.217416702224</v>
      </c>
      <c r="G158" s="17" t="n">
        <v>1859.34221163571</v>
      </c>
      <c r="H158" s="17" t="s">
        <v>19</v>
      </c>
      <c r="I158" s="18" t="n">
        <f aca="false">G158/_xlfn.XLOOKUP(H158,conversiones!$A$2:$A$6,conversiones!$B$2:$B$6,0)</f>
        <v>16.9031110148701</v>
      </c>
      <c r="J158" s="17" t="n">
        <v>7832.60797003155</v>
      </c>
      <c r="K158" s="18" t="n">
        <f aca="false">_xlfn.XLOOKUP(C158,Ciclo!$A$2:$A$13,Ciclo!$D$2:$D$13,0)</f>
        <v>2.4</v>
      </c>
      <c r="L158" s="18" t="n">
        <f aca="false">F158*I158-J158</f>
        <v>-4279.27963825465</v>
      </c>
      <c r="M158" s="19" t="n">
        <f aca="false">IF(J158=0,0,L158/J158)</f>
        <v>-0.546341608647805</v>
      </c>
      <c r="N158" s="20" t="n">
        <f aca="false">M158*K158</f>
        <v>-1.31121986075473</v>
      </c>
    </row>
    <row r="159" customFormat="false" ht="14.25" hidden="false" customHeight="false" outlineLevel="0" collapsed="false">
      <c r="A159" s="15" t="n">
        <v>2013</v>
      </c>
      <c r="B159" s="16" t="n">
        <f aca="false">DATE(A159,12,31)</f>
        <v>41639</v>
      </c>
      <c r="C159" s="17" t="s">
        <v>20</v>
      </c>
      <c r="D159" s="17" t="s">
        <v>18</v>
      </c>
      <c r="E159" s="17" t="n">
        <v>2.18575205262043</v>
      </c>
      <c r="F159" s="18" t="n">
        <f aca="false">E159*_xlfn.XLOOKUP(D159,conversiones!$A$2:$A$6,conversiones!$B$2:$B$6,0)</f>
        <v>99.1457131068627</v>
      </c>
      <c r="G159" s="17" t="n">
        <v>733.724962219388</v>
      </c>
      <c r="H159" s="17" t="s">
        <v>18</v>
      </c>
      <c r="I159" s="18" t="n">
        <f aca="false">G159/_xlfn.XLOOKUP(H159,conversiones!$A$2:$A$6,conversiones!$B$2:$B$6,0)</f>
        <v>16.1755944051893</v>
      </c>
      <c r="J159" s="17" t="n">
        <v>2208.926382</v>
      </c>
      <c r="K159" s="18" t="n">
        <f aca="false">_xlfn.XLOOKUP(C159,Ciclo!$A$2:$A$13,Ciclo!$D$2:$D$13,0)</f>
        <v>3</v>
      </c>
      <c r="L159" s="18" t="n">
        <f aca="false">F159*I159-J159</f>
        <v>-605.185539770125</v>
      </c>
      <c r="M159" s="19" t="n">
        <f aca="false">IF(J159=0,0,L159/J159)</f>
        <v>-0.273972706696626</v>
      </c>
      <c r="N159" s="20" t="n">
        <f aca="false">M159*K159</f>
        <v>-0.821918120089878</v>
      </c>
    </row>
    <row r="160" customFormat="false" ht="14.25" hidden="false" customHeight="false" outlineLevel="0" collapsed="false">
      <c r="A160" s="15" t="n">
        <v>2013</v>
      </c>
      <c r="B160" s="16" t="n">
        <f aca="false">DATE(A160,12,31)</f>
        <v>41639</v>
      </c>
      <c r="C160" s="17" t="s">
        <v>23</v>
      </c>
      <c r="D160" s="17" t="s">
        <v>18</v>
      </c>
      <c r="E160" s="17" t="n">
        <v>35.5790523690773</v>
      </c>
      <c r="F160" s="18" t="n">
        <f aca="false">E160*_xlfn.XLOOKUP(D160,conversiones!$A$2:$A$6,conversiones!$B$2:$B$6,0)</f>
        <v>1613.86581546135</v>
      </c>
      <c r="G160" s="17" t="n">
        <v>934.484875</v>
      </c>
      <c r="H160" s="17" t="s">
        <v>18</v>
      </c>
      <c r="I160" s="18" t="n">
        <f aca="false">G160/_xlfn.XLOOKUP(H160,conversiones!$A$2:$A$6,conversiones!$B$2:$B$6,0)</f>
        <v>20.6015184082892</v>
      </c>
      <c r="J160" s="17" t="n">
        <v>24550.1208184162</v>
      </c>
      <c r="K160" s="18" t="n">
        <f aca="false">_xlfn.XLOOKUP(C160,Ciclo!$A$2:$A$13,Ciclo!$D$2:$D$13,0)</f>
        <v>4</v>
      </c>
      <c r="L160" s="18" t="n">
        <f aca="false">F160*I160-J160</f>
        <v>8697.96548731946</v>
      </c>
      <c r="M160" s="19" t="n">
        <f aca="false">IF(J160=0,0,L160/J160)</f>
        <v>0.35429420293503</v>
      </c>
      <c r="N160" s="20" t="n">
        <f aca="false">M160*K160</f>
        <v>1.41717681174012</v>
      </c>
    </row>
    <row r="161" customFormat="false" ht="14.25" hidden="false" customHeight="false" outlineLevel="0" collapsed="false">
      <c r="A161" s="15" t="n">
        <v>2013</v>
      </c>
      <c r="B161" s="16" t="n">
        <f aca="false">DATE(A161,12,31)</f>
        <v>41639</v>
      </c>
      <c r="C161" s="17" t="s">
        <v>21</v>
      </c>
      <c r="D161" s="17" t="s">
        <v>18</v>
      </c>
      <c r="E161" s="17" t="n">
        <v>11.0662789042322</v>
      </c>
      <c r="F161" s="18" t="n">
        <f aca="false">E161*_xlfn.XLOOKUP(D161,conversiones!$A$2:$A$6,conversiones!$B$2:$B$6,0)</f>
        <v>501.966411095973</v>
      </c>
      <c r="G161" s="17" t="n">
        <v>396.999302788393</v>
      </c>
      <c r="H161" s="17" t="s">
        <v>18</v>
      </c>
      <c r="I161" s="18" t="n">
        <f aca="false">G161/_xlfn.XLOOKUP(H161,conversiones!$A$2:$A$6,conversiones!$B$2:$B$6,0)</f>
        <v>8.75218921491166</v>
      </c>
      <c r="J161" s="17" t="n">
        <v>4893.7504665</v>
      </c>
      <c r="K161" s="18" t="n">
        <f aca="false">_xlfn.XLOOKUP(C161,Ciclo!$A$2:$A$13,Ciclo!$D$2:$D$13,0)</f>
        <v>2</v>
      </c>
      <c r="L161" s="18" t="n">
        <f aca="false">F161*I161-J161</f>
        <v>-500.445457057915</v>
      </c>
      <c r="M161" s="19" t="n">
        <f aca="false">IF(J161=0,0,L161/J161)</f>
        <v>-0.102262152613562</v>
      </c>
      <c r="N161" s="20" t="n">
        <f aca="false">M161*K161</f>
        <v>-0.204524305227125</v>
      </c>
    </row>
    <row r="162" customFormat="false" ht="14.25" hidden="false" customHeight="false" outlineLevel="0" collapsed="false">
      <c r="A162" s="15" t="n">
        <v>2013</v>
      </c>
      <c r="B162" s="16" t="n">
        <f aca="false">DATE(A162,12,31)</f>
        <v>41639</v>
      </c>
      <c r="C162" s="17" t="s">
        <v>25</v>
      </c>
      <c r="D162" s="17" t="s">
        <v>18</v>
      </c>
      <c r="E162" s="17" t="n">
        <v>10.3415659190189</v>
      </c>
      <c r="F162" s="18" t="n">
        <f aca="false">E162*_xlfn.XLOOKUP(D162,conversiones!$A$2:$A$6,conversiones!$B$2:$B$6,0)</f>
        <v>469.093430086697</v>
      </c>
      <c r="G162" s="17" t="n">
        <v>491.060576162698</v>
      </c>
      <c r="H162" s="17" t="s">
        <v>18</v>
      </c>
      <c r="I162" s="18" t="n">
        <f aca="false">G162/_xlfn.XLOOKUP(H162,conversiones!$A$2:$A$6,conversiones!$B$2:$B$6,0)</f>
        <v>10.8258504445039</v>
      </c>
      <c r="J162" s="17" t="n">
        <v>4461.19405275347</v>
      </c>
      <c r="K162" s="18" t="n">
        <f aca="false">_xlfn.XLOOKUP(C162,Ciclo!$A$2:$A$13,Ciclo!$D$2:$D$13,0)</f>
        <v>1.2</v>
      </c>
      <c r="L162" s="18" t="n">
        <f aca="false">F162*I162-J162</f>
        <v>617.141265864472</v>
      </c>
      <c r="M162" s="19" t="n">
        <f aca="false">IF(J162=0,0,L162/J162)</f>
        <v>0.138335445301594</v>
      </c>
      <c r="N162" s="20" t="n">
        <f aca="false">M162*K162</f>
        <v>0.166002534361912</v>
      </c>
    </row>
    <row r="163" customFormat="false" ht="14.25" hidden="false" customHeight="false" outlineLevel="0" collapsed="false">
      <c r="A163" s="15" t="n">
        <v>2013</v>
      </c>
      <c r="B163" s="16" t="n">
        <f aca="false">DATE(A163,12,31)</f>
        <v>41639</v>
      </c>
      <c r="C163" s="17" t="s">
        <v>22</v>
      </c>
      <c r="D163" s="17" t="s">
        <v>18</v>
      </c>
      <c r="E163" s="17" t="n">
        <v>8.79509945831406</v>
      </c>
      <c r="F163" s="18" t="n">
        <f aca="false">E163*_xlfn.XLOOKUP(D163,conversiones!$A$2:$A$6,conversiones!$B$2:$B$6,0)</f>
        <v>398.945711429126</v>
      </c>
      <c r="G163" s="17" t="n">
        <v>1192.28042857143</v>
      </c>
      <c r="H163" s="17" t="s">
        <v>18</v>
      </c>
      <c r="I163" s="18" t="n">
        <f aca="false">G163/_xlfn.XLOOKUP(H163,conversiones!$A$2:$A$6,conversiones!$B$2:$B$6,0)</f>
        <v>26.2848418997229</v>
      </c>
      <c r="J163" s="17" t="n">
        <v>8667.0620736</v>
      </c>
      <c r="K163" s="18" t="n">
        <f aca="false">_xlfn.XLOOKUP(C163,Ciclo!$A$2:$A$13,Ciclo!$D$2:$D$13,0)</f>
        <v>1</v>
      </c>
      <c r="L163" s="18" t="n">
        <f aca="false">F163*I163-J163</f>
        <v>1819.16287788704</v>
      </c>
      <c r="M163" s="19" t="n">
        <f aca="false">IF(J163=0,0,L163/J163)</f>
        <v>0.209893832816571</v>
      </c>
      <c r="N163" s="20" t="n">
        <f aca="false">M163*K163</f>
        <v>0.209893832816571</v>
      </c>
    </row>
    <row r="164" customFormat="false" ht="14.25" hidden="false" customHeight="false" outlineLevel="0" collapsed="false">
      <c r="A164" s="15" t="n">
        <v>2013</v>
      </c>
      <c r="B164" s="16" t="n">
        <f aca="false">DATE(A164,12,31)</f>
        <v>41639</v>
      </c>
      <c r="C164" s="17" t="s">
        <v>24</v>
      </c>
      <c r="D164" s="17" t="s">
        <v>18</v>
      </c>
      <c r="E164" s="17" t="n">
        <v>8.19138505534349</v>
      </c>
      <c r="F164" s="18" t="n">
        <f aca="false">E164*_xlfn.XLOOKUP(D164,conversiones!$A$2:$A$6,conversiones!$B$2:$B$6,0)</f>
        <v>371.561226110381</v>
      </c>
      <c r="G164" s="17" t="n">
        <v>1636.6013015873</v>
      </c>
      <c r="H164" s="17" t="s">
        <v>18</v>
      </c>
      <c r="I164" s="18" t="n">
        <f aca="false">G164/_xlfn.XLOOKUP(H164,conversiones!$A$2:$A$6,conversiones!$B$2:$B$6,0)</f>
        <v>36.0802756081856</v>
      </c>
      <c r="J164" s="17" t="n">
        <v>8436.00230404646</v>
      </c>
      <c r="K164" s="18" t="n">
        <f aca="false">_xlfn.XLOOKUP(C164,Ciclo!$A$2:$A$13,Ciclo!$D$2:$D$13,0)</f>
        <v>1</v>
      </c>
      <c r="L164" s="18" t="n">
        <f aca="false">F164*I164-J164</f>
        <v>4970.02913933145</v>
      </c>
      <c r="M164" s="19" t="n">
        <f aca="false">IF(J164=0,0,L164/J164)</f>
        <v>0.589145066609038</v>
      </c>
      <c r="N164" s="20" t="n">
        <f aca="false">M164*K164</f>
        <v>0.589145066609038</v>
      </c>
    </row>
    <row r="165" customFormat="false" ht="14.25" hidden="false" customHeight="false" outlineLevel="0" collapsed="false">
      <c r="A165" s="15" t="n">
        <v>2013</v>
      </c>
      <c r="B165" s="16" t="n">
        <f aca="false">DATE(A165,12,31)</f>
        <v>41639</v>
      </c>
      <c r="C165" s="17" t="s">
        <v>30</v>
      </c>
      <c r="D165" s="17" t="s">
        <v>32</v>
      </c>
      <c r="E165" s="17" t="n">
        <v>105.489480857764</v>
      </c>
      <c r="F165" s="18" t="n">
        <f aca="false">E165*_xlfn.XLOOKUP(D165,conversiones!$A$2:$A$6,conversiones!$B$2:$B$6,0)</f>
        <v>2870.36877413976</v>
      </c>
      <c r="G165" s="17" t="n">
        <v>148.949475340136</v>
      </c>
      <c r="H165" s="17" t="s">
        <v>32</v>
      </c>
      <c r="I165" s="18" t="n">
        <f aca="false">G165/_xlfn.XLOOKUP(H165,conversiones!$A$2:$A$6,conversiones!$B$2:$B$6,0)</f>
        <v>5.47407112606159</v>
      </c>
      <c r="J165" s="17" t="n">
        <v>11852.2845542745</v>
      </c>
      <c r="K165" s="18" t="n">
        <f aca="false">_xlfn.XLOOKUP(C165,Ciclo!$A$2:$A$13,Ciclo!$D$2:$D$13,0)</f>
        <v>1</v>
      </c>
      <c r="L165" s="18" t="n">
        <f aca="false">F165*I165-J165</f>
        <v>3860.31827339277</v>
      </c>
      <c r="M165" s="19" t="n">
        <f aca="false">IF(J165=0,0,L165/J165)</f>
        <v>0.325702463159354</v>
      </c>
      <c r="N165" s="20" t="n">
        <f aca="false">M165*K165</f>
        <v>0.325702463159354</v>
      </c>
    </row>
    <row r="166" customFormat="false" ht="14.25" hidden="false" customHeight="false" outlineLevel="0" collapsed="false">
      <c r="A166" s="15" t="n">
        <v>2013</v>
      </c>
      <c r="B166" s="16" t="n">
        <f aca="false">DATE(A166,12,31)</f>
        <v>41639</v>
      </c>
      <c r="C166" s="17" t="s">
        <v>33</v>
      </c>
      <c r="D166" s="17" t="s">
        <v>34</v>
      </c>
      <c r="E166" s="17" t="n">
        <v>3.08026037378098</v>
      </c>
      <c r="F166" s="18" t="n">
        <f aca="false">E166*_xlfn.XLOOKUP(D166,conversiones!$A$2:$A$6,conversiones!$B$2:$B$6,0)</f>
        <v>1257.20827155871</v>
      </c>
      <c r="G166" s="17" t="n">
        <v>4491.7975649093</v>
      </c>
      <c r="H166" s="17" t="s">
        <v>34</v>
      </c>
      <c r="I166" s="18" t="n">
        <f aca="false">G166/_xlfn.XLOOKUP(H166,conversiones!$A$2:$A$6,conversiones!$B$2:$B$6,0)</f>
        <v>11.0052617050332</v>
      </c>
      <c r="J166" s="17" t="n">
        <v>11461.3597912662</v>
      </c>
      <c r="K166" s="18" t="n">
        <f aca="false">_xlfn.XLOOKUP(C166,Ciclo!$A$2:$A$13,Ciclo!$D$2:$D$13,0)</f>
        <v>1</v>
      </c>
      <c r="L166" s="18" t="n">
        <f aca="false">F166*I166-J166</f>
        <v>2374.54625496982</v>
      </c>
      <c r="M166" s="19" t="n">
        <f aca="false">IF(J166=0,0,L166/J166)</f>
        <v>0.207178406246288</v>
      </c>
      <c r="N166" s="20" t="n">
        <f aca="false">M166*K166</f>
        <v>0.207178406246288</v>
      </c>
    </row>
    <row r="167" customFormat="false" ht="14.25" hidden="false" customHeight="false" outlineLevel="0" collapsed="false">
      <c r="A167" s="15" t="n">
        <v>2013</v>
      </c>
      <c r="B167" s="16" t="n">
        <f aca="false">DATE(A167,12,31)</f>
        <v>41639</v>
      </c>
      <c r="C167" s="17" t="s">
        <v>28</v>
      </c>
      <c r="D167" s="17" t="s">
        <v>29</v>
      </c>
      <c r="E167" s="17" t="n">
        <v>1.38609820001785</v>
      </c>
      <c r="F167" s="18" t="n">
        <f aca="false">E167*_xlfn.XLOOKUP(D167,conversiones!$A$2:$A$6,conversiones!$B$2:$B$6,0)</f>
        <v>779.458461798038</v>
      </c>
      <c r="G167" s="17" t="n">
        <v>5542.30163095238</v>
      </c>
      <c r="H167" s="17" t="s">
        <v>29</v>
      </c>
      <c r="I167" s="18" t="n">
        <f aca="false">G167/_xlfn.XLOOKUP(H167,conversiones!$A$2:$A$6,conversiones!$B$2:$B$6,0)</f>
        <v>9.85578410028164</v>
      </c>
      <c r="J167" s="17" t="n">
        <v>6492.56103460413</v>
      </c>
      <c r="K167" s="18" t="n">
        <f aca="false">_xlfn.XLOOKUP(C167,Ciclo!$A$2:$A$13,Ciclo!$D$2:$D$13,0)</f>
        <v>3</v>
      </c>
      <c r="L167" s="18" t="n">
        <f aca="false">F167*I167-J167</f>
        <v>1189.61328001496</v>
      </c>
      <c r="M167" s="19" t="n">
        <f aca="false">IF(J167=0,0,L167/J167)</f>
        <v>0.183227123114368</v>
      </c>
      <c r="N167" s="20" t="n">
        <f aca="false">M167*K167</f>
        <v>0.549681369343103</v>
      </c>
    </row>
    <row r="168" customFormat="false" ht="14.25" hidden="false" customHeight="false" outlineLevel="0" collapsed="false">
      <c r="A168" s="15" t="n">
        <v>2013</v>
      </c>
      <c r="B168" s="16" t="n">
        <f aca="false">DATE(A168,12,31)</f>
        <v>41639</v>
      </c>
      <c r="C168" s="17" t="s">
        <v>26</v>
      </c>
      <c r="D168" s="17" t="s">
        <v>18</v>
      </c>
      <c r="E168" s="17" t="n">
        <v>6.32810343912536</v>
      </c>
      <c r="F168" s="18" t="n">
        <f aca="false">E168*_xlfn.XLOOKUP(D168,conversiones!$A$2:$A$6,conversiones!$B$2:$B$6,0)</f>
        <v>287.042771998726</v>
      </c>
      <c r="G168" s="17" t="n">
        <v>699.824200396825</v>
      </c>
      <c r="H168" s="17" t="s">
        <v>18</v>
      </c>
      <c r="I168" s="18" t="n">
        <f aca="false">G168/_xlfn.XLOOKUP(H168,conversiones!$A$2:$A$6,conversiones!$B$2:$B$6,0)</f>
        <v>15.4282231128048</v>
      </c>
      <c r="J168" s="17" t="n">
        <v>1856.821617</v>
      </c>
      <c r="K168" s="18" t="n">
        <f aca="false">_xlfn.XLOOKUP(C168,Ciclo!$A$2:$A$13,Ciclo!$D$2:$D$13,0)</f>
        <v>3</v>
      </c>
      <c r="L168" s="18" t="n">
        <f aca="false">F168*I168-J168</f>
        <v>2571.7383123143</v>
      </c>
      <c r="M168" s="19" t="n">
        <f aca="false">IF(J168=0,0,L168/J168)</f>
        <v>1.38502174294447</v>
      </c>
      <c r="N168" s="20" t="n">
        <f aca="false">M168*K168</f>
        <v>4.1550652288334</v>
      </c>
    </row>
    <row r="169" customFormat="false" ht="14.25" hidden="false" customHeight="false" outlineLevel="0" collapsed="false">
      <c r="A169" s="15" t="n">
        <v>2013</v>
      </c>
      <c r="B169" s="16" t="n">
        <f aca="false">DATE(A169,12,31)</f>
        <v>41639</v>
      </c>
      <c r="C169" s="17" t="s">
        <v>27</v>
      </c>
      <c r="D169" s="17" t="s">
        <v>18</v>
      </c>
      <c r="E169" s="17" t="n">
        <v>7.43986602924009</v>
      </c>
      <c r="F169" s="18" t="n">
        <f aca="false">E169*_xlfn.XLOOKUP(D169,conversiones!$A$2:$A$6,conversiones!$B$2:$B$6,0)</f>
        <v>337.47232308633</v>
      </c>
      <c r="G169" s="17" t="n">
        <v>646.197952480159</v>
      </c>
      <c r="H169" s="17" t="s">
        <v>18</v>
      </c>
      <c r="I169" s="18" t="n">
        <f aca="false">G169/_xlfn.XLOOKUP(H169,conversiones!$A$2:$A$6,conversiones!$B$2:$B$6,0)</f>
        <v>14.2459866067054</v>
      </c>
      <c r="J169" s="17" t="n">
        <v>7498.499866956</v>
      </c>
      <c r="K169" s="18" t="n">
        <f aca="false">_xlfn.XLOOKUP(C169,Ciclo!$A$2:$A$13,Ciclo!$D$2:$D$13,0)</f>
        <v>2.4</v>
      </c>
      <c r="L169" s="18" t="n">
        <f aca="false">F169*I169-J169</f>
        <v>-2690.87367213436</v>
      </c>
      <c r="M169" s="19" t="n">
        <f aca="false">IF(J169=0,0,L169/J169)</f>
        <v>-0.358854933637109</v>
      </c>
      <c r="N169" s="20" t="n">
        <f aca="false">M169*K169</f>
        <v>-0.861251840729061</v>
      </c>
    </row>
    <row r="170" customFormat="false" ht="14.25" hidden="false" customHeight="false" outlineLevel="0" collapsed="false">
      <c r="A170" s="15" t="n">
        <v>2014</v>
      </c>
      <c r="B170" s="16" t="n">
        <f aca="false">DATE(A170,12,31)</f>
        <v>42004</v>
      </c>
      <c r="C170" s="17" t="s">
        <v>16</v>
      </c>
      <c r="D170" s="17" t="s">
        <v>18</v>
      </c>
      <c r="E170" s="17" t="n">
        <v>4.52127614055525</v>
      </c>
      <c r="F170" s="18" t="n">
        <f aca="false">E170*_xlfn.XLOOKUP(D170,conversiones!$A$2:$A$6,conversiones!$B$2:$B$6,0)</f>
        <v>205.085085735586</v>
      </c>
      <c r="G170" s="17" t="n">
        <v>1849.02859281523</v>
      </c>
      <c r="H170" s="17" t="s">
        <v>19</v>
      </c>
      <c r="I170" s="18" t="n">
        <f aca="false">G170/_xlfn.XLOOKUP(H170,conversiones!$A$2:$A$6,conversiones!$B$2:$B$6,0)</f>
        <v>16.8093508437748</v>
      </c>
      <c r="J170" s="17" t="n">
        <v>7973.24325841281</v>
      </c>
      <c r="K170" s="18" t="n">
        <f aca="false">_xlfn.XLOOKUP(C170,Ciclo!$A$2:$A$13,Ciclo!$D$2:$D$13,0)</f>
        <v>2.4</v>
      </c>
      <c r="L170" s="18" t="n">
        <f aca="false">F170*I170-J170</f>
        <v>-4525.8960994577</v>
      </c>
      <c r="M170" s="19" t="n">
        <f aca="false">IF(J170=0,0,L170/J170)</f>
        <v>-0.567635522054629</v>
      </c>
      <c r="N170" s="20" t="n">
        <f aca="false">M170*K170</f>
        <v>-1.36232525293111</v>
      </c>
    </row>
    <row r="171" customFormat="false" ht="14.25" hidden="false" customHeight="false" outlineLevel="0" collapsed="false">
      <c r="A171" s="15" t="n">
        <v>2014</v>
      </c>
      <c r="B171" s="16" t="n">
        <f aca="false">DATE(A171,12,31)</f>
        <v>42004</v>
      </c>
      <c r="C171" s="17" t="s">
        <v>20</v>
      </c>
      <c r="D171" s="17" t="s">
        <v>18</v>
      </c>
      <c r="E171" s="17" t="n">
        <v>2.05977456302106</v>
      </c>
      <c r="F171" s="18" t="n">
        <f aca="false">E171*_xlfn.XLOOKUP(D171,conversiones!$A$2:$A$6,conversiones!$B$2:$B$6,0)</f>
        <v>93.4313741786353</v>
      </c>
      <c r="G171" s="17" t="n">
        <v>746.932108465609</v>
      </c>
      <c r="H171" s="17" t="s">
        <v>18</v>
      </c>
      <c r="I171" s="18" t="n">
        <f aca="false">G171/_xlfn.XLOOKUP(H171,conversiones!$A$2:$A$6,conversiones!$B$2:$B$6,0)</f>
        <v>16.4667572413053</v>
      </c>
      <c r="J171" s="17" t="n">
        <v>2447.4016476</v>
      </c>
      <c r="K171" s="18" t="n">
        <f aca="false">_xlfn.XLOOKUP(C171,Ciclo!$A$2:$A$13,Ciclo!$D$2:$D$13,0)</f>
        <v>3</v>
      </c>
      <c r="L171" s="18" t="n">
        <f aca="false">F171*I171-J171</f>
        <v>-908.889890278852</v>
      </c>
      <c r="M171" s="19" t="n">
        <f aca="false">IF(J171=0,0,L171/J171)</f>
        <v>-0.371369321897016</v>
      </c>
      <c r="N171" s="20" t="n">
        <f aca="false">M171*K171</f>
        <v>-1.11410796569105</v>
      </c>
    </row>
    <row r="172" customFormat="false" ht="14.25" hidden="false" customHeight="false" outlineLevel="0" collapsed="false">
      <c r="A172" s="15" t="n">
        <v>2014</v>
      </c>
      <c r="B172" s="16" t="n">
        <f aca="false">DATE(A172,12,31)</f>
        <v>42004</v>
      </c>
      <c r="C172" s="17" t="s">
        <v>23</v>
      </c>
      <c r="D172" s="17" t="s">
        <v>18</v>
      </c>
      <c r="E172" s="17" t="n">
        <v>37.0280200964831</v>
      </c>
      <c r="F172" s="18" t="n">
        <f aca="false">E172*_xlfn.XLOOKUP(D172,conversiones!$A$2:$A$6,conversiones!$B$2:$B$6,0)</f>
        <v>1679.59099157647</v>
      </c>
      <c r="G172" s="17" t="n">
        <v>857.645597222222</v>
      </c>
      <c r="H172" s="17" t="s">
        <v>18</v>
      </c>
      <c r="I172" s="18" t="n">
        <f aca="false">G172/_xlfn.XLOOKUP(H172,conversiones!$A$2:$A$6,conversiones!$B$2:$B$6,0)</f>
        <v>18.907530802959</v>
      </c>
      <c r="J172" s="17" t="n">
        <v>26184.1693466859</v>
      </c>
      <c r="K172" s="18" t="n">
        <f aca="false">_xlfn.XLOOKUP(C172,Ciclo!$A$2:$A$13,Ciclo!$D$2:$D$13,0)</f>
        <v>4</v>
      </c>
      <c r="L172" s="18" t="n">
        <f aca="false">F172*I172-J172</f>
        <v>5572.74906291879</v>
      </c>
      <c r="M172" s="19" t="n">
        <f aca="false">IF(J172=0,0,L172/J172)</f>
        <v>0.212828942141872</v>
      </c>
      <c r="N172" s="20" t="n">
        <f aca="false">M172*K172</f>
        <v>0.851315768567488</v>
      </c>
    </row>
    <row r="173" customFormat="false" ht="14.25" hidden="false" customHeight="false" outlineLevel="0" collapsed="false">
      <c r="A173" s="15" t="n">
        <v>2014</v>
      </c>
      <c r="B173" s="16" t="n">
        <f aca="false">DATE(A173,12,31)</f>
        <v>42004</v>
      </c>
      <c r="C173" s="17" t="s">
        <v>21</v>
      </c>
      <c r="D173" s="17" t="s">
        <v>18</v>
      </c>
      <c r="E173" s="17" t="n">
        <v>11.4644999593887</v>
      </c>
      <c r="F173" s="18" t="n">
        <f aca="false">E173*_xlfn.XLOOKUP(D173,conversiones!$A$2:$A$6,conversiones!$B$2:$B$6,0)</f>
        <v>520.029718157872</v>
      </c>
      <c r="G173" s="17" t="n">
        <v>366.043044830247</v>
      </c>
      <c r="H173" s="17" t="s">
        <v>18</v>
      </c>
      <c r="I173" s="18" t="n">
        <f aca="false">G173/_xlfn.XLOOKUP(H173,conversiones!$A$2:$A$6,conversiones!$B$2:$B$6,0)</f>
        <v>8.06973202888552</v>
      </c>
      <c r="J173" s="17" t="n">
        <v>5243.9203425</v>
      </c>
      <c r="K173" s="18" t="n">
        <f aca="false">_xlfn.XLOOKUP(C173,Ciclo!$A$2:$A$13,Ciclo!$D$2:$D$13,0)</f>
        <v>2</v>
      </c>
      <c r="L173" s="18" t="n">
        <f aca="false">F173*I173-J173</f>
        <v>-1047.41986990912</v>
      </c>
      <c r="M173" s="19" t="n">
        <f aca="false">IF(J173=0,0,L173/J173)</f>
        <v>-0.19973985138946</v>
      </c>
      <c r="N173" s="20" t="n">
        <f aca="false">M173*K173</f>
        <v>-0.39947970277892</v>
      </c>
    </row>
    <row r="174" customFormat="false" ht="14.25" hidden="false" customHeight="false" outlineLevel="0" collapsed="false">
      <c r="A174" s="15" t="n">
        <v>2014</v>
      </c>
      <c r="B174" s="16" t="n">
        <f aca="false">DATE(A174,12,31)</f>
        <v>42004</v>
      </c>
      <c r="C174" s="17" t="s">
        <v>25</v>
      </c>
      <c r="D174" s="17" t="s">
        <v>18</v>
      </c>
      <c r="E174" s="17" t="n">
        <v>10.550500240126</v>
      </c>
      <c r="F174" s="18" t="n">
        <f aca="false">E174*_xlfn.XLOOKUP(D174,conversiones!$A$2:$A$6,conversiones!$B$2:$B$6,0)</f>
        <v>478.570690892115</v>
      </c>
      <c r="G174" s="17" t="n">
        <v>292.586040123512</v>
      </c>
      <c r="H174" s="17" t="s">
        <v>18</v>
      </c>
      <c r="I174" s="18" t="n">
        <f aca="false">G174/_xlfn.XLOOKUP(H174,conversiones!$A$2:$A$6,conversiones!$B$2:$B$6,0)</f>
        <v>6.45030952653245</v>
      </c>
      <c r="J174" s="17" t="n">
        <v>4871.66870431878</v>
      </c>
      <c r="K174" s="18" t="n">
        <f aca="false">_xlfn.XLOOKUP(C174,Ciclo!$A$2:$A$13,Ciclo!$D$2:$D$13,0)</f>
        <v>1.2</v>
      </c>
      <c r="L174" s="18" t="n">
        <f aca="false">F174*I174-J174</f>
        <v>-1784.73961773815</v>
      </c>
      <c r="M174" s="19" t="n">
        <f aca="false">IF(J174=0,0,L174/J174)</f>
        <v>-0.366350777538703</v>
      </c>
      <c r="N174" s="20" t="n">
        <f aca="false">M174*K174</f>
        <v>-0.439620933046444</v>
      </c>
    </row>
    <row r="175" customFormat="false" ht="14.25" hidden="false" customHeight="false" outlineLevel="0" collapsed="false">
      <c r="A175" s="15" t="n">
        <v>2014</v>
      </c>
      <c r="B175" s="16" t="n">
        <f aca="false">DATE(A175,12,31)</f>
        <v>42004</v>
      </c>
      <c r="C175" s="17" t="s">
        <v>22</v>
      </c>
      <c r="D175" s="17" t="s">
        <v>18</v>
      </c>
      <c r="E175" s="17" t="n">
        <v>8.9239750277565</v>
      </c>
      <c r="F175" s="18" t="n">
        <f aca="false">E175*_xlfn.XLOOKUP(D175,conversiones!$A$2:$A$6,conversiones!$B$2:$B$6,0)</f>
        <v>404.791507259035</v>
      </c>
      <c r="G175" s="17" t="n">
        <v>1057.8043287037</v>
      </c>
      <c r="H175" s="17" t="s">
        <v>18</v>
      </c>
      <c r="I175" s="18" t="n">
        <f aca="false">G175/_xlfn.XLOOKUP(H175,conversiones!$A$2:$A$6,conversiones!$B$2:$B$6,0)</f>
        <v>23.3202012500816</v>
      </c>
      <c r="J175" s="17" t="n">
        <v>9418.5442176</v>
      </c>
      <c r="K175" s="18" t="n">
        <f aca="false">_xlfn.XLOOKUP(C175,Ciclo!$A$2:$A$13,Ciclo!$D$2:$D$13,0)</f>
        <v>1</v>
      </c>
      <c r="L175" s="18" t="n">
        <f aca="false">F175*I175-J175</f>
        <v>21.2751960045462</v>
      </c>
      <c r="M175" s="19" t="n">
        <f aca="false">IF(J175=0,0,L175/J175)</f>
        <v>0.00225886246462486</v>
      </c>
      <c r="N175" s="20" t="n">
        <f aca="false">M175*K175</f>
        <v>0.00225886246462486</v>
      </c>
    </row>
    <row r="176" customFormat="false" ht="14.25" hidden="false" customHeight="false" outlineLevel="0" collapsed="false">
      <c r="A176" s="15" t="n">
        <v>2014</v>
      </c>
      <c r="B176" s="16" t="n">
        <f aca="false">DATE(A176,12,31)</f>
        <v>42004</v>
      </c>
      <c r="C176" s="17" t="s">
        <v>24</v>
      </c>
      <c r="D176" s="17" t="s">
        <v>18</v>
      </c>
      <c r="E176" s="17" t="n">
        <v>8.63599465482772</v>
      </c>
      <c r="F176" s="18" t="n">
        <f aca="false">E176*_xlfn.XLOOKUP(D176,conversiones!$A$2:$A$6,conversiones!$B$2:$B$6,0)</f>
        <v>391.728717542985</v>
      </c>
      <c r="G176" s="17" t="n">
        <v>1339.01414111111</v>
      </c>
      <c r="H176" s="17" t="s">
        <v>18</v>
      </c>
      <c r="I176" s="18" t="n">
        <f aca="false">G176/_xlfn.XLOOKUP(H176,conversiones!$A$2:$A$6,conversiones!$B$2:$B$6,0)</f>
        <v>29.5197121056241</v>
      </c>
      <c r="J176" s="17" t="n">
        <v>9105.98860416</v>
      </c>
      <c r="K176" s="18" t="n">
        <f aca="false">_xlfn.XLOOKUP(C176,Ciclo!$A$2:$A$13,Ciclo!$D$2:$D$13,0)</f>
        <v>1</v>
      </c>
      <c r="L176" s="18" t="n">
        <f aca="false">F176*I176-J176</f>
        <v>2457.73036121428</v>
      </c>
      <c r="M176" s="19" t="n">
        <f aca="false">IF(J176=0,0,L176/J176)</f>
        <v>0.269902639686094</v>
      </c>
      <c r="N176" s="20" t="n">
        <f aca="false">M176*K176</f>
        <v>0.269902639686094</v>
      </c>
    </row>
    <row r="177" customFormat="false" ht="14.25" hidden="false" customHeight="false" outlineLevel="0" collapsed="false">
      <c r="A177" s="15" t="n">
        <v>2014</v>
      </c>
      <c r="B177" s="16" t="n">
        <f aca="false">DATE(A177,12,31)</f>
        <v>42004</v>
      </c>
      <c r="C177" s="17" t="s">
        <v>30</v>
      </c>
      <c r="D177" s="17" t="s">
        <v>32</v>
      </c>
      <c r="E177" s="17" t="n">
        <v>99.7601684909239</v>
      </c>
      <c r="F177" s="18" t="n">
        <f aca="false">E177*_xlfn.XLOOKUP(D177,conversiones!$A$2:$A$6,conversiones!$B$2:$B$6,0)</f>
        <v>2714.47418463804</v>
      </c>
      <c r="G177" s="17" t="n">
        <v>148.014211309524</v>
      </c>
      <c r="H177" s="17" t="s">
        <v>32</v>
      </c>
      <c r="I177" s="18" t="n">
        <f aca="false">G177/_xlfn.XLOOKUP(H177,conversiones!$A$2:$A$6,conversiones!$B$2:$B$6,0)</f>
        <v>5.43969905584432</v>
      </c>
      <c r="J177" s="17" t="n">
        <v>12538.8969859716</v>
      </c>
      <c r="K177" s="18" t="n">
        <f aca="false">_xlfn.XLOOKUP(C177,Ciclo!$A$2:$A$13,Ciclo!$D$2:$D$13,0)</f>
        <v>1</v>
      </c>
      <c r="L177" s="18" t="n">
        <f aca="false">F177*I177-J177</f>
        <v>2227.02567331773</v>
      </c>
      <c r="M177" s="19" t="n">
        <f aca="false">IF(J177=0,0,L177/J177)</f>
        <v>0.177609376311912</v>
      </c>
      <c r="N177" s="20" t="n">
        <f aca="false">M177*K177</f>
        <v>0.177609376311912</v>
      </c>
    </row>
    <row r="178" customFormat="false" ht="14.25" hidden="false" customHeight="false" outlineLevel="0" collapsed="false">
      <c r="A178" s="15" t="n">
        <v>2014</v>
      </c>
      <c r="B178" s="16" t="n">
        <f aca="false">DATE(A178,12,31)</f>
        <v>42004</v>
      </c>
      <c r="C178" s="17" t="s">
        <v>33</v>
      </c>
      <c r="D178" s="17" t="s">
        <v>34</v>
      </c>
      <c r="E178" s="17" t="n">
        <v>3.35563868061974</v>
      </c>
      <c r="F178" s="18" t="n">
        <f aca="false">E178*_xlfn.XLOOKUP(D178,conversiones!$A$2:$A$6,conversiones!$B$2:$B$6,0)</f>
        <v>1369.60392749495</v>
      </c>
      <c r="G178" s="17" t="n">
        <v>4676.07020171958</v>
      </c>
      <c r="H178" s="17" t="s">
        <v>34</v>
      </c>
      <c r="I178" s="18" t="n">
        <f aca="false">G178/_xlfn.XLOOKUP(H178,conversiones!$A$2:$A$6,conversiones!$B$2:$B$6,0)</f>
        <v>11.456744338404</v>
      </c>
      <c r="J178" s="17" t="n">
        <v>12054.0166317253</v>
      </c>
      <c r="K178" s="18" t="n">
        <f aca="false">_xlfn.XLOOKUP(C178,Ciclo!$A$2:$A$13,Ciclo!$D$2:$D$13,0)</f>
        <v>1</v>
      </c>
      <c r="L178" s="18" t="n">
        <f aca="false">F178*I178-J178</f>
        <v>3637.18541045827</v>
      </c>
      <c r="M178" s="19" t="n">
        <f aca="false">IF(J178=0,0,L178/J178)</f>
        <v>0.301740533598192</v>
      </c>
      <c r="N178" s="20" t="n">
        <f aca="false">M178*K178</f>
        <v>0.301740533598192</v>
      </c>
    </row>
    <row r="179" customFormat="false" ht="14.25" hidden="false" customHeight="false" outlineLevel="0" collapsed="false">
      <c r="A179" s="15" t="n">
        <v>2014</v>
      </c>
      <c r="B179" s="16" t="n">
        <f aca="false">DATE(A179,12,31)</f>
        <v>42004</v>
      </c>
      <c r="C179" s="17" t="s">
        <v>28</v>
      </c>
      <c r="D179" s="17" t="s">
        <v>29</v>
      </c>
      <c r="E179" s="17" t="n">
        <v>1.53134016104313</v>
      </c>
      <c r="F179" s="18" t="n">
        <f aca="false">E179*_xlfn.XLOOKUP(D179,conversiones!$A$2:$A$6,conversiones!$B$2:$B$6,0)</f>
        <v>861.133826160994</v>
      </c>
      <c r="G179" s="17" t="n">
        <v>5996.39744378307</v>
      </c>
      <c r="H179" s="17" t="s">
        <v>29</v>
      </c>
      <c r="I179" s="18" t="n">
        <f aca="false">G179/_xlfn.XLOOKUP(H179,conversiones!$A$2:$A$6,conversiones!$B$2:$B$6,0)</f>
        <v>10.6632952373708</v>
      </c>
      <c r="J179" s="17" t="n">
        <v>7150.53423628677</v>
      </c>
      <c r="K179" s="18" t="n">
        <f aca="false">_xlfn.XLOOKUP(C179,Ciclo!$A$2:$A$13,Ciclo!$D$2:$D$13,0)</f>
        <v>3</v>
      </c>
      <c r="L179" s="18" t="n">
        <f aca="false">F179*I179-J179</f>
        <v>2031.98999095461</v>
      </c>
      <c r="M179" s="19" t="n">
        <f aca="false">IF(J179=0,0,L179/J179)</f>
        <v>0.284173171375487</v>
      </c>
      <c r="N179" s="20" t="n">
        <f aca="false">M179*K179</f>
        <v>0.852519514126462</v>
      </c>
    </row>
    <row r="180" customFormat="false" ht="14.25" hidden="false" customHeight="false" outlineLevel="0" collapsed="false">
      <c r="A180" s="15" t="n">
        <v>2014</v>
      </c>
      <c r="B180" s="16" t="n">
        <f aca="false">DATE(A180,12,31)</f>
        <v>42004</v>
      </c>
      <c r="C180" s="17" t="s">
        <v>26</v>
      </c>
      <c r="D180" s="17" t="s">
        <v>18</v>
      </c>
      <c r="E180" s="17" t="n">
        <v>6.13171743859624</v>
      </c>
      <c r="F180" s="18" t="n">
        <f aca="false">E180*_xlfn.XLOOKUP(D180,conversiones!$A$2:$A$6,conversiones!$B$2:$B$6,0)</f>
        <v>278.134703014725</v>
      </c>
      <c r="G180" s="17" t="n">
        <v>821.224928156085</v>
      </c>
      <c r="H180" s="17" t="s">
        <v>18</v>
      </c>
      <c r="I180" s="18" t="n">
        <f aca="false">G180/_xlfn.XLOOKUP(H180,conversiones!$A$2:$A$6,conversiones!$B$2:$B$6,0)</f>
        <v>18.1046059999137</v>
      </c>
      <c r="J180" s="17" t="n">
        <v>2107.55664</v>
      </c>
      <c r="K180" s="18" t="n">
        <f aca="false">_xlfn.XLOOKUP(C180,Ciclo!$A$2:$A$13,Ciclo!$D$2:$D$13,0)</f>
        <v>3</v>
      </c>
      <c r="L180" s="18" t="n">
        <f aca="false">F180*I180-J180</f>
        <v>2927.96257298461</v>
      </c>
      <c r="M180" s="19" t="n">
        <f aca="false">IF(J180=0,0,L180/J180)</f>
        <v>1.38926874723738</v>
      </c>
      <c r="N180" s="20" t="n">
        <f aca="false">M180*K180</f>
        <v>4.16780624171213</v>
      </c>
    </row>
    <row r="181" customFormat="false" ht="14.25" hidden="false" customHeight="false" outlineLevel="0" collapsed="false">
      <c r="A181" s="15" t="n">
        <v>2014</v>
      </c>
      <c r="B181" s="16" t="n">
        <f aca="false">DATE(A181,12,31)</f>
        <v>42004</v>
      </c>
      <c r="C181" s="17" t="s">
        <v>27</v>
      </c>
      <c r="D181" s="17" t="s">
        <v>18</v>
      </c>
      <c r="E181" s="17" t="n">
        <v>8.03905403186073</v>
      </c>
      <c r="F181" s="18" t="n">
        <f aca="false">E181*_xlfn.XLOOKUP(D181,conversiones!$A$2:$A$6,conversiones!$B$2:$B$6,0)</f>
        <v>364.651490885203</v>
      </c>
      <c r="G181" s="17" t="n">
        <v>693.682053902116</v>
      </c>
      <c r="H181" s="17" t="s">
        <v>18</v>
      </c>
      <c r="I181" s="18" t="n">
        <f aca="false">G181/_xlfn.XLOOKUP(H181,conversiones!$A$2:$A$6,conversiones!$B$2:$B$6,0)</f>
        <v>15.2928142394646</v>
      </c>
      <c r="J181" s="17" t="n">
        <v>8288.298341505</v>
      </c>
      <c r="K181" s="18" t="n">
        <f aca="false">_xlfn.XLOOKUP(C181,Ciclo!$A$2:$A$13,Ciclo!$D$2:$D$13,0)</f>
        <v>2.4</v>
      </c>
      <c r="L181" s="18" t="n">
        <f aca="false">F181*I181-J181</f>
        <v>-2711.75082925376</v>
      </c>
      <c r="M181" s="19" t="n">
        <f aca="false">IF(J181=0,0,L181/J181)</f>
        <v>-0.327178235811594</v>
      </c>
      <c r="N181" s="20" t="n">
        <f aca="false">M181*K181</f>
        <v>-0.785227765947825</v>
      </c>
    </row>
    <row r="182" customFormat="false" ht="14.25" hidden="false" customHeight="false" outlineLevel="0" collapsed="false">
      <c r="A182" s="15" t="n">
        <v>2015</v>
      </c>
      <c r="B182" s="16" t="n">
        <f aca="false">DATE(A182,12,31)</f>
        <v>42369</v>
      </c>
      <c r="C182" s="17" t="s">
        <v>16</v>
      </c>
      <c r="D182" s="17" t="s">
        <v>18</v>
      </c>
      <c r="E182" s="17" t="n">
        <v>4.65994624766151</v>
      </c>
      <c r="F182" s="18" t="n">
        <f aca="false">E182*_xlfn.XLOOKUP(D182,conversiones!$A$2:$A$6,conversiones!$B$2:$B$6,0)</f>
        <v>211.375161793926</v>
      </c>
      <c r="G182" s="17" t="n">
        <v>1791.45969160404</v>
      </c>
      <c r="H182" s="17" t="s">
        <v>19</v>
      </c>
      <c r="I182" s="18" t="n">
        <f aca="false">G182/_xlfn.XLOOKUP(H182,conversiones!$A$2:$A$6,conversiones!$B$2:$B$6,0)</f>
        <v>16.2859971964004</v>
      </c>
      <c r="J182" s="17" t="n">
        <v>7019.06666466125</v>
      </c>
      <c r="K182" s="18" t="n">
        <f aca="false">_xlfn.XLOOKUP(C182,Ciclo!$A$2:$A$13,Ciclo!$D$2:$D$13,0)</f>
        <v>2.4</v>
      </c>
      <c r="L182" s="18" t="n">
        <f aca="false">F182*I182-J182</f>
        <v>-3576.6113722967</v>
      </c>
      <c r="M182" s="19" t="n">
        <f aca="false">IF(J182=0,0,L182/J182)</f>
        <v>-0.509556546927213</v>
      </c>
      <c r="N182" s="20" t="n">
        <f aca="false">M182*K182</f>
        <v>-1.22293571262531</v>
      </c>
    </row>
    <row r="183" customFormat="false" ht="14.25" hidden="false" customHeight="false" outlineLevel="0" collapsed="false">
      <c r="A183" s="15" t="n">
        <v>2015</v>
      </c>
      <c r="B183" s="16" t="n">
        <f aca="false">DATE(A183,12,31)</f>
        <v>42369</v>
      </c>
      <c r="C183" s="17" t="s">
        <v>20</v>
      </c>
      <c r="D183" s="17" t="s">
        <v>18</v>
      </c>
      <c r="E183" s="17" t="n">
        <v>2.01095742914232</v>
      </c>
      <c r="F183" s="18" t="n">
        <f aca="false">E183*_xlfn.XLOOKUP(D183,conversiones!$A$2:$A$6,conversiones!$B$2:$B$6,0)</f>
        <v>91.2170289858956</v>
      </c>
      <c r="G183" s="17" t="n">
        <v>864.32817555291</v>
      </c>
      <c r="H183" s="17" t="s">
        <v>18</v>
      </c>
      <c r="I183" s="18" t="n">
        <f aca="false">G183/_xlfn.XLOOKUP(H183,conversiones!$A$2:$A$6,conversiones!$B$2:$B$6,0)</f>
        <v>19.0548539583975</v>
      </c>
      <c r="J183" s="17" t="n">
        <v>2574.584905776</v>
      </c>
      <c r="K183" s="18" t="n">
        <f aca="false">_xlfn.XLOOKUP(C183,Ciclo!$A$2:$A$13,Ciclo!$D$2:$D$13,0)</f>
        <v>3</v>
      </c>
      <c r="L183" s="18" t="n">
        <f aca="false">F183*I183-J183</f>
        <v>-836.457739930849</v>
      </c>
      <c r="M183" s="19" t="n">
        <f aca="false">IF(J183=0,0,L183/J183)</f>
        <v>-0.324890330108858</v>
      </c>
      <c r="N183" s="20" t="n">
        <f aca="false">M183*K183</f>
        <v>-0.974670990326575</v>
      </c>
    </row>
    <row r="184" customFormat="false" ht="14.25" hidden="false" customHeight="false" outlineLevel="0" collapsed="false">
      <c r="A184" s="15" t="n">
        <v>2015</v>
      </c>
      <c r="B184" s="16" t="n">
        <f aca="false">DATE(A184,12,31)</f>
        <v>42369</v>
      </c>
      <c r="C184" s="17" t="s">
        <v>23</v>
      </c>
      <c r="D184" s="17" t="s">
        <v>18</v>
      </c>
      <c r="E184" s="17" t="n">
        <v>36.9949330938069</v>
      </c>
      <c r="F184" s="18" t="n">
        <f aca="false">E184*_xlfn.XLOOKUP(D184,conversiones!$A$2:$A$6,conversiones!$B$2:$B$6,0)</f>
        <v>1678.09016513508</v>
      </c>
      <c r="G184" s="17" t="n">
        <v>960.110972222222</v>
      </c>
      <c r="H184" s="17" t="s">
        <v>18</v>
      </c>
      <c r="I184" s="18" t="n">
        <f aca="false">G184/_xlfn.XLOOKUP(H184,conversiones!$A$2:$A$6,conversiones!$B$2:$B$6,0)</f>
        <v>21.1664676415834</v>
      </c>
      <c r="J184" s="17" t="n">
        <v>25505.1939374778</v>
      </c>
      <c r="K184" s="18" t="n">
        <f aca="false">_xlfn.XLOOKUP(C184,Ciclo!$A$2:$A$13,Ciclo!$D$2:$D$13,0)</f>
        <v>4</v>
      </c>
      <c r="L184" s="18" t="n">
        <f aca="false">F184*I184-J184</f>
        <v>10014.0472425132</v>
      </c>
      <c r="M184" s="19" t="n">
        <f aca="false">IF(J184=0,0,L184/J184)</f>
        <v>0.392627763076852</v>
      </c>
      <c r="N184" s="20" t="n">
        <f aca="false">M184*K184</f>
        <v>1.57051105230741</v>
      </c>
    </row>
    <row r="185" customFormat="false" ht="14.25" hidden="false" customHeight="false" outlineLevel="0" collapsed="false">
      <c r="A185" s="15" t="n">
        <v>2015</v>
      </c>
      <c r="B185" s="16" t="n">
        <f aca="false">DATE(A185,12,31)</f>
        <v>42369</v>
      </c>
      <c r="C185" s="17" t="s">
        <v>21</v>
      </c>
      <c r="D185" s="17" t="s">
        <v>18</v>
      </c>
      <c r="E185" s="17" t="n">
        <v>10.7800622610466</v>
      </c>
      <c r="F185" s="18" t="n">
        <f aca="false">E185*_xlfn.XLOOKUP(D185,conversiones!$A$2:$A$6,conversiones!$B$2:$B$6,0)</f>
        <v>488.983624161074</v>
      </c>
      <c r="G185" s="17" t="n">
        <v>471.577051997355</v>
      </c>
      <c r="H185" s="17" t="s">
        <v>18</v>
      </c>
      <c r="I185" s="18" t="n">
        <f aca="false">G185/_xlfn.XLOOKUP(H185,conversiones!$A$2:$A$6,conversiones!$B$2:$B$6,0)</f>
        <v>10.3963194884778</v>
      </c>
      <c r="J185" s="17" t="n">
        <v>5153.88882833038</v>
      </c>
      <c r="K185" s="18" t="n">
        <f aca="false">_xlfn.XLOOKUP(C185,Ciclo!$A$2:$A$13,Ciclo!$D$2:$D$13,0)</f>
        <v>2</v>
      </c>
      <c r="L185" s="18" t="n">
        <f aca="false">F185*I185-J185</f>
        <v>-70.2588469180837</v>
      </c>
      <c r="M185" s="19" t="n">
        <f aca="false">IF(J185=0,0,L185/J185)</f>
        <v>-0.0136322007048111</v>
      </c>
      <c r="N185" s="20" t="n">
        <f aca="false">M185*K185</f>
        <v>-0.0272644014096223</v>
      </c>
    </row>
    <row r="186" customFormat="false" ht="14.25" hidden="false" customHeight="false" outlineLevel="0" collapsed="false">
      <c r="A186" s="15" t="n">
        <v>2015</v>
      </c>
      <c r="B186" s="16" t="n">
        <f aca="false">DATE(A186,12,31)</f>
        <v>42369</v>
      </c>
      <c r="C186" s="17" t="s">
        <v>25</v>
      </c>
      <c r="D186" s="17" t="s">
        <v>18</v>
      </c>
      <c r="E186" s="17" t="n">
        <v>9.84245004271051</v>
      </c>
      <c r="F186" s="18" t="n">
        <f aca="false">E186*_xlfn.XLOOKUP(D186,conversiones!$A$2:$A$6,conversiones!$B$2:$B$6,0)</f>
        <v>446.453533937349</v>
      </c>
      <c r="G186" s="17" t="n">
        <v>740.289664508929</v>
      </c>
      <c r="H186" s="17" t="s">
        <v>18</v>
      </c>
      <c r="I186" s="18" t="n">
        <f aca="false">G186/_xlfn.XLOOKUP(H186,conversiones!$A$2:$A$6,conversiones!$B$2:$B$6,0)</f>
        <v>16.320318882472</v>
      </c>
      <c r="J186" s="17" t="n">
        <v>5033.45303788251</v>
      </c>
      <c r="K186" s="18" t="n">
        <f aca="false">_xlfn.XLOOKUP(C186,Ciclo!$A$2:$A$13,Ciclo!$D$2:$D$13,0)</f>
        <v>1.2</v>
      </c>
      <c r="L186" s="18" t="n">
        <f aca="false">F186*I186-J186</f>
        <v>2252.81100218155</v>
      </c>
      <c r="M186" s="19" t="n">
        <f aca="false">IF(J186=0,0,L186/J186)</f>
        <v>0.447567700587759</v>
      </c>
      <c r="N186" s="20" t="n">
        <f aca="false">M186*K186</f>
        <v>0.537081240705311</v>
      </c>
    </row>
    <row r="187" customFormat="false" ht="14.25" hidden="false" customHeight="false" outlineLevel="0" collapsed="false">
      <c r="A187" s="15" t="n">
        <v>2015</v>
      </c>
      <c r="B187" s="16" t="n">
        <f aca="false">DATE(A187,12,31)</f>
        <v>42369</v>
      </c>
      <c r="C187" s="17" t="s">
        <v>22</v>
      </c>
      <c r="D187" s="17" t="s">
        <v>18</v>
      </c>
      <c r="E187" s="17" t="n">
        <v>9.12431431217497</v>
      </c>
      <c r="F187" s="18" t="n">
        <f aca="false">E187*_xlfn.XLOOKUP(D187,conversiones!$A$2:$A$6,conversiones!$B$2:$B$6,0)</f>
        <v>413.878897200257</v>
      </c>
      <c r="G187" s="17" t="n">
        <v>1330.46675595238</v>
      </c>
      <c r="H187" s="17" t="s">
        <v>18</v>
      </c>
      <c r="I187" s="18" t="n">
        <f aca="false">G187/_xlfn.XLOOKUP(H187,conversiones!$A$2:$A$6,conversiones!$B$2:$B$6,0)</f>
        <v>29.3312776885445</v>
      </c>
      <c r="J187" s="17" t="n">
        <v>9360.09200898452</v>
      </c>
      <c r="K187" s="18" t="n">
        <f aca="false">_xlfn.XLOOKUP(C187,Ciclo!$A$2:$A$13,Ciclo!$D$2:$D$13,0)</f>
        <v>1</v>
      </c>
      <c r="L187" s="18" t="n">
        <f aca="false">F187*I187-J187</f>
        <v>2779.50485422478</v>
      </c>
      <c r="M187" s="19" t="n">
        <f aca="false">IF(J187=0,0,L187/J187)</f>
        <v>0.296952727767719</v>
      </c>
      <c r="N187" s="20" t="n">
        <f aca="false">M187*K187</f>
        <v>0.296952727767719</v>
      </c>
    </row>
    <row r="188" customFormat="false" ht="14.25" hidden="false" customHeight="false" outlineLevel="0" collapsed="false">
      <c r="A188" s="15" t="n">
        <v>2015</v>
      </c>
      <c r="B188" s="16" t="n">
        <f aca="false">DATE(A188,12,31)</f>
        <v>42369</v>
      </c>
      <c r="C188" s="17" t="s">
        <v>24</v>
      </c>
      <c r="D188" s="17" t="s">
        <v>18</v>
      </c>
      <c r="E188" s="17" t="n">
        <v>9.23075787467622</v>
      </c>
      <c r="F188" s="18" t="n">
        <f aca="false">E188*_xlfn.XLOOKUP(D188,conversiones!$A$2:$A$6,conversiones!$B$2:$B$6,0)</f>
        <v>418.707177195313</v>
      </c>
      <c r="G188" s="17" t="n">
        <v>1679.17600694444</v>
      </c>
      <c r="H188" s="17" t="s">
        <v>18</v>
      </c>
      <c r="I188" s="18" t="n">
        <f aca="false">G188/_xlfn.XLOOKUP(H188,conversiones!$A$2:$A$6,conversiones!$B$2:$B$6,0)</f>
        <v>37.0188714053007</v>
      </c>
      <c r="J188" s="17" t="n">
        <v>9240.56556420077</v>
      </c>
      <c r="K188" s="18" t="n">
        <f aca="false">_xlfn.XLOOKUP(C188,Ciclo!$A$2:$A$13,Ciclo!$D$2:$D$13,0)</f>
        <v>1</v>
      </c>
      <c r="L188" s="18" t="n">
        <f aca="false">F188*I188-J188</f>
        <v>6259.50158486899</v>
      </c>
      <c r="M188" s="19" t="n">
        <f aca="false">IF(J188=0,0,L188/J188)</f>
        <v>0.677393774372335</v>
      </c>
      <c r="N188" s="20" t="n">
        <f aca="false">M188*K188</f>
        <v>0.677393774372335</v>
      </c>
    </row>
    <row r="189" customFormat="false" ht="14.25" hidden="false" customHeight="false" outlineLevel="0" collapsed="false">
      <c r="A189" s="15" t="n">
        <v>2015</v>
      </c>
      <c r="B189" s="16" t="n">
        <f aca="false">DATE(A189,12,31)</f>
        <v>42369</v>
      </c>
      <c r="C189" s="17" t="s">
        <v>30</v>
      </c>
      <c r="D189" s="17" t="s">
        <v>32</v>
      </c>
      <c r="E189" s="17" t="n">
        <v>99.6573494434707</v>
      </c>
      <c r="F189" s="18" t="n">
        <f aca="false">E189*_xlfn.XLOOKUP(D189,conversiones!$A$2:$A$6,conversiones!$B$2:$B$6,0)</f>
        <v>2711.67647835684</v>
      </c>
      <c r="G189" s="17" t="n">
        <v>184.496348214286</v>
      </c>
      <c r="H189" s="17" t="s">
        <v>32</v>
      </c>
      <c r="I189" s="18" t="n">
        <f aca="false">G189/_xlfn.XLOOKUP(H189,conversiones!$A$2:$A$6,conversiones!$B$2:$B$6,0)</f>
        <v>6.78046116186277</v>
      </c>
      <c r="J189" s="17" t="n">
        <v>22429.7248632058</v>
      </c>
      <c r="K189" s="18" t="n">
        <f aca="false">_xlfn.XLOOKUP(C189,Ciclo!$A$2:$A$13,Ciclo!$D$2:$D$13,0)</f>
        <v>1</v>
      </c>
      <c r="L189" s="18" t="n">
        <f aca="false">F189*I189-J189</f>
        <v>-4043.30781817045</v>
      </c>
      <c r="M189" s="19" t="n">
        <f aca="false">IF(J189=0,0,L189/J189)</f>
        <v>-0.180265600350862</v>
      </c>
      <c r="N189" s="20" t="n">
        <f aca="false">M189*K189</f>
        <v>-0.180265600350862</v>
      </c>
    </row>
    <row r="190" customFormat="false" ht="14.25" hidden="false" customHeight="false" outlineLevel="0" collapsed="false">
      <c r="A190" s="15" t="n">
        <v>2015</v>
      </c>
      <c r="B190" s="16" t="n">
        <f aca="false">DATE(A190,12,31)</f>
        <v>42369</v>
      </c>
      <c r="C190" s="17" t="s">
        <v>33</v>
      </c>
      <c r="D190" s="17" t="s">
        <v>34</v>
      </c>
      <c r="E190" s="17" t="n">
        <v>2.89697534675609</v>
      </c>
      <c r="F190" s="18" t="n">
        <f aca="false">E190*_xlfn.XLOOKUP(D190,conversiones!$A$2:$A$6,conversiones!$B$2:$B$6,0)</f>
        <v>1182.4004877785</v>
      </c>
      <c r="G190" s="17" t="n">
        <v>7254.58154513889</v>
      </c>
      <c r="H190" s="17" t="s">
        <v>34</v>
      </c>
      <c r="I190" s="18" t="n">
        <f aca="false">G190/_xlfn.XLOOKUP(H190,conversiones!$A$2:$A$6,conversiones!$B$2:$B$6,0)</f>
        <v>17.7743024504199</v>
      </c>
      <c r="J190" s="17" t="n">
        <v>16317.7474581161</v>
      </c>
      <c r="K190" s="18" t="n">
        <f aca="false">_xlfn.XLOOKUP(C190,Ciclo!$A$2:$A$13,Ciclo!$D$2:$D$13,0)</f>
        <v>1</v>
      </c>
      <c r="L190" s="18" t="n">
        <f aca="false">F190*I190-J190</f>
        <v>4698.59642918297</v>
      </c>
      <c r="M190" s="19" t="n">
        <f aca="false">IF(J190=0,0,L190/J190)</f>
        <v>0.287943935965622</v>
      </c>
      <c r="N190" s="20" t="n">
        <f aca="false">M190*K190</f>
        <v>0.287943935965622</v>
      </c>
    </row>
    <row r="191" customFormat="false" ht="14.25" hidden="false" customHeight="false" outlineLevel="0" collapsed="false">
      <c r="A191" s="15" t="n">
        <v>2015</v>
      </c>
      <c r="B191" s="16" t="n">
        <f aca="false">DATE(A191,12,31)</f>
        <v>42369</v>
      </c>
      <c r="C191" s="17" t="s">
        <v>28</v>
      </c>
      <c r="D191" s="17" t="s">
        <v>29</v>
      </c>
      <c r="E191" s="17" t="n">
        <v>4.63896745404138</v>
      </c>
      <c r="F191" s="18" t="n">
        <f aca="false">E191*_xlfn.XLOOKUP(D191,conversiones!$A$2:$A$6,conversiones!$B$2:$B$6,0)</f>
        <v>2608.67695810563</v>
      </c>
      <c r="G191" s="17" t="n">
        <v>7936.24990244709</v>
      </c>
      <c r="H191" s="17" t="s">
        <v>29</v>
      </c>
      <c r="I191" s="18" t="n">
        <f aca="false">G191/_xlfn.XLOOKUP(H191,conversiones!$A$2:$A$6,conversiones!$B$2:$B$6,0)</f>
        <v>14.1129030523297</v>
      </c>
      <c r="J191" s="17" t="n">
        <v>7427.37867438309</v>
      </c>
      <c r="K191" s="18" t="n">
        <f aca="false">_xlfn.XLOOKUP(C191,Ciclo!$A$2:$A$13,Ciclo!$D$2:$D$13,0)</f>
        <v>3</v>
      </c>
      <c r="L191" s="18" t="n">
        <f aca="false">F191*I191-J191</f>
        <v>29388.626330208</v>
      </c>
      <c r="M191" s="19" t="n">
        <f aca="false">IF(J191=0,0,L191/J191)</f>
        <v>3.95679655213608</v>
      </c>
      <c r="N191" s="20" t="n">
        <f aca="false">M191*K191</f>
        <v>11.8703896564082</v>
      </c>
    </row>
    <row r="192" customFormat="false" ht="14.25" hidden="false" customHeight="false" outlineLevel="0" collapsed="false">
      <c r="A192" s="15" t="n">
        <v>2015</v>
      </c>
      <c r="B192" s="16" t="n">
        <f aca="false">DATE(A192,12,31)</f>
        <v>42369</v>
      </c>
      <c r="C192" s="17" t="s">
        <v>26</v>
      </c>
      <c r="D192" s="17" t="s">
        <v>18</v>
      </c>
      <c r="E192" s="17" t="n">
        <v>5.91676888440338</v>
      </c>
      <c r="F192" s="18" t="n">
        <f aca="false">E192*_xlfn.XLOOKUP(D192,conversiones!$A$2:$A$6,conversiones!$B$2:$B$6,0)</f>
        <v>268.384636596537</v>
      </c>
      <c r="G192" s="17" t="n">
        <v>872.336432407407</v>
      </c>
      <c r="H192" s="17" t="s">
        <v>18</v>
      </c>
      <c r="I192" s="18" t="n">
        <f aca="false">G192/_xlfn.XLOOKUP(H192,conversiones!$A$2:$A$6,conversiones!$B$2:$B$6,0)</f>
        <v>19.2314028308511</v>
      </c>
      <c r="J192" s="17" t="n">
        <v>2123.36088960426</v>
      </c>
      <c r="K192" s="18" t="n">
        <f aca="false">_xlfn.XLOOKUP(C192,Ciclo!$A$2:$A$13,Ciclo!$D$2:$D$13,0)</f>
        <v>3</v>
      </c>
      <c r="L192" s="18" t="n">
        <f aca="false">F192*I192-J192</f>
        <v>3038.05217039534</v>
      </c>
      <c r="M192" s="19" t="n">
        <f aca="false">IF(J192=0,0,L192/J192)</f>
        <v>1.43077523244838</v>
      </c>
      <c r="N192" s="20" t="n">
        <f aca="false">M192*K192</f>
        <v>4.29232569734515</v>
      </c>
    </row>
    <row r="193" customFormat="false" ht="14.25" hidden="false" customHeight="false" outlineLevel="0" collapsed="false">
      <c r="A193" s="15" t="n">
        <v>2015</v>
      </c>
      <c r="B193" s="16" t="n">
        <f aca="false">DATE(A193,12,31)</f>
        <v>42369</v>
      </c>
      <c r="C193" s="17" t="s">
        <v>27</v>
      </c>
      <c r="D193" s="17" t="s">
        <v>18</v>
      </c>
      <c r="E193" s="17" t="n">
        <v>7.89391274652096</v>
      </c>
      <c r="F193" s="18" t="n">
        <f aca="false">E193*_xlfn.XLOOKUP(D193,conversiones!$A$2:$A$6,conversiones!$B$2:$B$6,0)</f>
        <v>358.067882182191</v>
      </c>
      <c r="G193" s="17" t="n">
        <v>706.068941736111</v>
      </c>
      <c r="H193" s="17" t="s">
        <v>18</v>
      </c>
      <c r="I193" s="18" t="n">
        <f aca="false">G193/_xlfn.XLOOKUP(H193,conversiones!$A$2:$A$6,conversiones!$B$2:$B$6,0)</f>
        <v>15.5658937772511</v>
      </c>
      <c r="J193" s="17" t="n">
        <v>8682.692545606</v>
      </c>
      <c r="K193" s="18" t="n">
        <f aca="false">_xlfn.XLOOKUP(C193,Ciclo!$A$2:$A$13,Ciclo!$D$2:$D$13,0)</f>
        <v>2.4</v>
      </c>
      <c r="L193" s="18" t="n">
        <f aca="false">F193*I193-J193</f>
        <v>-3109.04592651275</v>
      </c>
      <c r="M193" s="19" t="n">
        <f aca="false">IF(J193=0,0,L193/J193)</f>
        <v>-0.35807393964285</v>
      </c>
      <c r="N193" s="20" t="n">
        <f aca="false">M193*K193</f>
        <v>-0.859377455142841</v>
      </c>
    </row>
    <row r="194" customFormat="false" ht="14.25" hidden="false" customHeight="false" outlineLevel="0" collapsed="false">
      <c r="A194" s="15" t="n">
        <v>2016</v>
      </c>
      <c r="B194" s="16" t="n">
        <f aca="false">DATE(A194,12,31)</f>
        <v>42735</v>
      </c>
      <c r="C194" s="17" t="s">
        <v>16</v>
      </c>
      <c r="D194" s="17" t="s">
        <v>18</v>
      </c>
      <c r="E194" s="17" t="n">
        <v>4.70272799496813</v>
      </c>
      <c r="F194" s="18" t="n">
        <f aca="false">E194*_xlfn.XLOOKUP(D194,conversiones!$A$2:$A$6,conversiones!$B$2:$B$6,0)</f>
        <v>213.315741851754</v>
      </c>
      <c r="G194" s="17" t="n">
        <v>1953.56795485118</v>
      </c>
      <c r="H194" s="17" t="s">
        <v>19</v>
      </c>
      <c r="I194" s="18" t="n">
        <f aca="false">G194/_xlfn.XLOOKUP(H194,conversiones!$A$2:$A$6,conversiones!$B$2:$B$6,0)</f>
        <v>17.7597086804653</v>
      </c>
      <c r="J194" s="17" t="n">
        <v>5924.25478252843</v>
      </c>
      <c r="K194" s="18" t="n">
        <f aca="false">_xlfn.XLOOKUP(C194,Ciclo!$A$2:$A$13,Ciclo!$D$2:$D$13,0)</f>
        <v>2.4</v>
      </c>
      <c r="L194" s="18" t="n">
        <f aca="false">F194*I194-J194</f>
        <v>-2135.82935028394</v>
      </c>
      <c r="M194" s="19" t="n">
        <f aca="false">IF(J194=0,0,L194/J194)</f>
        <v>-0.360522872274643</v>
      </c>
      <c r="N194" s="20" t="n">
        <f aca="false">M194*K194</f>
        <v>-0.865254893459142</v>
      </c>
    </row>
    <row r="195" customFormat="false" ht="14.25" hidden="false" customHeight="false" outlineLevel="0" collapsed="false">
      <c r="A195" s="15" t="n">
        <v>2016</v>
      </c>
      <c r="B195" s="16" t="n">
        <f aca="false">DATE(A195,12,31)</f>
        <v>42735</v>
      </c>
      <c r="C195" s="17" t="s">
        <v>20</v>
      </c>
      <c r="D195" s="17" t="s">
        <v>18</v>
      </c>
      <c r="E195" s="17" t="n">
        <v>2.28351207434035</v>
      </c>
      <c r="F195" s="18" t="n">
        <f aca="false">E195*_xlfn.XLOOKUP(D195,conversiones!$A$2:$A$6,conversiones!$B$2:$B$6,0)</f>
        <v>103.580107692078</v>
      </c>
      <c r="G195" s="17" t="n">
        <v>778.484240061632</v>
      </c>
      <c r="H195" s="17" t="s">
        <v>18</v>
      </c>
      <c r="I195" s="18" t="n">
        <f aca="false">G195/_xlfn.XLOOKUP(H195,conversiones!$A$2:$A$6,conversiones!$B$2:$B$6,0)</f>
        <v>17.1623509713764</v>
      </c>
      <c r="J195" s="17" t="n">
        <v>2463.292898352</v>
      </c>
      <c r="K195" s="18" t="n">
        <f aca="false">_xlfn.XLOOKUP(C195,Ciclo!$A$2:$A$13,Ciclo!$D$2:$D$13,0)</f>
        <v>3</v>
      </c>
      <c r="L195" s="18" t="n">
        <f aca="false">F195*I195-J195</f>
        <v>-685.614736487592</v>
      </c>
      <c r="M195" s="19" t="n">
        <f aca="false">IF(J195=0,0,L195/J195)</f>
        <v>-0.278332607927496</v>
      </c>
      <c r="N195" s="20" t="n">
        <f aca="false">M195*K195</f>
        <v>-0.834997823782487</v>
      </c>
    </row>
    <row r="196" customFormat="false" ht="14.25" hidden="false" customHeight="false" outlineLevel="0" collapsed="false">
      <c r="A196" s="15" t="n">
        <v>2016</v>
      </c>
      <c r="B196" s="16" t="n">
        <f aca="false">DATE(A196,12,31)</f>
        <v>42735</v>
      </c>
      <c r="C196" s="17" t="s">
        <v>23</v>
      </c>
      <c r="D196" s="17" t="s">
        <v>18</v>
      </c>
      <c r="E196" s="17" t="n">
        <v>37.0398026841349</v>
      </c>
      <c r="F196" s="18" t="n">
        <f aca="false">E196*_xlfn.XLOOKUP(D196,conversiones!$A$2:$A$6,conversiones!$B$2:$B$6,0)</f>
        <v>1680.12544975236</v>
      </c>
      <c r="G196" s="17" t="n">
        <v>911.066782407408</v>
      </c>
      <c r="H196" s="17" t="s">
        <v>18</v>
      </c>
      <c r="I196" s="18" t="n">
        <f aca="false">G196/_xlfn.XLOOKUP(H196,conversiones!$A$2:$A$6,conversiones!$B$2:$B$6,0)</f>
        <v>20.0852465257365</v>
      </c>
      <c r="J196" s="17" t="n">
        <v>23192.17</v>
      </c>
      <c r="K196" s="18" t="n">
        <f aca="false">_xlfn.XLOOKUP(C196,Ciclo!$A$2:$A$13,Ciclo!$D$2:$D$13,0)</f>
        <v>4</v>
      </c>
      <c r="L196" s="18" t="n">
        <f aca="false">F196*I196-J196</f>
        <v>10553.5638524401</v>
      </c>
      <c r="M196" s="19" t="n">
        <f aca="false">IF(J196=0,0,L196/J196)</f>
        <v>0.455048572532888</v>
      </c>
      <c r="N196" s="20" t="n">
        <f aca="false">M196*K196</f>
        <v>1.82019429013155</v>
      </c>
    </row>
    <row r="197" customFormat="false" ht="14.25" hidden="false" customHeight="false" outlineLevel="0" collapsed="false">
      <c r="A197" s="15" t="n">
        <v>2016</v>
      </c>
      <c r="B197" s="16" t="n">
        <f aca="false">DATE(A197,12,31)</f>
        <v>42735</v>
      </c>
      <c r="C197" s="17" t="s">
        <v>21</v>
      </c>
      <c r="D197" s="17" t="s">
        <v>18</v>
      </c>
      <c r="E197" s="17" t="n">
        <v>10.9429414407057</v>
      </c>
      <c r="F197" s="18" t="n">
        <f aca="false">E197*_xlfn.XLOOKUP(D197,conversiones!$A$2:$A$6,conversiones!$B$2:$B$6,0)</f>
        <v>496.371823750411</v>
      </c>
      <c r="G197" s="17" t="n">
        <v>402.884069299769</v>
      </c>
      <c r="H197" s="17" t="s">
        <v>18</v>
      </c>
      <c r="I197" s="18" t="n">
        <f aca="false">G197/_xlfn.XLOOKUP(H197,conversiones!$A$2:$A$6,conversiones!$B$2:$B$6,0)</f>
        <v>8.88192392636175</v>
      </c>
      <c r="J197" s="17" t="n">
        <v>4713.68743816075</v>
      </c>
      <c r="K197" s="18" t="n">
        <f aca="false">_xlfn.XLOOKUP(C197,Ciclo!$A$2:$A$13,Ciclo!$D$2:$D$13,0)</f>
        <v>2</v>
      </c>
      <c r="L197" s="18" t="n">
        <f aca="false">F197*I197-J197</f>
        <v>-304.950660420162</v>
      </c>
      <c r="M197" s="19" t="n">
        <f aca="false">IF(J197=0,0,L197/J197)</f>
        <v>-0.0646947139412263</v>
      </c>
      <c r="N197" s="20" t="n">
        <f aca="false">M197*K197</f>
        <v>-0.129389427882453</v>
      </c>
    </row>
    <row r="198" customFormat="false" ht="14.25" hidden="false" customHeight="false" outlineLevel="0" collapsed="false">
      <c r="A198" s="15" t="n">
        <v>2016</v>
      </c>
      <c r="B198" s="16" t="n">
        <f aca="false">DATE(A198,12,31)</f>
        <v>42735</v>
      </c>
      <c r="C198" s="17" t="s">
        <v>25</v>
      </c>
      <c r="D198" s="17" t="s">
        <v>18</v>
      </c>
      <c r="E198" s="17" t="n">
        <v>10.0523626484312</v>
      </c>
      <c r="F198" s="18" t="n">
        <f aca="false">E198*_xlfn.XLOOKUP(D198,conversiones!$A$2:$A$6,conversiones!$B$2:$B$6,0)</f>
        <v>455.975169732839</v>
      </c>
      <c r="G198" s="17" t="n">
        <v>765.941186342593</v>
      </c>
      <c r="H198" s="17" t="s">
        <v>18</v>
      </c>
      <c r="I198" s="18" t="n">
        <f aca="false">G198/_xlfn.XLOOKUP(H198,conversiones!$A$2:$A$6,conversiones!$B$2:$B$6,0)</f>
        <v>16.885828623073</v>
      </c>
      <c r="J198" s="17" t="n">
        <v>4784.76271988092</v>
      </c>
      <c r="K198" s="18" t="n">
        <f aca="false">_xlfn.XLOOKUP(C198,Ciclo!$A$2:$A$13,Ciclo!$D$2:$D$13,0)</f>
        <v>1.2</v>
      </c>
      <c r="L198" s="18" t="n">
        <f aca="false">F198*I198-J198</f>
        <v>2914.75585260445</v>
      </c>
      <c r="M198" s="19" t="n">
        <f aca="false">IF(J198=0,0,L198/J198)</f>
        <v>0.609174586755054</v>
      </c>
      <c r="N198" s="20" t="n">
        <f aca="false">M198*K198</f>
        <v>0.731009504106064</v>
      </c>
    </row>
    <row r="199" customFormat="false" ht="14.25" hidden="false" customHeight="false" outlineLevel="0" collapsed="false">
      <c r="A199" s="15" t="n">
        <v>2016</v>
      </c>
      <c r="B199" s="16" t="n">
        <f aca="false">DATE(A199,12,31)</f>
        <v>42735</v>
      </c>
      <c r="C199" s="17" t="s">
        <v>22</v>
      </c>
      <c r="D199" s="17" t="s">
        <v>18</v>
      </c>
      <c r="E199" s="17" t="n">
        <v>9.23973164057617</v>
      </c>
      <c r="F199" s="18" t="n">
        <f aca="false">E199*_xlfn.XLOOKUP(D199,conversiones!$A$2:$A$6,conversiones!$B$2:$B$6,0)</f>
        <v>419.114227216535</v>
      </c>
      <c r="G199" s="17" t="n">
        <v>1571.82264384921</v>
      </c>
      <c r="H199" s="17" t="s">
        <v>18</v>
      </c>
      <c r="I199" s="18" t="n">
        <f aca="false">G199/_xlfn.XLOOKUP(H199,conversiones!$A$2:$A$6,conversiones!$B$2:$B$6,0)</f>
        <v>34.6521746880337</v>
      </c>
      <c r="J199" s="17" t="n">
        <v>8550.15765636903</v>
      </c>
      <c r="K199" s="18" t="n">
        <f aca="false">_xlfn.XLOOKUP(C199,Ciclo!$A$2:$A$13,Ciclo!$D$2:$D$13,0)</f>
        <v>1</v>
      </c>
      <c r="L199" s="18" t="n">
        <f aca="false">F199*I199-J199</f>
        <v>5973.06175937861</v>
      </c>
      <c r="M199" s="19" t="n">
        <f aca="false">IF(J199=0,0,L199/J199)</f>
        <v>0.698590832992332</v>
      </c>
      <c r="N199" s="20" t="n">
        <f aca="false">M199*K199</f>
        <v>0.698590832992332</v>
      </c>
    </row>
    <row r="200" customFormat="false" ht="14.25" hidden="false" customHeight="false" outlineLevel="0" collapsed="false">
      <c r="A200" s="15" t="n">
        <v>2016</v>
      </c>
      <c r="B200" s="16" t="n">
        <f aca="false">DATE(A200,12,31)</f>
        <v>42735</v>
      </c>
      <c r="C200" s="17" t="s">
        <v>24</v>
      </c>
      <c r="D200" s="17" t="s">
        <v>18</v>
      </c>
      <c r="E200" s="17" t="n">
        <v>9.46348248188381</v>
      </c>
      <c r="F200" s="18" t="n">
        <f aca="false">E200*_xlfn.XLOOKUP(D200,conversiones!$A$2:$A$6,conversiones!$B$2:$B$6,0)</f>
        <v>429.26356537825</v>
      </c>
      <c r="G200" s="17" t="n">
        <v>2289.74499421296</v>
      </c>
      <c r="H200" s="17" t="s">
        <v>18</v>
      </c>
      <c r="I200" s="18" t="n">
        <f aca="false">G200/_xlfn.XLOOKUP(H200,conversiones!$A$2:$A$6,conversiones!$B$2:$B$6,0)</f>
        <v>50.4793869976402</v>
      </c>
      <c r="J200" s="17" t="n">
        <v>8705.156224128</v>
      </c>
      <c r="K200" s="18" t="n">
        <f aca="false">_xlfn.XLOOKUP(C200,Ciclo!$A$2:$A$13,Ciclo!$D$2:$D$13,0)</f>
        <v>1</v>
      </c>
      <c r="L200" s="18" t="n">
        <f aca="false">F200*I200-J200</f>
        <v>12963.8054165875</v>
      </c>
      <c r="M200" s="19" t="n">
        <f aca="false">IF(J200=0,0,L200/J200)</f>
        <v>1.48920996738184</v>
      </c>
      <c r="N200" s="20" t="n">
        <f aca="false">M200*K200</f>
        <v>1.48920996738184</v>
      </c>
    </row>
    <row r="201" customFormat="false" ht="14.25" hidden="false" customHeight="false" outlineLevel="0" collapsed="false">
      <c r="A201" s="15" t="n">
        <v>2016</v>
      </c>
      <c r="B201" s="16" t="n">
        <f aca="false">DATE(A201,12,31)</f>
        <v>42735</v>
      </c>
      <c r="C201" s="17" t="s">
        <v>30</v>
      </c>
      <c r="D201" s="17" t="s">
        <v>32</v>
      </c>
      <c r="E201" s="17" t="n">
        <v>98.1893661265817</v>
      </c>
      <c r="F201" s="18" t="n">
        <f aca="false">E201*_xlfn.XLOOKUP(D201,conversiones!$A$2:$A$6,conversiones!$B$2:$B$6,0)</f>
        <v>2671.73265230429</v>
      </c>
      <c r="G201" s="17" t="n">
        <v>172.840763888889</v>
      </c>
      <c r="H201" s="17" t="s">
        <v>32</v>
      </c>
      <c r="I201" s="18" t="n">
        <f aca="false">G201/_xlfn.XLOOKUP(H201,conversiones!$A$2:$A$6,conversiones!$B$2:$B$6,0)</f>
        <v>6.35210451631345</v>
      </c>
      <c r="J201" s="17" t="n">
        <v>31633.940308743</v>
      </c>
      <c r="K201" s="18" t="n">
        <f aca="false">_xlfn.XLOOKUP(C201,Ciclo!$A$2:$A$13,Ciclo!$D$2:$D$13,0)</f>
        <v>1</v>
      </c>
      <c r="L201" s="18" t="n">
        <f aca="false">F201*I201-J201</f>
        <v>-14662.8152616588</v>
      </c>
      <c r="M201" s="19" t="n">
        <f aca="false">IF(J201=0,0,L201/J201)</f>
        <v>-0.463515297764101</v>
      </c>
      <c r="N201" s="20" t="n">
        <f aca="false">M201*K201</f>
        <v>-0.463515297764101</v>
      </c>
    </row>
    <row r="202" customFormat="false" ht="14.25" hidden="false" customHeight="false" outlineLevel="0" collapsed="false">
      <c r="A202" s="15" t="n">
        <v>2016</v>
      </c>
      <c r="B202" s="16" t="n">
        <f aca="false">DATE(A202,12,31)</f>
        <v>42735</v>
      </c>
      <c r="C202" s="17" t="s">
        <v>33</v>
      </c>
      <c r="D202" s="17" t="s">
        <v>34</v>
      </c>
      <c r="E202" s="17" t="n">
        <v>3.1314636500792</v>
      </c>
      <c r="F202" s="18" t="n">
        <f aca="false">E202*_xlfn.XLOOKUP(D202,conversiones!$A$2:$A$6,conversiones!$B$2:$B$6,0)</f>
        <v>1278.10688877983</v>
      </c>
      <c r="G202" s="17" t="n">
        <v>5735.74073784722</v>
      </c>
      <c r="H202" s="17" t="s">
        <v>34</v>
      </c>
      <c r="I202" s="18" t="n">
        <f aca="false">G202/_xlfn.XLOOKUP(H202,conversiones!$A$2:$A$6,conversiones!$B$2:$B$6,0)</f>
        <v>14.0530215309254</v>
      </c>
      <c r="J202" s="17" t="n">
        <v>19988.8214440479</v>
      </c>
      <c r="K202" s="18" t="n">
        <f aca="false">_xlfn.XLOOKUP(C202,Ciclo!$A$2:$A$13,Ciclo!$D$2:$D$13,0)</f>
        <v>1</v>
      </c>
      <c r="L202" s="18" t="n">
        <f aca="false">F202*I202-J202</f>
        <v>-2027.55781720088</v>
      </c>
      <c r="M202" s="19" t="n">
        <f aca="false">IF(J202=0,0,L202/J202)</f>
        <v>-0.101434585469501</v>
      </c>
      <c r="N202" s="20" t="n">
        <f aca="false">M202*K202</f>
        <v>-0.101434585469501</v>
      </c>
    </row>
    <row r="203" customFormat="false" ht="14.25" hidden="false" customHeight="false" outlineLevel="0" collapsed="false">
      <c r="A203" s="15" t="n">
        <v>2016</v>
      </c>
      <c r="B203" s="16" t="n">
        <f aca="false">DATE(A203,12,31)</f>
        <v>42735</v>
      </c>
      <c r="C203" s="17" t="s">
        <v>28</v>
      </c>
      <c r="D203" s="17" t="s">
        <v>29</v>
      </c>
      <c r="E203" s="17" t="n">
        <v>5.19504843412019</v>
      </c>
      <c r="F203" s="18" t="n">
        <f aca="false">E203*_xlfn.XLOOKUP(D203,conversiones!$A$2:$A$6,conversiones!$B$2:$B$6,0)</f>
        <v>2921.38353644315</v>
      </c>
      <c r="G203" s="17" t="n">
        <v>6457.41306605489</v>
      </c>
      <c r="H203" s="17" t="s">
        <v>29</v>
      </c>
      <c r="I203" s="18" t="n">
        <f aca="false">G203/_xlfn.XLOOKUP(H203,conversiones!$A$2:$A$6,conversiones!$B$2:$B$6,0)</f>
        <v>11.4831117581088</v>
      </c>
      <c r="J203" s="17" t="n">
        <v>7046.24991079678</v>
      </c>
      <c r="K203" s="18" t="n">
        <f aca="false">_xlfn.XLOOKUP(C203,Ciclo!$A$2:$A$13,Ciclo!$D$2:$D$13,0)</f>
        <v>3</v>
      </c>
      <c r="L203" s="18" t="n">
        <f aca="false">F203*I203-J203</f>
        <v>26500.3237264789</v>
      </c>
      <c r="M203" s="19" t="n">
        <f aca="false">IF(J203=0,0,L203/J203)</f>
        <v>3.76091169940952</v>
      </c>
      <c r="N203" s="20" t="n">
        <f aca="false">M203*K203</f>
        <v>11.2827350982286</v>
      </c>
    </row>
    <row r="204" customFormat="false" ht="14.25" hidden="false" customHeight="false" outlineLevel="0" collapsed="false">
      <c r="A204" s="15" t="n">
        <v>2016</v>
      </c>
      <c r="B204" s="16" t="n">
        <f aca="false">DATE(A204,12,31)</f>
        <v>42735</v>
      </c>
      <c r="C204" s="17" t="s">
        <v>26</v>
      </c>
      <c r="D204" s="17" t="s">
        <v>18</v>
      </c>
      <c r="E204" s="17" t="n">
        <v>6.34072716751857</v>
      </c>
      <c r="F204" s="18" t="n">
        <f aca="false">E204*_xlfn.XLOOKUP(D204,conversiones!$A$2:$A$6,conversiones!$B$2:$B$6,0)</f>
        <v>287.615384318642</v>
      </c>
      <c r="G204" s="17" t="n">
        <v>811.457470238095</v>
      </c>
      <c r="H204" s="17" t="s">
        <v>18</v>
      </c>
      <c r="I204" s="18" t="n">
        <f aca="false">G204/_xlfn.XLOOKUP(H204,conversiones!$A$2:$A$6,conversiones!$B$2:$B$6,0)</f>
        <v>17.8892740352314</v>
      </c>
      <c r="J204" s="17" t="n">
        <v>1888.43011620852</v>
      </c>
      <c r="K204" s="18" t="n">
        <f aca="false">_xlfn.XLOOKUP(C204,Ciclo!$A$2:$A$13,Ciclo!$D$2:$D$13,0)</f>
        <v>3</v>
      </c>
      <c r="L204" s="18" t="n">
        <f aca="false">F204*I204-J204</f>
        <v>3256.80031061606</v>
      </c>
      <c r="M204" s="19" t="n">
        <f aca="false">IF(J204=0,0,L204/J204)</f>
        <v>1.7246072717559</v>
      </c>
      <c r="N204" s="20" t="n">
        <f aca="false">M204*K204</f>
        <v>5.17382181526771</v>
      </c>
    </row>
    <row r="205" customFormat="false" ht="14.25" hidden="false" customHeight="false" outlineLevel="0" collapsed="false">
      <c r="A205" s="15" t="n">
        <v>2016</v>
      </c>
      <c r="B205" s="16" t="n">
        <f aca="false">DATE(A205,12,31)</f>
        <v>42735</v>
      </c>
      <c r="C205" s="17" t="s">
        <v>27</v>
      </c>
      <c r="D205" s="17" t="s">
        <v>18</v>
      </c>
      <c r="E205" s="17" t="n">
        <v>8.5256365204613</v>
      </c>
      <c r="F205" s="18" t="n">
        <f aca="false">E205*_xlfn.XLOOKUP(D205,conversiones!$A$2:$A$6,conversiones!$B$2:$B$6,0)</f>
        <v>386.722872568125</v>
      </c>
      <c r="G205" s="17" t="n">
        <v>665.388771693122</v>
      </c>
      <c r="H205" s="17" t="s">
        <v>18</v>
      </c>
      <c r="I205" s="18" t="n">
        <f aca="false">G205/_xlfn.XLOOKUP(H205,conversiones!$A$2:$A$6,conversiones!$B$2:$B$6,0)</f>
        <v>14.6690646316826</v>
      </c>
      <c r="J205" s="17" t="n">
        <v>8287.288275158</v>
      </c>
      <c r="K205" s="18" t="n">
        <f aca="false">_xlfn.XLOOKUP(C205,Ciclo!$A$2:$A$13,Ciclo!$D$2:$D$13,0)</f>
        <v>2.4</v>
      </c>
      <c r="L205" s="18" t="n">
        <f aca="false">F205*I205-J205</f>
        <v>-2614.42546290623</v>
      </c>
      <c r="M205" s="19" t="n">
        <f aca="false">IF(J205=0,0,L205/J205)</f>
        <v>-0.315474178778509</v>
      </c>
      <c r="N205" s="20" t="n">
        <f aca="false">M205*K205</f>
        <v>-0.757138029068421</v>
      </c>
    </row>
    <row r="206" customFormat="false" ht="14.25" hidden="false" customHeight="false" outlineLevel="0" collapsed="false">
      <c r="A206" s="15" t="n">
        <v>2017</v>
      </c>
      <c r="B206" s="16" t="n">
        <f aca="false">DATE(A206,12,31)</f>
        <v>43100</v>
      </c>
      <c r="C206" s="17" t="s">
        <v>16</v>
      </c>
      <c r="D206" s="17" t="s">
        <v>18</v>
      </c>
      <c r="E206" s="17" t="n">
        <v>4.67735099452392</v>
      </c>
      <c r="F206" s="18" t="n">
        <f aca="false">E206*_xlfn.XLOOKUP(D206,conversiones!$A$2:$A$6,conversiones!$B$2:$B$6,0)</f>
        <v>212.164641111605</v>
      </c>
      <c r="G206" s="17" t="n">
        <v>1999.93104985256</v>
      </c>
      <c r="H206" s="17" t="s">
        <v>19</v>
      </c>
      <c r="I206" s="18" t="n">
        <f aca="false">G206/_xlfn.XLOOKUP(H206,conversiones!$A$2:$A$6,conversiones!$B$2:$B$6,0)</f>
        <v>18.181191362296</v>
      </c>
      <c r="J206" s="17" t="n">
        <v>6064.21649453855</v>
      </c>
      <c r="K206" s="18" t="n">
        <f aca="false">_xlfn.XLOOKUP(C206,Ciclo!$A$2:$A$13,Ciclo!$D$2:$D$13,0)</f>
        <v>2.4</v>
      </c>
      <c r="L206" s="18" t="n">
        <f aca="false">F206*I206-J206</f>
        <v>-2206.81055417561</v>
      </c>
      <c r="M206" s="19" t="n">
        <f aca="false">IF(J206=0,0,L206/J206)</f>
        <v>-0.363906954206379</v>
      </c>
      <c r="N206" s="20" t="n">
        <f aca="false">M206*K206</f>
        <v>-0.873376690095309</v>
      </c>
    </row>
    <row r="207" customFormat="false" ht="14.25" hidden="false" customHeight="false" outlineLevel="0" collapsed="false">
      <c r="A207" s="15" t="n">
        <v>2017</v>
      </c>
      <c r="B207" s="16" t="n">
        <f aca="false">DATE(A207,12,31)</f>
        <v>43100</v>
      </c>
      <c r="C207" s="17" t="s">
        <v>20</v>
      </c>
      <c r="D207" s="17" t="s">
        <v>18</v>
      </c>
      <c r="E207" s="17" t="n">
        <v>2.37315627002725</v>
      </c>
      <c r="F207" s="18" t="n">
        <f aca="false">E207*_xlfn.XLOOKUP(D207,conversiones!$A$2:$A$6,conversiones!$B$2:$B$6,0)</f>
        <v>107.646368408436</v>
      </c>
      <c r="G207" s="17" t="n">
        <v>847.415153769841</v>
      </c>
      <c r="H207" s="17" t="s">
        <v>18</v>
      </c>
      <c r="I207" s="18" t="n">
        <f aca="false">G207/_xlfn.XLOOKUP(H207,conversiones!$A$2:$A$6,conversiones!$B$2:$B$6,0)</f>
        <v>18.6819919261429</v>
      </c>
      <c r="J207" s="17" t="n">
        <v>2479.0864296156</v>
      </c>
      <c r="K207" s="18" t="n">
        <f aca="false">_xlfn.XLOOKUP(C207,Ciclo!$A$2:$A$13,Ciclo!$D$2:$D$13,0)</f>
        <v>3</v>
      </c>
      <c r="L207" s="18" t="n">
        <f aca="false">F207*I207-J207</f>
        <v>-468.037844130595</v>
      </c>
      <c r="M207" s="19" t="n">
        <f aca="false">IF(J207=0,0,L207/J207)</f>
        <v>-0.188794484346868</v>
      </c>
      <c r="N207" s="20" t="n">
        <f aca="false">M207*K207</f>
        <v>-0.566383453040604</v>
      </c>
    </row>
    <row r="208" customFormat="false" ht="14.25" hidden="false" customHeight="false" outlineLevel="0" collapsed="false">
      <c r="A208" s="15" t="n">
        <v>2017</v>
      </c>
      <c r="B208" s="16" t="n">
        <f aca="false">DATE(A208,12,31)</f>
        <v>43100</v>
      </c>
      <c r="C208" s="17" t="s">
        <v>23</v>
      </c>
      <c r="D208" s="17" t="s">
        <v>18</v>
      </c>
      <c r="E208" s="17" t="n">
        <v>37.0478215726209</v>
      </c>
      <c r="F208" s="18" t="n">
        <f aca="false">E208*_xlfn.XLOOKUP(D208,conversiones!$A$2:$A$6,conversiones!$B$2:$B$6,0)</f>
        <v>1680.48918653408</v>
      </c>
      <c r="G208" s="17" t="n">
        <v>1005.67476851852</v>
      </c>
      <c r="H208" s="17" t="s">
        <v>18</v>
      </c>
      <c r="I208" s="18" t="n">
        <f aca="false">G208/_xlfn.XLOOKUP(H208,conversiones!$A$2:$A$6,conversiones!$B$2:$B$6,0)</f>
        <v>22.1709605052584</v>
      </c>
      <c r="J208" s="17" t="n">
        <v>23497.6811528187</v>
      </c>
      <c r="K208" s="18" t="n">
        <f aca="false">_xlfn.XLOOKUP(C208,Ciclo!$A$2:$A$13,Ciclo!$D$2:$D$13,0)</f>
        <v>4</v>
      </c>
      <c r="L208" s="18" t="n">
        <f aca="false">F208*I208-J208</f>
        <v>13760.3782313423</v>
      </c>
      <c r="M208" s="19" t="n">
        <f aca="false">IF(J208=0,0,L208/J208)</f>
        <v>0.585605794114353</v>
      </c>
      <c r="N208" s="20" t="n">
        <f aca="false">M208*K208</f>
        <v>2.34242317645741</v>
      </c>
    </row>
    <row r="209" customFormat="false" ht="14.25" hidden="false" customHeight="false" outlineLevel="0" collapsed="false">
      <c r="A209" s="15" t="n">
        <v>2017</v>
      </c>
      <c r="B209" s="16" t="n">
        <f aca="false">DATE(A209,12,31)</f>
        <v>43100</v>
      </c>
      <c r="C209" s="17" t="s">
        <v>21</v>
      </c>
      <c r="D209" s="17" t="s">
        <v>18</v>
      </c>
      <c r="E209" s="17" t="n">
        <v>10.9280259175756</v>
      </c>
      <c r="F209" s="18" t="n">
        <f aca="false">E209*_xlfn.XLOOKUP(D209,conversiones!$A$2:$A$6,conversiones!$B$2:$B$6,0)</f>
        <v>495.695255621229</v>
      </c>
      <c r="G209" s="17" t="n">
        <v>564.692604145999</v>
      </c>
      <c r="H209" s="17" t="s">
        <v>18</v>
      </c>
      <c r="I209" s="18" t="n">
        <f aca="false">G209/_xlfn.XLOOKUP(H209,conversiones!$A$2:$A$6,conversiones!$B$2:$B$6,0)</f>
        <v>12.4491314847002</v>
      </c>
      <c r="J209" s="17" t="n">
        <v>5064.80450774638</v>
      </c>
      <c r="K209" s="18" t="n">
        <f aca="false">_xlfn.XLOOKUP(C209,Ciclo!$A$2:$A$13,Ciclo!$D$2:$D$13,0)</f>
        <v>2</v>
      </c>
      <c r="L209" s="18" t="n">
        <f aca="false">F209*I209-J209</f>
        <v>1106.17090582436</v>
      </c>
      <c r="M209" s="19" t="n">
        <f aca="false">IF(J209=0,0,L209/J209)</f>
        <v>0.218403475224467</v>
      </c>
      <c r="N209" s="20" t="n">
        <f aca="false">M209*K209</f>
        <v>0.436806950448934</v>
      </c>
    </row>
    <row r="210" customFormat="false" ht="14.25" hidden="false" customHeight="false" outlineLevel="0" collapsed="false">
      <c r="A210" s="15" t="n">
        <v>2017</v>
      </c>
      <c r="B210" s="16" t="n">
        <f aca="false">DATE(A210,12,31)</f>
        <v>43100</v>
      </c>
      <c r="C210" s="17" t="s">
        <v>25</v>
      </c>
      <c r="D210" s="17" t="s">
        <v>18</v>
      </c>
      <c r="E210" s="17" t="n">
        <v>10.1739573763005</v>
      </c>
      <c r="F210" s="18" t="n">
        <f aca="false">E210*_xlfn.XLOOKUP(D210,conversiones!$A$2:$A$6,conversiones!$B$2:$B$6,0)</f>
        <v>461.490706588991</v>
      </c>
      <c r="G210" s="17" t="n">
        <v>517.095232204861</v>
      </c>
      <c r="H210" s="17" t="s">
        <v>18</v>
      </c>
      <c r="I210" s="18" t="n">
        <f aca="false">G210/_xlfn.XLOOKUP(H210,conversiones!$A$2:$A$6,conversiones!$B$2:$B$6,0)</f>
        <v>11.3998067064564</v>
      </c>
      <c r="J210" s="17" t="n">
        <v>4667.26585652655</v>
      </c>
      <c r="K210" s="18" t="n">
        <f aca="false">_xlfn.XLOOKUP(C210,Ciclo!$A$2:$A$13,Ciclo!$D$2:$D$13,0)</f>
        <v>1.2</v>
      </c>
      <c r="L210" s="18" t="n">
        <f aca="false">F210*I210-J210</f>
        <v>593.638995413915</v>
      </c>
      <c r="M210" s="19" t="n">
        <f aca="false">IF(J210=0,0,L210/J210)</f>
        <v>0.12719202498049</v>
      </c>
      <c r="N210" s="20" t="n">
        <f aca="false">M210*K210</f>
        <v>0.152630429976588</v>
      </c>
    </row>
    <row r="211" customFormat="false" ht="14.25" hidden="false" customHeight="false" outlineLevel="0" collapsed="false">
      <c r="A211" s="15" t="n">
        <v>2017</v>
      </c>
      <c r="B211" s="16" t="n">
        <f aca="false">DATE(A211,12,31)</f>
        <v>43100</v>
      </c>
      <c r="C211" s="17" t="s">
        <v>22</v>
      </c>
      <c r="D211" s="17" t="s">
        <v>18</v>
      </c>
      <c r="E211" s="17" t="n">
        <v>9.08429099567642</v>
      </c>
      <c r="F211" s="18" t="n">
        <f aca="false">E211*_xlfn.XLOOKUP(D211,conversiones!$A$2:$A$6,conversiones!$B$2:$B$6,0)</f>
        <v>412.063439563882</v>
      </c>
      <c r="G211" s="17" t="n">
        <v>1331.64494543651</v>
      </c>
      <c r="H211" s="17" t="s">
        <v>18</v>
      </c>
      <c r="I211" s="18" t="n">
        <f aca="false">G211/_xlfn.XLOOKUP(H211,conversiones!$A$2:$A$6,conversiones!$B$2:$B$6,0)</f>
        <v>29.3572518835209</v>
      </c>
      <c r="J211" s="17" t="n">
        <v>9358.71441738452</v>
      </c>
      <c r="K211" s="18" t="n">
        <f aca="false">_xlfn.XLOOKUP(C211,Ciclo!$A$2:$A$13,Ciclo!$D$2:$D$13,0)</f>
        <v>1</v>
      </c>
      <c r="L211" s="18" t="n">
        <f aca="false">F211*I211-J211</f>
        <v>2738.33576988238</v>
      </c>
      <c r="M211" s="19" t="n">
        <f aca="false">IF(J211=0,0,L211/J211)</f>
        <v>0.292597428210409</v>
      </c>
      <c r="N211" s="20" t="n">
        <f aca="false">M211*K211</f>
        <v>0.292597428210409</v>
      </c>
    </row>
    <row r="212" customFormat="false" ht="14.25" hidden="false" customHeight="false" outlineLevel="0" collapsed="false">
      <c r="A212" s="15" t="n">
        <v>2017</v>
      </c>
      <c r="B212" s="16" t="n">
        <f aca="false">DATE(A212,12,31)</f>
        <v>43100</v>
      </c>
      <c r="C212" s="17" t="s">
        <v>24</v>
      </c>
      <c r="D212" s="17" t="s">
        <v>18</v>
      </c>
      <c r="E212" s="17" t="n">
        <v>9.43626015006681</v>
      </c>
      <c r="F212" s="18" t="n">
        <f aca="false">E212*_xlfn.XLOOKUP(D212,conversiones!$A$2:$A$6,conversiones!$B$2:$B$6,0)</f>
        <v>428.02876040703</v>
      </c>
      <c r="G212" s="17" t="n">
        <v>1766.5927369585</v>
      </c>
      <c r="H212" s="17" t="s">
        <v>18</v>
      </c>
      <c r="I212" s="18" t="n">
        <f aca="false">G212/_xlfn.XLOOKUP(H212,conversiones!$A$2:$A$6,conversiones!$B$2:$B$6,0)</f>
        <v>38.9460479929123</v>
      </c>
      <c r="J212" s="17" t="n">
        <v>9059.4442114896</v>
      </c>
      <c r="K212" s="18" t="n">
        <f aca="false">_xlfn.XLOOKUP(C212,Ciclo!$A$2:$A$13,Ciclo!$D$2:$D$13,0)</f>
        <v>1</v>
      </c>
      <c r="L212" s="18" t="n">
        <f aca="false">F212*I212-J212</f>
        <v>7610.58443366935</v>
      </c>
      <c r="M212" s="19" t="n">
        <f aca="false">IF(J212=0,0,L212/J212)</f>
        <v>0.840071891387913</v>
      </c>
      <c r="N212" s="20" t="n">
        <f aca="false">M212*K212</f>
        <v>0.840071891387913</v>
      </c>
    </row>
    <row r="213" customFormat="false" ht="14.25" hidden="false" customHeight="false" outlineLevel="0" collapsed="false">
      <c r="A213" s="15" t="n">
        <v>2017</v>
      </c>
      <c r="B213" s="16" t="n">
        <f aca="false">DATE(A213,12,31)</f>
        <v>43100</v>
      </c>
      <c r="C213" s="17" t="s">
        <v>30</v>
      </c>
      <c r="D213" s="17" t="s">
        <v>32</v>
      </c>
      <c r="E213" s="17" t="n">
        <v>97.194692897395</v>
      </c>
      <c r="F213" s="18" t="n">
        <f aca="false">E213*_xlfn.XLOOKUP(D213,conversiones!$A$2:$A$6,conversiones!$B$2:$B$6,0)</f>
        <v>2644.66759373812</v>
      </c>
      <c r="G213" s="17" t="n">
        <v>153.15</v>
      </c>
      <c r="H213" s="17" t="s">
        <v>32</v>
      </c>
      <c r="I213" s="18" t="n">
        <f aca="false">G213/_xlfn.XLOOKUP(H213,conversiones!$A$2:$A$6,conversiones!$B$2:$B$6,0)</f>
        <v>5.6284454244763</v>
      </c>
      <c r="J213" s="17" t="n">
        <v>32851.8013523715</v>
      </c>
      <c r="K213" s="18" t="n">
        <f aca="false">_xlfn.XLOOKUP(C213,Ciclo!$A$2:$A$13,Ciclo!$D$2:$D$13,0)</f>
        <v>1</v>
      </c>
      <c r="L213" s="18" t="n">
        <f aca="false">F213*I213-J213</f>
        <v>-17966.4341351355</v>
      </c>
      <c r="M213" s="19" t="n">
        <f aca="false">IF(J213=0,0,L213/J213)</f>
        <v>-0.546893424273019</v>
      </c>
      <c r="N213" s="20" t="n">
        <f aca="false">M213*K213</f>
        <v>-0.546893424273019</v>
      </c>
    </row>
    <row r="214" customFormat="false" ht="14.25" hidden="false" customHeight="false" outlineLevel="0" collapsed="false">
      <c r="A214" s="15" t="n">
        <v>2017</v>
      </c>
      <c r="B214" s="16" t="n">
        <f aca="false">DATE(A214,12,31)</f>
        <v>43100</v>
      </c>
      <c r="C214" s="17" t="s">
        <v>33</v>
      </c>
      <c r="D214" s="17" t="s">
        <v>34</v>
      </c>
      <c r="E214" s="17" t="n">
        <v>3.26359784617938</v>
      </c>
      <c r="F214" s="18" t="n">
        <f aca="false">E214*_xlfn.XLOOKUP(D214,conversiones!$A$2:$A$6,conversiones!$B$2:$B$6,0)</f>
        <v>1332.03746091811</v>
      </c>
      <c r="G214" s="17" t="n">
        <v>6052.69</v>
      </c>
      <c r="H214" s="17" t="s">
        <v>34</v>
      </c>
      <c r="I214" s="18" t="n">
        <f aca="false">G214/_xlfn.XLOOKUP(H214,conversiones!$A$2:$A$6,conversiones!$B$2:$B$6,0)</f>
        <v>14.829572461105</v>
      </c>
      <c r="J214" s="17" t="n">
        <v>21460.4838899894</v>
      </c>
      <c r="K214" s="18" t="n">
        <f aca="false">_xlfn.XLOOKUP(C214,Ciclo!$A$2:$A$13,Ciclo!$D$2:$D$13,0)</f>
        <v>1</v>
      </c>
      <c r="L214" s="18" t="n">
        <f aca="false">F214*I214-J214</f>
        <v>-1706.93784239793</v>
      </c>
      <c r="M214" s="19" t="n">
        <f aca="false">IF(J214=0,0,L214/J214)</f>
        <v>-0.0795386465257736</v>
      </c>
      <c r="N214" s="20" t="n">
        <f aca="false">M214*K214</f>
        <v>-0.0795386465257736</v>
      </c>
    </row>
    <row r="215" customFormat="false" ht="14.25" hidden="false" customHeight="false" outlineLevel="0" collapsed="false">
      <c r="A215" s="15" t="n">
        <v>2017</v>
      </c>
      <c r="B215" s="16" t="n">
        <f aca="false">DATE(A215,12,31)</f>
        <v>43100</v>
      </c>
      <c r="C215" s="17" t="s">
        <v>28</v>
      </c>
      <c r="D215" s="17" t="s">
        <v>29</v>
      </c>
      <c r="E215" s="17" t="n">
        <v>1.76648095234505</v>
      </c>
      <c r="F215" s="18" t="n">
        <f aca="false">E215*_xlfn.XLOOKUP(D215,conversiones!$A$2:$A$6,conversiones!$B$2:$B$6,0)</f>
        <v>993.362898741715</v>
      </c>
      <c r="G215" s="17" t="n">
        <v>10891.6099454365</v>
      </c>
      <c r="H215" s="17" t="s">
        <v>29</v>
      </c>
      <c r="I215" s="18" t="n">
        <f aca="false">G215/_xlfn.XLOOKUP(H215,conversiones!$A$2:$A$6,conversiones!$B$2:$B$6,0)</f>
        <v>19.3683713508491</v>
      </c>
      <c r="J215" s="17" t="n">
        <v>7106.96492145872</v>
      </c>
      <c r="K215" s="18" t="n">
        <f aca="false">_xlfn.XLOOKUP(C215,Ciclo!$A$2:$A$13,Ciclo!$D$2:$D$13,0)</f>
        <v>3</v>
      </c>
      <c r="L215" s="18" t="n">
        <f aca="false">F215*I215-J215</f>
        <v>12132.8565875268</v>
      </c>
      <c r="M215" s="19" t="n">
        <f aca="false">IF(J215=0,0,L215/J215)</f>
        <v>1.70717834147357</v>
      </c>
      <c r="N215" s="20" t="n">
        <f aca="false">M215*K215</f>
        <v>5.12153502442072</v>
      </c>
    </row>
    <row r="216" customFormat="false" ht="14.25" hidden="false" customHeight="false" outlineLevel="0" collapsed="false">
      <c r="A216" s="15" t="n">
        <v>2017</v>
      </c>
      <c r="B216" s="16" t="n">
        <f aca="false">DATE(A216,12,31)</f>
        <v>43100</v>
      </c>
      <c r="C216" s="17" t="s">
        <v>26</v>
      </c>
      <c r="D216" s="17" t="s">
        <v>18</v>
      </c>
      <c r="E216" s="17" t="n">
        <v>6.42547850643238</v>
      </c>
      <c r="F216" s="18" t="n">
        <f aca="false">E216*_xlfn.XLOOKUP(D216,conversiones!$A$2:$A$6,conversiones!$B$2:$B$6,0)</f>
        <v>291.459705051773</v>
      </c>
      <c r="G216" s="17" t="n">
        <v>993.17301630291</v>
      </c>
      <c r="H216" s="17" t="s">
        <v>18</v>
      </c>
      <c r="I216" s="18" t="n">
        <f aca="false">G216/_xlfn.XLOOKUP(H216,conversiones!$A$2:$A$6,conversiones!$B$2:$B$6,0)</f>
        <v>21.8953486839266</v>
      </c>
      <c r="J216" s="17" t="n">
        <v>1810.97553022926</v>
      </c>
      <c r="K216" s="18" t="n">
        <f aca="false">_xlfn.XLOOKUP(C216,Ciclo!$A$2:$A$13,Ciclo!$D$2:$D$13,0)</f>
        <v>3</v>
      </c>
      <c r="L216" s="18" t="n">
        <f aca="false">F216*I216-J216</f>
        <v>4570.63633919371</v>
      </c>
      <c r="M216" s="19" t="n">
        <f aca="false">IF(J216=0,0,L216/J216)</f>
        <v>2.52385317355176</v>
      </c>
      <c r="N216" s="20" t="n">
        <f aca="false">M216*K216</f>
        <v>7.57155952065529</v>
      </c>
    </row>
    <row r="217" customFormat="false" ht="14.25" hidden="false" customHeight="false" outlineLevel="0" collapsed="false">
      <c r="A217" s="15" t="n">
        <v>2017</v>
      </c>
      <c r="B217" s="16" t="n">
        <f aca="false">DATE(A217,12,31)</f>
        <v>43100</v>
      </c>
      <c r="C217" s="17" t="s">
        <v>27</v>
      </c>
      <c r="D217" s="17" t="s">
        <v>18</v>
      </c>
      <c r="E217" s="17" t="n">
        <v>8.44992243775822</v>
      </c>
      <c r="F217" s="18" t="n">
        <f aca="false">E217*_xlfn.XLOOKUP(D217,conversiones!$A$2:$A$6,conversiones!$B$2:$B$6,0)</f>
        <v>383.288481776713</v>
      </c>
      <c r="G217" s="17" t="n">
        <v>749.380280257937</v>
      </c>
      <c r="H217" s="17" t="s">
        <v>18</v>
      </c>
      <c r="I217" s="18" t="n">
        <f aca="false">G217/_xlfn.XLOOKUP(H217,conversiones!$A$2:$A$6,conversiones!$B$2:$B$6,0)</f>
        <v>16.5207292825824</v>
      </c>
      <c r="J217" s="17" t="n">
        <v>8788.431876469</v>
      </c>
      <c r="K217" s="18" t="n">
        <f aca="false">_xlfn.XLOOKUP(C217,Ciclo!$A$2:$A$13,Ciclo!$D$2:$D$13,0)</f>
        <v>2.4</v>
      </c>
      <c r="L217" s="18" t="n">
        <f aca="false">F217*I217-J217</f>
        <v>-2456.22663190391</v>
      </c>
      <c r="M217" s="19" t="n">
        <f aca="false">IF(J217=0,0,L217/J217)</f>
        <v>-0.279484061141835</v>
      </c>
      <c r="N217" s="20" t="n">
        <f aca="false">M217*K217</f>
        <v>-0.670761746740404</v>
      </c>
    </row>
    <row r="218" customFormat="false" ht="14.25" hidden="false" customHeight="false" outlineLevel="0" collapsed="false">
      <c r="A218" s="15" t="n">
        <v>2018</v>
      </c>
      <c r="B218" s="16" t="n">
        <f aca="false">DATE(A218,12,31)</f>
        <v>43465</v>
      </c>
      <c r="C218" s="17" t="s">
        <v>16</v>
      </c>
      <c r="D218" s="17" t="s">
        <v>18</v>
      </c>
      <c r="E218" s="17" t="n">
        <v>4.51669133465201</v>
      </c>
      <c r="F218" s="18" t="n">
        <f aca="false">E218*_xlfn.XLOOKUP(D218,conversiones!$A$2:$A$6,conversiones!$B$2:$B$6,0)</f>
        <v>204.877118939815</v>
      </c>
      <c r="G218" s="17" t="n">
        <v>2075.3623900165</v>
      </c>
      <c r="H218" s="17" t="s">
        <v>19</v>
      </c>
      <c r="I218" s="18" t="n">
        <f aca="false">G218/_xlfn.XLOOKUP(H218,conversiones!$A$2:$A$6,conversiones!$B$2:$B$6,0)</f>
        <v>18.8669308183318</v>
      </c>
      <c r="J218" s="17" t="n">
        <v>6204.17820654867</v>
      </c>
      <c r="K218" s="18" t="n">
        <f aca="false">_xlfn.XLOOKUP(C218,Ciclo!$A$2:$A$13,Ciclo!$D$2:$D$13,0)</f>
        <v>2.4</v>
      </c>
      <c r="L218" s="18" t="n">
        <f aca="false">F218*I218-J218</f>
        <v>-2338.77577725204</v>
      </c>
      <c r="M218" s="19" t="n">
        <f aca="false">IF(J218=0,0,L218/J218)</f>
        <v>-0.376967859302204</v>
      </c>
      <c r="N218" s="20" t="n">
        <f aca="false">M218*K218</f>
        <v>-0.904722862325289</v>
      </c>
    </row>
    <row r="219" customFormat="false" ht="14.25" hidden="false" customHeight="false" outlineLevel="0" collapsed="false">
      <c r="A219" s="15" t="n">
        <v>2018</v>
      </c>
      <c r="B219" s="16" t="n">
        <f aca="false">DATE(A219,12,31)</f>
        <v>43465</v>
      </c>
      <c r="C219" s="17" t="s">
        <v>20</v>
      </c>
      <c r="D219" s="17" t="s">
        <v>18</v>
      </c>
      <c r="E219" s="17" t="n">
        <v>2.36875214924863</v>
      </c>
      <c r="F219" s="18" t="n">
        <f aca="false">E219*_xlfn.XLOOKUP(D219,conversiones!$A$2:$A$6,conversiones!$B$2:$B$6,0)</f>
        <v>107.446597489918</v>
      </c>
      <c r="G219" s="17" t="n">
        <v>907.544694113757</v>
      </c>
      <c r="H219" s="17" t="s">
        <v>18</v>
      </c>
      <c r="I219" s="18" t="n">
        <f aca="false">G219/_xlfn.XLOOKUP(H219,conversiones!$A$2:$A$6,conversiones!$B$2:$B$6,0)</f>
        <v>20.0075990765819</v>
      </c>
      <c r="J219" s="17" t="n">
        <v>2494.8799608792</v>
      </c>
      <c r="K219" s="18" t="n">
        <f aca="false">_xlfn.XLOOKUP(C219,Ciclo!$A$2:$A$13,Ciclo!$D$2:$D$13,0)</f>
        <v>3</v>
      </c>
      <c r="L219" s="18" t="n">
        <f aca="false">F219*I219-J219</f>
        <v>-345.131516158047</v>
      </c>
      <c r="M219" s="19" t="n">
        <f aca="false">IF(J219=0,0,L219/J219)</f>
        <v>-0.138335920593319</v>
      </c>
      <c r="N219" s="20" t="n">
        <f aca="false">M219*K219</f>
        <v>-0.415007761779956</v>
      </c>
    </row>
    <row r="220" customFormat="false" ht="14.25" hidden="false" customHeight="false" outlineLevel="0" collapsed="false">
      <c r="A220" s="15" t="n">
        <v>2018</v>
      </c>
      <c r="B220" s="16" t="n">
        <f aca="false">DATE(A220,12,31)</f>
        <v>43465</v>
      </c>
      <c r="C220" s="17" t="s">
        <v>23</v>
      </c>
      <c r="D220" s="17" t="s">
        <v>18</v>
      </c>
      <c r="E220" s="17" t="n">
        <v>36.9750383515464</v>
      </c>
      <c r="F220" s="18" t="n">
        <f aca="false">E220*_xlfn.XLOOKUP(D220,conversiones!$A$2:$A$6,conversiones!$B$2:$B$6,0)</f>
        <v>1677.18773962614</v>
      </c>
      <c r="G220" s="17" t="n">
        <v>1003.81365740741</v>
      </c>
      <c r="H220" s="17" t="s">
        <v>18</v>
      </c>
      <c r="I220" s="18" t="n">
        <f aca="false">G220/_xlfn.XLOOKUP(H220,conversiones!$A$2:$A$6,conversiones!$B$2:$B$6,0)</f>
        <v>22.1299307188582</v>
      </c>
      <c r="J220" s="17" t="n">
        <v>23803.1923056373</v>
      </c>
      <c r="K220" s="18" t="n">
        <f aca="false">_xlfn.XLOOKUP(C220,Ciclo!$A$2:$A$13,Ciclo!$D$2:$D$13,0)</f>
        <v>4</v>
      </c>
      <c r="L220" s="18" t="n">
        <f aca="false">F220*I220-J220</f>
        <v>13312.8561748077</v>
      </c>
      <c r="M220" s="19" t="n">
        <f aca="false">IF(J220=0,0,L220/J220)</f>
        <v>0.559288687158775</v>
      </c>
      <c r="N220" s="20" t="n">
        <f aca="false">M220*K220</f>
        <v>2.2371547486351</v>
      </c>
    </row>
    <row r="221" customFormat="false" ht="14.25" hidden="false" customHeight="false" outlineLevel="0" collapsed="false">
      <c r="A221" s="15" t="n">
        <v>2018</v>
      </c>
      <c r="B221" s="16" t="n">
        <f aca="false">DATE(A221,12,31)</f>
        <v>43465</v>
      </c>
      <c r="C221" s="17" t="s">
        <v>21</v>
      </c>
      <c r="D221" s="17" t="s">
        <v>18</v>
      </c>
      <c r="E221" s="17" t="n">
        <v>10.9767940055113</v>
      </c>
      <c r="F221" s="18" t="n">
        <f aca="false">E221*_xlfn.XLOOKUP(D221,conversiones!$A$2:$A$6,conversiones!$B$2:$B$6,0)</f>
        <v>497.907376089993</v>
      </c>
      <c r="G221" s="17" t="n">
        <v>668.941782949735</v>
      </c>
      <c r="H221" s="17" t="s">
        <v>18</v>
      </c>
      <c r="I221" s="18" t="n">
        <f aca="false">G221/_xlfn.XLOOKUP(H221,conversiones!$A$2:$A$6,conversiones!$B$2:$B$6,0)</f>
        <v>14.7473938040065</v>
      </c>
      <c r="J221" s="17" t="n">
        <v>5415.921577332</v>
      </c>
      <c r="K221" s="18" t="n">
        <f aca="false">_xlfn.XLOOKUP(C221,Ciclo!$A$2:$A$13,Ciclo!$D$2:$D$13,0)</f>
        <v>2</v>
      </c>
      <c r="L221" s="18" t="n">
        <f aca="false">F221*I221-J221</f>
        <v>1926.91457578669</v>
      </c>
      <c r="M221" s="19" t="n">
        <f aca="false">IF(J221=0,0,L221/J221)</f>
        <v>0.355787015796476</v>
      </c>
      <c r="N221" s="20" t="n">
        <f aca="false">M221*K221</f>
        <v>0.711574031592951</v>
      </c>
    </row>
    <row r="222" customFormat="false" ht="14.25" hidden="false" customHeight="false" outlineLevel="0" collapsed="false">
      <c r="A222" s="15" t="n">
        <v>2018</v>
      </c>
      <c r="B222" s="16" t="n">
        <f aca="false">DATE(A222,12,31)</f>
        <v>43465</v>
      </c>
      <c r="C222" s="17" t="s">
        <v>25</v>
      </c>
      <c r="D222" s="17" t="s">
        <v>18</v>
      </c>
      <c r="E222" s="17" t="n">
        <v>10.2723486750268</v>
      </c>
      <c r="F222" s="18" t="n">
        <f aca="false">E222*_xlfn.XLOOKUP(D222,conversiones!$A$2:$A$6,conversiones!$B$2:$B$6,0)</f>
        <v>465.953735899216</v>
      </c>
      <c r="G222" s="17" t="n">
        <v>1062.80510755622</v>
      </c>
      <c r="H222" s="17" t="s">
        <v>18</v>
      </c>
      <c r="I222" s="18" t="n">
        <f aca="false">G222/_xlfn.XLOOKUP(H222,conversiones!$A$2:$A$6,conversiones!$B$2:$B$6,0)</f>
        <v>23.4304476974475</v>
      </c>
      <c r="J222" s="17" t="n">
        <v>4549.76899317218</v>
      </c>
      <c r="K222" s="18" t="n">
        <f aca="false">_xlfn.XLOOKUP(C222,Ciclo!$A$2:$A$13,Ciclo!$D$2:$D$13,0)</f>
        <v>1.2</v>
      </c>
      <c r="L222" s="18" t="n">
        <f aca="false">F222*I222-J222</f>
        <v>6367.73564524467</v>
      </c>
      <c r="M222" s="19" t="n">
        <f aca="false">IF(J222=0,0,L222/J222)</f>
        <v>1.39957339697921</v>
      </c>
      <c r="N222" s="20" t="n">
        <f aca="false">M222*K222</f>
        <v>1.67948807637505</v>
      </c>
    </row>
    <row r="223" customFormat="false" ht="14.25" hidden="false" customHeight="false" outlineLevel="0" collapsed="false">
      <c r="A223" s="15" t="n">
        <v>2018</v>
      </c>
      <c r="B223" s="16" t="n">
        <f aca="false">DATE(A223,12,31)</f>
        <v>43465</v>
      </c>
      <c r="C223" s="17" t="s">
        <v>22</v>
      </c>
      <c r="D223" s="17" t="s">
        <v>18</v>
      </c>
      <c r="E223" s="17" t="n">
        <v>9.07360781796508</v>
      </c>
      <c r="F223" s="18" t="n">
        <f aca="false">E223*_xlfn.XLOOKUP(D223,conversiones!$A$2:$A$6,conversiones!$B$2:$B$6,0)</f>
        <v>411.578850622896</v>
      </c>
      <c r="G223" s="17" t="n">
        <v>1407.52005001653</v>
      </c>
      <c r="H223" s="17" t="s">
        <v>18</v>
      </c>
      <c r="I223" s="18" t="n">
        <f aca="false">G223/_xlfn.XLOOKUP(H223,conversiones!$A$2:$A$6,conversiones!$B$2:$B$6,0)</f>
        <v>31.0299834659729</v>
      </c>
      <c r="J223" s="17" t="n">
        <v>10167.2711784</v>
      </c>
      <c r="K223" s="18" t="n">
        <f aca="false">_xlfn.XLOOKUP(C223,Ciclo!$A$2:$A$13,Ciclo!$D$2:$D$13,0)</f>
        <v>1</v>
      </c>
      <c r="L223" s="18" t="n">
        <f aca="false">F223*I223-J223</f>
        <v>2604.01375137259</v>
      </c>
      <c r="M223" s="19" t="n">
        <f aca="false">IF(J223=0,0,L223/J223)</f>
        <v>0.256117271358388</v>
      </c>
      <c r="N223" s="20" t="n">
        <f aca="false">M223*K223</f>
        <v>0.256117271358388</v>
      </c>
    </row>
    <row r="224" customFormat="false" ht="14.25" hidden="false" customHeight="false" outlineLevel="0" collapsed="false">
      <c r="A224" s="15" t="n">
        <v>2018</v>
      </c>
      <c r="B224" s="16" t="n">
        <f aca="false">DATE(A224,12,31)</f>
        <v>43465</v>
      </c>
      <c r="C224" s="17" t="s">
        <v>24</v>
      </c>
      <c r="D224" s="17" t="s">
        <v>18</v>
      </c>
      <c r="E224" s="17" t="n">
        <v>9.37795350480305</v>
      </c>
      <c r="F224" s="18" t="n">
        <f aca="false">E224*_xlfn.XLOOKUP(D224,conversiones!$A$2:$A$6,conversiones!$B$2:$B$6,0)</f>
        <v>425.383970977866</v>
      </c>
      <c r="G224" s="17" t="n">
        <v>2237.2585875496</v>
      </c>
      <c r="H224" s="17" t="s">
        <v>18</v>
      </c>
      <c r="I224" s="18" t="n">
        <f aca="false">G224/_xlfn.XLOOKUP(H224,conversiones!$A$2:$A$6,conversiones!$B$2:$B$6,0)</f>
        <v>49.3222792669665</v>
      </c>
      <c r="J224" s="17" t="n">
        <v>9413.7321988512</v>
      </c>
      <c r="K224" s="18" t="n">
        <f aca="false">_xlfn.XLOOKUP(C224,Ciclo!$A$2:$A$13,Ciclo!$D$2:$D$13,0)</f>
        <v>1</v>
      </c>
      <c r="L224" s="18" t="n">
        <f aca="false">F224*I224-J224</f>
        <v>11567.1748134103</v>
      </c>
      <c r="M224" s="19" t="n">
        <f aca="false">IF(J224=0,0,L224/J224)</f>
        <v>1.2287554573543</v>
      </c>
      <c r="N224" s="20" t="n">
        <f aca="false">M224*K224</f>
        <v>1.2287554573543</v>
      </c>
    </row>
    <row r="225" customFormat="false" ht="14.25" hidden="false" customHeight="false" outlineLevel="0" collapsed="false">
      <c r="A225" s="15" t="n">
        <v>2018</v>
      </c>
      <c r="B225" s="16" t="n">
        <f aca="false">DATE(A225,12,31)</f>
        <v>43465</v>
      </c>
      <c r="C225" s="17" t="s">
        <v>30</v>
      </c>
      <c r="D225" s="17" t="s">
        <v>32</v>
      </c>
      <c r="E225" s="17" t="n">
        <v>96.966237066109</v>
      </c>
      <c r="F225" s="18" t="n">
        <f aca="false">E225*_xlfn.XLOOKUP(D225,conversiones!$A$2:$A$6,conversiones!$B$2:$B$6,0)</f>
        <v>2638.45131056883</v>
      </c>
      <c r="G225" s="17" t="n">
        <v>147.671639384921</v>
      </c>
      <c r="H225" s="17" t="s">
        <v>32</v>
      </c>
      <c r="I225" s="18" t="n">
        <f aca="false">G225/_xlfn.XLOOKUP(H225,conversiones!$A$2:$A$6,conversiones!$B$2:$B$6,0)</f>
        <v>5.42710912844252</v>
      </c>
      <c r="J225" s="17" t="n">
        <v>34069.662396</v>
      </c>
      <c r="K225" s="18" t="n">
        <f aca="false">_xlfn.XLOOKUP(C225,Ciclo!$A$2:$A$13,Ciclo!$D$2:$D$13,0)</f>
        <v>1</v>
      </c>
      <c r="L225" s="18" t="n">
        <f aca="false">F225*I225-J225</f>
        <v>-19750.4992034608</v>
      </c>
      <c r="M225" s="19" t="n">
        <f aca="false">IF(J225=0,0,L225/J225)</f>
        <v>-0.579709272545642</v>
      </c>
      <c r="N225" s="20" t="n">
        <f aca="false">M225*K225</f>
        <v>-0.579709272545642</v>
      </c>
    </row>
    <row r="226" customFormat="false" ht="14.25" hidden="false" customHeight="false" outlineLevel="0" collapsed="false">
      <c r="A226" s="15" t="n">
        <v>2018</v>
      </c>
      <c r="B226" s="16" t="n">
        <f aca="false">DATE(A226,12,31)</f>
        <v>43465</v>
      </c>
      <c r="C226" s="17" t="s">
        <v>33</v>
      </c>
      <c r="D226" s="17" t="s">
        <v>34</v>
      </c>
      <c r="E226" s="17" t="n">
        <v>3.24352053226841</v>
      </c>
      <c r="F226" s="18" t="n">
        <f aca="false">E226*_xlfn.XLOOKUP(D226,conversiones!$A$2:$A$6,conversiones!$B$2:$B$6,0)</f>
        <v>1323.84290524535</v>
      </c>
      <c r="G226" s="17" t="n">
        <v>6405.71643725198</v>
      </c>
      <c r="H226" s="17" t="s">
        <v>34</v>
      </c>
      <c r="I226" s="18" t="n">
        <f aca="false">G226/_xlfn.XLOOKUP(H226,conversiones!$A$2:$A$6,conversiones!$B$2:$B$6,0)</f>
        <v>15.694515343016</v>
      </c>
      <c r="J226" s="17" t="n">
        <v>22932.1463359308</v>
      </c>
      <c r="K226" s="18" t="n">
        <f aca="false">_xlfn.XLOOKUP(C226,Ciclo!$A$2:$A$13,Ciclo!$D$2:$D$13,0)</f>
        <v>1</v>
      </c>
      <c r="L226" s="18" t="n">
        <f aca="false">F226*I226-J226</f>
        <v>-2155.07354781475</v>
      </c>
      <c r="M226" s="19" t="n">
        <f aca="false">IF(J226=0,0,L226/J226)</f>
        <v>-0.093976094354418</v>
      </c>
      <c r="N226" s="20" t="n">
        <f aca="false">M226*K226</f>
        <v>-0.093976094354418</v>
      </c>
    </row>
    <row r="227" customFormat="false" ht="14.25" hidden="false" customHeight="false" outlineLevel="0" collapsed="false">
      <c r="A227" s="15" t="n">
        <v>2018</v>
      </c>
      <c r="B227" s="16" t="n">
        <f aca="false">DATE(A227,12,31)</f>
        <v>43465</v>
      </c>
      <c r="C227" s="17" t="s">
        <v>28</v>
      </c>
      <c r="D227" s="17" t="s">
        <v>29</v>
      </c>
      <c r="E227" s="17" t="n">
        <v>1.78473490671248</v>
      </c>
      <c r="F227" s="18" t="n">
        <f aca="false">E227*_xlfn.XLOOKUP(D227,conversiones!$A$2:$A$6,conversiones!$B$2:$B$6,0)</f>
        <v>1003.6278274407</v>
      </c>
      <c r="G227" s="17" t="n">
        <v>7378.72395923521</v>
      </c>
      <c r="H227" s="17" t="s">
        <v>29</v>
      </c>
      <c r="I227" s="18" t="n">
        <f aca="false">G227/_xlfn.XLOOKUP(H227,conversiones!$A$2:$A$6,conversiones!$B$2:$B$6,0)</f>
        <v>13.1214638105687</v>
      </c>
      <c r="J227" s="17" t="n">
        <v>7167.67993212066</v>
      </c>
      <c r="K227" s="18" t="n">
        <f aca="false">_xlfn.XLOOKUP(C227,Ciclo!$A$2:$A$13,Ciclo!$D$2:$D$13,0)</f>
        <v>3</v>
      </c>
      <c r="L227" s="18" t="n">
        <f aca="false">F227*I227-J227</f>
        <v>6001.38628492213</v>
      </c>
      <c r="M227" s="19" t="n">
        <f aca="false">IF(J227=0,0,L227/J227)</f>
        <v>0.837284357247595</v>
      </c>
      <c r="N227" s="20" t="n">
        <f aca="false">M227*K227</f>
        <v>2.51185307174278</v>
      </c>
    </row>
    <row r="228" customFormat="false" ht="14.25" hidden="false" customHeight="false" outlineLevel="0" collapsed="false">
      <c r="A228" s="15" t="n">
        <v>2018</v>
      </c>
      <c r="B228" s="16" t="n">
        <f aca="false">DATE(A228,12,31)</f>
        <v>43465</v>
      </c>
      <c r="C228" s="17" t="s">
        <v>26</v>
      </c>
      <c r="D228" s="17" t="s">
        <v>18</v>
      </c>
      <c r="E228" s="17" t="n">
        <v>6.55338398945204</v>
      </c>
      <c r="F228" s="18" t="n">
        <f aca="false">E228*_xlfn.XLOOKUP(D228,conversiones!$A$2:$A$6,conversiones!$B$2:$B$6,0)</f>
        <v>297.261497761545</v>
      </c>
      <c r="G228" s="17" t="n">
        <v>993.925285763889</v>
      </c>
      <c r="H228" s="17" t="s">
        <v>18</v>
      </c>
      <c r="I228" s="18" t="n">
        <f aca="false">G228/_xlfn.XLOOKUP(H228,conversiones!$A$2:$A$6,conversiones!$B$2:$B$6,0)</f>
        <v>21.9119331076695</v>
      </c>
      <c r="J228" s="17" t="n">
        <v>1733.52094425</v>
      </c>
      <c r="K228" s="18" t="n">
        <f aca="false">_xlfn.XLOOKUP(C228,Ciclo!$A$2:$A$13,Ciclo!$D$2:$D$13,0)</f>
        <v>3</v>
      </c>
      <c r="L228" s="18" t="n">
        <f aca="false">F228*I228-J228</f>
        <v>4780.05311018661</v>
      </c>
      <c r="M228" s="19" t="n">
        <f aca="false">IF(J228=0,0,L228/J228)</f>
        <v>2.75742449264418</v>
      </c>
      <c r="N228" s="20" t="n">
        <f aca="false">M228*K228</f>
        <v>8.27227347793253</v>
      </c>
    </row>
    <row r="229" customFormat="false" ht="14.25" hidden="false" customHeight="false" outlineLevel="0" collapsed="false">
      <c r="A229" s="15" t="n">
        <v>2018</v>
      </c>
      <c r="B229" s="16" t="n">
        <f aca="false">DATE(A229,12,31)</f>
        <v>43465</v>
      </c>
      <c r="C229" s="17" t="s">
        <v>27</v>
      </c>
      <c r="D229" s="17" t="s">
        <v>18</v>
      </c>
      <c r="E229" s="17" t="n">
        <v>8.97035914532505</v>
      </c>
      <c r="F229" s="18" t="n">
        <f aca="false">E229*_xlfn.XLOOKUP(D229,conversiones!$A$2:$A$6,conversiones!$B$2:$B$6,0)</f>
        <v>406.895490831944</v>
      </c>
      <c r="G229" s="17" t="n">
        <v>750.296497200176</v>
      </c>
      <c r="H229" s="17" t="s">
        <v>18</v>
      </c>
      <c r="I229" s="18" t="n">
        <f aca="false">G229/_xlfn.XLOOKUP(H229,conversiones!$A$2:$A$6,conversiones!$B$2:$B$6,0)</f>
        <v>16.5409280687869</v>
      </c>
      <c r="J229" s="17" t="n">
        <v>9289.57547778</v>
      </c>
      <c r="K229" s="18" t="n">
        <f aca="false">_xlfn.XLOOKUP(C229,Ciclo!$A$2:$A$13,Ciclo!$D$2:$D$13,0)</f>
        <v>2.4</v>
      </c>
      <c r="L229" s="18" t="n">
        <f aca="false">F229*I229-J229</f>
        <v>-2559.14643241505</v>
      </c>
      <c r="M229" s="19" t="n">
        <f aca="false">IF(J229=0,0,L229/J229)</f>
        <v>-0.275485832322085</v>
      </c>
      <c r="N229" s="20" t="n">
        <f aca="false">M229*K229</f>
        <v>-0.661165997573003</v>
      </c>
    </row>
    <row r="230" customFormat="false" ht="14.25" hidden="false" customHeight="false" outlineLevel="0" collapsed="false">
      <c r="A230" s="15" t="n">
        <v>2019</v>
      </c>
      <c r="B230" s="16" t="n">
        <f aca="false">DATE(A230,12,31)</f>
        <v>43830</v>
      </c>
      <c r="C230" s="17" t="s">
        <v>16</v>
      </c>
      <c r="D230" s="17" t="s">
        <v>18</v>
      </c>
      <c r="E230" s="17" t="n">
        <v>4.63648955033963</v>
      </c>
      <c r="F230" s="18" t="n">
        <f aca="false">E230*_xlfn.XLOOKUP(D230,conversiones!$A$2:$A$6,conversiones!$B$2:$B$6,0)</f>
        <v>210.311166003406</v>
      </c>
      <c r="G230" s="17" t="n">
        <v>2268.38370827069</v>
      </c>
      <c r="H230" s="17" t="s">
        <v>19</v>
      </c>
      <c r="I230" s="18" t="n">
        <f aca="false">G230/_xlfn.XLOOKUP(H230,conversiones!$A$2:$A$6,conversiones!$B$2:$B$6,0)</f>
        <v>20.6216700751881</v>
      </c>
      <c r="J230" s="17" t="n">
        <v>6284.7907932017</v>
      </c>
      <c r="K230" s="18" t="n">
        <f aca="false">_xlfn.XLOOKUP(C230,Ciclo!$A$2:$A$13,Ciclo!$D$2:$D$13,0)</f>
        <v>2.4</v>
      </c>
      <c r="L230" s="18" t="n">
        <f aca="false">F230*I230-J230</f>
        <v>-1947.82331475135</v>
      </c>
      <c r="M230" s="19" t="n">
        <f aca="false">IF(J230=0,0,L230/J230)</f>
        <v>-0.309926516067699</v>
      </c>
      <c r="N230" s="20" t="n">
        <f aca="false">M230*K230</f>
        <v>-0.743823638562478</v>
      </c>
    </row>
    <row r="231" customFormat="false" ht="14.25" hidden="false" customHeight="false" outlineLevel="0" collapsed="false">
      <c r="A231" s="15" t="n">
        <v>2019</v>
      </c>
      <c r="B231" s="16" t="n">
        <f aca="false">DATE(A231,12,31)</f>
        <v>43830</v>
      </c>
      <c r="C231" s="17" t="s">
        <v>20</v>
      </c>
      <c r="D231" s="17" t="s">
        <v>18</v>
      </c>
      <c r="E231" s="17" t="n">
        <v>2.36122094622473</v>
      </c>
      <c r="F231" s="18" t="n">
        <f aca="false">E231*_xlfn.XLOOKUP(D231,conversiones!$A$2:$A$6,conversiones!$B$2:$B$6,0)</f>
        <v>107.104982120754</v>
      </c>
      <c r="G231" s="17" t="n">
        <v>1018.3562577505</v>
      </c>
      <c r="H231" s="17" t="s">
        <v>18</v>
      </c>
      <c r="I231" s="18" t="n">
        <f aca="false">G231/_xlfn.XLOOKUP(H231,conversiones!$A$2:$A$6,conversiones!$B$2:$B$6,0)</f>
        <v>22.4505347828594</v>
      </c>
      <c r="J231" s="17" t="n">
        <v>2409.24360044496</v>
      </c>
      <c r="K231" s="18" t="n">
        <f aca="false">_xlfn.XLOOKUP(C231,Ciclo!$A$2:$A$13,Ciclo!$D$2:$D$13,0)</f>
        <v>3</v>
      </c>
      <c r="L231" s="18" t="n">
        <f aca="false">F231*I231-J231</f>
        <v>-4.6794739254492</v>
      </c>
      <c r="M231" s="19" t="n">
        <f aca="false">IF(J231=0,0,L231/J231)</f>
        <v>-0.00194230003333202</v>
      </c>
      <c r="N231" s="20" t="n">
        <f aca="false">M231*K231</f>
        <v>-0.00582690009999606</v>
      </c>
    </row>
    <row r="232" customFormat="false" ht="14.25" hidden="false" customHeight="false" outlineLevel="0" collapsed="false">
      <c r="A232" s="15" t="n">
        <v>2019</v>
      </c>
      <c r="B232" s="16" t="n">
        <f aca="false">DATE(A232,12,31)</f>
        <v>43830</v>
      </c>
      <c r="C232" s="17" t="s">
        <v>23</v>
      </c>
      <c r="D232" s="17" t="s">
        <v>18</v>
      </c>
      <c r="E232" s="17" t="n">
        <v>37.2315641313066</v>
      </c>
      <c r="F232" s="18" t="n">
        <f aca="false">E232*_xlfn.XLOOKUP(D232,conversiones!$A$2:$A$6,conversiones!$B$2:$B$6,0)</f>
        <v>1688.82374899607</v>
      </c>
      <c r="G232" s="17" t="n">
        <v>1051.30671296296</v>
      </c>
      <c r="H232" s="17" t="s">
        <v>18</v>
      </c>
      <c r="I232" s="18" t="n">
        <f aca="false">G232/_xlfn.XLOOKUP(H232,conversiones!$A$2:$A$6,conversiones!$B$2:$B$6,0)</f>
        <v>23.1769557531517</v>
      </c>
      <c r="J232" s="17" t="n">
        <v>26088.2600080873</v>
      </c>
      <c r="K232" s="18" t="n">
        <f aca="false">_xlfn.XLOOKUP(C232,Ciclo!$A$2:$A$13,Ciclo!$D$2:$D$13,0)</f>
        <v>4</v>
      </c>
      <c r="L232" s="18" t="n">
        <f aca="false">F232*I232-J232</f>
        <v>13053.5332972663</v>
      </c>
      <c r="M232" s="19" t="n">
        <f aca="false">IF(J232=0,0,L232/J232)</f>
        <v>0.500360441563359</v>
      </c>
      <c r="N232" s="20" t="n">
        <f aca="false">M232*K232</f>
        <v>2.00144176625344</v>
      </c>
    </row>
    <row r="233" customFormat="false" ht="14.25" hidden="false" customHeight="false" outlineLevel="0" collapsed="false">
      <c r="A233" s="15" t="n">
        <v>2019</v>
      </c>
      <c r="B233" s="16" t="n">
        <f aca="false">DATE(A233,12,31)</f>
        <v>43830</v>
      </c>
      <c r="C233" s="17" t="s">
        <v>21</v>
      </c>
      <c r="D233" s="17" t="s">
        <v>18</v>
      </c>
      <c r="E233" s="17" t="n">
        <v>11.0001091524314</v>
      </c>
      <c r="F233" s="18" t="n">
        <f aca="false">E233*_xlfn.XLOOKUP(D233,conversiones!$A$2:$A$6,conversiones!$B$2:$B$6,0)</f>
        <v>498.964951154288</v>
      </c>
      <c r="G233" s="17" t="n">
        <v>807.137755456349</v>
      </c>
      <c r="H233" s="17" t="s">
        <v>18</v>
      </c>
      <c r="I233" s="18" t="n">
        <f aca="false">G233/_xlfn.XLOOKUP(H233,conversiones!$A$2:$A$6,conversiones!$B$2:$B$6,0)</f>
        <v>17.7940422278737</v>
      </c>
      <c r="J233" s="17" t="n">
        <v>5846.970079582</v>
      </c>
      <c r="K233" s="18" t="n">
        <f aca="false">_xlfn.XLOOKUP(C233,Ciclo!$A$2:$A$13,Ciclo!$D$2:$D$13,0)</f>
        <v>2</v>
      </c>
      <c r="L233" s="18" t="n">
        <f aca="false">F233*I233-J233</f>
        <v>3031.63333148632</v>
      </c>
      <c r="M233" s="19" t="n">
        <f aca="false">IF(J233=0,0,L233/J233)</f>
        <v>0.518496467439261</v>
      </c>
      <c r="N233" s="20" t="n">
        <f aca="false">M233*K233</f>
        <v>1.03699293487852</v>
      </c>
    </row>
    <row r="234" customFormat="false" ht="14.25" hidden="false" customHeight="false" outlineLevel="0" collapsed="false">
      <c r="A234" s="15" t="n">
        <v>2019</v>
      </c>
      <c r="B234" s="16" t="n">
        <f aca="false">DATE(A234,12,31)</f>
        <v>43830</v>
      </c>
      <c r="C234" s="17" t="s">
        <v>25</v>
      </c>
      <c r="D234" s="17" t="s">
        <v>18</v>
      </c>
      <c r="E234" s="17" t="n">
        <v>10.4936445594349</v>
      </c>
      <c r="F234" s="18" t="n">
        <f aca="false">E234*_xlfn.XLOOKUP(D234,conversiones!$A$2:$A$6,conversiones!$B$2:$B$6,0)</f>
        <v>475.991717215967</v>
      </c>
      <c r="G234" s="17" t="n">
        <v>893.461146676587</v>
      </c>
      <c r="H234" s="17" t="s">
        <v>18</v>
      </c>
      <c r="I234" s="18" t="n">
        <f aca="false">G234/_xlfn.XLOOKUP(H234,conversiones!$A$2:$A$6,conversiones!$B$2:$B$6,0)</f>
        <v>19.6971152265562</v>
      </c>
      <c r="J234" s="17" t="n">
        <v>4718.29149012608</v>
      </c>
      <c r="K234" s="18" t="n">
        <f aca="false">_xlfn.XLOOKUP(C234,Ciclo!$A$2:$A$13,Ciclo!$D$2:$D$13,0)</f>
        <v>1.2</v>
      </c>
      <c r="L234" s="18" t="n">
        <f aca="false">F234*I234-J234</f>
        <v>4657.37221076315</v>
      </c>
      <c r="M234" s="19" t="n">
        <f aca="false">IF(J234=0,0,L234/J234)</f>
        <v>0.987088699481494</v>
      </c>
      <c r="N234" s="20" t="n">
        <f aca="false">M234*K234</f>
        <v>1.18450643937779</v>
      </c>
    </row>
    <row r="235" customFormat="false" ht="14.25" hidden="false" customHeight="false" outlineLevel="0" collapsed="false">
      <c r="A235" s="15" t="n">
        <v>2019</v>
      </c>
      <c r="B235" s="16" t="n">
        <f aca="false">DATE(A235,12,31)</f>
        <v>43830</v>
      </c>
      <c r="C235" s="17" t="s">
        <v>22</v>
      </c>
      <c r="D235" s="17" t="s">
        <v>18</v>
      </c>
      <c r="E235" s="17" t="n">
        <v>9.10684294564731</v>
      </c>
      <c r="F235" s="18" t="n">
        <f aca="false">E235*_xlfn.XLOOKUP(D235,conversiones!$A$2:$A$6,conversiones!$B$2:$B$6,0)</f>
        <v>413.086396014562</v>
      </c>
      <c r="G235" s="17" t="n">
        <v>1602.63263508598</v>
      </c>
      <c r="H235" s="17" t="s">
        <v>18</v>
      </c>
      <c r="I235" s="18" t="n">
        <f aca="false">G235/_xlfn.XLOOKUP(H235,conversiones!$A$2:$A$6,conversiones!$B$2:$B$6,0)</f>
        <v>35.3314072990736</v>
      </c>
      <c r="J235" s="17" t="n">
        <v>10137.37206528</v>
      </c>
      <c r="K235" s="18" t="n">
        <f aca="false">_xlfn.XLOOKUP(C235,Ciclo!$A$2:$A$13,Ciclo!$D$2:$D$13,0)</f>
        <v>1</v>
      </c>
      <c r="L235" s="18" t="n">
        <f aca="false">F235*I235-J235</f>
        <v>4457.55164201692</v>
      </c>
      <c r="M235" s="19" t="n">
        <f aca="false">IF(J235=0,0,L235/J235)</f>
        <v>0.439714712384269</v>
      </c>
      <c r="N235" s="20" t="n">
        <f aca="false">M235*K235</f>
        <v>0.439714712384269</v>
      </c>
    </row>
    <row r="236" customFormat="false" ht="14.25" hidden="false" customHeight="false" outlineLevel="0" collapsed="false">
      <c r="A236" s="15" t="n">
        <v>2019</v>
      </c>
      <c r="B236" s="16" t="n">
        <f aca="false">DATE(A236,12,31)</f>
        <v>43830</v>
      </c>
      <c r="C236" s="17" t="s">
        <v>24</v>
      </c>
      <c r="D236" s="17" t="s">
        <v>18</v>
      </c>
      <c r="E236" s="17" t="n">
        <v>9.2832488605186</v>
      </c>
      <c r="F236" s="18" t="n">
        <f aca="false">E236*_xlfn.XLOOKUP(D236,conversiones!$A$2:$A$6,conversiones!$B$2:$B$6,0)</f>
        <v>421.088168313124</v>
      </c>
      <c r="G236" s="17" t="n">
        <v>2930.53342179233</v>
      </c>
      <c r="H236" s="17" t="s">
        <v>18</v>
      </c>
      <c r="I236" s="18" t="n">
        <f aca="false">G236/_xlfn.XLOOKUP(H236,conversiones!$A$2:$A$6,conversiones!$B$2:$B$6,0)</f>
        <v>64.6061160007128</v>
      </c>
      <c r="J236" s="17" t="n">
        <v>8388.8026628832</v>
      </c>
      <c r="K236" s="18" t="n">
        <f aca="false">_xlfn.XLOOKUP(C236,Ciclo!$A$2:$A$13,Ciclo!$D$2:$D$13,0)</f>
        <v>1</v>
      </c>
      <c r="L236" s="18" t="n">
        <f aca="false">F236*I236-J236</f>
        <v>18816.0683856821</v>
      </c>
      <c r="M236" s="19" t="n">
        <f aca="false">IF(J236=0,0,L236/J236)</f>
        <v>2.24299809422566</v>
      </c>
      <c r="N236" s="20" t="n">
        <f aca="false">M236*K236</f>
        <v>2.24299809422566</v>
      </c>
    </row>
    <row r="237" customFormat="false" ht="14.25" hidden="false" customHeight="false" outlineLevel="0" collapsed="false">
      <c r="A237" s="15" t="n">
        <v>2019</v>
      </c>
      <c r="B237" s="16" t="n">
        <f aca="false">DATE(A237,12,31)</f>
        <v>43830</v>
      </c>
      <c r="C237" s="17" t="s">
        <v>30</v>
      </c>
      <c r="D237" s="17" t="s">
        <v>32</v>
      </c>
      <c r="E237" s="17" t="n">
        <v>96.827483879647</v>
      </c>
      <c r="F237" s="18" t="n">
        <f aca="false">E237*_xlfn.XLOOKUP(D237,conversiones!$A$2:$A$6,conversiones!$B$2:$B$6,0)</f>
        <v>2634.6758363652</v>
      </c>
      <c r="G237" s="17" t="n">
        <v>172.974181547619</v>
      </c>
      <c r="H237" s="17" t="s">
        <v>32</v>
      </c>
      <c r="I237" s="18" t="n">
        <f aca="false">G237/_xlfn.XLOOKUP(H237,conversiones!$A$2:$A$6,conversiones!$B$2:$B$6,0)</f>
        <v>6.35700777462767</v>
      </c>
      <c r="J237" s="17" t="n">
        <v>35445.71794842</v>
      </c>
      <c r="K237" s="18" t="n">
        <f aca="false">_xlfn.XLOOKUP(C237,Ciclo!$A$2:$A$13,Ciclo!$D$2:$D$13,0)</f>
        <v>1</v>
      </c>
      <c r="L237" s="18" t="n">
        <f aca="false">F237*I237-J237</f>
        <v>-18697.0631730228</v>
      </c>
      <c r="M237" s="19" t="n">
        <f aca="false">IF(J237=0,0,L237/J237)</f>
        <v>-0.527484397416648</v>
      </c>
      <c r="N237" s="20" t="n">
        <f aca="false">M237*K237</f>
        <v>-0.527484397416648</v>
      </c>
    </row>
    <row r="238" customFormat="false" ht="14.25" hidden="false" customHeight="false" outlineLevel="0" collapsed="false">
      <c r="A238" s="15" t="n">
        <v>2019</v>
      </c>
      <c r="B238" s="16" t="n">
        <f aca="false">DATE(A238,12,31)</f>
        <v>43830</v>
      </c>
      <c r="C238" s="17" t="s">
        <v>33</v>
      </c>
      <c r="D238" s="17" t="s">
        <v>34</v>
      </c>
      <c r="E238" s="17" t="n">
        <v>3.23200955560488</v>
      </c>
      <c r="F238" s="18" t="n">
        <f aca="false">E238*_xlfn.XLOOKUP(D238,conversiones!$A$2:$A$6,conversiones!$B$2:$B$6,0)</f>
        <v>1319.14470012013</v>
      </c>
      <c r="G238" s="17" t="n">
        <v>8835.40709325397</v>
      </c>
      <c r="H238" s="17" t="s">
        <v>34</v>
      </c>
      <c r="I238" s="18" t="n">
        <f aca="false">G238/_xlfn.XLOOKUP(H238,conversiones!$A$2:$A$6,conversiones!$B$2:$B$6,0)</f>
        <v>21.6474509206272</v>
      </c>
      <c r="J238" s="17" t="n">
        <v>22691.3984505224</v>
      </c>
      <c r="K238" s="18" t="n">
        <f aca="false">_xlfn.XLOOKUP(C238,Ciclo!$A$2:$A$13,Ciclo!$D$2:$D$13,0)</f>
        <v>1</v>
      </c>
      <c r="L238" s="18" t="n">
        <f aca="false">F238*I238-J238</f>
        <v>5864.72170253357</v>
      </c>
      <c r="M238" s="19" t="n">
        <f aca="false">IF(J238=0,0,L238/J238)</f>
        <v>0.258455719039148</v>
      </c>
      <c r="N238" s="20" t="n">
        <f aca="false">M238*K238</f>
        <v>0.258455719039148</v>
      </c>
    </row>
    <row r="239" customFormat="false" ht="14.25" hidden="false" customHeight="false" outlineLevel="0" collapsed="false">
      <c r="A239" s="15" t="n">
        <v>2019</v>
      </c>
      <c r="B239" s="16" t="n">
        <f aca="false">DATE(A239,12,31)</f>
        <v>43830</v>
      </c>
      <c r="C239" s="17" t="s">
        <v>28</v>
      </c>
      <c r="D239" s="17" t="s">
        <v>29</v>
      </c>
      <c r="E239" s="17" t="n">
        <v>1.80667843900297</v>
      </c>
      <c r="F239" s="18" t="n">
        <f aca="false">E239*_xlfn.XLOOKUP(D239,conversiones!$A$2:$A$6,conversiones!$B$2:$B$6,0)</f>
        <v>1015.96755338893</v>
      </c>
      <c r="G239" s="17" t="n">
        <v>8370.31145833333</v>
      </c>
      <c r="H239" s="17" t="s">
        <v>29</v>
      </c>
      <c r="I239" s="18" t="n">
        <f aca="false">G239/_xlfn.XLOOKUP(H239,conversiones!$A$2:$A$6,conversiones!$B$2:$B$6,0)</f>
        <v>14.8847875988429</v>
      </c>
      <c r="J239" s="17" t="n">
        <v>7149.9398177165</v>
      </c>
      <c r="K239" s="18" t="n">
        <f aca="false">_xlfn.XLOOKUP(C239,Ciclo!$A$2:$A$13,Ciclo!$D$2:$D$13,0)</f>
        <v>3</v>
      </c>
      <c r="L239" s="18" t="n">
        <f aca="false">F239*I239-J239</f>
        <v>7972.52142179383</v>
      </c>
      <c r="M239" s="19" t="n">
        <f aca="false">IF(J239=0,0,L239/J239)</f>
        <v>1.11504734655795</v>
      </c>
      <c r="N239" s="20" t="n">
        <f aca="false">M239*K239</f>
        <v>3.34514203967386</v>
      </c>
    </row>
    <row r="240" customFormat="false" ht="14.25" hidden="false" customHeight="false" outlineLevel="0" collapsed="false">
      <c r="A240" s="15" t="n">
        <v>2019</v>
      </c>
      <c r="B240" s="16" t="n">
        <f aca="false">DATE(A240,12,31)</f>
        <v>43830</v>
      </c>
      <c r="C240" s="17" t="s">
        <v>26</v>
      </c>
      <c r="D240" s="17" t="s">
        <v>18</v>
      </c>
      <c r="E240" s="17" t="n">
        <v>6.56309214980605</v>
      </c>
      <c r="F240" s="18" t="n">
        <f aca="false">E240*_xlfn.XLOOKUP(D240,conversiones!$A$2:$A$6,conversiones!$B$2:$B$6,0)</f>
        <v>297.701859915202</v>
      </c>
      <c r="G240" s="17" t="n">
        <v>1002.63462379299</v>
      </c>
      <c r="H240" s="17" t="s">
        <v>18</v>
      </c>
      <c r="I240" s="18" t="n">
        <f aca="false">G240/_xlfn.XLOOKUP(H240,conversiones!$A$2:$A$6,conversiones!$B$2:$B$6,0)</f>
        <v>22.1039379143075</v>
      </c>
      <c r="J240" s="17" t="n">
        <v>1668.6966112895</v>
      </c>
      <c r="K240" s="18" t="n">
        <f aca="false">_xlfn.XLOOKUP(C240,Ciclo!$A$2:$A$13,Ciclo!$D$2:$D$13,0)</f>
        <v>3</v>
      </c>
      <c r="L240" s="18" t="n">
        <f aca="false">F240*I240-J240</f>
        <v>4911.68681725002</v>
      </c>
      <c r="M240" s="19" t="n">
        <f aca="false">IF(J240=0,0,L240/J240)</f>
        <v>2.94342709394877</v>
      </c>
      <c r="N240" s="20" t="n">
        <f aca="false">M240*K240</f>
        <v>8.83028128184632</v>
      </c>
    </row>
    <row r="241" customFormat="false" ht="14.25" hidden="false" customHeight="false" outlineLevel="0" collapsed="false">
      <c r="A241" s="15" t="n">
        <v>2019</v>
      </c>
      <c r="B241" s="16" t="n">
        <f aca="false">DATE(A241,12,31)</f>
        <v>43830</v>
      </c>
      <c r="C241" s="17" t="s">
        <v>27</v>
      </c>
      <c r="D241" s="17" t="s">
        <v>18</v>
      </c>
      <c r="E241" s="17" t="n">
        <v>9.00766912611321</v>
      </c>
      <c r="F241" s="18" t="n">
        <f aca="false">E241*_xlfn.XLOOKUP(D241,conversiones!$A$2:$A$6,conversiones!$B$2:$B$6,0)</f>
        <v>408.587871560495</v>
      </c>
      <c r="G241" s="17" t="n">
        <v>837.365259264771</v>
      </c>
      <c r="H241" s="17" t="s">
        <v>18</v>
      </c>
      <c r="I241" s="18" t="n">
        <f aca="false">G241/_xlfn.XLOOKUP(H241,conversiones!$A$2:$A$6,conversiones!$B$2:$B$6,0)</f>
        <v>18.460433405308</v>
      </c>
      <c r="J241" s="17" t="n">
        <v>9222.1943510245</v>
      </c>
      <c r="K241" s="18" t="n">
        <f aca="false">_xlfn.XLOOKUP(C241,Ciclo!$A$2:$A$13,Ciclo!$D$2:$D$13,0)</f>
        <v>2.4</v>
      </c>
      <c r="L241" s="18" t="n">
        <f aca="false">F241*I241-J241</f>
        <v>-1679.48515786544</v>
      </c>
      <c r="M241" s="19" t="n">
        <f aca="false">IF(J241=0,0,L241/J241)</f>
        <v>-0.18211339882236</v>
      </c>
      <c r="N241" s="20" t="n">
        <f aca="false">M241*K241</f>
        <v>-0.437072157173664</v>
      </c>
    </row>
    <row r="242" customFormat="false" ht="14.25" hidden="false" customHeight="false" outlineLevel="0" collapsed="false">
      <c r="A242" s="15" t="n">
        <v>2020</v>
      </c>
      <c r="B242" s="16" t="n">
        <f aca="false">DATE(A242,12,31)</f>
        <v>44196</v>
      </c>
      <c r="C242" s="17" t="s">
        <v>16</v>
      </c>
      <c r="D242" s="17" t="s">
        <v>18</v>
      </c>
      <c r="E242" s="17" t="n">
        <v>4.59905161882644</v>
      </c>
      <c r="F242" s="18" t="n">
        <f aca="false">E242*_xlfn.XLOOKUP(D242,conversiones!$A$2:$A$6,conversiones!$B$2:$B$6,0)</f>
        <v>208.612981429967</v>
      </c>
      <c r="G242" s="17" t="n">
        <v>2335.04242238749</v>
      </c>
      <c r="H242" s="17" t="s">
        <v>19</v>
      </c>
      <c r="I242" s="18" t="n">
        <f aca="false">G242/_xlfn.XLOOKUP(H242,conversiones!$A$2:$A$6,conversiones!$B$2:$B$6,0)</f>
        <v>21.2276583853408</v>
      </c>
      <c r="J242" s="17" t="n">
        <v>7092.59436898665</v>
      </c>
      <c r="K242" s="18" t="n">
        <f aca="false">_xlfn.XLOOKUP(C242,Ciclo!$A$2:$A$13,Ciclo!$D$2:$D$13,0)</f>
        <v>2.4</v>
      </c>
      <c r="L242" s="18" t="n">
        <f aca="false">F242*I242-J242</f>
        <v>-2664.22926444386</v>
      </c>
      <c r="M242" s="19" t="n">
        <f aca="false">IF(J242=0,0,L242/J242)</f>
        <v>-0.375635363569298</v>
      </c>
      <c r="N242" s="20" t="n">
        <f aca="false">M242*K242</f>
        <v>-0.901524872566315</v>
      </c>
    </row>
    <row r="243" customFormat="false" ht="14.25" hidden="false" customHeight="false" outlineLevel="0" collapsed="false">
      <c r="A243" s="15" t="n">
        <v>2020</v>
      </c>
      <c r="B243" s="16" t="n">
        <f aca="false">DATE(A243,12,31)</f>
        <v>44196</v>
      </c>
      <c r="C243" s="17" t="s">
        <v>20</v>
      </c>
      <c r="D243" s="17" t="s">
        <v>18</v>
      </c>
      <c r="E243" s="17" t="n">
        <v>2.48719536582484</v>
      </c>
      <c r="F243" s="18" t="n">
        <f aca="false">E243*_xlfn.XLOOKUP(D243,conversiones!$A$2:$A$6,conversiones!$B$2:$B$6,0)</f>
        <v>112.819181793815</v>
      </c>
      <c r="G243" s="17" t="n">
        <v>934.906593295304</v>
      </c>
      <c r="H243" s="17" t="s">
        <v>18</v>
      </c>
      <c r="I243" s="18" t="n">
        <f aca="false">G243/_xlfn.XLOOKUP(H243,conversiones!$A$2:$A$6,conversiones!$B$2:$B$6,0)</f>
        <v>20.6108155488383</v>
      </c>
      <c r="J243" s="17" t="n">
        <v>2584.15468583726</v>
      </c>
      <c r="K243" s="18" t="n">
        <f aca="false">_xlfn.XLOOKUP(C243,Ciclo!$A$2:$A$13,Ciclo!$D$2:$D$13,0)</f>
        <v>3</v>
      </c>
      <c r="L243" s="18" t="n">
        <f aca="false">F243*I243-J243</f>
        <v>-258.859339514092</v>
      </c>
      <c r="M243" s="19" t="n">
        <f aca="false">IF(J243=0,0,L243/J243)</f>
        <v>-0.100171766393397</v>
      </c>
      <c r="N243" s="20" t="n">
        <f aca="false">M243*K243</f>
        <v>-0.30051529918019</v>
      </c>
    </row>
    <row r="244" customFormat="false" ht="14.25" hidden="false" customHeight="false" outlineLevel="0" collapsed="false">
      <c r="A244" s="15" t="n">
        <v>2020</v>
      </c>
      <c r="B244" s="16" t="n">
        <f aca="false">DATE(A244,12,31)</f>
        <v>44196</v>
      </c>
      <c r="C244" s="17" t="s">
        <v>23</v>
      </c>
      <c r="D244" s="17" t="s">
        <v>18</v>
      </c>
      <c r="E244" s="17" t="n">
        <v>36.9399223997828</v>
      </c>
      <c r="F244" s="18" t="n">
        <f aca="false">E244*_xlfn.XLOOKUP(D244,conversiones!$A$2:$A$6,conversiones!$B$2:$B$6,0)</f>
        <v>1675.59488005415</v>
      </c>
      <c r="G244" s="17" t="n">
        <v>1172.34296296296</v>
      </c>
      <c r="H244" s="17" t="s">
        <v>18</v>
      </c>
      <c r="I244" s="18" t="n">
        <f aca="false">G244/_xlfn.XLOOKUP(H244,conversiones!$A$2:$A$6,conversiones!$B$2:$B$6,0)</f>
        <v>25.845303416291</v>
      </c>
      <c r="J244" s="17" t="n">
        <v>28931.455637377</v>
      </c>
      <c r="K244" s="18" t="n">
        <f aca="false">_xlfn.XLOOKUP(C244,Ciclo!$A$2:$A$13,Ciclo!$D$2:$D$13,0)</f>
        <v>4</v>
      </c>
      <c r="L244" s="18" t="n">
        <f aca="false">F244*I244-J244</f>
        <v>14374.8024404062</v>
      </c>
      <c r="M244" s="19" t="n">
        <f aca="false">IF(J244=0,0,L244/J244)</f>
        <v>0.496857213842886</v>
      </c>
      <c r="N244" s="20" t="n">
        <f aca="false">M244*K244</f>
        <v>1.98742885537154</v>
      </c>
    </row>
    <row r="245" customFormat="false" ht="14.25" hidden="false" customHeight="false" outlineLevel="0" collapsed="false">
      <c r="A245" s="15" t="n">
        <v>2020</v>
      </c>
      <c r="B245" s="16" t="n">
        <f aca="false">DATE(A245,12,31)</f>
        <v>44196</v>
      </c>
      <c r="C245" s="17" t="s">
        <v>21</v>
      </c>
      <c r="D245" s="17" t="s">
        <v>18</v>
      </c>
      <c r="E245" s="17" t="n">
        <v>11.608594458603</v>
      </c>
      <c r="F245" s="18" t="n">
        <f aca="false">E245*_xlfn.XLOOKUP(D245,conversiones!$A$2:$A$6,conversiones!$B$2:$B$6,0)</f>
        <v>526.565844642232</v>
      </c>
      <c r="G245" s="17" t="n">
        <v>788.081299906305</v>
      </c>
      <c r="H245" s="17" t="s">
        <v>18</v>
      </c>
      <c r="I245" s="18" t="n">
        <f aca="false">G245/_xlfn.XLOOKUP(H245,conversiones!$A$2:$A$6,conversiones!$B$2:$B$6,0)</f>
        <v>17.3739263647775</v>
      </c>
      <c r="J245" s="17" t="n">
        <v>6271.46010735965</v>
      </c>
      <c r="K245" s="18" t="n">
        <f aca="false">_xlfn.XLOOKUP(C245,Ciclo!$A$2:$A$13,Ciclo!$D$2:$D$13,0)</f>
        <v>2</v>
      </c>
      <c r="L245" s="18" t="n">
        <f aca="false">F245*I245-J245</f>
        <v>2877.05610366133</v>
      </c>
      <c r="M245" s="19" t="n">
        <f aca="false">IF(J245=0,0,L245/J245)</f>
        <v>0.458753791686415</v>
      </c>
      <c r="N245" s="20" t="n">
        <f aca="false">M245*K245</f>
        <v>0.917507583372831</v>
      </c>
    </row>
    <row r="246" customFormat="false" ht="14.25" hidden="false" customHeight="false" outlineLevel="0" collapsed="false">
      <c r="A246" s="15" t="n">
        <v>2020</v>
      </c>
      <c r="B246" s="16" t="n">
        <f aca="false">DATE(A246,12,31)</f>
        <v>44196</v>
      </c>
      <c r="C246" s="17" t="s">
        <v>25</v>
      </c>
      <c r="D246" s="17" t="s">
        <v>18</v>
      </c>
      <c r="E246" s="17" t="n">
        <v>10.7400058344914</v>
      </c>
      <c r="F246" s="18" t="n">
        <f aca="false">E246*_xlfn.XLOOKUP(D246,conversiones!$A$2:$A$6,conversiones!$B$2:$B$6,0)</f>
        <v>487.16666465253</v>
      </c>
      <c r="G246" s="17" t="n">
        <v>645.644957265487</v>
      </c>
      <c r="H246" s="17" t="s">
        <v>18</v>
      </c>
      <c r="I246" s="18" t="n">
        <f aca="false">G246/_xlfn.XLOOKUP(H246,conversiones!$A$2:$A$6,conversiones!$B$2:$B$6,0)</f>
        <v>14.2337953541774</v>
      </c>
      <c r="J246" s="17" t="n">
        <v>5060.83945230923</v>
      </c>
      <c r="K246" s="18" t="n">
        <f aca="false">_xlfn.XLOOKUP(C246,Ciclo!$A$2:$A$13,Ciclo!$D$2:$D$13,0)</f>
        <v>1.2</v>
      </c>
      <c r="L246" s="18" t="n">
        <f aca="false">F246*I246-J246</f>
        <v>1873.39115573205</v>
      </c>
      <c r="M246" s="19" t="n">
        <f aca="false">IF(J246=0,0,L246/J246)</f>
        <v>0.370173994529156</v>
      </c>
      <c r="N246" s="20" t="n">
        <f aca="false">M246*K246</f>
        <v>0.444208793434987</v>
      </c>
    </row>
    <row r="247" customFormat="false" ht="14.25" hidden="false" customHeight="false" outlineLevel="0" collapsed="false">
      <c r="A247" s="15" t="n">
        <v>2020</v>
      </c>
      <c r="B247" s="16" t="n">
        <f aca="false">DATE(A247,12,31)</f>
        <v>44196</v>
      </c>
      <c r="C247" s="17" t="s">
        <v>22</v>
      </c>
      <c r="D247" s="17" t="s">
        <v>18</v>
      </c>
      <c r="E247" s="17" t="n">
        <v>9.77932305393626</v>
      </c>
      <c r="F247" s="18" t="n">
        <f aca="false">E247*_xlfn.XLOOKUP(D247,conversiones!$A$2:$A$6,conversiones!$B$2:$B$6,0)</f>
        <v>443.590093726549</v>
      </c>
      <c r="G247" s="17" t="n">
        <v>1869.90092167659</v>
      </c>
      <c r="H247" s="17" t="s">
        <v>18</v>
      </c>
      <c r="I247" s="18" t="n">
        <f aca="false">G247/_xlfn.XLOOKUP(H247,conversiones!$A$2:$A$6,conversiones!$B$2:$B$6,0)</f>
        <v>41.2235652926938</v>
      </c>
      <c r="J247" s="17" t="n">
        <v>10873.3452772193</v>
      </c>
      <c r="K247" s="18" t="n">
        <f aca="false">_xlfn.XLOOKUP(C247,Ciclo!$A$2:$A$13,Ciclo!$D$2:$D$13,0)</f>
        <v>1</v>
      </c>
      <c r="L247" s="18" t="n">
        <f aca="false">F247*I247-J247</f>
        <v>7413.01991470924</v>
      </c>
      <c r="M247" s="19" t="n">
        <f aca="false">IF(J247=0,0,L247/J247)</f>
        <v>0.681760739286025</v>
      </c>
      <c r="N247" s="20" t="n">
        <f aca="false">M247*K247</f>
        <v>0.681760739286025</v>
      </c>
    </row>
    <row r="248" customFormat="false" ht="14.25" hidden="false" customHeight="false" outlineLevel="0" collapsed="false">
      <c r="A248" s="15" t="n">
        <v>2020</v>
      </c>
      <c r="B248" s="16" t="n">
        <f aca="false">DATE(A248,12,31)</f>
        <v>44196</v>
      </c>
      <c r="C248" s="17" t="s">
        <v>24</v>
      </c>
      <c r="D248" s="17" t="s">
        <v>18</v>
      </c>
      <c r="E248" s="17" t="n">
        <v>10.473675934904</v>
      </c>
      <c r="F248" s="18" t="n">
        <f aca="false">E248*_xlfn.XLOOKUP(D248,conversiones!$A$2:$A$6,conversiones!$B$2:$B$6,0)</f>
        <v>475.085940407245</v>
      </c>
      <c r="G248" s="17" t="n">
        <v>2930.16948735119</v>
      </c>
      <c r="H248" s="17" t="s">
        <v>18</v>
      </c>
      <c r="I248" s="18" t="n">
        <f aca="false">G248/_xlfn.XLOOKUP(H248,conversiones!$A$2:$A$6,conversiones!$B$2:$B$6,0)</f>
        <v>64.5980927546559</v>
      </c>
      <c r="J248" s="17" t="n">
        <v>8997.82973620852</v>
      </c>
      <c r="K248" s="18" t="n">
        <f aca="false">_xlfn.XLOOKUP(C248,Ciclo!$A$2:$A$13,Ciclo!$D$2:$D$13,0)</f>
        <v>1</v>
      </c>
      <c r="L248" s="18" t="n">
        <f aca="false">F248*I248-J248</f>
        <v>21691.8159086516</v>
      </c>
      <c r="M248" s="19" t="n">
        <f aca="false">IF(J248=0,0,L248/J248)</f>
        <v>2.41078310488147</v>
      </c>
      <c r="N248" s="20" t="n">
        <f aca="false">M248*K248</f>
        <v>2.41078310488147</v>
      </c>
    </row>
    <row r="249" customFormat="false" ht="14.25" hidden="false" customHeight="false" outlineLevel="0" collapsed="false">
      <c r="A249" s="15" t="n">
        <v>2020</v>
      </c>
      <c r="B249" s="16" t="n">
        <f aca="false">DATE(A249,12,31)</f>
        <v>44196</v>
      </c>
      <c r="C249" s="17" t="s">
        <v>30</v>
      </c>
      <c r="D249" s="17" t="s">
        <v>32</v>
      </c>
      <c r="E249" s="17" t="n">
        <v>101.32426418258</v>
      </c>
      <c r="F249" s="18" t="n">
        <f aca="false">E249*_xlfn.XLOOKUP(D249,conversiones!$A$2:$A$6,conversiones!$B$2:$B$6,0)</f>
        <v>2757.033228408</v>
      </c>
      <c r="G249" s="17" t="n">
        <v>199.408196924603</v>
      </c>
      <c r="H249" s="17" t="s">
        <v>32</v>
      </c>
      <c r="I249" s="18" t="n">
        <f aca="false">G249/_xlfn.XLOOKUP(H249,conversiones!$A$2:$A$6,conversiones!$B$2:$B$6,0)</f>
        <v>7.32848941288508</v>
      </c>
      <c r="J249" s="17" t="n">
        <v>38019.0770714752</v>
      </c>
      <c r="K249" s="18" t="n">
        <f aca="false">_xlfn.XLOOKUP(C249,Ciclo!$A$2:$A$13,Ciclo!$D$2:$D$13,0)</f>
        <v>1</v>
      </c>
      <c r="L249" s="18" t="n">
        <f aca="false">F249*I249-J249</f>
        <v>-17814.1882461148</v>
      </c>
      <c r="M249" s="19" t="n">
        <f aca="false">IF(J249=0,0,L249/J249)</f>
        <v>-0.468559197600311</v>
      </c>
      <c r="N249" s="20" t="n">
        <f aca="false">M249*K249</f>
        <v>-0.468559197600311</v>
      </c>
    </row>
    <row r="250" customFormat="false" ht="14.25" hidden="false" customHeight="false" outlineLevel="0" collapsed="false">
      <c r="A250" s="15" t="n">
        <v>2020</v>
      </c>
      <c r="B250" s="16" t="n">
        <f aca="false">DATE(A250,12,31)</f>
        <v>44196</v>
      </c>
      <c r="C250" s="17" t="s">
        <v>33</v>
      </c>
      <c r="D250" s="17" t="s">
        <v>34</v>
      </c>
      <c r="E250" s="17" t="n">
        <v>3.94392643237816</v>
      </c>
      <c r="F250" s="18" t="n">
        <f aca="false">E250*_xlfn.XLOOKUP(D250,conversiones!$A$2:$A$6,conversiones!$B$2:$B$6,0)</f>
        <v>1609.71357337515</v>
      </c>
      <c r="G250" s="17" t="n">
        <v>9622.14186507937</v>
      </c>
      <c r="H250" s="17" t="s">
        <v>34</v>
      </c>
      <c r="I250" s="18" t="n">
        <f aca="false">G250/_xlfn.XLOOKUP(H250,conversiones!$A$2:$A$6,conversiones!$B$2:$B$6,0)</f>
        <v>23.5750137573916</v>
      </c>
      <c r="J250" s="17" t="n">
        <v>33327.4212424613</v>
      </c>
      <c r="K250" s="18" t="n">
        <f aca="false">_xlfn.XLOOKUP(C250,Ciclo!$A$2:$A$13,Ciclo!$D$2:$D$13,0)</f>
        <v>1</v>
      </c>
      <c r="L250" s="18" t="n">
        <f aca="false">F250*I250-J250</f>
        <v>4621.59839531771</v>
      </c>
      <c r="M250" s="19" t="n">
        <f aca="false">IF(J250=0,0,L250/J250)</f>
        <v>0.138672547200547</v>
      </c>
      <c r="N250" s="20" t="n">
        <f aca="false">M250*K250</f>
        <v>0.138672547200547</v>
      </c>
    </row>
    <row r="251" customFormat="false" ht="14.25" hidden="false" customHeight="false" outlineLevel="0" collapsed="false">
      <c r="A251" s="15" t="n">
        <v>2020</v>
      </c>
      <c r="B251" s="16" t="n">
        <f aca="false">DATE(A251,12,31)</f>
        <v>44196</v>
      </c>
      <c r="C251" s="17" t="s">
        <v>28</v>
      </c>
      <c r="D251" s="17" t="s">
        <v>29</v>
      </c>
      <c r="E251" s="17" t="n">
        <v>1.89436483584159</v>
      </c>
      <c r="F251" s="18" t="n">
        <f aca="false">E251*_xlfn.XLOOKUP(D251,conversiones!$A$2:$A$6,conversiones!$B$2:$B$6,0)</f>
        <v>1065.27712178716</v>
      </c>
      <c r="G251" s="17" t="n">
        <v>8045.00226658951</v>
      </c>
      <c r="H251" s="17" t="s">
        <v>29</v>
      </c>
      <c r="I251" s="18" t="n">
        <f aca="false">G251/_xlfn.XLOOKUP(H251,conversiones!$A$2:$A$6,conversiones!$B$2:$B$6,0)</f>
        <v>14.3062955980181</v>
      </c>
      <c r="J251" s="17" t="n">
        <v>13735.1419088583</v>
      </c>
      <c r="K251" s="18" t="n">
        <f aca="false">_xlfn.XLOOKUP(C251,Ciclo!$A$2:$A$13,Ciclo!$D$2:$D$13,0)</f>
        <v>3</v>
      </c>
      <c r="L251" s="18" t="n">
        <f aca="false">F251*I251-J251</f>
        <v>1505.02748923476</v>
      </c>
      <c r="M251" s="19" t="n">
        <f aca="false">IF(J251=0,0,L251/J251)</f>
        <v>0.109574950096738</v>
      </c>
      <c r="N251" s="20" t="n">
        <f aca="false">M251*K251</f>
        <v>0.328724850290213</v>
      </c>
    </row>
    <row r="252" customFormat="false" ht="14.25" hidden="false" customHeight="false" outlineLevel="0" collapsed="false">
      <c r="A252" s="15" t="n">
        <v>2020</v>
      </c>
      <c r="B252" s="16" t="n">
        <f aca="false">DATE(A252,12,31)</f>
        <v>44196</v>
      </c>
      <c r="C252" s="17" t="s">
        <v>26</v>
      </c>
      <c r="D252" s="17" t="s">
        <v>18</v>
      </c>
      <c r="E252" s="17" t="n">
        <v>7.25681164651314</v>
      </c>
      <c r="F252" s="18" t="n">
        <f aca="false">E252*_xlfn.XLOOKUP(D252,conversiones!$A$2:$A$6,conversiones!$B$2:$B$6,0)</f>
        <v>329.168976285836</v>
      </c>
      <c r="G252" s="17" t="n">
        <v>1033.67262938161</v>
      </c>
      <c r="H252" s="17" t="s">
        <v>18</v>
      </c>
      <c r="I252" s="18" t="n">
        <f aca="false">G252/_xlfn.XLOOKUP(H252,conversiones!$A$2:$A$6,conversiones!$B$2:$B$6,0)</f>
        <v>22.7881972967727</v>
      </c>
      <c r="J252" s="17" t="n">
        <v>1789.84398526912</v>
      </c>
      <c r="K252" s="18" t="n">
        <f aca="false">_xlfn.XLOOKUP(C252,Ciclo!$A$2:$A$13,Ciclo!$D$2:$D$13,0)</f>
        <v>3</v>
      </c>
      <c r="L252" s="18" t="n">
        <f aca="false">F252*I252-J252</f>
        <v>5711.32359030921</v>
      </c>
      <c r="M252" s="19" t="n">
        <f aca="false">IF(J252=0,0,L252/J252)</f>
        <v>3.19096169125068</v>
      </c>
      <c r="N252" s="20" t="n">
        <f aca="false">M252*K252</f>
        <v>9.57288507375204</v>
      </c>
    </row>
    <row r="253" customFormat="false" ht="14.25" hidden="false" customHeight="false" outlineLevel="0" collapsed="false">
      <c r="A253" s="15" t="n">
        <v>2020</v>
      </c>
      <c r="B253" s="16" t="n">
        <f aca="false">DATE(A253,12,31)</f>
        <v>44196</v>
      </c>
      <c r="C253" s="17" t="s">
        <v>27</v>
      </c>
      <c r="D253" s="17" t="s">
        <v>18</v>
      </c>
      <c r="E253" s="17" t="n">
        <v>9.87399757426549</v>
      </c>
      <c r="F253" s="18" t="n">
        <f aca="false">E253*_xlfn.XLOOKUP(D253,conversiones!$A$2:$A$6,conversiones!$B$2:$B$6,0)</f>
        <v>447.884529968683</v>
      </c>
      <c r="G253" s="17" t="n">
        <v>917.432399140212</v>
      </c>
      <c r="H253" s="17" t="s">
        <v>18</v>
      </c>
      <c r="I253" s="18" t="n">
        <f aca="false">G253/_xlfn.XLOOKUP(H253,conversiones!$A$2:$A$6,conversiones!$B$2:$B$6,0)</f>
        <v>20.2255819916273</v>
      </c>
      <c r="J253" s="17" t="n">
        <v>9891.72566090888</v>
      </c>
      <c r="K253" s="18" t="n">
        <f aca="false">_xlfn.XLOOKUP(C253,Ciclo!$A$2:$A$13,Ciclo!$D$2:$D$13,0)</f>
        <v>2.4</v>
      </c>
      <c r="L253" s="18" t="n">
        <f aca="false">F253*I253-J253</f>
        <v>-833.000377245857</v>
      </c>
      <c r="M253" s="19" t="n">
        <f aca="false">IF(J253=0,0,L253/J253)</f>
        <v>-0.0842118358111964</v>
      </c>
      <c r="N253" s="20" t="n">
        <f aca="false">M253*K253</f>
        <v>-0.202108405946871</v>
      </c>
    </row>
    <row r="254" customFormat="false" ht="14.25" hidden="false" customHeight="false" outlineLevel="0" collapsed="false">
      <c r="A254" s="15" t="n">
        <v>2021</v>
      </c>
      <c r="B254" s="16" t="n">
        <f aca="false">DATE(A254,12,31)</f>
        <v>44561</v>
      </c>
      <c r="C254" s="17" t="s">
        <v>16</v>
      </c>
      <c r="D254" s="17" t="s">
        <v>18</v>
      </c>
      <c r="E254" s="17" t="n">
        <v>4.74395661546124</v>
      </c>
      <c r="F254" s="18" t="n">
        <f aca="false">E254*_xlfn.XLOOKUP(D254,conversiones!$A$2:$A$6,conversiones!$B$2:$B$6,0)</f>
        <v>215.185872077322</v>
      </c>
      <c r="G254" s="17" t="n">
        <v>2502.11954718641</v>
      </c>
      <c r="H254" s="17" t="s">
        <v>19</v>
      </c>
      <c r="I254" s="18" t="n">
        <f aca="false">G254/_xlfn.XLOOKUP(H254,conversiones!$A$2:$A$6,conversiones!$B$2:$B$6,0)</f>
        <v>22.7465413380583</v>
      </c>
      <c r="J254" s="17" t="n">
        <v>7900.39794477161</v>
      </c>
      <c r="K254" s="18" t="n">
        <f aca="false">_xlfn.XLOOKUP(C254,Ciclo!$A$2:$A$13,Ciclo!$D$2:$D$13,0)</f>
        <v>2.4</v>
      </c>
      <c r="L254" s="18" t="n">
        <f aca="false">F254*I254-J254</f>
        <v>-3005.66361019869</v>
      </c>
      <c r="M254" s="19" t="n">
        <f aca="false">IF(J254=0,0,L254/J254)</f>
        <v>-0.380444584084249</v>
      </c>
      <c r="N254" s="20" t="n">
        <f aca="false">M254*K254</f>
        <v>-0.913067001802197</v>
      </c>
    </row>
    <row r="255" customFormat="false" ht="14.25" hidden="false" customHeight="false" outlineLevel="0" collapsed="false">
      <c r="A255" s="15" t="n">
        <v>2021</v>
      </c>
      <c r="B255" s="16" t="n">
        <f aca="false">DATE(A255,12,31)</f>
        <v>44561</v>
      </c>
      <c r="C255" s="17" t="s">
        <v>20</v>
      </c>
      <c r="D255" s="17" t="s">
        <v>18</v>
      </c>
      <c r="E255" s="17" t="n">
        <v>2.49421813736119</v>
      </c>
      <c r="F255" s="18" t="n">
        <f aca="false">E255*_xlfn.XLOOKUP(D255,conversiones!$A$2:$A$6,conversiones!$B$2:$B$6,0)</f>
        <v>113.137734710704</v>
      </c>
      <c r="G255" s="17" t="n">
        <v>1048.50244762731</v>
      </c>
      <c r="H255" s="17" t="s">
        <v>18</v>
      </c>
      <c r="I255" s="18" t="n">
        <f aca="false">G255/_xlfn.XLOOKUP(H255,conversiones!$A$2:$A$6,conversiones!$B$2:$B$6,0)</f>
        <v>23.1151333251171</v>
      </c>
      <c r="J255" s="17" t="n">
        <v>2759.06577122957</v>
      </c>
      <c r="K255" s="18" t="n">
        <f aca="false">_xlfn.XLOOKUP(C255,Ciclo!$A$2:$A$13,Ciclo!$D$2:$D$13,0)</f>
        <v>3</v>
      </c>
      <c r="L255" s="18" t="n">
        <f aca="false">F255*I255-J255</f>
        <v>-143.871949289932</v>
      </c>
      <c r="M255" s="19" t="n">
        <f aca="false">IF(J255=0,0,L255/J255)</f>
        <v>-0.0521451684081515</v>
      </c>
      <c r="N255" s="20" t="n">
        <f aca="false">M255*K255</f>
        <v>-0.156435505224454</v>
      </c>
    </row>
    <row r="256" customFormat="false" ht="14.25" hidden="false" customHeight="false" outlineLevel="0" collapsed="false">
      <c r="A256" s="15" t="n">
        <v>2021</v>
      </c>
      <c r="B256" s="16" t="n">
        <f aca="false">DATE(A256,12,31)</f>
        <v>44561</v>
      </c>
      <c r="C256" s="17" t="s">
        <v>23</v>
      </c>
      <c r="D256" s="17" t="s">
        <v>18</v>
      </c>
      <c r="E256" s="17" t="n">
        <v>36.8930335422042</v>
      </c>
      <c r="F256" s="18" t="n">
        <f aca="false">E256*_xlfn.XLOOKUP(D256,conversiones!$A$2:$A$6,conversiones!$B$2:$B$6,0)</f>
        <v>1673.46800147438</v>
      </c>
      <c r="G256" s="17" t="n">
        <v>1040.83159722222</v>
      </c>
      <c r="H256" s="17" t="s">
        <v>18</v>
      </c>
      <c r="I256" s="18" t="n">
        <f aca="false">G256/_xlfn.XLOOKUP(H256,conversiones!$A$2:$A$6,conversiones!$B$2:$B$6,0)</f>
        <v>22.9460228664511</v>
      </c>
      <c r="J256" s="17" t="n">
        <v>31774.6512666667</v>
      </c>
      <c r="K256" s="18" t="n">
        <f aca="false">_xlfn.XLOOKUP(C256,Ciclo!$A$2:$A$13,Ciclo!$D$2:$D$13,0)</f>
        <v>4</v>
      </c>
      <c r="L256" s="18" t="n">
        <f aca="false">F256*I256-J256</f>
        <v>6624.78376143863</v>
      </c>
      <c r="M256" s="19" t="n">
        <f aca="false">IF(J256=0,0,L256/J256)</f>
        <v>0.208492729183416</v>
      </c>
      <c r="N256" s="20" t="n">
        <f aca="false">M256*K256</f>
        <v>0.833970916733665</v>
      </c>
    </row>
    <row r="257" customFormat="false" ht="14.25" hidden="false" customHeight="false" outlineLevel="0" collapsed="false">
      <c r="A257" s="15" t="n">
        <v>2021</v>
      </c>
      <c r="B257" s="16" t="n">
        <f aca="false">DATE(A257,12,31)</f>
        <v>44561</v>
      </c>
      <c r="C257" s="17" t="s">
        <v>21</v>
      </c>
      <c r="D257" s="17" t="s">
        <v>18</v>
      </c>
      <c r="E257" s="17" t="n">
        <v>11.6476808568576</v>
      </c>
      <c r="F257" s="18" t="n">
        <f aca="false">E257*_xlfn.XLOOKUP(D257,conversiones!$A$2:$A$6,conversiones!$B$2:$B$6,0)</f>
        <v>528.338803667061</v>
      </c>
      <c r="G257" s="17" t="n">
        <v>772.342970014881</v>
      </c>
      <c r="H257" s="17" t="s">
        <v>18</v>
      </c>
      <c r="I257" s="18" t="n">
        <f aca="false">G257/_xlfn.XLOOKUP(H257,conversiones!$A$2:$A$6,conversiones!$B$2:$B$6,0)</f>
        <v>17.0269614200812</v>
      </c>
      <c r="J257" s="17" t="n">
        <v>6695.95013513731</v>
      </c>
      <c r="K257" s="18" t="n">
        <f aca="false">_xlfn.XLOOKUP(C257,Ciclo!$A$2:$A$13,Ciclo!$D$2:$D$13,0)</f>
        <v>2</v>
      </c>
      <c r="L257" s="18" t="n">
        <f aca="false">F257*I257-J257</f>
        <v>2300.05429163356</v>
      </c>
      <c r="M257" s="19" t="n">
        <f aca="false">IF(J257=0,0,L257/J257)</f>
        <v>0.343499316036408</v>
      </c>
      <c r="N257" s="20" t="n">
        <f aca="false">M257*K257</f>
        <v>0.686998632072816</v>
      </c>
    </row>
    <row r="258" customFormat="false" ht="14.25" hidden="false" customHeight="false" outlineLevel="0" collapsed="false">
      <c r="A258" s="15" t="n">
        <v>2021</v>
      </c>
      <c r="B258" s="16" t="n">
        <f aca="false">DATE(A258,12,31)</f>
        <v>44561</v>
      </c>
      <c r="C258" s="17" t="s">
        <v>25</v>
      </c>
      <c r="D258" s="17" t="s">
        <v>18</v>
      </c>
      <c r="E258" s="17" t="n">
        <v>10.7910224162705</v>
      </c>
      <c r="F258" s="18" t="n">
        <f aca="false">E258*_xlfn.XLOOKUP(D258,conversiones!$A$2:$A$6,conversiones!$B$2:$B$6,0)</f>
        <v>489.48077680203</v>
      </c>
      <c r="G258" s="17" t="n">
        <v>741.080840277778</v>
      </c>
      <c r="H258" s="17" t="s">
        <v>18</v>
      </c>
      <c r="I258" s="18" t="n">
        <f aca="false">G258/_xlfn.XLOOKUP(H258,conversiones!$A$2:$A$6,conversiones!$B$2:$B$6,0)</f>
        <v>16.3377610290515</v>
      </c>
      <c r="J258" s="17" t="n">
        <v>5403.38741449239</v>
      </c>
      <c r="K258" s="18" t="n">
        <f aca="false">_xlfn.XLOOKUP(C258,Ciclo!$A$2:$A$13,Ciclo!$D$2:$D$13,0)</f>
        <v>1.2</v>
      </c>
      <c r="L258" s="18" t="n">
        <f aca="false">F258*I258-J258</f>
        <v>2593.63254521369</v>
      </c>
      <c r="M258" s="19" t="n">
        <f aca="false">IF(J258=0,0,L258/J258)</f>
        <v>0.480001218912663</v>
      </c>
      <c r="N258" s="20" t="n">
        <f aca="false">M258*K258</f>
        <v>0.576001462695196</v>
      </c>
    </row>
    <row r="259" customFormat="false" ht="14.25" hidden="false" customHeight="false" outlineLevel="0" collapsed="false">
      <c r="A259" s="15" t="n">
        <v>2021</v>
      </c>
      <c r="B259" s="16" t="n">
        <f aca="false">DATE(A259,12,31)</f>
        <v>44561</v>
      </c>
      <c r="C259" s="17" t="s">
        <v>22</v>
      </c>
      <c r="D259" s="17" t="s">
        <v>18</v>
      </c>
      <c r="E259" s="17" t="n">
        <v>9.78622097114708</v>
      </c>
      <c r="F259" s="18" t="n">
        <f aca="false">E259*_xlfn.XLOOKUP(D259,conversiones!$A$2:$A$6,conversiones!$B$2:$B$6,0)</f>
        <v>443.902983251232</v>
      </c>
      <c r="G259" s="17" t="n">
        <v>1873.30532324735</v>
      </c>
      <c r="H259" s="17" t="s">
        <v>18</v>
      </c>
      <c r="I259" s="18" t="n">
        <f aca="false">G259/_xlfn.XLOOKUP(H259,conversiones!$A$2:$A$6,conversiones!$B$2:$B$6,0)</f>
        <v>41.2986182373754</v>
      </c>
      <c r="J259" s="17" t="n">
        <v>11609.3184891587</v>
      </c>
      <c r="K259" s="18" t="n">
        <f aca="false">_xlfn.XLOOKUP(C259,Ciclo!$A$2:$A$13,Ciclo!$D$2:$D$13,0)</f>
        <v>1</v>
      </c>
      <c r="L259" s="18" t="n">
        <f aca="false">F259*I259-J259</f>
        <v>6723.26135056598</v>
      </c>
      <c r="M259" s="19" t="n">
        <f aca="false">IF(J259=0,0,L259/J259)</f>
        <v>0.579126273161035</v>
      </c>
      <c r="N259" s="20" t="n">
        <f aca="false">M259*K259</f>
        <v>0.579126273161035</v>
      </c>
    </row>
    <row r="260" customFormat="false" ht="14.25" hidden="false" customHeight="false" outlineLevel="0" collapsed="false">
      <c r="A260" s="15" t="n">
        <v>2021</v>
      </c>
      <c r="B260" s="16" t="n">
        <f aca="false">DATE(A260,12,31)</f>
        <v>44561</v>
      </c>
      <c r="C260" s="17" t="s">
        <v>24</v>
      </c>
      <c r="D260" s="17" t="s">
        <v>18</v>
      </c>
      <c r="E260" s="17" t="n">
        <v>10.4592318589643</v>
      </c>
      <c r="F260" s="18" t="n">
        <f aca="false">E260*_xlfn.XLOOKUP(D260,conversiones!$A$2:$A$6,conversiones!$B$2:$B$6,0)</f>
        <v>474.430757122621</v>
      </c>
      <c r="G260" s="17" t="n">
        <v>2506.81088514109</v>
      </c>
      <c r="H260" s="17" t="s">
        <v>18</v>
      </c>
      <c r="I260" s="18" t="n">
        <f aca="false">G260/_xlfn.XLOOKUP(H260,conversiones!$A$2:$A$6,conversiones!$B$2:$B$6,0)</f>
        <v>55.2647902367965</v>
      </c>
      <c r="J260" s="17" t="n">
        <v>9606.85680953384</v>
      </c>
      <c r="K260" s="18" t="n">
        <f aca="false">_xlfn.XLOOKUP(C260,Ciclo!$A$2:$A$13,Ciclo!$D$2:$D$13,0)</f>
        <v>1</v>
      </c>
      <c r="L260" s="18" t="n">
        <f aca="false">F260*I260-J260</f>
        <v>16612.4594647323</v>
      </c>
      <c r="M260" s="19" t="n">
        <f aca="false">IF(J260=0,0,L260/J260)</f>
        <v>1.72922942374306</v>
      </c>
      <c r="N260" s="20" t="n">
        <f aca="false">M260*K260</f>
        <v>1.72922942374306</v>
      </c>
    </row>
    <row r="261" customFormat="false" ht="14.25" hidden="false" customHeight="false" outlineLevel="0" collapsed="false">
      <c r="A261" s="15" t="n">
        <v>2021</v>
      </c>
      <c r="B261" s="16" t="n">
        <f aca="false">DATE(A261,12,31)</f>
        <v>44561</v>
      </c>
      <c r="C261" s="17" t="s">
        <v>30</v>
      </c>
      <c r="D261" s="17" t="s">
        <v>32</v>
      </c>
      <c r="E261" s="17" t="n">
        <v>99.6132990226316</v>
      </c>
      <c r="F261" s="18" t="n">
        <f aca="false">E261*_xlfn.XLOOKUP(D261,conversiones!$A$2:$A$6,conversiones!$B$2:$B$6,0)</f>
        <v>2710.47786640581</v>
      </c>
      <c r="G261" s="17" t="n">
        <v>233.927677951389</v>
      </c>
      <c r="H261" s="17" t="s">
        <v>32</v>
      </c>
      <c r="I261" s="18" t="n">
        <f aca="false">G261/_xlfn.XLOOKUP(H261,conversiones!$A$2:$A$6,conversiones!$B$2:$B$6,0)</f>
        <v>8.59712157116461</v>
      </c>
      <c r="J261" s="17" t="n">
        <v>40592.4361945306</v>
      </c>
      <c r="K261" s="18" t="n">
        <f aca="false">_xlfn.XLOOKUP(C261,Ciclo!$A$2:$A$13,Ciclo!$D$2:$D$13,0)</f>
        <v>1</v>
      </c>
      <c r="L261" s="18" t="n">
        <f aca="false">F261*I261-J261</f>
        <v>-17290.128461089</v>
      </c>
      <c r="M261" s="19" t="n">
        <f aca="false">IF(J261=0,0,L261/J261)</f>
        <v>-0.425944586775471</v>
      </c>
      <c r="N261" s="20" t="n">
        <f aca="false">M261*K261</f>
        <v>-0.425944586775471</v>
      </c>
    </row>
    <row r="262" customFormat="false" ht="14.25" hidden="false" customHeight="false" outlineLevel="0" collapsed="false">
      <c r="A262" s="15" t="n">
        <v>2021</v>
      </c>
      <c r="B262" s="16" t="n">
        <f aca="false">DATE(A262,12,31)</f>
        <v>44561</v>
      </c>
      <c r="C262" s="17" t="s">
        <v>33</v>
      </c>
      <c r="D262" s="17" t="s">
        <v>34</v>
      </c>
      <c r="E262" s="17" t="n">
        <v>3.42230022005087</v>
      </c>
      <c r="F262" s="18" t="n">
        <f aca="false">E262*_xlfn.XLOOKUP(D262,conversiones!$A$2:$A$6,conversiones!$B$2:$B$6,0)</f>
        <v>1396.81183481376</v>
      </c>
      <c r="G262" s="17" t="n">
        <v>7068.25111400463</v>
      </c>
      <c r="H262" s="17" t="s">
        <v>34</v>
      </c>
      <c r="I262" s="18" t="n">
        <f aca="false">G262/_xlfn.XLOOKUP(H262,conversiones!$A$2:$A$6,conversiones!$B$2:$B$6,0)</f>
        <v>17.3177780570982</v>
      </c>
      <c r="J262" s="17" t="n">
        <v>43963.4440344</v>
      </c>
      <c r="K262" s="18" t="n">
        <f aca="false">_xlfn.XLOOKUP(C262,Ciclo!$A$2:$A$13,Ciclo!$D$2:$D$13,0)</f>
        <v>1</v>
      </c>
      <c r="L262" s="18" t="n">
        <f aca="false">F262*I262-J262</f>
        <v>-19773.7666915672</v>
      </c>
      <c r="M262" s="19" t="n">
        <f aca="false">IF(J262=0,0,L262/J262)</f>
        <v>-0.44977747139407</v>
      </c>
      <c r="N262" s="20" t="n">
        <f aca="false">M262*K262</f>
        <v>-0.44977747139407</v>
      </c>
    </row>
    <row r="263" customFormat="false" ht="14.25" hidden="false" customHeight="false" outlineLevel="0" collapsed="false">
      <c r="A263" s="15" t="n">
        <v>2021</v>
      </c>
      <c r="B263" s="16" t="n">
        <f aca="false">DATE(A263,12,31)</f>
        <v>44561</v>
      </c>
      <c r="C263" s="17" t="s">
        <v>28</v>
      </c>
      <c r="D263" s="17" t="s">
        <v>29</v>
      </c>
      <c r="E263" s="17" t="n">
        <v>1.89317055648064</v>
      </c>
      <c r="F263" s="18" t="n">
        <f aca="false">E263*_xlfn.XLOOKUP(D263,conversiones!$A$2:$A$6,conversiones!$B$2:$B$6,0)</f>
        <v>1064.60553073132</v>
      </c>
      <c r="G263" s="17" t="n">
        <v>9888.25911706349</v>
      </c>
      <c r="H263" s="17" t="s">
        <v>29</v>
      </c>
      <c r="I263" s="18" t="n">
        <f aca="false">G263/_xlfn.XLOOKUP(H263,conversiones!$A$2:$A$6,conversiones!$B$2:$B$6,0)</f>
        <v>17.5841290270361</v>
      </c>
      <c r="J263" s="17" t="n">
        <v>20320.344</v>
      </c>
      <c r="K263" s="18" t="n">
        <f aca="false">_xlfn.XLOOKUP(C263,Ciclo!$A$2:$A$13,Ciclo!$D$2:$D$13,0)</f>
        <v>3</v>
      </c>
      <c r="L263" s="18" t="n">
        <f aca="false">F263*I263-J263</f>
        <v>-1600.18298472415</v>
      </c>
      <c r="M263" s="19" t="n">
        <f aca="false">IF(J263=0,0,L263/J263)</f>
        <v>-0.0787478295015158</v>
      </c>
      <c r="N263" s="20" t="n">
        <f aca="false">M263*K263</f>
        <v>-0.236243488504547</v>
      </c>
    </row>
    <row r="264" customFormat="false" ht="14.25" hidden="false" customHeight="false" outlineLevel="0" collapsed="false">
      <c r="A264" s="15" t="n">
        <v>2021</v>
      </c>
      <c r="B264" s="16" t="n">
        <f aca="false">DATE(A264,12,31)</f>
        <v>44561</v>
      </c>
      <c r="C264" s="17" t="s">
        <v>26</v>
      </c>
      <c r="D264" s="17" t="s">
        <v>18</v>
      </c>
      <c r="E264" s="17" t="n">
        <v>7.26729649923661</v>
      </c>
      <c r="F264" s="18" t="n">
        <f aca="false">E264*_xlfn.XLOOKUP(D264,conversiones!$A$2:$A$6,conversiones!$B$2:$B$6,0)</f>
        <v>329.644569205373</v>
      </c>
      <c r="G264" s="17" t="n">
        <v>1091.36305636574</v>
      </c>
      <c r="H264" s="17" t="s">
        <v>18</v>
      </c>
      <c r="I264" s="18" t="n">
        <f aca="false">G264/_xlfn.XLOOKUP(H264,conversiones!$A$2:$A$6,conversiones!$B$2:$B$6,0)</f>
        <v>24.0600321068285</v>
      </c>
      <c r="J264" s="17" t="n">
        <v>1910.99135924874</v>
      </c>
      <c r="K264" s="18" t="n">
        <f aca="false">_xlfn.XLOOKUP(C264,Ciclo!$A$2:$A$13,Ciclo!$D$2:$D$13,0)</f>
        <v>3</v>
      </c>
      <c r="L264" s="18" t="n">
        <f aca="false">F264*I264-J264</f>
        <v>6020.26755967417</v>
      </c>
      <c r="M264" s="19" t="n">
        <f aca="false">IF(J264=0,0,L264/J264)</f>
        <v>3.15033740500056</v>
      </c>
      <c r="N264" s="20" t="n">
        <f aca="false">M264*K264</f>
        <v>9.45101221500168</v>
      </c>
    </row>
    <row r="265" customFormat="false" ht="14.25" hidden="false" customHeight="false" outlineLevel="0" collapsed="false">
      <c r="A265" s="15" t="n">
        <v>2021</v>
      </c>
      <c r="B265" s="16" t="n">
        <f aca="false">DATE(A265,12,31)</f>
        <v>44561</v>
      </c>
      <c r="C265" s="17" t="s">
        <v>27</v>
      </c>
      <c r="D265" s="17" t="s">
        <v>18</v>
      </c>
      <c r="E265" s="17" t="n">
        <v>9.84634939080856</v>
      </c>
      <c r="F265" s="18" t="n">
        <f aca="false">E265*_xlfn.XLOOKUP(D265,conversiones!$A$2:$A$6,conversiones!$B$2:$B$6,0)</f>
        <v>446.630408367076</v>
      </c>
      <c r="G265" s="17" t="n">
        <v>877.839386849647</v>
      </c>
      <c r="H265" s="17" t="s">
        <v>18</v>
      </c>
      <c r="I265" s="18" t="n">
        <f aca="false">G265/_xlfn.XLOOKUP(H265,conversiones!$A$2:$A$6,conversiones!$B$2:$B$6,0)</f>
        <v>19.352720168643</v>
      </c>
      <c r="J265" s="17" t="n">
        <v>10561.2569707933</v>
      </c>
      <c r="K265" s="18" t="n">
        <f aca="false">_xlfn.XLOOKUP(C265,Ciclo!$A$2:$A$13,Ciclo!$D$2:$D$13,0)</f>
        <v>2.4</v>
      </c>
      <c r="L265" s="18" t="n">
        <f aca="false">F265*I265-J265</f>
        <v>-1917.74365885852</v>
      </c>
      <c r="M265" s="19" t="n">
        <f aca="false">IF(J265=0,0,L265/J265)</f>
        <v>-0.181582899096382</v>
      </c>
      <c r="N265" s="20" t="n">
        <f aca="false">M265*K265</f>
        <v>-0.435798957831316</v>
      </c>
    </row>
    <row r="266" customFormat="false" ht="14.25" hidden="false" customHeight="false" outlineLevel="0" collapsed="false">
      <c r="A266" s="15" t="n">
        <v>2022</v>
      </c>
      <c r="B266" s="16" t="n">
        <f aca="false">DATE(A266,12,31)</f>
        <v>44926</v>
      </c>
      <c r="C266" s="17" t="s">
        <v>16</v>
      </c>
      <c r="D266" s="17" t="s">
        <v>18</v>
      </c>
      <c r="E266" s="17" t="n">
        <v>4.6891111647724</v>
      </c>
      <c r="F266" s="18" t="n">
        <f aca="false">E266*_xlfn.XLOOKUP(D266,conversiones!$A$2:$A$6,conversiones!$B$2:$B$6,0)</f>
        <v>212.698082434076</v>
      </c>
      <c r="G266" s="17" t="n">
        <v>2716.24017766424</v>
      </c>
      <c r="H266" s="17" t="s">
        <v>19</v>
      </c>
      <c r="I266" s="18" t="n">
        <f aca="false">G266/_xlfn.XLOOKUP(H266,conversiones!$A$2:$A$6,conversiones!$B$2:$B$6,0)</f>
        <v>24.6930925242204</v>
      </c>
      <c r="J266" s="17" t="n">
        <v>10006.7786059906</v>
      </c>
      <c r="K266" s="18" t="n">
        <f aca="false">_xlfn.XLOOKUP(C266,Ciclo!$A$2:$A$13,Ciclo!$D$2:$D$13,0)</f>
        <v>2.4</v>
      </c>
      <c r="L266" s="18" t="n">
        <f aca="false">F266*I266-J266</f>
        <v>-4754.60517672171</v>
      </c>
      <c r="M266" s="19" t="n">
        <f aca="false">IF(J266=0,0,L266/J266)</f>
        <v>-0.475138440044566</v>
      </c>
      <c r="N266" s="20" t="n">
        <f aca="false">M266*K266</f>
        <v>-1.14033225610696</v>
      </c>
    </row>
    <row r="267" customFormat="false" ht="14.25" hidden="false" customHeight="false" outlineLevel="0" collapsed="false">
      <c r="A267" s="15" t="n">
        <v>2022</v>
      </c>
      <c r="B267" s="16" t="n">
        <f aca="false">DATE(A267,12,31)</f>
        <v>44926</v>
      </c>
      <c r="C267" s="17" t="s">
        <v>20</v>
      </c>
      <c r="D267" s="17" t="s">
        <v>18</v>
      </c>
      <c r="E267" s="17" t="n">
        <v>2.5588176471721</v>
      </c>
      <c r="F267" s="18" t="n">
        <f aca="false">E267*_xlfn.XLOOKUP(D267,conversiones!$A$2:$A$6,conversiones!$B$2:$B$6,0)</f>
        <v>116.067968475726</v>
      </c>
      <c r="G267" s="17" t="n">
        <v>1322.52404406415</v>
      </c>
      <c r="H267" s="17" t="s">
        <v>18</v>
      </c>
      <c r="I267" s="18" t="n">
        <f aca="false">G267/_xlfn.XLOOKUP(H267,conversiones!$A$2:$A$6,conversiones!$B$2:$B$6,0)</f>
        <v>29.1561738109381</v>
      </c>
      <c r="J267" s="17" t="n">
        <v>4130.097717915</v>
      </c>
      <c r="K267" s="18" t="n">
        <f aca="false">_xlfn.XLOOKUP(C267,Ciclo!$A$2:$A$13,Ciclo!$D$2:$D$13,0)</f>
        <v>3</v>
      </c>
      <c r="L267" s="18" t="n">
        <f aca="false">F267*I267-J267</f>
        <v>-745.999855154242</v>
      </c>
      <c r="M267" s="19" t="n">
        <f aca="false">IF(J267=0,0,L267/J267)</f>
        <v>-0.180625231194492</v>
      </c>
      <c r="N267" s="20" t="n">
        <f aca="false">M267*K267</f>
        <v>-0.541875693583477</v>
      </c>
    </row>
    <row r="268" customFormat="false" ht="14.25" hidden="false" customHeight="false" outlineLevel="0" collapsed="false">
      <c r="A268" s="15" t="n">
        <v>2022</v>
      </c>
      <c r="B268" s="16" t="n">
        <f aca="false">DATE(A268,12,31)</f>
        <v>44926</v>
      </c>
      <c r="C268" s="17" t="s">
        <v>23</v>
      </c>
      <c r="D268" s="17" t="s">
        <v>18</v>
      </c>
      <c r="E268" s="17" t="n">
        <v>38.1773059437457</v>
      </c>
      <c r="F268" s="18" t="n">
        <f aca="false">E268*_xlfn.XLOOKUP(D268,conversiones!$A$2:$A$6,conversiones!$B$2:$B$6,0)</f>
        <v>1731.72259760831</v>
      </c>
      <c r="G268" s="17" t="n">
        <v>1430.27372685185</v>
      </c>
      <c r="H268" s="17" t="s">
        <v>18</v>
      </c>
      <c r="I268" s="18" t="n">
        <f aca="false">G268/_xlfn.XLOOKUP(H268,conversiones!$A$2:$A$6,conversiones!$B$2:$B$6,0)</f>
        <v>31.5316077348291</v>
      </c>
      <c r="J268" s="17" t="n">
        <v>30322</v>
      </c>
      <c r="K268" s="18" t="n">
        <f aca="false">_xlfn.XLOOKUP(C268,Ciclo!$A$2:$A$13,Ciclo!$D$2:$D$13,0)</f>
        <v>4</v>
      </c>
      <c r="L268" s="18" t="n">
        <f aca="false">F268*I268-J268</f>
        <v>24281.9976533244</v>
      </c>
      <c r="M268" s="19" t="n">
        <f aca="false">IF(J268=0,0,L268/J268)</f>
        <v>0.800804618868295</v>
      </c>
      <c r="N268" s="20" t="n">
        <f aca="false">M268*K268</f>
        <v>3.20321847547318</v>
      </c>
    </row>
    <row r="269" customFormat="false" ht="14.25" hidden="false" customHeight="false" outlineLevel="0" collapsed="false">
      <c r="A269" s="15" t="n">
        <v>2022</v>
      </c>
      <c r="B269" s="16" t="n">
        <f aca="false">DATE(A269,12,31)</f>
        <v>44926</v>
      </c>
      <c r="C269" s="17" t="s">
        <v>21</v>
      </c>
      <c r="D269" s="17" t="s">
        <v>18</v>
      </c>
      <c r="E269" s="17" t="n">
        <v>11.8937481895139</v>
      </c>
      <c r="F269" s="18" t="n">
        <f aca="false">E269*_xlfn.XLOOKUP(D269,conversiones!$A$2:$A$6,conversiones!$B$2:$B$6,0)</f>
        <v>539.500417876351</v>
      </c>
      <c r="G269" s="17" t="n">
        <v>1122.34344039352</v>
      </c>
      <c r="H269" s="17" t="s">
        <v>18</v>
      </c>
      <c r="I269" s="18" t="n">
        <f aca="false">G269/_xlfn.XLOOKUP(H269,conversiones!$A$2:$A$6,conversiones!$B$2:$B$6,0)</f>
        <v>24.7430211726967</v>
      </c>
      <c r="J269" s="17" t="n">
        <v>5858.17</v>
      </c>
      <c r="K269" s="18" t="n">
        <f aca="false">_xlfn.XLOOKUP(C269,Ciclo!$A$2:$A$13,Ciclo!$D$2:$D$13,0)</f>
        <v>2</v>
      </c>
      <c r="L269" s="18" t="n">
        <f aca="false">F269*I269-J269</f>
        <v>7490.70026219323</v>
      </c>
      <c r="M269" s="19" t="n">
        <f aca="false">IF(J269=0,0,L269/J269)</f>
        <v>1.27867580868995</v>
      </c>
      <c r="N269" s="20" t="n">
        <f aca="false">M269*K269</f>
        <v>2.55735161737991</v>
      </c>
    </row>
    <row r="270" customFormat="false" ht="14.25" hidden="false" customHeight="false" outlineLevel="0" collapsed="false">
      <c r="A270" s="15" t="n">
        <v>2022</v>
      </c>
      <c r="B270" s="16" t="n">
        <f aca="false">DATE(A270,12,31)</f>
        <v>44926</v>
      </c>
      <c r="C270" s="17" t="s">
        <v>25</v>
      </c>
      <c r="D270" s="17" t="s">
        <v>18</v>
      </c>
      <c r="E270" s="17" t="n">
        <v>6.72750265973474</v>
      </c>
      <c r="F270" s="18" t="n">
        <f aca="false">E270*_xlfn.XLOOKUP(D270,conversiones!$A$2:$A$6,conversiones!$B$2:$B$6,0)</f>
        <v>305.159520645568</v>
      </c>
      <c r="G270" s="17" t="n">
        <v>1249.19116276042</v>
      </c>
      <c r="H270" s="17" t="s">
        <v>18</v>
      </c>
      <c r="I270" s="18" t="n">
        <f aca="false">G270/_xlfn.XLOOKUP(H270,conversiones!$A$2:$A$6,conversiones!$B$2:$B$6,0)</f>
        <v>27.5394877151768</v>
      </c>
      <c r="J270" s="17" t="n">
        <v>6557.61</v>
      </c>
      <c r="K270" s="18" t="n">
        <f aca="false">_xlfn.XLOOKUP(C270,Ciclo!$A$2:$A$13,Ciclo!$D$2:$D$13,0)</f>
        <v>1.2</v>
      </c>
      <c r="L270" s="18" t="n">
        <f aca="false">F270*I270-J270</f>
        <v>1846.32686998786</v>
      </c>
      <c r="M270" s="19" t="n">
        <f aca="false">IF(J270=0,0,L270/J270)</f>
        <v>0.281554845437264</v>
      </c>
      <c r="N270" s="20" t="n">
        <f aca="false">M270*K270</f>
        <v>0.337865814524717</v>
      </c>
    </row>
    <row r="271" customFormat="false" ht="14.25" hidden="false" customHeight="false" outlineLevel="0" collapsed="false">
      <c r="A271" s="15" t="n">
        <v>2022</v>
      </c>
      <c r="B271" s="16" t="n">
        <f aca="false">DATE(A271,12,31)</f>
        <v>44926</v>
      </c>
      <c r="C271" s="17" t="s">
        <v>22</v>
      </c>
      <c r="D271" s="17" t="s">
        <v>18</v>
      </c>
      <c r="E271" s="17" t="n">
        <v>10.5467088029364</v>
      </c>
      <c r="F271" s="18" t="n">
        <f aca="false">E271*_xlfn.XLOOKUP(D271,conversiones!$A$2:$A$6,conversiones!$B$2:$B$6,0)</f>
        <v>478.398711301195</v>
      </c>
      <c r="G271" s="17" t="n">
        <v>1952.68982018849</v>
      </c>
      <c r="H271" s="17" t="s">
        <v>18</v>
      </c>
      <c r="I271" s="18" t="n">
        <f aca="false">G271/_xlfn.XLOOKUP(H271,conversiones!$A$2:$A$6,conversiones!$B$2:$B$6,0)</f>
        <v>43.0487173762895</v>
      </c>
      <c r="J271" s="17" t="n">
        <v>12106.08</v>
      </c>
      <c r="K271" s="18" t="n">
        <f aca="false">_xlfn.XLOOKUP(C271,Ciclo!$A$2:$A$13,Ciclo!$D$2:$D$13,0)</f>
        <v>1</v>
      </c>
      <c r="L271" s="18" t="n">
        <f aca="false">F271*I271-J271</f>
        <v>8488.37091598625</v>
      </c>
      <c r="M271" s="19" t="n">
        <f aca="false">IF(J271=0,0,L271/J271)</f>
        <v>0.701165936123522</v>
      </c>
      <c r="N271" s="20" t="n">
        <f aca="false">M271*K271</f>
        <v>0.701165936123522</v>
      </c>
    </row>
    <row r="272" customFormat="false" ht="14.25" hidden="false" customHeight="false" outlineLevel="0" collapsed="false">
      <c r="A272" s="15" t="n">
        <v>2022</v>
      </c>
      <c r="B272" s="16" t="n">
        <f aca="false">DATE(A272,12,31)</f>
        <v>44926</v>
      </c>
      <c r="C272" s="17" t="s">
        <v>24</v>
      </c>
      <c r="D272" s="17" t="s">
        <v>18</v>
      </c>
      <c r="E272" s="17" t="n">
        <v>12.5525375396253</v>
      </c>
      <c r="F272" s="18" t="n">
        <f aca="false">E272*_xlfn.XLOOKUP(D272,conversiones!$A$2:$A$6,conversiones!$B$2:$B$6,0)</f>
        <v>569.383102797404</v>
      </c>
      <c r="G272" s="17" t="n">
        <v>2958.10758928571</v>
      </c>
      <c r="H272" s="17" t="s">
        <v>18</v>
      </c>
      <c r="I272" s="18" t="n">
        <f aca="false">G272/_xlfn.XLOOKUP(H272,conversiones!$A$2:$A$6,conversiones!$B$2:$B$6,0)</f>
        <v>65.2140121094733</v>
      </c>
      <c r="J272" s="17" t="n">
        <v>16342.43</v>
      </c>
      <c r="K272" s="18" t="n">
        <f aca="false">_xlfn.XLOOKUP(C272,Ciclo!$A$2:$A$13,Ciclo!$D$2:$D$13,0)</f>
        <v>1</v>
      </c>
      <c r="L272" s="18" t="n">
        <f aca="false">F272*I272-J272</f>
        <v>20789.3265607594</v>
      </c>
      <c r="M272" s="19" t="n">
        <f aca="false">IF(J272=0,0,L272/J272)</f>
        <v>1.27210742593111</v>
      </c>
      <c r="N272" s="20" t="n">
        <f aca="false">M272*K272</f>
        <v>1.27210742593111</v>
      </c>
    </row>
    <row r="273" customFormat="false" ht="14.25" hidden="false" customHeight="false" outlineLevel="0" collapsed="false">
      <c r="A273" s="15" t="n">
        <v>2022</v>
      </c>
      <c r="B273" s="16" t="n">
        <f aca="false">DATE(A273,12,31)</f>
        <v>44926</v>
      </c>
      <c r="C273" s="17" t="s">
        <v>30</v>
      </c>
      <c r="D273" s="17" t="s">
        <v>32</v>
      </c>
      <c r="E273" s="17" t="n">
        <v>101.616154920131</v>
      </c>
      <c r="F273" s="18" t="n">
        <f aca="false">E273*_xlfn.XLOOKUP(D273,conversiones!$A$2:$A$6,conversiones!$B$2:$B$6,0)</f>
        <v>2764.97557537676</v>
      </c>
      <c r="G273" s="17" t="n">
        <v>241.483469965278</v>
      </c>
      <c r="H273" s="17" t="s">
        <v>32</v>
      </c>
      <c r="I273" s="18" t="n">
        <f aca="false">G273/_xlfn.XLOOKUP(H273,conversiones!$A$2:$A$6,conversiones!$B$2:$B$6,0)</f>
        <v>8.87480595241742</v>
      </c>
      <c r="J273" s="17" t="n">
        <v>47396.15</v>
      </c>
      <c r="K273" s="18" t="n">
        <f aca="false">_xlfn.XLOOKUP(C273,Ciclo!$A$2:$A$13,Ciclo!$D$2:$D$13,0)</f>
        <v>1</v>
      </c>
      <c r="L273" s="18" t="n">
        <f aca="false">F273*I273-J273</f>
        <v>-22857.5283053575</v>
      </c>
      <c r="M273" s="19" t="n">
        <f aca="false">IF(J273=0,0,L273/J273)</f>
        <v>-0.48226550691053</v>
      </c>
      <c r="N273" s="20" t="n">
        <f aca="false">M273*K273</f>
        <v>-0.48226550691053</v>
      </c>
    </row>
    <row r="274" customFormat="false" ht="14.25" hidden="false" customHeight="false" outlineLevel="0" collapsed="false">
      <c r="A274" s="15" t="n">
        <v>2022</v>
      </c>
      <c r="B274" s="16" t="n">
        <f aca="false">DATE(A274,12,31)</f>
        <v>44926</v>
      </c>
      <c r="C274" s="17" t="s">
        <v>33</v>
      </c>
      <c r="D274" s="17" t="s">
        <v>34</v>
      </c>
      <c r="E274" s="17" t="n">
        <v>3.26661398880262</v>
      </c>
      <c r="F274" s="18" t="n">
        <f aca="false">E274*_xlfn.XLOOKUP(D274,conversiones!$A$2:$A$6,conversiones!$B$2:$B$6,0)</f>
        <v>1333.26849952979</v>
      </c>
      <c r="G274" s="17" t="n">
        <v>9364.73410373264</v>
      </c>
      <c r="H274" s="17" t="s">
        <v>34</v>
      </c>
      <c r="I274" s="18" t="n">
        <f aca="false">G274/_xlfn.XLOOKUP(H274,conversiones!$A$2:$A$6,conversiones!$B$2:$B$6,0)</f>
        <v>22.9443442453329</v>
      </c>
      <c r="J274" s="17" t="n">
        <v>25908.33</v>
      </c>
      <c r="K274" s="18" t="n">
        <f aca="false">_xlfn.XLOOKUP(C274,Ciclo!$A$2:$A$13,Ciclo!$D$2:$D$13,0)</f>
        <v>1</v>
      </c>
      <c r="L274" s="18" t="n">
        <f aca="false">F274*I274-J274</f>
        <v>4682.64142467001</v>
      </c>
      <c r="M274" s="19" t="n">
        <f aca="false">IF(J274=0,0,L274/J274)</f>
        <v>0.18073883668573</v>
      </c>
      <c r="N274" s="20" t="n">
        <f aca="false">M274*K274</f>
        <v>0.18073883668573</v>
      </c>
    </row>
    <row r="275" customFormat="false" ht="14.25" hidden="false" customHeight="false" outlineLevel="0" collapsed="false">
      <c r="A275" s="15" t="n">
        <v>2022</v>
      </c>
      <c r="B275" s="16" t="n">
        <f aca="false">DATE(A275,12,31)</f>
        <v>44926</v>
      </c>
      <c r="C275" s="17" t="s">
        <v>28</v>
      </c>
      <c r="D275" s="17" t="s">
        <v>29</v>
      </c>
      <c r="E275" s="17" t="n">
        <v>2.15204948934168</v>
      </c>
      <c r="F275" s="18" t="n">
        <f aca="false">E275*_xlfn.XLOOKUP(D275,conversiones!$A$2:$A$6,conversiones!$B$2:$B$6,0)</f>
        <v>1210.1835098364</v>
      </c>
      <c r="G275" s="17" t="n">
        <v>7278.47666666667</v>
      </c>
      <c r="H275" s="17" t="s">
        <v>29</v>
      </c>
      <c r="I275" s="18" t="n">
        <f aca="false">G275/_xlfn.XLOOKUP(H275,conversiones!$A$2:$A$6,conversiones!$B$2:$B$6,0)</f>
        <v>12.9431956941826</v>
      </c>
      <c r="J275" s="17" t="n">
        <v>8552.64</v>
      </c>
      <c r="K275" s="18" t="n">
        <f aca="false">_xlfn.XLOOKUP(C275,Ciclo!$A$2:$A$13,Ciclo!$D$2:$D$13,0)</f>
        <v>3</v>
      </c>
      <c r="L275" s="18" t="n">
        <f aca="false">F275*I275-J275</f>
        <v>7111.00199368534</v>
      </c>
      <c r="M275" s="19" t="n">
        <f aca="false">IF(J275=0,0,L275/J275)</f>
        <v>0.831439414459786</v>
      </c>
      <c r="N275" s="20" t="n">
        <f aca="false">M275*K275</f>
        <v>2.49431824337936</v>
      </c>
    </row>
    <row r="276" customFormat="false" ht="14.25" hidden="false" customHeight="false" outlineLevel="0" collapsed="false">
      <c r="A276" s="15" t="n">
        <v>2022</v>
      </c>
      <c r="B276" s="16" t="n">
        <f aca="false">DATE(A276,12,31)</f>
        <v>44926</v>
      </c>
      <c r="C276" s="17" t="s">
        <v>26</v>
      </c>
      <c r="D276" s="17" t="s">
        <v>18</v>
      </c>
      <c r="E276" s="17" t="n">
        <v>8.19411701376358</v>
      </c>
      <c r="F276" s="18" t="n">
        <f aca="false">E276*_xlfn.XLOOKUP(D276,conversiones!$A$2:$A$6,conversiones!$B$2:$B$6,0)</f>
        <v>371.685147744316</v>
      </c>
      <c r="G276" s="17" t="n">
        <v>1290.39137392526</v>
      </c>
      <c r="H276" s="17" t="s">
        <v>18</v>
      </c>
      <c r="I276" s="18" t="n">
        <f aca="false">G276/_xlfn.XLOOKUP(H276,conversiones!$A$2:$A$6,conversiones!$B$2:$B$6,0)</f>
        <v>28.4477816121089</v>
      </c>
      <c r="J276" s="17" t="n">
        <v>2133.92</v>
      </c>
      <c r="K276" s="18" t="n">
        <f aca="false">_xlfn.XLOOKUP(C276,Ciclo!$A$2:$A$13,Ciclo!$D$2:$D$13,0)</f>
        <v>3</v>
      </c>
      <c r="L276" s="18" t="n">
        <f aca="false">F276*I276-J276</f>
        <v>8439.69791149474</v>
      </c>
      <c r="M276" s="19" t="n">
        <f aca="false">IF(J276=0,0,L276/J276)</f>
        <v>3.9550207653027</v>
      </c>
      <c r="N276" s="20" t="n">
        <f aca="false">M276*K276</f>
        <v>11.8650622959081</v>
      </c>
    </row>
    <row r="277" customFormat="false" ht="14.25" hidden="false" customHeight="false" outlineLevel="0" collapsed="false">
      <c r="A277" s="15" t="n">
        <v>2022</v>
      </c>
      <c r="B277" s="16" t="n">
        <f aca="false">DATE(A277,12,31)</f>
        <v>44926</v>
      </c>
      <c r="C277" s="21" t="s">
        <v>27</v>
      </c>
      <c r="D277" s="21" t="s">
        <v>18</v>
      </c>
      <c r="E277" s="21" t="n">
        <v>9.94988508815375</v>
      </c>
      <c r="F277" s="22" t="n">
        <f aca="false">E277*_xlfn.XLOOKUP(D277,conversiones!$A$2:$A$6,conversiones!$B$2:$B$6,0)</f>
        <v>451.326787598654</v>
      </c>
      <c r="G277" s="21" t="n">
        <v>1112.46510582011</v>
      </c>
      <c r="H277" s="21" t="s">
        <v>18</v>
      </c>
      <c r="I277" s="22" t="n">
        <f aca="false">G277/_xlfn.XLOOKUP(H277,conversiones!$A$2:$A$6,conversiones!$B$2:$B$6,0)</f>
        <v>24.525244837304</v>
      </c>
      <c r="J277" s="21" t="n">
        <v>11717.05</v>
      </c>
      <c r="K277" s="22" t="n">
        <f aca="false">_xlfn.XLOOKUP(C277,Ciclo!$A$2:$A$13,Ciclo!$D$2:$D$13,0)</f>
        <v>2.4</v>
      </c>
      <c r="L277" s="22" t="n">
        <f aca="false">F277*I277-J277</f>
        <v>-648.150032509106</v>
      </c>
      <c r="M277" s="19" t="n">
        <f aca="false">IF(J277=0,0,L277/J277)</f>
        <v>-0.0553168274018721</v>
      </c>
      <c r="N277" s="20" t="n">
        <f aca="false">M277*K277</f>
        <v>-0.132760385764493</v>
      </c>
    </row>
  </sheetData>
  <autoFilter ref="A1:N277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93" zoomScaleNormal="93" zoomScalePageLayoutView="100" workbookViewId="0">
      <selection pane="topLeft" activeCell="A4" activeCellId="1" sqref="C258:C259 A4"/>
    </sheetView>
  </sheetViews>
  <sheetFormatPr defaultColWidth="10.5390625" defaultRowHeight="14.25" zeroHeight="false" outlineLevelRow="0" outlineLevelCol="0"/>
  <cols>
    <col collapsed="false" customWidth="true" hidden="false" outlineLevel="0" max="1" min="1" style="2" width="13.27"/>
    <col collapsed="false" customWidth="true" hidden="false" outlineLevel="0" max="2" min="2" style="2" width="18.45"/>
  </cols>
  <sheetData>
    <row r="1" customFormat="false" ht="14.25" hidden="false" customHeight="false" outlineLevel="0" collapsed="false">
      <c r="A1" s="5" t="s">
        <v>45</v>
      </c>
      <c r="B1" s="5" t="s">
        <v>46</v>
      </c>
    </row>
    <row r="2" customFormat="false" ht="14.25" hidden="false" customHeight="false" outlineLevel="0" collapsed="false">
      <c r="A2" s="2" t="s">
        <v>18</v>
      </c>
      <c r="B2" s="2" t="n">
        <v>45.36</v>
      </c>
    </row>
    <row r="3" customFormat="false" ht="14.25" hidden="false" customHeight="false" outlineLevel="0" collapsed="false">
      <c r="A3" s="2" t="s">
        <v>32</v>
      </c>
      <c r="B3" s="2" t="n">
        <v>27.21</v>
      </c>
    </row>
    <row r="4" customFormat="false" ht="14.25" hidden="false" customHeight="false" outlineLevel="0" collapsed="false">
      <c r="A4" s="2" t="s">
        <v>29</v>
      </c>
      <c r="B4" s="2" t="n">
        <v>562.34</v>
      </c>
    </row>
    <row r="5" customFormat="false" ht="14.25" hidden="false" customHeight="false" outlineLevel="0" collapsed="false">
      <c r="A5" s="2" t="s">
        <v>34</v>
      </c>
      <c r="B5" s="2" t="n">
        <v>408.15</v>
      </c>
    </row>
    <row r="6" customFormat="false" ht="14.25" hidden="false" customHeight="false" outlineLevel="0" collapsed="false">
      <c r="A6" s="2" t="s">
        <v>19</v>
      </c>
      <c r="B6" s="2" t="n">
        <v>110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93" zoomScaleNormal="93" zoomScalePageLayoutView="100" workbookViewId="0">
      <selection pane="topLeft" activeCell="F27" activeCellId="1" sqref="C258:C259 F27"/>
    </sheetView>
  </sheetViews>
  <sheetFormatPr defaultColWidth="10.5390625" defaultRowHeight="14.25" zeroHeight="false" outlineLevelRow="0" outlineLevelCol="0"/>
  <cols>
    <col collapsed="false" customWidth="true" hidden="false" outlineLevel="0" max="1" min="1" style="2" width="16.8"/>
    <col collapsed="false" customWidth="true" hidden="false" outlineLevel="0" max="2" min="2" style="2" width="6.65"/>
    <col collapsed="false" customWidth="true" hidden="false" outlineLevel="0" max="3" min="3" style="2" width="7.75"/>
    <col collapsed="false" customWidth="true" hidden="false" outlineLevel="0" max="4" min="4" style="2" width="9.14"/>
    <col collapsed="false" customWidth="true" hidden="false" outlineLevel="0" max="5" min="5" style="2" width="12.72"/>
    <col collapsed="false" customWidth="true" hidden="false" outlineLevel="0" max="6" min="6" style="2" width="13.05"/>
  </cols>
  <sheetData>
    <row r="1" customFormat="false" ht="14.25" hidden="false" customHeight="false" outlineLevel="0" collapsed="false">
      <c r="A1" s="13" t="s">
        <v>1</v>
      </c>
      <c r="B1" s="13" t="s">
        <v>47</v>
      </c>
      <c r="C1" s="13" t="s">
        <v>48</v>
      </c>
      <c r="D1" s="13" t="s">
        <v>49</v>
      </c>
      <c r="E1" s="13" t="s">
        <v>50</v>
      </c>
      <c r="F1" s="13" t="s">
        <v>51</v>
      </c>
    </row>
    <row r="2" customFormat="false" ht="14.25" hidden="false" customHeight="false" outlineLevel="0" collapsed="false">
      <c r="A2" s="15" t="s">
        <v>16</v>
      </c>
      <c r="B2" s="17" t="n">
        <v>5</v>
      </c>
      <c r="C2" s="17" t="s">
        <v>48</v>
      </c>
      <c r="D2" s="18" t="n">
        <f aca="false">12/B2</f>
        <v>2.4</v>
      </c>
      <c r="E2" s="17"/>
      <c r="F2" s="21"/>
    </row>
    <row r="3" customFormat="false" ht="14.25" hidden="false" customHeight="false" outlineLevel="0" collapsed="false">
      <c r="A3" s="15" t="s">
        <v>20</v>
      </c>
      <c r="B3" s="17" t="n">
        <v>4</v>
      </c>
      <c r="C3" s="17" t="s">
        <v>48</v>
      </c>
      <c r="D3" s="18" t="n">
        <f aca="false">12/B3</f>
        <v>3</v>
      </c>
      <c r="E3" s="17" t="s">
        <v>52</v>
      </c>
      <c r="F3" s="21" t="s">
        <v>52</v>
      </c>
    </row>
    <row r="4" customFormat="false" ht="14.25" hidden="false" customHeight="false" outlineLevel="0" collapsed="false">
      <c r="A4" s="15" t="s">
        <v>23</v>
      </c>
      <c r="B4" s="17" t="n">
        <v>3</v>
      </c>
      <c r="C4" s="17" t="s">
        <v>48</v>
      </c>
      <c r="D4" s="18" t="n">
        <f aca="false">12/B4</f>
        <v>4</v>
      </c>
      <c r="E4" s="17"/>
      <c r="F4" s="21"/>
    </row>
    <row r="5" customFormat="false" ht="14.25" hidden="false" customHeight="false" outlineLevel="0" collapsed="false">
      <c r="A5" s="15" t="s">
        <v>21</v>
      </c>
      <c r="B5" s="17" t="n">
        <v>6</v>
      </c>
      <c r="C5" s="17" t="s">
        <v>48</v>
      </c>
      <c r="D5" s="18" t="n">
        <f aca="false">12/B5</f>
        <v>2</v>
      </c>
      <c r="E5" s="17"/>
      <c r="F5" s="21"/>
    </row>
    <row r="6" customFormat="false" ht="14.25" hidden="false" customHeight="false" outlineLevel="0" collapsed="false">
      <c r="A6" s="15" t="s">
        <v>25</v>
      </c>
      <c r="B6" s="17" t="n">
        <v>10</v>
      </c>
      <c r="C6" s="17" t="s">
        <v>48</v>
      </c>
      <c r="D6" s="18" t="n">
        <f aca="false">12/B6</f>
        <v>1.2</v>
      </c>
      <c r="E6" s="17"/>
      <c r="F6" s="21"/>
    </row>
    <row r="7" customFormat="false" ht="14.25" hidden="false" customHeight="false" outlineLevel="0" collapsed="false">
      <c r="A7" s="15" t="s">
        <v>22</v>
      </c>
      <c r="B7" s="17" t="n">
        <v>12</v>
      </c>
      <c r="C7" s="17" t="s">
        <v>48</v>
      </c>
      <c r="D7" s="18" t="n">
        <f aca="false">12/B7</f>
        <v>1</v>
      </c>
      <c r="E7" s="17"/>
      <c r="F7" s="21"/>
    </row>
    <row r="8" customFormat="false" ht="14.25" hidden="false" customHeight="false" outlineLevel="0" collapsed="false">
      <c r="A8" s="15" t="s">
        <v>24</v>
      </c>
      <c r="B8" s="17" t="n">
        <v>12</v>
      </c>
      <c r="C8" s="17" t="s">
        <v>48</v>
      </c>
      <c r="D8" s="18" t="n">
        <f aca="false">12/B8</f>
        <v>1</v>
      </c>
      <c r="E8" s="17"/>
      <c r="F8" s="21"/>
    </row>
    <row r="9" customFormat="false" ht="14.25" hidden="false" customHeight="false" outlineLevel="0" collapsed="false">
      <c r="A9" s="15" t="s">
        <v>30</v>
      </c>
      <c r="B9" s="17" t="n">
        <v>12</v>
      </c>
      <c r="C9" s="17" t="s">
        <v>48</v>
      </c>
      <c r="D9" s="18" t="n">
        <f aca="false">12/B9</f>
        <v>1</v>
      </c>
      <c r="E9" s="17"/>
      <c r="F9" s="21"/>
    </row>
    <row r="10" customFormat="false" ht="14.25" hidden="false" customHeight="false" outlineLevel="0" collapsed="false">
      <c r="A10" s="15" t="s">
        <v>33</v>
      </c>
      <c r="B10" s="17" t="n">
        <v>12</v>
      </c>
      <c r="C10" s="17" t="s">
        <v>48</v>
      </c>
      <c r="D10" s="18" t="n">
        <f aca="false">12/B10</f>
        <v>1</v>
      </c>
      <c r="E10" s="17"/>
      <c r="F10" s="21"/>
    </row>
    <row r="11" customFormat="false" ht="14.25" hidden="false" customHeight="false" outlineLevel="0" collapsed="false">
      <c r="A11" s="15" t="s">
        <v>28</v>
      </c>
      <c r="B11" s="17" t="n">
        <v>4</v>
      </c>
      <c r="C11" s="17" t="s">
        <v>48</v>
      </c>
      <c r="D11" s="18" t="n">
        <f aca="false">12/B11</f>
        <v>3</v>
      </c>
      <c r="E11" s="17"/>
      <c r="F11" s="21"/>
    </row>
    <row r="12" customFormat="false" ht="14.25" hidden="false" customHeight="false" outlineLevel="0" collapsed="false">
      <c r="A12" s="15" t="s">
        <v>26</v>
      </c>
      <c r="B12" s="17" t="n">
        <v>4</v>
      </c>
      <c r="C12" s="17" t="s">
        <v>48</v>
      </c>
      <c r="D12" s="18" t="n">
        <f aca="false">12/B12</f>
        <v>3</v>
      </c>
      <c r="E12" s="17"/>
      <c r="F12" s="21"/>
    </row>
    <row r="13" customFormat="false" ht="14.25" hidden="false" customHeight="false" outlineLevel="0" collapsed="false">
      <c r="A13" s="15" t="s">
        <v>27</v>
      </c>
      <c r="B13" s="21" t="n">
        <v>5</v>
      </c>
      <c r="C13" s="21" t="s">
        <v>48</v>
      </c>
      <c r="D13" s="18" t="n">
        <f aca="false">12/B13</f>
        <v>2.4</v>
      </c>
      <c r="E13" s="21"/>
      <c r="F13" s="21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true" showRowColHeaders="true" showZeros="true" rightToLeft="false" tabSelected="false" showOutlineSymbols="true" defaultGridColor="true" view="normal" topLeftCell="A9" colorId="64" zoomScale="93" zoomScaleNormal="93" zoomScalePageLayoutView="100" workbookViewId="0">
      <selection pane="topLeft" activeCell="A26" activeCellId="1" sqref="C258:C259 A26"/>
    </sheetView>
  </sheetViews>
  <sheetFormatPr defaultColWidth="10.5390625" defaultRowHeight="14.25" zeroHeight="false" outlineLevelRow="0" outlineLevelCol="0"/>
  <cols>
    <col collapsed="false" customWidth="true" hidden="false" outlineLevel="0" max="1" min="1" style="2" width="43.18"/>
    <col collapsed="false" customWidth="true" hidden="false" outlineLevel="0" max="2" min="2" style="2" width="11.18"/>
    <col collapsed="false" customWidth="true" hidden="false" outlineLevel="0" max="3" min="3" style="2" width="20.81"/>
  </cols>
  <sheetData>
    <row r="1" customFormat="false" ht="14.25" hidden="false" customHeight="false" outlineLevel="0" collapsed="false">
      <c r="A1" s="2" t="s">
        <v>53</v>
      </c>
      <c r="B1" s="2" t="s">
        <v>54</v>
      </c>
    </row>
    <row r="2" customFormat="false" ht="14.25" hidden="false" customHeight="false" outlineLevel="0" collapsed="false">
      <c r="A2" s="2" t="s">
        <v>55</v>
      </c>
      <c r="B2" s="2" t="s">
        <v>56</v>
      </c>
    </row>
    <row r="5" customFormat="false" ht="14.25" hidden="false" customHeight="false" outlineLevel="0" collapsed="false">
      <c r="A5" s="2" t="s">
        <v>57</v>
      </c>
    </row>
    <row r="6" customFormat="false" ht="14.25" hidden="false" customHeight="false" outlineLevel="0" collapsed="false">
      <c r="A6" s="2" t="s">
        <v>30</v>
      </c>
    </row>
    <row r="7" customFormat="false" ht="14.25" hidden="false" customHeight="false" outlineLevel="0" collapsed="false">
      <c r="A7" s="2" t="s">
        <v>33</v>
      </c>
    </row>
    <row r="13" customFormat="false" ht="14.25" hidden="false" customHeight="false" outlineLevel="0" collapsed="false">
      <c r="A13" s="2" t="s">
        <v>58</v>
      </c>
      <c r="B13" s="2" t="n">
        <v>0.9</v>
      </c>
      <c r="C13" s="2" t="n">
        <f aca="false">60 * 2.2</f>
        <v>132</v>
      </c>
      <c r="D13" s="2" t="n">
        <f aca="false">C13/B13</f>
        <v>146.666666666667</v>
      </c>
    </row>
    <row r="14" customFormat="false" ht="14.25" hidden="false" customHeight="false" outlineLevel="0" collapsed="false">
      <c r="A14" s="2" t="s">
        <v>59</v>
      </c>
      <c r="B14" s="2" t="n">
        <v>0.5</v>
      </c>
    </row>
    <row r="15" customFormat="false" ht="14.25" hidden="false" customHeight="false" outlineLevel="0" collapsed="false">
      <c r="A15" s="2" t="s">
        <v>60</v>
      </c>
      <c r="B15" s="2" t="n">
        <f aca="false">B13*B20</f>
        <v>0.40815</v>
      </c>
      <c r="D15" s="2" t="n">
        <f aca="false">B15*1000</f>
        <v>408.15</v>
      </c>
    </row>
    <row r="17" customFormat="false" ht="14.25" hidden="false" customHeight="false" outlineLevel="0" collapsed="false">
      <c r="A17" s="2" t="s">
        <v>61</v>
      </c>
      <c r="B17" s="2" t="n">
        <f aca="false">B14*B20</f>
        <v>0.22675</v>
      </c>
    </row>
    <row r="18" customFormat="false" ht="14.25" hidden="false" customHeight="false" outlineLevel="0" collapsed="false">
      <c r="A18" s="2" t="s">
        <v>62</v>
      </c>
      <c r="B18" s="2" t="n">
        <v>40</v>
      </c>
      <c r="C18" s="2" t="s">
        <v>63</v>
      </c>
      <c r="D18" s="2" t="s">
        <v>64</v>
      </c>
    </row>
    <row r="20" customFormat="false" ht="14.25" hidden="false" customHeight="false" outlineLevel="0" collapsed="false">
      <c r="A20" s="2" t="s">
        <v>65</v>
      </c>
      <c r="B20" s="2" t="n">
        <v>0.4535</v>
      </c>
      <c r="C20" s="2" t="s">
        <v>63</v>
      </c>
    </row>
    <row r="21" customFormat="false" ht="14.25" hidden="false" customHeight="false" outlineLevel="0" collapsed="false">
      <c r="B21" s="2" t="n">
        <v>45.36</v>
      </c>
    </row>
    <row r="23" customFormat="false" ht="14.25" hidden="false" customHeight="false" outlineLevel="0" collapsed="false">
      <c r="A23" s="2" t="s">
        <v>66</v>
      </c>
      <c r="B23" s="2" t="n">
        <v>60</v>
      </c>
    </row>
    <row r="24" customFormat="false" ht="14.25" hidden="false" customHeight="false" outlineLevel="0" collapsed="false">
      <c r="A24" s="2" t="s">
        <v>67</v>
      </c>
      <c r="B24" s="2" t="n">
        <f aca="false">B23*B20</f>
        <v>27.21</v>
      </c>
    </row>
    <row r="27" customFormat="false" ht="14.25" hidden="false" customHeight="false" outlineLevel="0" collapsed="false">
      <c r="A27" s="2" t="s">
        <v>68</v>
      </c>
      <c r="B27" s="2" t="n">
        <v>1.24</v>
      </c>
    </row>
    <row r="28" customFormat="false" ht="14.25" hidden="false" customHeight="false" outlineLevel="0" collapsed="false">
      <c r="A28" s="2" t="s">
        <v>69</v>
      </c>
      <c r="B28" s="2" t="n">
        <f aca="false">B27*B20</f>
        <v>0.56234</v>
      </c>
      <c r="D28" s="2" t="n">
        <f aca="false">1000*B28</f>
        <v>562.34</v>
      </c>
    </row>
    <row r="33" customFormat="false" ht="14.25" hidden="false" customHeight="false" outlineLevel="0" collapsed="false">
      <c r="A33" s="2" t="s">
        <v>9</v>
      </c>
    </row>
    <row r="34" customFormat="false" ht="14.25" hidden="false" customHeight="false" outlineLevel="0" collapsed="false">
      <c r="A34" s="2" t="s">
        <v>70</v>
      </c>
      <c r="B34" s="2" t="s">
        <v>71</v>
      </c>
      <c r="C34" s="2" t="s">
        <v>72</v>
      </c>
    </row>
    <row r="35" customFormat="false" ht="14.25" hidden="false" customHeight="false" outlineLevel="0" collapsed="false">
      <c r="A35" s="2" t="s">
        <v>20</v>
      </c>
      <c r="B35" s="2" t="s">
        <v>18</v>
      </c>
      <c r="C35" s="2" t="s">
        <v>73</v>
      </c>
    </row>
    <row r="36" customFormat="false" ht="14.25" hidden="false" customHeight="false" outlineLevel="0" collapsed="false">
      <c r="A36" s="2" t="s">
        <v>21</v>
      </c>
      <c r="B36" s="2" t="s">
        <v>18</v>
      </c>
      <c r="C36" s="2" t="s">
        <v>74</v>
      </c>
    </row>
    <row r="37" customFormat="false" ht="14.25" hidden="false" customHeight="false" outlineLevel="0" collapsed="false">
      <c r="A37" s="2" t="s">
        <v>22</v>
      </c>
      <c r="B37" s="2" t="s">
        <v>18</v>
      </c>
      <c r="C37" s="2" t="s">
        <v>75</v>
      </c>
    </row>
    <row r="38" customFormat="false" ht="14.25" hidden="false" customHeight="false" outlineLevel="0" collapsed="false">
      <c r="A38" s="2" t="s">
        <v>76</v>
      </c>
      <c r="B38" s="2" t="s">
        <v>18</v>
      </c>
      <c r="C38" s="2" t="s">
        <v>77</v>
      </c>
    </row>
    <row r="39" customFormat="false" ht="14.25" hidden="false" customHeight="false" outlineLevel="0" collapsed="false">
      <c r="A39" s="2" t="s">
        <v>24</v>
      </c>
      <c r="B39" s="2" t="s">
        <v>18</v>
      </c>
      <c r="C39" s="2" t="s">
        <v>78</v>
      </c>
    </row>
    <row r="40" customFormat="false" ht="14.25" hidden="false" customHeight="false" outlineLevel="0" collapsed="false">
      <c r="A40" s="2" t="s">
        <v>25</v>
      </c>
      <c r="B40" s="2" t="s">
        <v>18</v>
      </c>
      <c r="C40" s="2" t="s">
        <v>79</v>
      </c>
      <c r="D40" s="2" t="s">
        <v>80</v>
      </c>
    </row>
    <row r="41" customFormat="false" ht="14.25" hidden="false" customHeight="false" outlineLevel="0" collapsed="false">
      <c r="A41" s="2" t="s">
        <v>26</v>
      </c>
      <c r="B41" s="2" t="s">
        <v>18</v>
      </c>
      <c r="C41" s="2" t="s">
        <v>81</v>
      </c>
    </row>
    <row r="42" customFormat="false" ht="14.25" hidden="false" customHeight="false" outlineLevel="0" collapsed="false">
      <c r="A42" s="2" t="s">
        <v>27</v>
      </c>
      <c r="B42" s="2" t="s">
        <v>18</v>
      </c>
      <c r="C42" s="2" t="s">
        <v>82</v>
      </c>
    </row>
    <row r="43" customFormat="false" ht="14.25" hidden="false" customHeight="false" outlineLevel="0" collapsed="false">
      <c r="A43" s="2" t="s">
        <v>28</v>
      </c>
      <c r="B43" s="2" t="s">
        <v>83</v>
      </c>
      <c r="C43" s="2" t="s">
        <v>84</v>
      </c>
    </row>
    <row r="44" customFormat="false" ht="14.25" hidden="false" customHeight="false" outlineLevel="0" collapsed="false">
      <c r="A44" s="2" t="s">
        <v>30</v>
      </c>
      <c r="B44" s="2" t="s">
        <v>32</v>
      </c>
      <c r="C44" s="2" t="s">
        <v>85</v>
      </c>
    </row>
    <row r="45" customFormat="false" ht="14.25" hidden="false" customHeight="false" outlineLevel="0" collapsed="false">
      <c r="A45" s="2" t="s">
        <v>33</v>
      </c>
      <c r="B45" s="2" t="s">
        <v>83</v>
      </c>
      <c r="C45" s="2" t="s">
        <v>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LibreOffice/24.8.4.2$Linux_X86_64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2024-12-15T15:18:36Z</dcterms:created>
  <dc:creator>[Est - ECO] Lagrange Pena, Elvis Miguel</dc:creator>
  <dc:description/>
  <dc:language>en-US</dc:language>
  <cp:lastModifiedBy/>
  <dcterms:modified xsi:type="dcterms:W3CDTF">2024-12-24T15:02:46Z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